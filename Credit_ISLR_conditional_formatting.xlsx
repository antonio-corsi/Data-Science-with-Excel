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Rules" sheetId="2" state="visible" r:id="rId2"/>
  </sheets>
  <definedNames>
    <definedName name="_xlnm.Print_Titles" localSheetId="0">'Customers'!$1:$1</definedName>
    <definedName name="_xlnm.Print_Titles" localSheetId="1">'Rules'!$4:$4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Arial"/>
      <family val="2"/>
      <sz val="10"/>
    </font>
    <font>
      <name val="Arial"/>
      <b val="1"/>
      <sz val="12"/>
    </font>
    <font>
      <name val="Arial"/>
      <i val="1"/>
      <color rgb="00595959"/>
      <sz val="9"/>
    </font>
    <font>
      <name val="Consolas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9">
    <dxf>
      <font>
        <b val="1"/>
        <color rgb="FFC00000"/>
      </font>
    </dxf>
    <dxf>
      <font>
        <color rgb="FF9C0006"/>
      </font>
      <fill>
        <patternFill patternType="solid">
          <fgColor rgb="FFFFC7CE"/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1F4E79"/>
      </font>
      <fill>
        <patternFill patternType="solid">
          <fgColor rgb="FFDDEBF7"/>
          <bgColor rgb="FFDDEBF7"/>
        </patternFill>
      </fill>
    </dxf>
    <dxf>
      <font>
        <b val="1"/>
      </font>
      <fill>
        <patternFill patternType="solid">
          <fgColor rgb="FFFFD966"/>
          <bgColor rgb="FFFFD966"/>
        </patternFill>
      </fill>
    </dxf>
    <dxf>
      <font>
        <i val="1"/>
        <color rgb="FF808080"/>
      </font>
    </dxf>
    <dxf>
      <fill>
        <patternFill patternType="solid">
          <fgColor rgb="FFE4DFEC"/>
          <bgColor rgb="FF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Customers" displayName="tblCustomers" ref="A1:L401" headerRowCount="1">
  <autoFilter ref="A1:L401"/>
  <tableColumns count="12">
    <tableColumn id="1" name="ID"/>
    <tableColumn id="2" name="Income"/>
    <tableColumn id="3" name="Limit"/>
    <tableColumn id="4" name="Rating"/>
    <tableColumn id="5" name="Cards"/>
    <tableColumn id="6" name="Age"/>
    <tableColumn id="7" name="Education"/>
    <tableColumn id="8" name="Gender"/>
    <tableColumn id="9" name="Student"/>
    <tableColumn id="10" name="Married"/>
    <tableColumn id="11" name="Ethnicity"/>
    <tableColumn id="12" name="Balance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tblRules" displayName="tblRules" ref="A4:I16" headerRowCount="1">
  <autoFilter ref="A4:I16"/>
  <tableColumns count="9">
    <tableColumn id="1" name="#"/>
    <tableColumn id="2" name="Column"/>
    <tableColumn id="3" name="Applies to"/>
    <tableColumn id="4" name="Menu path (Home ▸ Conditional Formatting ▸ …)"/>
    <tableColumn id="5" name="Rule as set in the dialog"/>
    <tableColumn id="6" name="Equivalent formula (New Rule ▸ Use a formula…)"/>
    <tableColumn id="7" name="Format"/>
    <tableColumn id="8" name="Cells matched"/>
    <tableColumn id="9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10" customWidth="1" min="4" max="4"/>
    <col width="9" customWidth="1" min="5" max="5"/>
    <col width="8" customWidth="1" min="6" max="6"/>
    <col width="12" customWidth="1" min="7" max="7"/>
    <col width="11" customWidth="1" min="8" max="8"/>
    <col width="11" customWidth="1" min="9" max="9"/>
    <col width="11" customWidth="1" min="10" max="10"/>
    <col width="18" customWidth="1" min="11" max="11"/>
    <col width="11" customWidth="1" min="12" max="12"/>
  </cols>
  <sheetData>
    <row r="1">
      <c r="A1" t="inlineStr">
        <is>
          <t>ID</t>
        </is>
      </c>
      <c r="B1" t="inlineStr">
        <is>
          <t>Income</t>
        </is>
      </c>
      <c r="C1" t="inlineStr">
        <is>
          <t>Limit</t>
        </is>
      </c>
      <c r="D1" t="inlineStr">
        <is>
          <t>Rating</t>
        </is>
      </c>
      <c r="E1" t="inlineStr">
        <is>
          <t>Cards</t>
        </is>
      </c>
      <c r="F1" t="inlineStr">
        <is>
          <t>Age</t>
        </is>
      </c>
      <c r="G1" t="inlineStr">
        <is>
          <t>Education</t>
        </is>
      </c>
      <c r="H1" t="inlineStr">
        <is>
          <t>Gender</t>
        </is>
      </c>
      <c r="I1" t="inlineStr">
        <is>
          <t>Student</t>
        </is>
      </c>
      <c r="J1" t="inlineStr">
        <is>
          <t>Married</t>
        </is>
      </c>
      <c r="K1" t="inlineStr">
        <is>
          <t>Ethnicity</t>
        </is>
      </c>
      <c r="L1" t="inlineStr">
        <is>
          <t>Balance</t>
        </is>
      </c>
    </row>
    <row r="2">
      <c r="A2" s="1" t="n">
        <v>1</v>
      </c>
      <c r="B2" s="2" t="n">
        <v>14.891</v>
      </c>
      <c r="C2" s="3" t="n">
        <v>3606</v>
      </c>
      <c r="D2" s="1" t="n">
        <v>283</v>
      </c>
      <c r="E2" s="1" t="n">
        <v>2</v>
      </c>
      <c r="F2" s="1" t="n">
        <v>34</v>
      </c>
      <c r="G2" s="1" t="n">
        <v>11</v>
      </c>
      <c r="H2" t="inlineStr">
        <is>
          <t>Male</t>
        </is>
      </c>
      <c r="I2" t="inlineStr">
        <is>
          <t>No</t>
        </is>
      </c>
      <c r="J2" t="inlineStr">
        <is>
          <t>Yes</t>
        </is>
      </c>
      <c r="K2" t="inlineStr">
        <is>
          <t>Caucasian</t>
        </is>
      </c>
      <c r="L2" s="3" t="n">
        <v>333</v>
      </c>
    </row>
    <row r="3">
      <c r="A3" s="1" t="n">
        <v>2</v>
      </c>
      <c r="B3" s="2" t="n">
        <v>106.025</v>
      </c>
      <c r="C3" s="3" t="n">
        <v>6645</v>
      </c>
      <c r="D3" s="1" t="n">
        <v>483</v>
      </c>
      <c r="E3" s="1" t="n">
        <v>3</v>
      </c>
      <c r="F3" s="1" t="n">
        <v>82</v>
      </c>
      <c r="G3" s="1" t="n">
        <v>15</v>
      </c>
      <c r="H3" t="inlineStr">
        <is>
          <t>Female</t>
        </is>
      </c>
      <c r="I3" t="inlineStr">
        <is>
          <t>Yes</t>
        </is>
      </c>
      <c r="J3" t="inlineStr">
        <is>
          <t>Yes</t>
        </is>
      </c>
      <c r="K3" t="inlineStr">
        <is>
          <t>Asian</t>
        </is>
      </c>
      <c r="L3" s="3" t="n">
        <v>903</v>
      </c>
    </row>
    <row r="4">
      <c r="A4" s="1" t="n">
        <v>3</v>
      </c>
      <c r="B4" s="2" t="n">
        <v>104.593</v>
      </c>
      <c r="C4" s="3" t="n">
        <v>7075</v>
      </c>
      <c r="D4" s="1" t="n">
        <v>514</v>
      </c>
      <c r="E4" s="1" t="n">
        <v>4</v>
      </c>
      <c r="F4" s="1" t="n">
        <v>71</v>
      </c>
      <c r="G4" s="1" t="n">
        <v>11</v>
      </c>
      <c r="H4" t="inlineStr">
        <is>
          <t>Male</t>
        </is>
      </c>
      <c r="I4" t="inlineStr">
        <is>
          <t>No</t>
        </is>
      </c>
      <c r="J4" t="inlineStr">
        <is>
          <t>No</t>
        </is>
      </c>
      <c r="K4" t="inlineStr">
        <is>
          <t>Asian</t>
        </is>
      </c>
      <c r="L4" s="3" t="n">
        <v>580</v>
      </c>
    </row>
    <row r="5">
      <c r="A5" s="1" t="n">
        <v>4</v>
      </c>
      <c r="B5" s="2" t="n">
        <v>148.924</v>
      </c>
      <c r="C5" s="3" t="n">
        <v>9504</v>
      </c>
      <c r="D5" s="1" t="n">
        <v>681</v>
      </c>
      <c r="E5" s="1" t="n">
        <v>3</v>
      </c>
      <c r="F5" s="1" t="n">
        <v>36</v>
      </c>
      <c r="G5" s="1" t="n">
        <v>11</v>
      </c>
      <c r="H5" t="inlineStr">
        <is>
          <t>Female</t>
        </is>
      </c>
      <c r="I5" t="inlineStr">
        <is>
          <t>No</t>
        </is>
      </c>
      <c r="J5" t="inlineStr">
        <is>
          <t>No</t>
        </is>
      </c>
      <c r="K5" t="inlineStr">
        <is>
          <t>Asian</t>
        </is>
      </c>
      <c r="L5" s="3" t="n">
        <v>964</v>
      </c>
    </row>
    <row r="6">
      <c r="A6" s="1" t="n">
        <v>5</v>
      </c>
      <c r="B6" s="2" t="n">
        <v>55.882</v>
      </c>
      <c r="C6" s="3" t="n">
        <v>4897</v>
      </c>
      <c r="D6" s="1" t="n">
        <v>357</v>
      </c>
      <c r="E6" s="1" t="n">
        <v>2</v>
      </c>
      <c r="F6" s="1" t="n">
        <v>68</v>
      </c>
      <c r="G6" s="1" t="n">
        <v>16</v>
      </c>
      <c r="H6" t="inlineStr">
        <is>
          <t>Male</t>
        </is>
      </c>
      <c r="I6" t="inlineStr">
        <is>
          <t>No</t>
        </is>
      </c>
      <c r="J6" t="inlineStr">
        <is>
          <t>Yes</t>
        </is>
      </c>
      <c r="K6" t="inlineStr">
        <is>
          <t>Caucasian</t>
        </is>
      </c>
      <c r="L6" s="3" t="n">
        <v>331</v>
      </c>
    </row>
    <row r="7">
      <c r="A7" s="1" t="n">
        <v>6</v>
      </c>
      <c r="B7" s="2" t="n">
        <v>80.18000000000001</v>
      </c>
      <c r="C7" s="3" t="n">
        <v>8047</v>
      </c>
      <c r="D7" s="1" t="n">
        <v>569</v>
      </c>
      <c r="E7" s="1" t="n">
        <v>4</v>
      </c>
      <c r="F7" s="1" t="n">
        <v>77</v>
      </c>
      <c r="G7" s="1" t="n">
        <v>10</v>
      </c>
      <c r="H7" t="inlineStr">
        <is>
          <t>Male</t>
        </is>
      </c>
      <c r="I7" t="inlineStr">
        <is>
          <t>No</t>
        </is>
      </c>
      <c r="J7" t="inlineStr">
        <is>
          <t>No</t>
        </is>
      </c>
      <c r="K7" t="inlineStr">
        <is>
          <t>Caucasian</t>
        </is>
      </c>
      <c r="L7" s="3" t="n">
        <v>1151</v>
      </c>
    </row>
    <row r="8">
      <c r="A8" s="1" t="n">
        <v>7</v>
      </c>
      <c r="B8" s="2" t="n">
        <v>20.996</v>
      </c>
      <c r="C8" s="3" t="n">
        <v>3388</v>
      </c>
      <c r="D8" s="1" t="n">
        <v>259</v>
      </c>
      <c r="E8" s="1" t="n">
        <v>2</v>
      </c>
      <c r="F8" s="1" t="n">
        <v>37</v>
      </c>
      <c r="G8" s="1" t="n">
        <v>12</v>
      </c>
      <c r="H8" t="inlineStr">
        <is>
          <t>Female</t>
        </is>
      </c>
      <c r="I8" t="inlineStr">
        <is>
          <t>No</t>
        </is>
      </c>
      <c r="J8" t="inlineStr">
        <is>
          <t>No</t>
        </is>
      </c>
      <c r="K8" t="inlineStr">
        <is>
          <t>African American</t>
        </is>
      </c>
      <c r="L8" s="3" t="n">
        <v>203</v>
      </c>
    </row>
    <row r="9">
      <c r="A9" s="1" t="n">
        <v>8</v>
      </c>
      <c r="B9" s="2" t="n">
        <v>71.408</v>
      </c>
      <c r="C9" s="3" t="n">
        <v>7114</v>
      </c>
      <c r="D9" s="1" t="n">
        <v>512</v>
      </c>
      <c r="E9" s="1" t="n">
        <v>2</v>
      </c>
      <c r="F9" s="1" t="n">
        <v>87</v>
      </c>
      <c r="G9" s="1" t="n">
        <v>9</v>
      </c>
      <c r="H9" t="inlineStr">
        <is>
          <t>Male</t>
        </is>
      </c>
      <c r="I9" t="inlineStr">
        <is>
          <t>No</t>
        </is>
      </c>
      <c r="J9" t="inlineStr">
        <is>
          <t>No</t>
        </is>
      </c>
      <c r="K9" t="inlineStr">
        <is>
          <t>Asian</t>
        </is>
      </c>
      <c r="L9" s="3" t="n">
        <v>872</v>
      </c>
    </row>
    <row r="10">
      <c r="A10" s="1" t="n">
        <v>9</v>
      </c>
      <c r="B10" s="2" t="n">
        <v>15.125</v>
      </c>
      <c r="C10" s="3" t="n">
        <v>3300</v>
      </c>
      <c r="D10" s="1" t="n">
        <v>266</v>
      </c>
      <c r="E10" s="1" t="n">
        <v>5</v>
      </c>
      <c r="F10" s="1" t="n">
        <v>66</v>
      </c>
      <c r="G10" s="1" t="n">
        <v>13</v>
      </c>
      <c r="H10" t="inlineStr">
        <is>
          <t>Female</t>
        </is>
      </c>
      <c r="I10" t="inlineStr">
        <is>
          <t>No</t>
        </is>
      </c>
      <c r="J10" t="inlineStr">
        <is>
          <t>No</t>
        </is>
      </c>
      <c r="K10" t="inlineStr">
        <is>
          <t>Caucasian</t>
        </is>
      </c>
      <c r="L10" s="3" t="n">
        <v>279</v>
      </c>
    </row>
    <row r="11">
      <c r="A11" s="1" t="n">
        <v>10</v>
      </c>
      <c r="B11" s="2" t="n">
        <v>71.06100000000001</v>
      </c>
      <c r="C11" s="3" t="n">
        <v>6819</v>
      </c>
      <c r="D11" s="1" t="n">
        <v>491</v>
      </c>
      <c r="E11" s="1" t="n">
        <v>3</v>
      </c>
      <c r="F11" s="1" t="n">
        <v>41</v>
      </c>
      <c r="G11" s="1" t="n">
        <v>19</v>
      </c>
      <c r="H11" t="inlineStr">
        <is>
          <t>Female</t>
        </is>
      </c>
      <c r="I11" t="inlineStr">
        <is>
          <t>Yes</t>
        </is>
      </c>
      <c r="J11" t="inlineStr">
        <is>
          <t>Yes</t>
        </is>
      </c>
      <c r="K11" t="inlineStr">
        <is>
          <t>African American</t>
        </is>
      </c>
      <c r="L11" s="3" t="n">
        <v>1350</v>
      </c>
    </row>
    <row r="12">
      <c r="A12" s="1" t="n">
        <v>11</v>
      </c>
      <c r="B12" s="2" t="n">
        <v>63.095</v>
      </c>
      <c r="C12" s="3" t="n">
        <v>8117</v>
      </c>
      <c r="D12" s="1" t="n">
        <v>589</v>
      </c>
      <c r="E12" s="1" t="n">
        <v>4</v>
      </c>
      <c r="F12" s="1" t="n">
        <v>30</v>
      </c>
      <c r="G12" s="1" t="n">
        <v>14</v>
      </c>
      <c r="H12" t="inlineStr">
        <is>
          <t>Male</t>
        </is>
      </c>
      <c r="I12" t="inlineStr">
        <is>
          <t>No</t>
        </is>
      </c>
      <c r="J12" t="inlineStr">
        <is>
          <t>Yes</t>
        </is>
      </c>
      <c r="K12" t="inlineStr">
        <is>
          <t>Caucasian</t>
        </is>
      </c>
      <c r="L12" s="3" t="n">
        <v>1407</v>
      </c>
    </row>
    <row r="13">
      <c r="A13" s="1" t="n">
        <v>12</v>
      </c>
      <c r="B13" s="2" t="n">
        <v>15.045</v>
      </c>
      <c r="C13" s="3" t="n">
        <v>1311</v>
      </c>
      <c r="D13" s="1" t="n">
        <v>138</v>
      </c>
      <c r="E13" s="1" t="n">
        <v>3</v>
      </c>
      <c r="F13" s="1" t="n">
        <v>64</v>
      </c>
      <c r="G13" s="1" t="n">
        <v>16</v>
      </c>
      <c r="H13" t="inlineStr">
        <is>
          <t>Male</t>
        </is>
      </c>
      <c r="I13" t="inlineStr">
        <is>
          <t>No</t>
        </is>
      </c>
      <c r="J13" t="inlineStr">
        <is>
          <t>No</t>
        </is>
      </c>
      <c r="K13" t="inlineStr">
        <is>
          <t>Caucasian</t>
        </is>
      </c>
      <c r="L13" s="3" t="n">
        <v>0</v>
      </c>
    </row>
    <row r="14">
      <c r="A14" s="1" t="n">
        <v>13</v>
      </c>
      <c r="B14" s="2" t="n">
        <v>80.616</v>
      </c>
      <c r="C14" s="3" t="n">
        <v>5308</v>
      </c>
      <c r="D14" s="1" t="n">
        <v>394</v>
      </c>
      <c r="E14" s="1" t="n">
        <v>1</v>
      </c>
      <c r="F14" s="1" t="n">
        <v>57</v>
      </c>
      <c r="G14" s="1" t="n">
        <v>7</v>
      </c>
      <c r="H14" t="inlineStr">
        <is>
          <t>Female</t>
        </is>
      </c>
      <c r="I14" t="inlineStr">
        <is>
          <t>No</t>
        </is>
      </c>
      <c r="J14" t="inlineStr">
        <is>
          <t>Yes</t>
        </is>
      </c>
      <c r="K14" t="inlineStr">
        <is>
          <t>Asian</t>
        </is>
      </c>
      <c r="L14" s="3" t="n">
        <v>204</v>
      </c>
    </row>
    <row r="15">
      <c r="A15" s="1" t="n">
        <v>14</v>
      </c>
      <c r="B15" s="2" t="n">
        <v>43.682</v>
      </c>
      <c r="C15" s="3" t="n">
        <v>6922</v>
      </c>
      <c r="D15" s="1" t="n">
        <v>511</v>
      </c>
      <c r="E15" s="1" t="n">
        <v>1</v>
      </c>
      <c r="F15" s="1" t="n">
        <v>49</v>
      </c>
      <c r="G15" s="1" t="n">
        <v>9</v>
      </c>
      <c r="H15" t="inlineStr">
        <is>
          <t>Male</t>
        </is>
      </c>
      <c r="I15" t="inlineStr">
        <is>
          <t>No</t>
        </is>
      </c>
      <c r="J15" t="inlineStr">
        <is>
          <t>Yes</t>
        </is>
      </c>
      <c r="K15" t="inlineStr">
        <is>
          <t>Caucasian</t>
        </is>
      </c>
      <c r="L15" s="3" t="n">
        <v>1081</v>
      </c>
    </row>
    <row r="16">
      <c r="A16" s="1" t="n">
        <v>15</v>
      </c>
      <c r="B16" s="2" t="n">
        <v>19.144</v>
      </c>
      <c r="C16" s="3" t="n">
        <v>3291</v>
      </c>
      <c r="D16" s="1" t="n">
        <v>269</v>
      </c>
      <c r="E16" s="1" t="n">
        <v>2</v>
      </c>
      <c r="F16" s="1" t="n">
        <v>75</v>
      </c>
      <c r="G16" s="1" t="n">
        <v>13</v>
      </c>
      <c r="H16" t="inlineStr">
        <is>
          <t>Female</t>
        </is>
      </c>
      <c r="I16" t="inlineStr">
        <is>
          <t>No</t>
        </is>
      </c>
      <c r="J16" t="inlineStr">
        <is>
          <t>No</t>
        </is>
      </c>
      <c r="K16" t="inlineStr">
        <is>
          <t>African American</t>
        </is>
      </c>
      <c r="L16" s="3" t="n">
        <v>148</v>
      </c>
    </row>
    <row r="17">
      <c r="A17" s="1" t="n">
        <v>16</v>
      </c>
      <c r="B17" s="2" t="n">
        <v>20.089</v>
      </c>
      <c r="C17" s="3" t="n">
        <v>2525</v>
      </c>
      <c r="D17" s="1" t="n">
        <v>200</v>
      </c>
      <c r="E17" s="1" t="n">
        <v>3</v>
      </c>
      <c r="F17" s="1" t="n">
        <v>57</v>
      </c>
      <c r="G17" s="1" t="n">
        <v>15</v>
      </c>
      <c r="H17" t="inlineStr">
        <is>
          <t>Female</t>
        </is>
      </c>
      <c r="I17" t="inlineStr">
        <is>
          <t>No</t>
        </is>
      </c>
      <c r="J17" t="inlineStr">
        <is>
          <t>Yes</t>
        </is>
      </c>
      <c r="K17" t="inlineStr">
        <is>
          <t>African American</t>
        </is>
      </c>
      <c r="L17" s="3" t="n">
        <v>0</v>
      </c>
    </row>
    <row r="18">
      <c r="A18" s="1" t="n">
        <v>17</v>
      </c>
      <c r="B18" s="2" t="n">
        <v>53.598</v>
      </c>
      <c r="C18" s="3" t="n">
        <v>3714</v>
      </c>
      <c r="D18" s="1" t="n">
        <v>286</v>
      </c>
      <c r="E18" s="1" t="n">
        <v>3</v>
      </c>
      <c r="F18" s="1" t="n">
        <v>73</v>
      </c>
      <c r="G18" s="1" t="n">
        <v>17</v>
      </c>
      <c r="H18" t="inlineStr">
        <is>
          <t>Female</t>
        </is>
      </c>
      <c r="I18" t="inlineStr">
        <is>
          <t>No</t>
        </is>
      </c>
      <c r="J18" t="inlineStr">
        <is>
          <t>Yes</t>
        </is>
      </c>
      <c r="K18" t="inlineStr">
        <is>
          <t>African American</t>
        </is>
      </c>
      <c r="L18" s="3" t="n">
        <v>0</v>
      </c>
    </row>
    <row r="19">
      <c r="A19" s="1" t="n">
        <v>18</v>
      </c>
      <c r="B19" s="2" t="n">
        <v>36.496</v>
      </c>
      <c r="C19" s="3" t="n">
        <v>4378</v>
      </c>
      <c r="D19" s="1" t="n">
        <v>339</v>
      </c>
      <c r="E19" s="1" t="n">
        <v>3</v>
      </c>
      <c r="F19" s="1" t="n">
        <v>69</v>
      </c>
      <c r="G19" s="1" t="n">
        <v>15</v>
      </c>
      <c r="H19" t="inlineStr">
        <is>
          <t>Female</t>
        </is>
      </c>
      <c r="I19" t="inlineStr">
        <is>
          <t>No</t>
        </is>
      </c>
      <c r="J19" t="inlineStr">
        <is>
          <t>Yes</t>
        </is>
      </c>
      <c r="K19" t="inlineStr">
        <is>
          <t>Asian</t>
        </is>
      </c>
      <c r="L19" s="3" t="n">
        <v>368</v>
      </c>
    </row>
    <row r="20">
      <c r="A20" s="1" t="n">
        <v>19</v>
      </c>
      <c r="B20" s="2" t="n">
        <v>49.57</v>
      </c>
      <c r="C20" s="3" t="n">
        <v>6384</v>
      </c>
      <c r="D20" s="1" t="n">
        <v>448</v>
      </c>
      <c r="E20" s="1" t="n">
        <v>1</v>
      </c>
      <c r="F20" s="1" t="n">
        <v>28</v>
      </c>
      <c r="G20" s="1" t="n">
        <v>9</v>
      </c>
      <c r="H20" t="inlineStr">
        <is>
          <t>Female</t>
        </is>
      </c>
      <c r="I20" t="inlineStr">
        <is>
          <t>No</t>
        </is>
      </c>
      <c r="J20" t="inlineStr">
        <is>
          <t>Yes</t>
        </is>
      </c>
      <c r="K20" t="inlineStr">
        <is>
          <t>Asian</t>
        </is>
      </c>
      <c r="L20" s="3" t="n">
        <v>891</v>
      </c>
    </row>
    <row r="21">
      <c r="A21" s="1" t="n">
        <v>20</v>
      </c>
      <c r="B21" s="2" t="n">
        <v>42.079</v>
      </c>
      <c r="C21" s="3" t="n">
        <v>6626</v>
      </c>
      <c r="D21" s="1" t="n">
        <v>479</v>
      </c>
      <c r="E21" s="1" t="n">
        <v>2</v>
      </c>
      <c r="F21" s="1" t="n">
        <v>44</v>
      </c>
      <c r="G21" s="1" t="n">
        <v>9</v>
      </c>
      <c r="H21" t="inlineStr">
        <is>
          <t>Male</t>
        </is>
      </c>
      <c r="I21" t="inlineStr">
        <is>
          <t>No</t>
        </is>
      </c>
      <c r="J21" t="inlineStr">
        <is>
          <t>No</t>
        </is>
      </c>
      <c r="K21" t="inlineStr">
        <is>
          <t>Asian</t>
        </is>
      </c>
      <c r="L21" s="3" t="n">
        <v>1048</v>
      </c>
    </row>
    <row r="22">
      <c r="A22" s="1" t="n">
        <v>21</v>
      </c>
      <c r="B22" s="2" t="n">
        <v>17.7</v>
      </c>
      <c r="C22" s="3" t="n">
        <v>2860</v>
      </c>
      <c r="D22" s="1" t="n">
        <v>235</v>
      </c>
      <c r="E22" s="1" t="n">
        <v>4</v>
      </c>
      <c r="F22" s="1" t="n">
        <v>63</v>
      </c>
      <c r="G22" s="1" t="n">
        <v>16</v>
      </c>
      <c r="H22" t="inlineStr">
        <is>
          <t>Female</t>
        </is>
      </c>
      <c r="I22" t="inlineStr">
        <is>
          <t>No</t>
        </is>
      </c>
      <c r="J22" t="inlineStr">
        <is>
          <t>No</t>
        </is>
      </c>
      <c r="K22" t="inlineStr">
        <is>
          <t>Asian</t>
        </is>
      </c>
      <c r="L22" s="3" t="n">
        <v>89</v>
      </c>
    </row>
    <row r="23">
      <c r="A23" s="1" t="n">
        <v>22</v>
      </c>
      <c r="B23" s="2" t="n">
        <v>37.348</v>
      </c>
      <c r="C23" s="3" t="n">
        <v>6378</v>
      </c>
      <c r="D23" s="1" t="n">
        <v>458</v>
      </c>
      <c r="E23" s="1" t="n">
        <v>1</v>
      </c>
      <c r="F23" s="1" t="n">
        <v>72</v>
      </c>
      <c r="G23" s="1" t="n">
        <v>17</v>
      </c>
      <c r="H23" t="inlineStr">
        <is>
          <t>Female</t>
        </is>
      </c>
      <c r="I23" t="inlineStr">
        <is>
          <t>No</t>
        </is>
      </c>
      <c r="J23" t="inlineStr">
        <is>
          <t>No</t>
        </is>
      </c>
      <c r="K23" t="inlineStr">
        <is>
          <t>Caucasian</t>
        </is>
      </c>
      <c r="L23" s="3" t="n">
        <v>968</v>
      </c>
    </row>
    <row r="24">
      <c r="A24" s="1" t="n">
        <v>23</v>
      </c>
      <c r="B24" s="2" t="n">
        <v>20.103</v>
      </c>
      <c r="C24" s="3" t="n">
        <v>2631</v>
      </c>
      <c r="D24" s="1" t="n">
        <v>213</v>
      </c>
      <c r="E24" s="1" t="n">
        <v>3</v>
      </c>
      <c r="F24" s="1" t="n">
        <v>61</v>
      </c>
      <c r="G24" s="1" t="n">
        <v>10</v>
      </c>
      <c r="H24" t="inlineStr">
        <is>
          <t>Male</t>
        </is>
      </c>
      <c r="I24" t="inlineStr">
        <is>
          <t>No</t>
        </is>
      </c>
      <c r="J24" t="inlineStr">
        <is>
          <t>Yes</t>
        </is>
      </c>
      <c r="K24" t="inlineStr">
        <is>
          <t>African American</t>
        </is>
      </c>
      <c r="L24" s="3" t="n">
        <v>0</v>
      </c>
    </row>
    <row r="25">
      <c r="A25" s="1" t="n">
        <v>24</v>
      </c>
      <c r="B25" s="2" t="n">
        <v>64.027</v>
      </c>
      <c r="C25" s="3" t="n">
        <v>5179</v>
      </c>
      <c r="D25" s="1" t="n">
        <v>398</v>
      </c>
      <c r="E25" s="1" t="n">
        <v>5</v>
      </c>
      <c r="F25" s="1" t="n">
        <v>48</v>
      </c>
      <c r="G25" s="1" t="n">
        <v>8</v>
      </c>
      <c r="H25" t="inlineStr">
        <is>
          <t>Male</t>
        </is>
      </c>
      <c r="I25" t="inlineStr">
        <is>
          <t>No</t>
        </is>
      </c>
      <c r="J25" t="inlineStr">
        <is>
          <t>Yes</t>
        </is>
      </c>
      <c r="K25" t="inlineStr">
        <is>
          <t>African American</t>
        </is>
      </c>
      <c r="L25" s="3" t="n">
        <v>411</v>
      </c>
    </row>
    <row r="26">
      <c r="A26" s="1" t="n">
        <v>25</v>
      </c>
      <c r="B26" s="2" t="n">
        <v>10.742</v>
      </c>
      <c r="C26" s="3" t="n">
        <v>1757</v>
      </c>
      <c r="D26" s="1" t="n">
        <v>156</v>
      </c>
      <c r="E26" s="1" t="n">
        <v>3</v>
      </c>
      <c r="F26" s="1" t="n">
        <v>57</v>
      </c>
      <c r="G26" s="1" t="n">
        <v>15</v>
      </c>
      <c r="H26" t="inlineStr">
        <is>
          <t>Female</t>
        </is>
      </c>
      <c r="I26" t="inlineStr">
        <is>
          <t>No</t>
        </is>
      </c>
      <c r="J26" t="inlineStr">
        <is>
          <t>No</t>
        </is>
      </c>
      <c r="K26" t="inlineStr">
        <is>
          <t>Caucasian</t>
        </is>
      </c>
      <c r="L26" s="3" t="n">
        <v>0</v>
      </c>
    </row>
    <row r="27">
      <c r="A27" s="1" t="n">
        <v>26</v>
      </c>
      <c r="B27" s="2" t="n">
        <v>14.09</v>
      </c>
      <c r="C27" s="3" t="n">
        <v>4323</v>
      </c>
      <c r="D27" s="1" t="n">
        <v>326</v>
      </c>
      <c r="E27" s="1" t="n">
        <v>5</v>
      </c>
      <c r="F27" s="1" t="n">
        <v>25</v>
      </c>
      <c r="G27" s="1" t="n">
        <v>16</v>
      </c>
      <c r="H27" t="inlineStr">
        <is>
          <t>Female</t>
        </is>
      </c>
      <c r="I27" t="inlineStr">
        <is>
          <t>No</t>
        </is>
      </c>
      <c r="J27" t="inlineStr">
        <is>
          <t>Yes</t>
        </is>
      </c>
      <c r="K27" t="inlineStr">
        <is>
          <t>African American</t>
        </is>
      </c>
      <c r="L27" s="3" t="n">
        <v>671</v>
      </c>
    </row>
    <row r="28">
      <c r="A28" s="1" t="n">
        <v>27</v>
      </c>
      <c r="B28" s="2" t="n">
        <v>42.471</v>
      </c>
      <c r="C28" s="3" t="n">
        <v>3625</v>
      </c>
      <c r="D28" s="1" t="n">
        <v>289</v>
      </c>
      <c r="E28" s="1" t="n">
        <v>6</v>
      </c>
      <c r="F28" s="1" t="n">
        <v>44</v>
      </c>
      <c r="G28" s="1" t="n">
        <v>12</v>
      </c>
      <c r="H28" t="inlineStr">
        <is>
          <t>Female</t>
        </is>
      </c>
      <c r="I28" t="inlineStr">
        <is>
          <t>Yes</t>
        </is>
      </c>
      <c r="J28" t="inlineStr">
        <is>
          <t>No</t>
        </is>
      </c>
      <c r="K28" t="inlineStr">
        <is>
          <t>Caucasian</t>
        </is>
      </c>
      <c r="L28" s="3" t="n">
        <v>654</v>
      </c>
    </row>
    <row r="29">
      <c r="A29" s="1" t="n">
        <v>28</v>
      </c>
      <c r="B29" s="2" t="n">
        <v>32.793</v>
      </c>
      <c r="C29" s="3" t="n">
        <v>4534</v>
      </c>
      <c r="D29" s="1" t="n">
        <v>333</v>
      </c>
      <c r="E29" s="1" t="n">
        <v>2</v>
      </c>
      <c r="F29" s="1" t="n">
        <v>44</v>
      </c>
      <c r="G29" s="1" t="n">
        <v>16</v>
      </c>
      <c r="H29" t="inlineStr">
        <is>
          <t>Male</t>
        </is>
      </c>
      <c r="I29" t="inlineStr">
        <is>
          <t>No</t>
        </is>
      </c>
      <c r="J29" t="inlineStr">
        <is>
          <t>No</t>
        </is>
      </c>
      <c r="K29" t="inlineStr">
        <is>
          <t>African American</t>
        </is>
      </c>
      <c r="L29" s="3" t="n">
        <v>467</v>
      </c>
    </row>
    <row r="30">
      <c r="A30" s="1" t="n">
        <v>29</v>
      </c>
      <c r="B30" s="2" t="n">
        <v>186.634</v>
      </c>
      <c r="C30" s="3" t="n">
        <v>13414</v>
      </c>
      <c r="D30" s="1" t="n">
        <v>949</v>
      </c>
      <c r="E30" s="1" t="n">
        <v>2</v>
      </c>
      <c r="F30" s="1" t="n">
        <v>41</v>
      </c>
      <c r="G30" s="1" t="n">
        <v>14</v>
      </c>
      <c r="H30" t="inlineStr">
        <is>
          <t>Female</t>
        </is>
      </c>
      <c r="I30" t="inlineStr">
        <is>
          <t>No</t>
        </is>
      </c>
      <c r="J30" t="inlineStr">
        <is>
          <t>Yes</t>
        </is>
      </c>
      <c r="K30" t="inlineStr">
        <is>
          <t>African American</t>
        </is>
      </c>
      <c r="L30" s="3" t="n">
        <v>1809</v>
      </c>
    </row>
    <row r="31">
      <c r="A31" s="1" t="n">
        <v>30</v>
      </c>
      <c r="B31" s="2" t="n">
        <v>26.813</v>
      </c>
      <c r="C31" s="3" t="n">
        <v>5611</v>
      </c>
      <c r="D31" s="1" t="n">
        <v>411</v>
      </c>
      <c r="E31" s="1" t="n">
        <v>4</v>
      </c>
      <c r="F31" s="1" t="n">
        <v>55</v>
      </c>
      <c r="G31" s="1" t="n">
        <v>16</v>
      </c>
      <c r="H31" t="inlineStr">
        <is>
          <t>Female</t>
        </is>
      </c>
      <c r="I31" t="inlineStr">
        <is>
          <t>No</t>
        </is>
      </c>
      <c r="J31" t="inlineStr">
        <is>
          <t>No</t>
        </is>
      </c>
      <c r="K31" t="inlineStr">
        <is>
          <t>Caucasian</t>
        </is>
      </c>
      <c r="L31" s="3" t="n">
        <v>915</v>
      </c>
    </row>
    <row r="32">
      <c r="A32" s="1" t="n">
        <v>31</v>
      </c>
      <c r="B32" s="2" t="n">
        <v>34.142</v>
      </c>
      <c r="C32" s="3" t="n">
        <v>5666</v>
      </c>
      <c r="D32" s="1" t="n">
        <v>413</v>
      </c>
      <c r="E32" s="1" t="n">
        <v>4</v>
      </c>
      <c r="F32" s="1" t="n">
        <v>47</v>
      </c>
      <c r="G32" s="1" t="n">
        <v>5</v>
      </c>
      <c r="H32" t="inlineStr">
        <is>
          <t>Female</t>
        </is>
      </c>
      <c r="I32" t="inlineStr">
        <is>
          <t>No</t>
        </is>
      </c>
      <c r="J32" t="inlineStr">
        <is>
          <t>Yes</t>
        </is>
      </c>
      <c r="K32" t="inlineStr">
        <is>
          <t>Caucasian</t>
        </is>
      </c>
      <c r="L32" s="3" t="n">
        <v>863</v>
      </c>
    </row>
    <row r="33">
      <c r="A33" s="1" t="n">
        <v>32</v>
      </c>
      <c r="B33" s="2" t="n">
        <v>28.941</v>
      </c>
      <c r="C33" s="3" t="n">
        <v>2733</v>
      </c>
      <c r="D33" s="1" t="n">
        <v>210</v>
      </c>
      <c r="E33" s="1" t="n">
        <v>5</v>
      </c>
      <c r="F33" s="1" t="n">
        <v>43</v>
      </c>
      <c r="G33" s="1" t="n">
        <v>16</v>
      </c>
      <c r="H33" t="inlineStr">
        <is>
          <t>Male</t>
        </is>
      </c>
      <c r="I33" t="inlineStr">
        <is>
          <t>No</t>
        </is>
      </c>
      <c r="J33" t="inlineStr">
        <is>
          <t>Yes</t>
        </is>
      </c>
      <c r="K33" t="inlineStr">
        <is>
          <t>Asian</t>
        </is>
      </c>
      <c r="L33" s="3" t="n">
        <v>0</v>
      </c>
    </row>
    <row r="34">
      <c r="A34" s="1" t="n">
        <v>33</v>
      </c>
      <c r="B34" s="2" t="n">
        <v>134.181</v>
      </c>
      <c r="C34" s="3" t="n">
        <v>7838</v>
      </c>
      <c r="D34" s="1" t="n">
        <v>563</v>
      </c>
      <c r="E34" s="1" t="n">
        <v>2</v>
      </c>
      <c r="F34" s="1" t="n">
        <v>48</v>
      </c>
      <c r="G34" s="1" t="n">
        <v>13</v>
      </c>
      <c r="H34" t="inlineStr">
        <is>
          <t>Female</t>
        </is>
      </c>
      <c r="I34" t="inlineStr">
        <is>
          <t>No</t>
        </is>
      </c>
      <c r="J34" t="inlineStr">
        <is>
          <t>No</t>
        </is>
      </c>
      <c r="K34" t="inlineStr">
        <is>
          <t>Caucasian</t>
        </is>
      </c>
      <c r="L34" s="3" t="n">
        <v>526</v>
      </c>
    </row>
    <row r="35">
      <c r="A35" s="1" t="n">
        <v>34</v>
      </c>
      <c r="B35" s="2" t="n">
        <v>31.367</v>
      </c>
      <c r="C35" s="3" t="n">
        <v>1829</v>
      </c>
      <c r="D35" s="1" t="n">
        <v>162</v>
      </c>
      <c r="E35" s="1" t="n">
        <v>4</v>
      </c>
      <c r="F35" s="1" t="n">
        <v>30</v>
      </c>
      <c r="G35" s="1" t="n">
        <v>10</v>
      </c>
      <c r="H35" t="inlineStr">
        <is>
          <t>Male</t>
        </is>
      </c>
      <c r="I35" t="inlineStr">
        <is>
          <t>No</t>
        </is>
      </c>
      <c r="J35" t="inlineStr">
        <is>
          <t>Yes</t>
        </is>
      </c>
      <c r="K35" t="inlineStr">
        <is>
          <t>Caucasian</t>
        </is>
      </c>
      <c r="L35" s="3" t="n">
        <v>0</v>
      </c>
    </row>
    <row r="36">
      <c r="A36" s="1" t="n">
        <v>35</v>
      </c>
      <c r="B36" s="2" t="n">
        <v>20.15</v>
      </c>
      <c r="C36" s="3" t="n">
        <v>2646</v>
      </c>
      <c r="D36" s="1" t="n">
        <v>199</v>
      </c>
      <c r="E36" s="1" t="n">
        <v>2</v>
      </c>
      <c r="F36" s="1" t="n">
        <v>25</v>
      </c>
      <c r="G36" s="1" t="n">
        <v>14</v>
      </c>
      <c r="H36" t="inlineStr">
        <is>
          <t>Female</t>
        </is>
      </c>
      <c r="I36" t="inlineStr">
        <is>
          <t>No</t>
        </is>
      </c>
      <c r="J36" t="inlineStr">
        <is>
          <t>Yes</t>
        </is>
      </c>
      <c r="K36" t="inlineStr">
        <is>
          <t>Asian</t>
        </is>
      </c>
      <c r="L36" s="3" t="n">
        <v>0</v>
      </c>
    </row>
    <row r="37">
      <c r="A37" s="1" t="n">
        <v>36</v>
      </c>
      <c r="B37" s="2" t="n">
        <v>23.35</v>
      </c>
      <c r="C37" s="3" t="n">
        <v>2558</v>
      </c>
      <c r="D37" s="1" t="n">
        <v>220</v>
      </c>
      <c r="E37" s="1" t="n">
        <v>3</v>
      </c>
      <c r="F37" s="1" t="n">
        <v>49</v>
      </c>
      <c r="G37" s="1" t="n">
        <v>12</v>
      </c>
      <c r="H37" t="inlineStr">
        <is>
          <t>Female</t>
        </is>
      </c>
      <c r="I37" t="inlineStr">
        <is>
          <t>Yes</t>
        </is>
      </c>
      <c r="J37" t="inlineStr">
        <is>
          <t>No</t>
        </is>
      </c>
      <c r="K37" t="inlineStr">
        <is>
          <t>Caucasian</t>
        </is>
      </c>
      <c r="L37" s="3" t="n">
        <v>419</v>
      </c>
    </row>
    <row r="38">
      <c r="A38" s="1" t="n">
        <v>37</v>
      </c>
      <c r="B38" s="2" t="n">
        <v>62.413</v>
      </c>
      <c r="C38" s="3" t="n">
        <v>6457</v>
      </c>
      <c r="D38" s="1" t="n">
        <v>455</v>
      </c>
      <c r="E38" s="1" t="n">
        <v>2</v>
      </c>
      <c r="F38" s="1" t="n">
        <v>71</v>
      </c>
      <c r="G38" s="1" t="n">
        <v>11</v>
      </c>
      <c r="H38" t="inlineStr">
        <is>
          <t>Female</t>
        </is>
      </c>
      <c r="I38" t="inlineStr">
        <is>
          <t>No</t>
        </is>
      </c>
      <c r="J38" t="inlineStr">
        <is>
          <t>Yes</t>
        </is>
      </c>
      <c r="K38" t="inlineStr">
        <is>
          <t>Caucasian</t>
        </is>
      </c>
      <c r="L38" s="3" t="n">
        <v>762</v>
      </c>
    </row>
    <row r="39">
      <c r="A39" s="1" t="n">
        <v>38</v>
      </c>
      <c r="B39" s="2" t="n">
        <v>30.007</v>
      </c>
      <c r="C39" s="3" t="n">
        <v>6481</v>
      </c>
      <c r="D39" s="1" t="n">
        <v>462</v>
      </c>
      <c r="E39" s="1" t="n">
        <v>2</v>
      </c>
      <c r="F39" s="1" t="n">
        <v>69</v>
      </c>
      <c r="G39" s="1" t="n">
        <v>9</v>
      </c>
      <c r="H39" t="inlineStr">
        <is>
          <t>Female</t>
        </is>
      </c>
      <c r="I39" t="inlineStr">
        <is>
          <t>No</t>
        </is>
      </c>
      <c r="J39" t="inlineStr">
        <is>
          <t>Yes</t>
        </is>
      </c>
      <c r="K39" t="inlineStr">
        <is>
          <t>Caucasian</t>
        </is>
      </c>
      <c r="L39" s="3" t="n">
        <v>1093</v>
      </c>
    </row>
    <row r="40">
      <c r="A40" s="1" t="n">
        <v>39</v>
      </c>
      <c r="B40" s="2" t="n">
        <v>11.795</v>
      </c>
      <c r="C40" s="3" t="n">
        <v>3899</v>
      </c>
      <c r="D40" s="1" t="n">
        <v>300</v>
      </c>
      <c r="E40" s="1" t="n">
        <v>4</v>
      </c>
      <c r="F40" s="1" t="n">
        <v>25</v>
      </c>
      <c r="G40" s="1" t="n">
        <v>10</v>
      </c>
      <c r="H40" t="inlineStr">
        <is>
          <t>Female</t>
        </is>
      </c>
      <c r="I40" t="inlineStr">
        <is>
          <t>No</t>
        </is>
      </c>
      <c r="J40" t="inlineStr">
        <is>
          <t>No</t>
        </is>
      </c>
      <c r="K40" t="inlineStr">
        <is>
          <t>Caucasian</t>
        </is>
      </c>
      <c r="L40" s="3" t="n">
        <v>531</v>
      </c>
    </row>
    <row r="41">
      <c r="A41" s="1" t="n">
        <v>40</v>
      </c>
      <c r="B41" s="2" t="n">
        <v>13.647</v>
      </c>
      <c r="C41" s="3" t="n">
        <v>3461</v>
      </c>
      <c r="D41" s="1" t="n">
        <v>264</v>
      </c>
      <c r="E41" s="1" t="n">
        <v>4</v>
      </c>
      <c r="F41" s="1" t="n">
        <v>47</v>
      </c>
      <c r="G41" s="1" t="n">
        <v>14</v>
      </c>
      <c r="H41" t="inlineStr">
        <is>
          <t>Male</t>
        </is>
      </c>
      <c r="I41" t="inlineStr">
        <is>
          <t>No</t>
        </is>
      </c>
      <c r="J41" t="inlineStr">
        <is>
          <t>Yes</t>
        </is>
      </c>
      <c r="K41" t="inlineStr">
        <is>
          <t>Caucasian</t>
        </is>
      </c>
      <c r="L41" s="3" t="n">
        <v>344</v>
      </c>
    </row>
    <row r="42">
      <c r="A42" s="1" t="n">
        <v>41</v>
      </c>
      <c r="B42" s="2" t="n">
        <v>34.95</v>
      </c>
      <c r="C42" s="3" t="n">
        <v>3327</v>
      </c>
      <c r="D42" s="1" t="n">
        <v>253</v>
      </c>
      <c r="E42" s="1" t="n">
        <v>3</v>
      </c>
      <c r="F42" s="1" t="n">
        <v>54</v>
      </c>
      <c r="G42" s="1" t="n">
        <v>14</v>
      </c>
      <c r="H42" t="inlineStr">
        <is>
          <t>Female</t>
        </is>
      </c>
      <c r="I42" t="inlineStr">
        <is>
          <t>No</t>
        </is>
      </c>
      <c r="J42" t="inlineStr">
        <is>
          <t>No</t>
        </is>
      </c>
      <c r="K42" t="inlineStr">
        <is>
          <t>African American</t>
        </is>
      </c>
      <c r="L42" s="3" t="n">
        <v>50</v>
      </c>
    </row>
    <row r="43">
      <c r="A43" s="1" t="n">
        <v>42</v>
      </c>
      <c r="B43" s="2" t="n">
        <v>113.659</v>
      </c>
      <c r="C43" s="3" t="n">
        <v>7659</v>
      </c>
      <c r="D43" s="1" t="n">
        <v>538</v>
      </c>
      <c r="E43" s="1" t="n">
        <v>2</v>
      </c>
      <c r="F43" s="1" t="n">
        <v>66</v>
      </c>
      <c r="G43" s="1" t="n">
        <v>15</v>
      </c>
      <c r="H43" t="inlineStr">
        <is>
          <t>Male</t>
        </is>
      </c>
      <c r="I43" t="inlineStr">
        <is>
          <t>Yes</t>
        </is>
      </c>
      <c r="J43" t="inlineStr">
        <is>
          <t>Yes</t>
        </is>
      </c>
      <c r="K43" t="inlineStr">
        <is>
          <t>African American</t>
        </is>
      </c>
      <c r="L43" s="3" t="n">
        <v>1155</v>
      </c>
    </row>
    <row r="44">
      <c r="A44" s="1" t="n">
        <v>43</v>
      </c>
      <c r="B44" s="2" t="n">
        <v>44.158</v>
      </c>
      <c r="C44" s="3" t="n">
        <v>4763</v>
      </c>
      <c r="D44" s="1" t="n">
        <v>351</v>
      </c>
      <c r="E44" s="1" t="n">
        <v>2</v>
      </c>
      <c r="F44" s="1" t="n">
        <v>66</v>
      </c>
      <c r="G44" s="1" t="n">
        <v>13</v>
      </c>
      <c r="H44" t="inlineStr">
        <is>
          <t>Female</t>
        </is>
      </c>
      <c r="I44" t="inlineStr">
        <is>
          <t>No</t>
        </is>
      </c>
      <c r="J44" t="inlineStr">
        <is>
          <t>Yes</t>
        </is>
      </c>
      <c r="K44" t="inlineStr">
        <is>
          <t>Asian</t>
        </is>
      </c>
      <c r="L44" s="3" t="n">
        <v>385</v>
      </c>
    </row>
    <row r="45">
      <c r="A45" s="1" t="n">
        <v>44</v>
      </c>
      <c r="B45" s="2" t="n">
        <v>36.929</v>
      </c>
      <c r="C45" s="3" t="n">
        <v>6257</v>
      </c>
      <c r="D45" s="1" t="n">
        <v>445</v>
      </c>
      <c r="E45" s="1" t="n">
        <v>1</v>
      </c>
      <c r="F45" s="1" t="n">
        <v>24</v>
      </c>
      <c r="G45" s="1" t="n">
        <v>14</v>
      </c>
      <c r="H45" t="inlineStr">
        <is>
          <t>Female</t>
        </is>
      </c>
      <c r="I45" t="inlineStr">
        <is>
          <t>No</t>
        </is>
      </c>
      <c r="J45" t="inlineStr">
        <is>
          <t>Yes</t>
        </is>
      </c>
      <c r="K45" t="inlineStr">
        <is>
          <t>Asian</t>
        </is>
      </c>
      <c r="L45" s="3" t="n">
        <v>976</v>
      </c>
    </row>
    <row r="46">
      <c r="A46" s="1" t="n">
        <v>45</v>
      </c>
      <c r="B46" s="2" t="n">
        <v>31.861</v>
      </c>
      <c r="C46" s="3" t="n">
        <v>6375</v>
      </c>
      <c r="D46" s="1" t="n">
        <v>469</v>
      </c>
      <c r="E46" s="1" t="n">
        <v>3</v>
      </c>
      <c r="F46" s="1" t="n">
        <v>25</v>
      </c>
      <c r="G46" s="1" t="n">
        <v>16</v>
      </c>
      <c r="H46" t="inlineStr">
        <is>
          <t>Female</t>
        </is>
      </c>
      <c r="I46" t="inlineStr">
        <is>
          <t>No</t>
        </is>
      </c>
      <c r="J46" t="inlineStr">
        <is>
          <t>Yes</t>
        </is>
      </c>
      <c r="K46" t="inlineStr">
        <is>
          <t>Caucasian</t>
        </is>
      </c>
      <c r="L46" s="3" t="n">
        <v>1120</v>
      </c>
    </row>
    <row r="47">
      <c r="A47" s="1" t="n">
        <v>46</v>
      </c>
      <c r="B47" s="2" t="n">
        <v>77.38</v>
      </c>
      <c r="C47" s="3" t="n">
        <v>7569</v>
      </c>
      <c r="D47" s="1" t="n">
        <v>564</v>
      </c>
      <c r="E47" s="1" t="n">
        <v>3</v>
      </c>
      <c r="F47" s="1" t="n">
        <v>50</v>
      </c>
      <c r="G47" s="1" t="n">
        <v>12</v>
      </c>
      <c r="H47" t="inlineStr">
        <is>
          <t>Female</t>
        </is>
      </c>
      <c r="I47" t="inlineStr">
        <is>
          <t>No</t>
        </is>
      </c>
      <c r="J47" t="inlineStr">
        <is>
          <t>Yes</t>
        </is>
      </c>
      <c r="K47" t="inlineStr">
        <is>
          <t>Caucasian</t>
        </is>
      </c>
      <c r="L47" s="3" t="n">
        <v>997</v>
      </c>
    </row>
    <row r="48">
      <c r="A48" s="1" t="n">
        <v>47</v>
      </c>
      <c r="B48" s="2" t="n">
        <v>19.531</v>
      </c>
      <c r="C48" s="3" t="n">
        <v>5043</v>
      </c>
      <c r="D48" s="1" t="n">
        <v>376</v>
      </c>
      <c r="E48" s="1" t="n">
        <v>2</v>
      </c>
      <c r="F48" s="1" t="n">
        <v>64</v>
      </c>
      <c r="G48" s="1" t="n">
        <v>16</v>
      </c>
      <c r="H48" t="inlineStr">
        <is>
          <t>Female</t>
        </is>
      </c>
      <c r="I48" t="inlineStr">
        <is>
          <t>Yes</t>
        </is>
      </c>
      <c r="J48" t="inlineStr">
        <is>
          <t>Yes</t>
        </is>
      </c>
      <c r="K48" t="inlineStr">
        <is>
          <t>Asian</t>
        </is>
      </c>
      <c r="L48" s="3" t="n">
        <v>1241</v>
      </c>
    </row>
    <row r="49">
      <c r="A49" s="1" t="n">
        <v>48</v>
      </c>
      <c r="B49" s="2" t="n">
        <v>44.646</v>
      </c>
      <c r="C49" s="3" t="n">
        <v>4431</v>
      </c>
      <c r="D49" s="1" t="n">
        <v>320</v>
      </c>
      <c r="E49" s="1" t="n">
        <v>2</v>
      </c>
      <c r="F49" s="1" t="n">
        <v>49</v>
      </c>
      <c r="G49" s="1" t="n">
        <v>15</v>
      </c>
      <c r="H49" t="inlineStr">
        <is>
          <t>Male</t>
        </is>
      </c>
      <c r="I49" t="inlineStr">
        <is>
          <t>Yes</t>
        </is>
      </c>
      <c r="J49" t="inlineStr">
        <is>
          <t>Yes</t>
        </is>
      </c>
      <c r="K49" t="inlineStr">
        <is>
          <t>Caucasian</t>
        </is>
      </c>
      <c r="L49" s="3" t="n">
        <v>797</v>
      </c>
    </row>
    <row r="50">
      <c r="A50" s="1" t="n">
        <v>49</v>
      </c>
      <c r="B50" s="2" t="n">
        <v>44.522</v>
      </c>
      <c r="C50" s="3" t="n">
        <v>2252</v>
      </c>
      <c r="D50" s="1" t="n">
        <v>205</v>
      </c>
      <c r="E50" s="1" t="n">
        <v>6</v>
      </c>
      <c r="F50" s="1" t="n">
        <v>72</v>
      </c>
      <c r="G50" s="1" t="n">
        <v>15</v>
      </c>
      <c r="H50" t="inlineStr">
        <is>
          <t>Male</t>
        </is>
      </c>
      <c r="I50" t="inlineStr">
        <is>
          <t>No</t>
        </is>
      </c>
      <c r="J50" t="inlineStr">
        <is>
          <t>Yes</t>
        </is>
      </c>
      <c r="K50" t="inlineStr">
        <is>
          <t>Asian</t>
        </is>
      </c>
      <c r="L50" s="3" t="n">
        <v>0</v>
      </c>
    </row>
    <row r="51">
      <c r="A51" s="1" t="n">
        <v>50</v>
      </c>
      <c r="B51" s="2" t="n">
        <v>43.479</v>
      </c>
      <c r="C51" s="3" t="n">
        <v>4569</v>
      </c>
      <c r="D51" s="1" t="n">
        <v>354</v>
      </c>
      <c r="E51" s="1" t="n">
        <v>4</v>
      </c>
      <c r="F51" s="1" t="n">
        <v>49</v>
      </c>
      <c r="G51" s="1" t="n">
        <v>13</v>
      </c>
      <c r="H51" t="inlineStr">
        <is>
          <t>Male</t>
        </is>
      </c>
      <c r="I51" t="inlineStr">
        <is>
          <t>Yes</t>
        </is>
      </c>
      <c r="J51" t="inlineStr">
        <is>
          <t>Yes</t>
        </is>
      </c>
      <c r="K51" t="inlineStr">
        <is>
          <t>African American</t>
        </is>
      </c>
      <c r="L51" s="3" t="n">
        <v>902</v>
      </c>
    </row>
    <row r="52">
      <c r="A52" s="1" t="n">
        <v>51</v>
      </c>
      <c r="B52" s="2" t="n">
        <v>36.362</v>
      </c>
      <c r="C52" s="3" t="n">
        <v>5183</v>
      </c>
      <c r="D52" s="1" t="n">
        <v>376</v>
      </c>
      <c r="E52" s="1" t="n">
        <v>3</v>
      </c>
      <c r="F52" s="1" t="n">
        <v>49</v>
      </c>
      <c r="G52" s="1" t="n">
        <v>15</v>
      </c>
      <c r="H52" t="inlineStr">
        <is>
          <t>Male</t>
        </is>
      </c>
      <c r="I52" t="inlineStr">
        <is>
          <t>No</t>
        </is>
      </c>
      <c r="J52" t="inlineStr">
        <is>
          <t>Yes</t>
        </is>
      </c>
      <c r="K52" t="inlineStr">
        <is>
          <t>African American</t>
        </is>
      </c>
      <c r="L52" s="3" t="n">
        <v>654</v>
      </c>
    </row>
    <row r="53">
      <c r="A53" s="1" t="n">
        <v>52</v>
      </c>
      <c r="B53" s="2" t="n">
        <v>39.705</v>
      </c>
      <c r="C53" s="3" t="n">
        <v>3969</v>
      </c>
      <c r="D53" s="1" t="n">
        <v>301</v>
      </c>
      <c r="E53" s="1" t="n">
        <v>2</v>
      </c>
      <c r="F53" s="1" t="n">
        <v>27</v>
      </c>
      <c r="G53" s="1" t="n">
        <v>20</v>
      </c>
      <c r="H53" t="inlineStr">
        <is>
          <t>Male</t>
        </is>
      </c>
      <c r="I53" t="inlineStr">
        <is>
          <t>No</t>
        </is>
      </c>
      <c r="J53" t="inlineStr">
        <is>
          <t>Yes</t>
        </is>
      </c>
      <c r="K53" t="inlineStr">
        <is>
          <t>African American</t>
        </is>
      </c>
      <c r="L53" s="3" t="n">
        <v>211</v>
      </c>
    </row>
    <row r="54">
      <c r="A54" s="1" t="n">
        <v>53</v>
      </c>
      <c r="B54" s="2" t="n">
        <v>44.205</v>
      </c>
      <c r="C54" s="3" t="n">
        <v>5441</v>
      </c>
      <c r="D54" s="1" t="n">
        <v>394</v>
      </c>
      <c r="E54" s="1" t="n">
        <v>1</v>
      </c>
      <c r="F54" s="1" t="n">
        <v>32</v>
      </c>
      <c r="G54" s="1" t="n">
        <v>12</v>
      </c>
      <c r="H54" t="inlineStr">
        <is>
          <t>Male</t>
        </is>
      </c>
      <c r="I54" t="inlineStr">
        <is>
          <t>No</t>
        </is>
      </c>
      <c r="J54" t="inlineStr">
        <is>
          <t>Yes</t>
        </is>
      </c>
      <c r="K54" t="inlineStr">
        <is>
          <t>Caucasian</t>
        </is>
      </c>
      <c r="L54" s="3" t="n">
        <v>607</v>
      </c>
    </row>
    <row r="55">
      <c r="A55" s="1" t="n">
        <v>54</v>
      </c>
      <c r="B55" s="2" t="n">
        <v>16.304</v>
      </c>
      <c r="C55" s="3" t="n">
        <v>5466</v>
      </c>
      <c r="D55" s="1" t="n">
        <v>413</v>
      </c>
      <c r="E55" s="1" t="n">
        <v>4</v>
      </c>
      <c r="F55" s="1" t="n">
        <v>66</v>
      </c>
      <c r="G55" s="1" t="n">
        <v>10</v>
      </c>
      <c r="H55" t="inlineStr">
        <is>
          <t>Male</t>
        </is>
      </c>
      <c r="I55" t="inlineStr">
        <is>
          <t>No</t>
        </is>
      </c>
      <c r="J55" t="inlineStr">
        <is>
          <t>Yes</t>
        </is>
      </c>
      <c r="K55" t="inlineStr">
        <is>
          <t>Asian</t>
        </is>
      </c>
      <c r="L55" s="3" t="n">
        <v>957</v>
      </c>
    </row>
    <row r="56">
      <c r="A56" s="1" t="n">
        <v>55</v>
      </c>
      <c r="B56" s="2" t="n">
        <v>15.333</v>
      </c>
      <c r="C56" s="3" t="n">
        <v>1499</v>
      </c>
      <c r="D56" s="1" t="n">
        <v>138</v>
      </c>
      <c r="E56" s="1" t="n">
        <v>2</v>
      </c>
      <c r="F56" s="1" t="n">
        <v>47</v>
      </c>
      <c r="G56" s="1" t="n">
        <v>9</v>
      </c>
      <c r="H56" t="inlineStr">
        <is>
          <t>Female</t>
        </is>
      </c>
      <c r="I56" t="inlineStr">
        <is>
          <t>No</t>
        </is>
      </c>
      <c r="J56" t="inlineStr">
        <is>
          <t>Yes</t>
        </is>
      </c>
      <c r="K56" t="inlineStr">
        <is>
          <t>Asian</t>
        </is>
      </c>
      <c r="L56" s="3" t="n">
        <v>0</v>
      </c>
    </row>
    <row r="57">
      <c r="A57" s="1" t="n">
        <v>56</v>
      </c>
      <c r="B57" s="2" t="n">
        <v>32.916</v>
      </c>
      <c r="C57" s="3" t="n">
        <v>1786</v>
      </c>
      <c r="D57" s="1" t="n">
        <v>154</v>
      </c>
      <c r="E57" s="1" t="n">
        <v>2</v>
      </c>
      <c r="F57" s="1" t="n">
        <v>60</v>
      </c>
      <c r="G57" s="1" t="n">
        <v>8</v>
      </c>
      <c r="H57" t="inlineStr">
        <is>
          <t>Female</t>
        </is>
      </c>
      <c r="I57" t="inlineStr">
        <is>
          <t>No</t>
        </is>
      </c>
      <c r="J57" t="inlineStr">
        <is>
          <t>Yes</t>
        </is>
      </c>
      <c r="K57" t="inlineStr">
        <is>
          <t>Asian</t>
        </is>
      </c>
      <c r="L57" s="3" t="n">
        <v>0</v>
      </c>
    </row>
    <row r="58">
      <c r="A58" s="1" t="n">
        <v>57</v>
      </c>
      <c r="B58" s="2" t="n">
        <v>57.1</v>
      </c>
      <c r="C58" s="3" t="n">
        <v>4742</v>
      </c>
      <c r="D58" s="1" t="n">
        <v>372</v>
      </c>
      <c r="E58" s="1" t="n">
        <v>7</v>
      </c>
      <c r="F58" s="1" t="n">
        <v>79</v>
      </c>
      <c r="G58" s="1" t="n">
        <v>18</v>
      </c>
      <c r="H58" t="inlineStr">
        <is>
          <t>Female</t>
        </is>
      </c>
      <c r="I58" t="inlineStr">
        <is>
          <t>No</t>
        </is>
      </c>
      <c r="J58" t="inlineStr">
        <is>
          <t>Yes</t>
        </is>
      </c>
      <c r="K58" t="inlineStr">
        <is>
          <t>Asian</t>
        </is>
      </c>
      <c r="L58" s="3" t="n">
        <v>379</v>
      </c>
    </row>
    <row r="59">
      <c r="A59" s="1" t="n">
        <v>58</v>
      </c>
      <c r="B59" s="2" t="n">
        <v>76.273</v>
      </c>
      <c r="C59" s="3" t="n">
        <v>4779</v>
      </c>
      <c r="D59" s="1" t="n">
        <v>367</v>
      </c>
      <c r="E59" s="1" t="n">
        <v>4</v>
      </c>
      <c r="F59" s="1" t="n">
        <v>65</v>
      </c>
      <c r="G59" s="1" t="n">
        <v>14</v>
      </c>
      <c r="H59" t="inlineStr">
        <is>
          <t>Female</t>
        </is>
      </c>
      <c r="I59" t="inlineStr">
        <is>
          <t>No</t>
        </is>
      </c>
      <c r="J59" t="inlineStr">
        <is>
          <t>Yes</t>
        </is>
      </c>
      <c r="K59" t="inlineStr">
        <is>
          <t>Caucasian</t>
        </is>
      </c>
      <c r="L59" s="3" t="n">
        <v>133</v>
      </c>
    </row>
    <row r="60">
      <c r="A60" s="1" t="n">
        <v>59</v>
      </c>
      <c r="B60" s="2" t="n">
        <v>10.354</v>
      </c>
      <c r="C60" s="3" t="n">
        <v>3480</v>
      </c>
      <c r="D60" s="1" t="n">
        <v>281</v>
      </c>
      <c r="E60" s="1" t="n">
        <v>2</v>
      </c>
      <c r="F60" s="1" t="n">
        <v>70</v>
      </c>
      <c r="G60" s="1" t="n">
        <v>17</v>
      </c>
      <c r="H60" t="inlineStr">
        <is>
          <t>Male</t>
        </is>
      </c>
      <c r="I60" t="inlineStr">
        <is>
          <t>No</t>
        </is>
      </c>
      <c r="J60" t="inlineStr">
        <is>
          <t>Yes</t>
        </is>
      </c>
      <c r="K60" t="inlineStr">
        <is>
          <t>Caucasian</t>
        </is>
      </c>
      <c r="L60" s="3" t="n">
        <v>333</v>
      </c>
    </row>
    <row r="61">
      <c r="A61" s="1" t="n">
        <v>60</v>
      </c>
      <c r="B61" s="2" t="n">
        <v>51.872</v>
      </c>
      <c r="C61" s="3" t="n">
        <v>5294</v>
      </c>
      <c r="D61" s="1" t="n">
        <v>390</v>
      </c>
      <c r="E61" s="1" t="n">
        <v>4</v>
      </c>
      <c r="F61" s="1" t="n">
        <v>81</v>
      </c>
      <c r="G61" s="1" t="n">
        <v>17</v>
      </c>
      <c r="H61" t="inlineStr">
        <is>
          <t>Female</t>
        </is>
      </c>
      <c r="I61" t="inlineStr">
        <is>
          <t>No</t>
        </is>
      </c>
      <c r="J61" t="inlineStr">
        <is>
          <t>No</t>
        </is>
      </c>
      <c r="K61" t="inlineStr">
        <is>
          <t>Caucasian</t>
        </is>
      </c>
      <c r="L61" s="3" t="n">
        <v>531</v>
      </c>
    </row>
    <row r="62">
      <c r="A62" s="1" t="n">
        <v>61</v>
      </c>
      <c r="B62" s="2" t="n">
        <v>35.51</v>
      </c>
      <c r="C62" s="3" t="n">
        <v>5198</v>
      </c>
      <c r="D62" s="1" t="n">
        <v>364</v>
      </c>
      <c r="E62" s="1" t="n">
        <v>2</v>
      </c>
      <c r="F62" s="1" t="n">
        <v>35</v>
      </c>
      <c r="G62" s="1" t="n">
        <v>20</v>
      </c>
      <c r="H62" t="inlineStr">
        <is>
          <t>Female</t>
        </is>
      </c>
      <c r="I62" t="inlineStr">
        <is>
          <t>No</t>
        </is>
      </c>
      <c r="J62" t="inlineStr">
        <is>
          <t>No</t>
        </is>
      </c>
      <c r="K62" t="inlineStr">
        <is>
          <t>Asian</t>
        </is>
      </c>
      <c r="L62" s="3" t="n">
        <v>631</v>
      </c>
    </row>
    <row r="63">
      <c r="A63" s="1" t="n">
        <v>62</v>
      </c>
      <c r="B63" s="2" t="n">
        <v>21.238</v>
      </c>
      <c r="C63" s="3" t="n">
        <v>3089</v>
      </c>
      <c r="D63" s="1" t="n">
        <v>254</v>
      </c>
      <c r="E63" s="1" t="n">
        <v>3</v>
      </c>
      <c r="F63" s="1" t="n">
        <v>59</v>
      </c>
      <c r="G63" s="1" t="n">
        <v>10</v>
      </c>
      <c r="H63" t="inlineStr">
        <is>
          <t>Female</t>
        </is>
      </c>
      <c r="I63" t="inlineStr">
        <is>
          <t>No</t>
        </is>
      </c>
      <c r="J63" t="inlineStr">
        <is>
          <t>No</t>
        </is>
      </c>
      <c r="K63" t="inlineStr">
        <is>
          <t>Caucasian</t>
        </is>
      </c>
      <c r="L63" s="3" t="n">
        <v>108</v>
      </c>
    </row>
    <row r="64">
      <c r="A64" s="1" t="n">
        <v>63</v>
      </c>
      <c r="B64" s="2" t="n">
        <v>30.682</v>
      </c>
      <c r="C64" s="3" t="n">
        <v>1671</v>
      </c>
      <c r="D64" s="1" t="n">
        <v>160</v>
      </c>
      <c r="E64" s="1" t="n">
        <v>2</v>
      </c>
      <c r="F64" s="1" t="n">
        <v>77</v>
      </c>
      <c r="G64" s="1" t="n">
        <v>7</v>
      </c>
      <c r="H64" t="inlineStr">
        <is>
          <t>Female</t>
        </is>
      </c>
      <c r="I64" t="inlineStr">
        <is>
          <t>No</t>
        </is>
      </c>
      <c r="J64" t="inlineStr">
        <is>
          <t>No</t>
        </is>
      </c>
      <c r="K64" t="inlineStr">
        <is>
          <t>Caucasian</t>
        </is>
      </c>
      <c r="L64" s="3" t="n">
        <v>0</v>
      </c>
    </row>
    <row r="65">
      <c r="A65" s="1" t="n">
        <v>64</v>
      </c>
      <c r="B65" s="2" t="n">
        <v>14.132</v>
      </c>
      <c r="C65" s="3" t="n">
        <v>2998</v>
      </c>
      <c r="D65" s="1" t="n">
        <v>251</v>
      </c>
      <c r="E65" s="1" t="n">
        <v>4</v>
      </c>
      <c r="F65" s="1" t="n">
        <v>75</v>
      </c>
      <c r="G65" s="1" t="n">
        <v>17</v>
      </c>
      <c r="H65" t="inlineStr">
        <is>
          <t>Male</t>
        </is>
      </c>
      <c r="I65" t="inlineStr">
        <is>
          <t>No</t>
        </is>
      </c>
      <c r="J65" t="inlineStr">
        <is>
          <t>No</t>
        </is>
      </c>
      <c r="K65" t="inlineStr">
        <is>
          <t>Caucasian</t>
        </is>
      </c>
      <c r="L65" s="3" t="n">
        <v>133</v>
      </c>
    </row>
    <row r="66">
      <c r="A66" s="1" t="n">
        <v>65</v>
      </c>
      <c r="B66" s="2" t="n">
        <v>32.164</v>
      </c>
      <c r="C66" s="3" t="n">
        <v>2937</v>
      </c>
      <c r="D66" s="1" t="n">
        <v>223</v>
      </c>
      <c r="E66" s="1" t="n">
        <v>2</v>
      </c>
      <c r="F66" s="1" t="n">
        <v>79</v>
      </c>
      <c r="G66" s="1" t="n">
        <v>15</v>
      </c>
      <c r="H66" t="inlineStr">
        <is>
          <t>Female</t>
        </is>
      </c>
      <c r="I66" t="inlineStr">
        <is>
          <t>No</t>
        </is>
      </c>
      <c r="J66" t="inlineStr">
        <is>
          <t>Yes</t>
        </is>
      </c>
      <c r="K66" t="inlineStr">
        <is>
          <t>African American</t>
        </is>
      </c>
      <c r="L66" s="3" t="n">
        <v>0</v>
      </c>
    </row>
    <row r="67">
      <c r="A67" s="1" t="n">
        <v>66</v>
      </c>
      <c r="B67" s="2" t="n">
        <v>12</v>
      </c>
      <c r="C67" s="3" t="n">
        <v>4160</v>
      </c>
      <c r="D67" s="1" t="n">
        <v>320</v>
      </c>
      <c r="E67" s="1" t="n">
        <v>4</v>
      </c>
      <c r="F67" s="1" t="n">
        <v>28</v>
      </c>
      <c r="G67" s="1" t="n">
        <v>14</v>
      </c>
      <c r="H67" t="inlineStr">
        <is>
          <t>Female</t>
        </is>
      </c>
      <c r="I67" t="inlineStr">
        <is>
          <t>No</t>
        </is>
      </c>
      <c r="J67" t="inlineStr">
        <is>
          <t>Yes</t>
        </is>
      </c>
      <c r="K67" t="inlineStr">
        <is>
          <t>Caucasian</t>
        </is>
      </c>
      <c r="L67" s="3" t="n">
        <v>602</v>
      </c>
    </row>
    <row r="68">
      <c r="A68" s="1" t="n">
        <v>67</v>
      </c>
      <c r="B68" s="2" t="n">
        <v>113.829</v>
      </c>
      <c r="C68" s="3" t="n">
        <v>9704</v>
      </c>
      <c r="D68" s="1" t="n">
        <v>694</v>
      </c>
      <c r="E68" s="1" t="n">
        <v>4</v>
      </c>
      <c r="F68" s="1" t="n">
        <v>38</v>
      </c>
      <c r="G68" s="1" t="n">
        <v>13</v>
      </c>
      <c r="H68" t="inlineStr">
        <is>
          <t>Female</t>
        </is>
      </c>
      <c r="I68" t="inlineStr">
        <is>
          <t>No</t>
        </is>
      </c>
      <c r="J68" t="inlineStr">
        <is>
          <t>Yes</t>
        </is>
      </c>
      <c r="K68" t="inlineStr">
        <is>
          <t>Asian</t>
        </is>
      </c>
      <c r="L68" s="3" t="n">
        <v>1388</v>
      </c>
    </row>
    <row r="69">
      <c r="A69" s="1" t="n">
        <v>68</v>
      </c>
      <c r="B69" s="2" t="n">
        <v>11.187</v>
      </c>
      <c r="C69" s="3" t="n">
        <v>5099</v>
      </c>
      <c r="D69" s="1" t="n">
        <v>380</v>
      </c>
      <c r="E69" s="1" t="n">
        <v>4</v>
      </c>
      <c r="F69" s="1" t="n">
        <v>69</v>
      </c>
      <c r="G69" s="1" t="n">
        <v>16</v>
      </c>
      <c r="H69" t="inlineStr">
        <is>
          <t>Female</t>
        </is>
      </c>
      <c r="I69" t="inlineStr">
        <is>
          <t>No</t>
        </is>
      </c>
      <c r="J69" t="inlineStr">
        <is>
          <t>No</t>
        </is>
      </c>
      <c r="K69" t="inlineStr">
        <is>
          <t>African American</t>
        </is>
      </c>
      <c r="L69" s="3" t="n">
        <v>889</v>
      </c>
    </row>
    <row r="70">
      <c r="A70" s="1" t="n">
        <v>69</v>
      </c>
      <c r="B70" s="2" t="n">
        <v>27.847</v>
      </c>
      <c r="C70" s="3" t="n">
        <v>5619</v>
      </c>
      <c r="D70" s="1" t="n">
        <v>418</v>
      </c>
      <c r="E70" s="1" t="n">
        <v>2</v>
      </c>
      <c r="F70" s="1" t="n">
        <v>78</v>
      </c>
      <c r="G70" s="1" t="n">
        <v>15</v>
      </c>
      <c r="H70" t="inlineStr">
        <is>
          <t>Female</t>
        </is>
      </c>
      <c r="I70" t="inlineStr">
        <is>
          <t>No</t>
        </is>
      </c>
      <c r="J70" t="inlineStr">
        <is>
          <t>Yes</t>
        </is>
      </c>
      <c r="K70" t="inlineStr">
        <is>
          <t>Caucasian</t>
        </is>
      </c>
      <c r="L70" s="3" t="n">
        <v>822</v>
      </c>
    </row>
    <row r="71">
      <c r="A71" s="1" t="n">
        <v>70</v>
      </c>
      <c r="B71" s="2" t="n">
        <v>49.502</v>
      </c>
      <c r="C71" s="3" t="n">
        <v>6819</v>
      </c>
      <c r="D71" s="1" t="n">
        <v>505</v>
      </c>
      <c r="E71" s="1" t="n">
        <v>4</v>
      </c>
      <c r="F71" s="1" t="n">
        <v>55</v>
      </c>
      <c r="G71" s="1" t="n">
        <v>14</v>
      </c>
      <c r="H71" t="inlineStr">
        <is>
          <t>Male</t>
        </is>
      </c>
      <c r="I71" t="inlineStr">
        <is>
          <t>No</t>
        </is>
      </c>
      <c r="J71" t="inlineStr">
        <is>
          <t>Yes</t>
        </is>
      </c>
      <c r="K71" t="inlineStr">
        <is>
          <t>Caucasian</t>
        </is>
      </c>
      <c r="L71" s="3" t="n">
        <v>1084</v>
      </c>
    </row>
    <row r="72">
      <c r="A72" s="1" t="n">
        <v>71</v>
      </c>
      <c r="B72" s="2" t="n">
        <v>24.889</v>
      </c>
      <c r="C72" s="3" t="n">
        <v>3954</v>
      </c>
      <c r="D72" s="1" t="n">
        <v>318</v>
      </c>
      <c r="E72" s="1" t="n">
        <v>4</v>
      </c>
      <c r="F72" s="1" t="n">
        <v>75</v>
      </c>
      <c r="G72" s="1" t="n">
        <v>12</v>
      </c>
      <c r="H72" t="inlineStr">
        <is>
          <t>Male</t>
        </is>
      </c>
      <c r="I72" t="inlineStr">
        <is>
          <t>No</t>
        </is>
      </c>
      <c r="J72" t="inlineStr">
        <is>
          <t>Yes</t>
        </is>
      </c>
      <c r="K72" t="inlineStr">
        <is>
          <t>Caucasian</t>
        </is>
      </c>
      <c r="L72" s="3" t="n">
        <v>357</v>
      </c>
    </row>
    <row r="73">
      <c r="A73" s="1" t="n">
        <v>72</v>
      </c>
      <c r="B73" s="2" t="n">
        <v>58.781</v>
      </c>
      <c r="C73" s="3" t="n">
        <v>7402</v>
      </c>
      <c r="D73" s="1" t="n">
        <v>538</v>
      </c>
      <c r="E73" s="1" t="n">
        <v>2</v>
      </c>
      <c r="F73" s="1" t="n">
        <v>81</v>
      </c>
      <c r="G73" s="1" t="n">
        <v>12</v>
      </c>
      <c r="H73" t="inlineStr">
        <is>
          <t>Female</t>
        </is>
      </c>
      <c r="I73" t="inlineStr">
        <is>
          <t>No</t>
        </is>
      </c>
      <c r="J73" t="inlineStr">
        <is>
          <t>Yes</t>
        </is>
      </c>
      <c r="K73" t="inlineStr">
        <is>
          <t>Asian</t>
        </is>
      </c>
      <c r="L73" s="3" t="n">
        <v>1103</v>
      </c>
    </row>
    <row r="74">
      <c r="A74" s="1" t="n">
        <v>73</v>
      </c>
      <c r="B74" s="2" t="n">
        <v>22.939</v>
      </c>
      <c r="C74" s="3" t="n">
        <v>4923</v>
      </c>
      <c r="D74" s="1" t="n">
        <v>355</v>
      </c>
      <c r="E74" s="1" t="n">
        <v>1</v>
      </c>
      <c r="F74" s="1" t="n">
        <v>47</v>
      </c>
      <c r="G74" s="1" t="n">
        <v>18</v>
      </c>
      <c r="H74" t="inlineStr">
        <is>
          <t>Female</t>
        </is>
      </c>
      <c r="I74" t="inlineStr">
        <is>
          <t>No</t>
        </is>
      </c>
      <c r="J74" t="inlineStr">
        <is>
          <t>Yes</t>
        </is>
      </c>
      <c r="K74" t="inlineStr">
        <is>
          <t>Asian</t>
        </is>
      </c>
      <c r="L74" s="3" t="n">
        <v>663</v>
      </c>
    </row>
    <row r="75">
      <c r="A75" s="1" t="n">
        <v>74</v>
      </c>
      <c r="B75" s="2" t="n">
        <v>23.989</v>
      </c>
      <c r="C75" s="3" t="n">
        <v>4523</v>
      </c>
      <c r="D75" s="1" t="n">
        <v>338</v>
      </c>
      <c r="E75" s="1" t="n">
        <v>4</v>
      </c>
      <c r="F75" s="1" t="n">
        <v>31</v>
      </c>
      <c r="G75" s="1" t="n">
        <v>15</v>
      </c>
      <c r="H75" t="inlineStr">
        <is>
          <t>Male</t>
        </is>
      </c>
      <c r="I75" t="inlineStr">
        <is>
          <t>No</t>
        </is>
      </c>
      <c r="J75" t="inlineStr">
        <is>
          <t>No</t>
        </is>
      </c>
      <c r="K75" t="inlineStr">
        <is>
          <t>Caucasian</t>
        </is>
      </c>
      <c r="L75" s="3" t="n">
        <v>601</v>
      </c>
    </row>
    <row r="76">
      <c r="A76" s="1" t="n">
        <v>75</v>
      </c>
      <c r="B76" s="2" t="n">
        <v>16.103</v>
      </c>
      <c r="C76" s="3" t="n">
        <v>5390</v>
      </c>
      <c r="D76" s="1" t="n">
        <v>418</v>
      </c>
      <c r="E76" s="1" t="n">
        <v>4</v>
      </c>
      <c r="F76" s="1" t="n">
        <v>45</v>
      </c>
      <c r="G76" s="1" t="n">
        <v>10</v>
      </c>
      <c r="H76" t="inlineStr">
        <is>
          <t>Female</t>
        </is>
      </c>
      <c r="I76" t="inlineStr">
        <is>
          <t>No</t>
        </is>
      </c>
      <c r="J76" t="inlineStr">
        <is>
          <t>Yes</t>
        </is>
      </c>
      <c r="K76" t="inlineStr">
        <is>
          <t>Caucasian</t>
        </is>
      </c>
      <c r="L76" s="3" t="n">
        <v>945</v>
      </c>
    </row>
    <row r="77">
      <c r="A77" s="1" t="n">
        <v>76</v>
      </c>
      <c r="B77" s="2" t="n">
        <v>33.017</v>
      </c>
      <c r="C77" s="3" t="n">
        <v>3180</v>
      </c>
      <c r="D77" s="1" t="n">
        <v>224</v>
      </c>
      <c r="E77" s="1" t="n">
        <v>2</v>
      </c>
      <c r="F77" s="1" t="n">
        <v>28</v>
      </c>
      <c r="G77" s="1" t="n">
        <v>16</v>
      </c>
      <c r="H77" t="inlineStr">
        <is>
          <t>Male</t>
        </is>
      </c>
      <c r="I77" t="inlineStr">
        <is>
          <t>No</t>
        </is>
      </c>
      <c r="J77" t="inlineStr">
        <is>
          <t>Yes</t>
        </is>
      </c>
      <c r="K77" t="inlineStr">
        <is>
          <t>African American</t>
        </is>
      </c>
      <c r="L77" s="3" t="n">
        <v>29</v>
      </c>
    </row>
    <row r="78">
      <c r="A78" s="1" t="n">
        <v>77</v>
      </c>
      <c r="B78" s="2" t="n">
        <v>30.622</v>
      </c>
      <c r="C78" s="3" t="n">
        <v>3293</v>
      </c>
      <c r="D78" s="1" t="n">
        <v>251</v>
      </c>
      <c r="E78" s="1" t="n">
        <v>1</v>
      </c>
      <c r="F78" s="1" t="n">
        <v>68</v>
      </c>
      <c r="G78" s="1" t="n">
        <v>16</v>
      </c>
      <c r="H78" t="inlineStr">
        <is>
          <t>Male</t>
        </is>
      </c>
      <c r="I78" t="inlineStr">
        <is>
          <t>Yes</t>
        </is>
      </c>
      <c r="J78" t="inlineStr">
        <is>
          <t>No</t>
        </is>
      </c>
      <c r="K78" t="inlineStr">
        <is>
          <t>Caucasian</t>
        </is>
      </c>
      <c r="L78" s="3" t="n">
        <v>532</v>
      </c>
    </row>
    <row r="79">
      <c r="A79" s="1" t="n">
        <v>78</v>
      </c>
      <c r="B79" s="2" t="n">
        <v>20.936</v>
      </c>
      <c r="C79" s="3" t="n">
        <v>3254</v>
      </c>
      <c r="D79" s="1" t="n">
        <v>253</v>
      </c>
      <c r="E79" s="1" t="n">
        <v>1</v>
      </c>
      <c r="F79" s="1" t="n">
        <v>30</v>
      </c>
      <c r="G79" s="1" t="n">
        <v>15</v>
      </c>
      <c r="H79" t="inlineStr">
        <is>
          <t>Female</t>
        </is>
      </c>
      <c r="I79" t="inlineStr">
        <is>
          <t>No</t>
        </is>
      </c>
      <c r="J79" t="inlineStr">
        <is>
          <t>No</t>
        </is>
      </c>
      <c r="K79" t="inlineStr">
        <is>
          <t>Asian</t>
        </is>
      </c>
      <c r="L79" s="3" t="n">
        <v>145</v>
      </c>
    </row>
    <row r="80">
      <c r="A80" s="1" t="n">
        <v>79</v>
      </c>
      <c r="B80" s="2" t="n">
        <v>110.968</v>
      </c>
      <c r="C80" s="3" t="n">
        <v>6662</v>
      </c>
      <c r="D80" s="1" t="n">
        <v>468</v>
      </c>
      <c r="E80" s="1" t="n">
        <v>3</v>
      </c>
      <c r="F80" s="1" t="n">
        <v>45</v>
      </c>
      <c r="G80" s="1" t="n">
        <v>11</v>
      </c>
      <c r="H80" t="inlineStr">
        <is>
          <t>Female</t>
        </is>
      </c>
      <c r="I80" t="inlineStr">
        <is>
          <t>No</t>
        </is>
      </c>
      <c r="J80" t="inlineStr">
        <is>
          <t>Yes</t>
        </is>
      </c>
      <c r="K80" t="inlineStr">
        <is>
          <t>Caucasian</t>
        </is>
      </c>
      <c r="L80" s="3" t="n">
        <v>391</v>
      </c>
    </row>
    <row r="81">
      <c r="A81" s="1" t="n">
        <v>80</v>
      </c>
      <c r="B81" s="2" t="n">
        <v>15.354</v>
      </c>
      <c r="C81" s="3" t="n">
        <v>2101</v>
      </c>
      <c r="D81" s="1" t="n">
        <v>171</v>
      </c>
      <c r="E81" s="1" t="n">
        <v>2</v>
      </c>
      <c r="F81" s="1" t="n">
        <v>65</v>
      </c>
      <c r="G81" s="1" t="n">
        <v>14</v>
      </c>
      <c r="H81" t="inlineStr">
        <is>
          <t>Male</t>
        </is>
      </c>
      <c r="I81" t="inlineStr">
        <is>
          <t>No</t>
        </is>
      </c>
      <c r="J81" t="inlineStr">
        <is>
          <t>No</t>
        </is>
      </c>
      <c r="K81" t="inlineStr">
        <is>
          <t>Asian</t>
        </is>
      </c>
      <c r="L81" s="3" t="n">
        <v>0</v>
      </c>
    </row>
    <row r="82">
      <c r="A82" s="1" t="n">
        <v>81</v>
      </c>
      <c r="B82" s="2" t="n">
        <v>27.369</v>
      </c>
      <c r="C82" s="3" t="n">
        <v>3449</v>
      </c>
      <c r="D82" s="1" t="n">
        <v>288</v>
      </c>
      <c r="E82" s="1" t="n">
        <v>3</v>
      </c>
      <c r="F82" s="1" t="n">
        <v>40</v>
      </c>
      <c r="G82" s="1" t="n">
        <v>9</v>
      </c>
      <c r="H82" t="inlineStr">
        <is>
          <t>Female</t>
        </is>
      </c>
      <c r="I82" t="inlineStr">
        <is>
          <t>No</t>
        </is>
      </c>
      <c r="J82" t="inlineStr">
        <is>
          <t>Yes</t>
        </is>
      </c>
      <c r="K82" t="inlineStr">
        <is>
          <t>Caucasian</t>
        </is>
      </c>
      <c r="L82" s="3" t="n">
        <v>162</v>
      </c>
    </row>
    <row r="83">
      <c r="A83" s="1" t="n">
        <v>82</v>
      </c>
      <c r="B83" s="2" t="n">
        <v>53.48</v>
      </c>
      <c r="C83" s="3" t="n">
        <v>4263</v>
      </c>
      <c r="D83" s="1" t="n">
        <v>317</v>
      </c>
      <c r="E83" s="1" t="n">
        <v>1</v>
      </c>
      <c r="F83" s="1" t="n">
        <v>83</v>
      </c>
      <c r="G83" s="1" t="n">
        <v>15</v>
      </c>
      <c r="H83" t="inlineStr">
        <is>
          <t>Male</t>
        </is>
      </c>
      <c r="I83" t="inlineStr">
        <is>
          <t>No</t>
        </is>
      </c>
      <c r="J83" t="inlineStr">
        <is>
          <t>No</t>
        </is>
      </c>
      <c r="K83" t="inlineStr">
        <is>
          <t>Caucasian</t>
        </is>
      </c>
      <c r="L83" s="3" t="n">
        <v>99</v>
      </c>
    </row>
    <row r="84">
      <c r="A84" s="1" t="n">
        <v>83</v>
      </c>
      <c r="B84" s="2" t="n">
        <v>23.672</v>
      </c>
      <c r="C84" s="3" t="n">
        <v>4433</v>
      </c>
      <c r="D84" s="1" t="n">
        <v>344</v>
      </c>
      <c r="E84" s="1" t="n">
        <v>3</v>
      </c>
      <c r="F84" s="1" t="n">
        <v>63</v>
      </c>
      <c r="G84" s="1" t="n">
        <v>11</v>
      </c>
      <c r="H84" t="inlineStr">
        <is>
          <t>Male</t>
        </is>
      </c>
      <c r="I84" t="inlineStr">
        <is>
          <t>No</t>
        </is>
      </c>
      <c r="J84" t="inlineStr">
        <is>
          <t>No</t>
        </is>
      </c>
      <c r="K84" t="inlineStr">
        <is>
          <t>Caucasian</t>
        </is>
      </c>
      <c r="L84" s="3" t="n">
        <v>503</v>
      </c>
    </row>
    <row r="85">
      <c r="A85" s="1" t="n">
        <v>84</v>
      </c>
      <c r="B85" s="2" t="n">
        <v>19.225</v>
      </c>
      <c r="C85" s="3" t="n">
        <v>1433</v>
      </c>
      <c r="D85" s="1" t="n">
        <v>122</v>
      </c>
      <c r="E85" s="1" t="n">
        <v>3</v>
      </c>
      <c r="F85" s="1" t="n">
        <v>38</v>
      </c>
      <c r="G85" s="1" t="n">
        <v>14</v>
      </c>
      <c r="H85" t="inlineStr">
        <is>
          <t>Female</t>
        </is>
      </c>
      <c r="I85" t="inlineStr">
        <is>
          <t>No</t>
        </is>
      </c>
      <c r="J85" t="inlineStr">
        <is>
          <t>No</t>
        </is>
      </c>
      <c r="K85" t="inlineStr">
        <is>
          <t>Caucasian</t>
        </is>
      </c>
      <c r="L85" s="3" t="n">
        <v>0</v>
      </c>
    </row>
    <row r="86">
      <c r="A86" s="1" t="n">
        <v>85</v>
      </c>
      <c r="B86" s="2" t="n">
        <v>43.54</v>
      </c>
      <c r="C86" s="3" t="n">
        <v>2906</v>
      </c>
      <c r="D86" s="1" t="n">
        <v>232</v>
      </c>
      <c r="E86" s="1" t="n">
        <v>4</v>
      </c>
      <c r="F86" s="1" t="n">
        <v>69</v>
      </c>
      <c r="G86" s="1" t="n">
        <v>11</v>
      </c>
      <c r="H86" t="inlineStr">
        <is>
          <t>Male</t>
        </is>
      </c>
      <c r="I86" t="inlineStr">
        <is>
          <t>No</t>
        </is>
      </c>
      <c r="J86" t="inlineStr">
        <is>
          <t>No</t>
        </is>
      </c>
      <c r="K86" t="inlineStr">
        <is>
          <t>Caucasian</t>
        </is>
      </c>
      <c r="L86" s="3" t="n">
        <v>0</v>
      </c>
    </row>
    <row r="87">
      <c r="A87" s="1" t="n">
        <v>86</v>
      </c>
      <c r="B87" s="2" t="n">
        <v>152.298</v>
      </c>
      <c r="C87" s="3" t="n">
        <v>12066</v>
      </c>
      <c r="D87" s="1" t="n">
        <v>828</v>
      </c>
      <c r="E87" s="1" t="n">
        <v>4</v>
      </c>
      <c r="F87" s="1" t="n">
        <v>41</v>
      </c>
      <c r="G87" s="1" t="n">
        <v>12</v>
      </c>
      <c r="H87" t="inlineStr">
        <is>
          <t>Female</t>
        </is>
      </c>
      <c r="I87" t="inlineStr">
        <is>
          <t>No</t>
        </is>
      </c>
      <c r="J87" t="inlineStr">
        <is>
          <t>Yes</t>
        </is>
      </c>
      <c r="K87" t="inlineStr">
        <is>
          <t>Asian</t>
        </is>
      </c>
      <c r="L87" s="3" t="n">
        <v>1779</v>
      </c>
    </row>
    <row r="88">
      <c r="A88" s="1" t="n">
        <v>87</v>
      </c>
      <c r="B88" s="2" t="n">
        <v>55.367</v>
      </c>
      <c r="C88" s="3" t="n">
        <v>6340</v>
      </c>
      <c r="D88" s="1" t="n">
        <v>448</v>
      </c>
      <c r="E88" s="1" t="n">
        <v>1</v>
      </c>
      <c r="F88" s="1" t="n">
        <v>33</v>
      </c>
      <c r="G88" s="1" t="n">
        <v>15</v>
      </c>
      <c r="H88" t="inlineStr">
        <is>
          <t>Male</t>
        </is>
      </c>
      <c r="I88" t="inlineStr">
        <is>
          <t>No</t>
        </is>
      </c>
      <c r="J88" t="inlineStr">
        <is>
          <t>Yes</t>
        </is>
      </c>
      <c r="K88" t="inlineStr">
        <is>
          <t>Caucasian</t>
        </is>
      </c>
      <c r="L88" s="3" t="n">
        <v>815</v>
      </c>
    </row>
    <row r="89">
      <c r="A89" s="1" t="n">
        <v>88</v>
      </c>
      <c r="B89" s="2" t="n">
        <v>11.741</v>
      </c>
      <c r="C89" s="3" t="n">
        <v>2271</v>
      </c>
      <c r="D89" s="1" t="n">
        <v>182</v>
      </c>
      <c r="E89" s="1" t="n">
        <v>4</v>
      </c>
      <c r="F89" s="1" t="n">
        <v>59</v>
      </c>
      <c r="G89" s="1" t="n">
        <v>12</v>
      </c>
      <c r="H89" t="inlineStr">
        <is>
          <t>Female</t>
        </is>
      </c>
      <c r="I89" t="inlineStr">
        <is>
          <t>No</t>
        </is>
      </c>
      <c r="J89" t="inlineStr">
        <is>
          <t>No</t>
        </is>
      </c>
      <c r="K89" t="inlineStr">
        <is>
          <t>Asian</t>
        </is>
      </c>
      <c r="L89" s="3" t="n">
        <v>0</v>
      </c>
    </row>
    <row r="90">
      <c r="A90" s="1" t="n">
        <v>89</v>
      </c>
      <c r="B90" s="2" t="n">
        <v>15.56</v>
      </c>
      <c r="C90" s="3" t="n">
        <v>4307</v>
      </c>
      <c r="D90" s="1" t="n">
        <v>352</v>
      </c>
      <c r="E90" s="1" t="n">
        <v>4</v>
      </c>
      <c r="F90" s="1" t="n">
        <v>57</v>
      </c>
      <c r="G90" s="1" t="n">
        <v>8</v>
      </c>
      <c r="H90" t="inlineStr">
        <is>
          <t>Male</t>
        </is>
      </c>
      <c r="I90" t="inlineStr">
        <is>
          <t>No</t>
        </is>
      </c>
      <c r="J90" t="inlineStr">
        <is>
          <t>Yes</t>
        </is>
      </c>
      <c r="K90" t="inlineStr">
        <is>
          <t>African American</t>
        </is>
      </c>
      <c r="L90" s="3" t="n">
        <v>579</v>
      </c>
    </row>
    <row r="91">
      <c r="A91" s="1" t="n">
        <v>90</v>
      </c>
      <c r="B91" s="2" t="n">
        <v>59.53</v>
      </c>
      <c r="C91" s="3" t="n">
        <v>7518</v>
      </c>
      <c r="D91" s="1" t="n">
        <v>543</v>
      </c>
      <c r="E91" s="1" t="n">
        <v>3</v>
      </c>
      <c r="F91" s="1" t="n">
        <v>52</v>
      </c>
      <c r="G91" s="1" t="n">
        <v>9</v>
      </c>
      <c r="H91" t="inlineStr">
        <is>
          <t>Female</t>
        </is>
      </c>
      <c r="I91" t="inlineStr">
        <is>
          <t>No</t>
        </is>
      </c>
      <c r="J91" t="inlineStr">
        <is>
          <t>No</t>
        </is>
      </c>
      <c r="K91" t="inlineStr">
        <is>
          <t>African American</t>
        </is>
      </c>
      <c r="L91" s="3" t="n">
        <v>1176</v>
      </c>
    </row>
    <row r="92">
      <c r="A92" s="1" t="n">
        <v>91</v>
      </c>
      <c r="B92" s="2" t="n">
        <v>20.191</v>
      </c>
      <c r="C92" s="3" t="n">
        <v>5767</v>
      </c>
      <c r="D92" s="1" t="n">
        <v>431</v>
      </c>
      <c r="E92" s="1" t="n">
        <v>4</v>
      </c>
      <c r="F92" s="1" t="n">
        <v>42</v>
      </c>
      <c r="G92" s="1" t="n">
        <v>16</v>
      </c>
      <c r="H92" t="inlineStr">
        <is>
          <t>Male</t>
        </is>
      </c>
      <c r="I92" t="inlineStr">
        <is>
          <t>No</t>
        </is>
      </c>
      <c r="J92" t="inlineStr">
        <is>
          <t>Yes</t>
        </is>
      </c>
      <c r="K92" t="inlineStr">
        <is>
          <t>African American</t>
        </is>
      </c>
      <c r="L92" s="3" t="n">
        <v>1023</v>
      </c>
    </row>
    <row r="93">
      <c r="A93" s="1" t="n">
        <v>92</v>
      </c>
      <c r="B93" s="2" t="n">
        <v>48.498</v>
      </c>
      <c r="C93" s="3" t="n">
        <v>6040</v>
      </c>
      <c r="D93" s="1" t="n">
        <v>456</v>
      </c>
      <c r="E93" s="1" t="n">
        <v>3</v>
      </c>
      <c r="F93" s="1" t="n">
        <v>47</v>
      </c>
      <c r="G93" s="1" t="n">
        <v>16</v>
      </c>
      <c r="H93" t="inlineStr">
        <is>
          <t>Male</t>
        </is>
      </c>
      <c r="I93" t="inlineStr">
        <is>
          <t>No</t>
        </is>
      </c>
      <c r="J93" t="inlineStr">
        <is>
          <t>Yes</t>
        </is>
      </c>
      <c r="K93" t="inlineStr">
        <is>
          <t>Caucasian</t>
        </is>
      </c>
      <c r="L93" s="3" t="n">
        <v>812</v>
      </c>
    </row>
    <row r="94">
      <c r="A94" s="1" t="n">
        <v>93</v>
      </c>
      <c r="B94" s="2" t="n">
        <v>30.733</v>
      </c>
      <c r="C94" s="3" t="n">
        <v>2832</v>
      </c>
      <c r="D94" s="1" t="n">
        <v>249</v>
      </c>
      <c r="E94" s="1" t="n">
        <v>4</v>
      </c>
      <c r="F94" s="1" t="n">
        <v>51</v>
      </c>
      <c r="G94" s="1" t="n">
        <v>13</v>
      </c>
      <c r="H94" t="inlineStr">
        <is>
          <t>Male</t>
        </is>
      </c>
      <c r="I94" t="inlineStr">
        <is>
          <t>No</t>
        </is>
      </c>
      <c r="J94" t="inlineStr">
        <is>
          <t>No</t>
        </is>
      </c>
      <c r="K94" t="inlineStr">
        <is>
          <t>Caucasian</t>
        </is>
      </c>
      <c r="L94" s="3" t="n">
        <v>0</v>
      </c>
    </row>
    <row r="95">
      <c r="A95" s="1" t="n">
        <v>94</v>
      </c>
      <c r="B95" s="2" t="n">
        <v>16.479</v>
      </c>
      <c r="C95" s="3" t="n">
        <v>5435</v>
      </c>
      <c r="D95" s="1" t="n">
        <v>388</v>
      </c>
      <c r="E95" s="1" t="n">
        <v>2</v>
      </c>
      <c r="F95" s="1" t="n">
        <v>26</v>
      </c>
      <c r="G95" s="1" t="n">
        <v>16</v>
      </c>
      <c r="H95" t="inlineStr">
        <is>
          <t>Male</t>
        </is>
      </c>
      <c r="I95" t="inlineStr">
        <is>
          <t>No</t>
        </is>
      </c>
      <c r="J95" t="inlineStr">
        <is>
          <t>No</t>
        </is>
      </c>
      <c r="K95" t="inlineStr">
        <is>
          <t>African American</t>
        </is>
      </c>
      <c r="L95" s="3" t="n">
        <v>937</v>
      </c>
    </row>
    <row r="96">
      <c r="A96" s="1" t="n">
        <v>95</v>
      </c>
      <c r="B96" s="2" t="n">
        <v>38.009</v>
      </c>
      <c r="C96" s="3" t="n">
        <v>3075</v>
      </c>
      <c r="D96" s="1" t="n">
        <v>245</v>
      </c>
      <c r="E96" s="1" t="n">
        <v>3</v>
      </c>
      <c r="F96" s="1" t="n">
        <v>45</v>
      </c>
      <c r="G96" s="1" t="n">
        <v>15</v>
      </c>
      <c r="H96" t="inlineStr">
        <is>
          <t>Female</t>
        </is>
      </c>
      <c r="I96" t="inlineStr">
        <is>
          <t>No</t>
        </is>
      </c>
      <c r="J96" t="inlineStr">
        <is>
          <t>No</t>
        </is>
      </c>
      <c r="K96" t="inlineStr">
        <is>
          <t>African American</t>
        </is>
      </c>
      <c r="L96" s="3" t="n">
        <v>0</v>
      </c>
    </row>
    <row r="97">
      <c r="A97" s="1" t="n">
        <v>96</v>
      </c>
      <c r="B97" s="2" t="n">
        <v>14.084</v>
      </c>
      <c r="C97" s="3" t="n">
        <v>855</v>
      </c>
      <c r="D97" s="1" t="n">
        <v>120</v>
      </c>
      <c r="E97" s="1" t="n">
        <v>5</v>
      </c>
      <c r="F97" s="1" t="n">
        <v>46</v>
      </c>
      <c r="G97" s="1" t="n">
        <v>17</v>
      </c>
      <c r="H97" t="inlineStr">
        <is>
          <t>Female</t>
        </is>
      </c>
      <c r="I97" t="inlineStr">
        <is>
          <t>No</t>
        </is>
      </c>
      <c r="J97" t="inlineStr">
        <is>
          <t>Yes</t>
        </is>
      </c>
      <c r="K97" t="inlineStr">
        <is>
          <t>African American</t>
        </is>
      </c>
      <c r="L97" s="3" t="n">
        <v>0</v>
      </c>
    </row>
    <row r="98">
      <c r="A98" s="1" t="n">
        <v>97</v>
      </c>
      <c r="B98" s="2" t="n">
        <v>14.312</v>
      </c>
      <c r="C98" s="3" t="n">
        <v>5382</v>
      </c>
      <c r="D98" s="1" t="n">
        <v>367</v>
      </c>
      <c r="E98" s="1" t="n">
        <v>1</v>
      </c>
      <c r="F98" s="1" t="n">
        <v>59</v>
      </c>
      <c r="G98" s="1" t="n">
        <v>17</v>
      </c>
      <c r="H98" t="inlineStr">
        <is>
          <t>Male</t>
        </is>
      </c>
      <c r="I98" t="inlineStr">
        <is>
          <t>Yes</t>
        </is>
      </c>
      <c r="J98" t="inlineStr">
        <is>
          <t>No</t>
        </is>
      </c>
      <c r="K98" t="inlineStr">
        <is>
          <t>Asian</t>
        </is>
      </c>
      <c r="L98" s="3" t="n">
        <v>1380</v>
      </c>
    </row>
    <row r="99">
      <c r="A99" s="1" t="n">
        <v>98</v>
      </c>
      <c r="B99" s="2" t="n">
        <v>26.067</v>
      </c>
      <c r="C99" s="3" t="n">
        <v>3388</v>
      </c>
      <c r="D99" s="1" t="n">
        <v>266</v>
      </c>
      <c r="E99" s="1" t="n">
        <v>4</v>
      </c>
      <c r="F99" s="1" t="n">
        <v>74</v>
      </c>
      <c r="G99" s="1" t="n">
        <v>17</v>
      </c>
      <c r="H99" t="inlineStr">
        <is>
          <t>Female</t>
        </is>
      </c>
      <c r="I99" t="inlineStr">
        <is>
          <t>No</t>
        </is>
      </c>
      <c r="J99" t="inlineStr">
        <is>
          <t>Yes</t>
        </is>
      </c>
      <c r="K99" t="inlineStr">
        <is>
          <t>African American</t>
        </is>
      </c>
      <c r="L99" s="3" t="n">
        <v>155</v>
      </c>
    </row>
    <row r="100">
      <c r="A100" s="1" t="n">
        <v>99</v>
      </c>
      <c r="B100" s="2" t="n">
        <v>36.295</v>
      </c>
      <c r="C100" s="3" t="n">
        <v>2963</v>
      </c>
      <c r="D100" s="1" t="n">
        <v>241</v>
      </c>
      <c r="E100" s="1" t="n">
        <v>2</v>
      </c>
      <c r="F100" s="1" t="n">
        <v>68</v>
      </c>
      <c r="G100" s="1" t="n">
        <v>14</v>
      </c>
      <c r="H100" t="inlineStr">
        <is>
          <t>Female</t>
        </is>
      </c>
      <c r="I100" t="inlineStr">
        <is>
          <t>Yes</t>
        </is>
      </c>
      <c r="J100" t="inlineStr">
        <is>
          <t>No</t>
        </is>
      </c>
      <c r="K100" t="inlineStr">
        <is>
          <t>African American</t>
        </is>
      </c>
      <c r="L100" s="3" t="n">
        <v>375</v>
      </c>
    </row>
    <row r="101">
      <c r="A101" s="1" t="n">
        <v>100</v>
      </c>
      <c r="B101" s="2" t="n">
        <v>83.851</v>
      </c>
      <c r="C101" s="3" t="n">
        <v>8494</v>
      </c>
      <c r="D101" s="1" t="n">
        <v>607</v>
      </c>
      <c r="E101" s="1" t="n">
        <v>5</v>
      </c>
      <c r="F101" s="1" t="n">
        <v>47</v>
      </c>
      <c r="G101" s="1" t="n">
        <v>18</v>
      </c>
      <c r="H101" t="inlineStr">
        <is>
          <t>Male</t>
        </is>
      </c>
      <c r="I101" t="inlineStr">
        <is>
          <t>No</t>
        </is>
      </c>
      <c r="J101" t="inlineStr">
        <is>
          <t>No</t>
        </is>
      </c>
      <c r="K101" t="inlineStr">
        <is>
          <t>Caucasian</t>
        </is>
      </c>
      <c r="L101" s="3" t="n">
        <v>1311</v>
      </c>
    </row>
    <row r="102">
      <c r="A102" s="1" t="n">
        <v>101</v>
      </c>
      <c r="B102" s="2" t="n">
        <v>21.153</v>
      </c>
      <c r="C102" s="3" t="n">
        <v>3736</v>
      </c>
      <c r="D102" s="1" t="n">
        <v>256</v>
      </c>
      <c r="E102" s="1" t="n">
        <v>1</v>
      </c>
      <c r="F102" s="1" t="n">
        <v>41</v>
      </c>
      <c r="G102" s="1" t="n">
        <v>11</v>
      </c>
      <c r="H102" t="inlineStr">
        <is>
          <t>Male</t>
        </is>
      </c>
      <c r="I102" t="inlineStr">
        <is>
          <t>No</t>
        </is>
      </c>
      <c r="J102" t="inlineStr">
        <is>
          <t>No</t>
        </is>
      </c>
      <c r="K102" t="inlineStr">
        <is>
          <t>Caucasian</t>
        </is>
      </c>
      <c r="L102" s="3" t="n">
        <v>298</v>
      </c>
    </row>
    <row r="103">
      <c r="A103" s="1" t="n">
        <v>102</v>
      </c>
      <c r="B103" s="2" t="n">
        <v>17.976</v>
      </c>
      <c r="C103" s="3" t="n">
        <v>2433</v>
      </c>
      <c r="D103" s="1" t="n">
        <v>190</v>
      </c>
      <c r="E103" s="1" t="n">
        <v>3</v>
      </c>
      <c r="F103" s="1" t="n">
        <v>70</v>
      </c>
      <c r="G103" s="1" t="n">
        <v>16</v>
      </c>
      <c r="H103" t="inlineStr">
        <is>
          <t>Female</t>
        </is>
      </c>
      <c r="I103" t="inlineStr">
        <is>
          <t>Yes</t>
        </is>
      </c>
      <c r="J103" t="inlineStr">
        <is>
          <t>No</t>
        </is>
      </c>
      <c r="K103" t="inlineStr">
        <is>
          <t>Caucasian</t>
        </is>
      </c>
      <c r="L103" s="3" t="n">
        <v>431</v>
      </c>
    </row>
    <row r="104">
      <c r="A104" s="1" t="n">
        <v>103</v>
      </c>
      <c r="B104" s="2" t="n">
        <v>68.71299999999999</v>
      </c>
      <c r="C104" s="3" t="n">
        <v>7582</v>
      </c>
      <c r="D104" s="1" t="n">
        <v>531</v>
      </c>
      <c r="E104" s="1" t="n">
        <v>2</v>
      </c>
      <c r="F104" s="1" t="n">
        <v>56</v>
      </c>
      <c r="G104" s="1" t="n">
        <v>16</v>
      </c>
      <c r="H104" t="inlineStr">
        <is>
          <t>Male</t>
        </is>
      </c>
      <c r="I104" t="inlineStr">
        <is>
          <t>Yes</t>
        </is>
      </c>
      <c r="J104" t="inlineStr">
        <is>
          <t>No</t>
        </is>
      </c>
      <c r="K104" t="inlineStr">
        <is>
          <t>Caucasian</t>
        </is>
      </c>
      <c r="L104" s="3" t="n">
        <v>1587</v>
      </c>
    </row>
    <row r="105">
      <c r="A105" s="1" t="n">
        <v>104</v>
      </c>
      <c r="B105" s="2" t="n">
        <v>146.183</v>
      </c>
      <c r="C105" s="3" t="n">
        <v>9540</v>
      </c>
      <c r="D105" s="1" t="n">
        <v>682</v>
      </c>
      <c r="E105" s="1" t="n">
        <v>6</v>
      </c>
      <c r="F105" s="1" t="n">
        <v>66</v>
      </c>
      <c r="G105" s="1" t="n">
        <v>15</v>
      </c>
      <c r="H105" t="inlineStr">
        <is>
          <t>Male</t>
        </is>
      </c>
      <c r="I105" t="inlineStr">
        <is>
          <t>No</t>
        </is>
      </c>
      <c r="J105" t="inlineStr">
        <is>
          <t>No</t>
        </is>
      </c>
      <c r="K105" t="inlineStr">
        <is>
          <t>Caucasian</t>
        </is>
      </c>
      <c r="L105" s="3" t="n">
        <v>1050</v>
      </c>
    </row>
    <row r="106">
      <c r="A106" s="1" t="n">
        <v>105</v>
      </c>
      <c r="B106" s="2" t="n">
        <v>15.846</v>
      </c>
      <c r="C106" s="3" t="n">
        <v>4768</v>
      </c>
      <c r="D106" s="1" t="n">
        <v>365</v>
      </c>
      <c r="E106" s="1" t="n">
        <v>4</v>
      </c>
      <c r="F106" s="1" t="n">
        <v>53</v>
      </c>
      <c r="G106" s="1" t="n">
        <v>12</v>
      </c>
      <c r="H106" t="inlineStr">
        <is>
          <t>Female</t>
        </is>
      </c>
      <c r="I106" t="inlineStr">
        <is>
          <t>No</t>
        </is>
      </c>
      <c r="J106" t="inlineStr">
        <is>
          <t>No</t>
        </is>
      </c>
      <c r="K106" t="inlineStr">
        <is>
          <t>Caucasian</t>
        </is>
      </c>
      <c r="L106" s="3" t="n">
        <v>745</v>
      </c>
    </row>
    <row r="107">
      <c r="A107" s="1" t="n">
        <v>106</v>
      </c>
      <c r="B107" s="2" t="n">
        <v>12.031</v>
      </c>
      <c r="C107" s="3" t="n">
        <v>3182</v>
      </c>
      <c r="D107" s="1" t="n">
        <v>259</v>
      </c>
      <c r="E107" s="1" t="n">
        <v>2</v>
      </c>
      <c r="F107" s="1" t="n">
        <v>58</v>
      </c>
      <c r="G107" s="1" t="n">
        <v>18</v>
      </c>
      <c r="H107" t="inlineStr">
        <is>
          <t>Female</t>
        </is>
      </c>
      <c r="I107" t="inlineStr">
        <is>
          <t>No</t>
        </is>
      </c>
      <c r="J107" t="inlineStr">
        <is>
          <t>Yes</t>
        </is>
      </c>
      <c r="K107" t="inlineStr">
        <is>
          <t>Caucasian</t>
        </is>
      </c>
      <c r="L107" s="3" t="n">
        <v>210</v>
      </c>
    </row>
    <row r="108">
      <c r="A108" s="1" t="n">
        <v>107</v>
      </c>
      <c r="B108" s="2" t="n">
        <v>16.819</v>
      </c>
      <c r="C108" s="3" t="n">
        <v>1337</v>
      </c>
      <c r="D108" s="1" t="n">
        <v>115</v>
      </c>
      <c r="E108" s="1" t="n">
        <v>2</v>
      </c>
      <c r="F108" s="1" t="n">
        <v>74</v>
      </c>
      <c r="G108" s="1" t="n">
        <v>15</v>
      </c>
      <c r="H108" t="inlineStr">
        <is>
          <t>Male</t>
        </is>
      </c>
      <c r="I108" t="inlineStr">
        <is>
          <t>No</t>
        </is>
      </c>
      <c r="J108" t="inlineStr">
        <is>
          <t>Yes</t>
        </is>
      </c>
      <c r="K108" t="inlineStr">
        <is>
          <t>Asian</t>
        </is>
      </c>
      <c r="L108" s="3" t="n">
        <v>0</v>
      </c>
    </row>
    <row r="109">
      <c r="A109" s="1" t="n">
        <v>108</v>
      </c>
      <c r="B109" s="2" t="n">
        <v>39.11</v>
      </c>
      <c r="C109" s="3" t="n">
        <v>3189</v>
      </c>
      <c r="D109" s="1" t="n">
        <v>263</v>
      </c>
      <c r="E109" s="1" t="n">
        <v>3</v>
      </c>
      <c r="F109" s="1" t="n">
        <v>72</v>
      </c>
      <c r="G109" s="1" t="n">
        <v>12</v>
      </c>
      <c r="H109" t="inlineStr">
        <is>
          <t>Male</t>
        </is>
      </c>
      <c r="I109" t="inlineStr">
        <is>
          <t>No</t>
        </is>
      </c>
      <c r="J109" t="inlineStr">
        <is>
          <t>No</t>
        </is>
      </c>
      <c r="K109" t="inlineStr">
        <is>
          <t>Asian</t>
        </is>
      </c>
      <c r="L109" s="3" t="n">
        <v>0</v>
      </c>
    </row>
    <row r="110">
      <c r="A110" s="1" t="n">
        <v>109</v>
      </c>
      <c r="B110" s="2" t="n">
        <v>107.986</v>
      </c>
      <c r="C110" s="3" t="n">
        <v>6033</v>
      </c>
      <c r="D110" s="1" t="n">
        <v>449</v>
      </c>
      <c r="E110" s="1" t="n">
        <v>4</v>
      </c>
      <c r="F110" s="1" t="n">
        <v>64</v>
      </c>
      <c r="G110" s="1" t="n">
        <v>14</v>
      </c>
      <c r="H110" t="inlineStr">
        <is>
          <t>Male</t>
        </is>
      </c>
      <c r="I110" t="inlineStr">
        <is>
          <t>No</t>
        </is>
      </c>
      <c r="J110" t="inlineStr">
        <is>
          <t>Yes</t>
        </is>
      </c>
      <c r="K110" t="inlineStr">
        <is>
          <t>Caucasian</t>
        </is>
      </c>
      <c r="L110" s="3" t="n">
        <v>227</v>
      </c>
    </row>
    <row r="111">
      <c r="A111" s="1" t="n">
        <v>110</v>
      </c>
      <c r="B111" s="2" t="n">
        <v>13.561</v>
      </c>
      <c r="C111" s="3" t="n">
        <v>3261</v>
      </c>
      <c r="D111" s="1" t="n">
        <v>279</v>
      </c>
      <c r="E111" s="1" t="n">
        <v>5</v>
      </c>
      <c r="F111" s="1" t="n">
        <v>37</v>
      </c>
      <c r="G111" s="1" t="n">
        <v>19</v>
      </c>
      <c r="H111" t="inlineStr">
        <is>
          <t>Male</t>
        </is>
      </c>
      <c r="I111" t="inlineStr">
        <is>
          <t>No</t>
        </is>
      </c>
      <c r="J111" t="inlineStr">
        <is>
          <t>Yes</t>
        </is>
      </c>
      <c r="K111" t="inlineStr">
        <is>
          <t>Asian</t>
        </is>
      </c>
      <c r="L111" s="3" t="n">
        <v>297</v>
      </c>
    </row>
    <row r="112">
      <c r="A112" s="1" t="n">
        <v>111</v>
      </c>
      <c r="B112" s="2" t="n">
        <v>34.537</v>
      </c>
      <c r="C112" s="3" t="n">
        <v>3271</v>
      </c>
      <c r="D112" s="1" t="n">
        <v>250</v>
      </c>
      <c r="E112" s="1" t="n">
        <v>3</v>
      </c>
      <c r="F112" s="1" t="n">
        <v>57</v>
      </c>
      <c r="G112" s="1" t="n">
        <v>17</v>
      </c>
      <c r="H112" t="inlineStr">
        <is>
          <t>Female</t>
        </is>
      </c>
      <c r="I112" t="inlineStr">
        <is>
          <t>No</t>
        </is>
      </c>
      <c r="J112" t="inlineStr">
        <is>
          <t>Yes</t>
        </is>
      </c>
      <c r="K112" t="inlineStr">
        <is>
          <t>Asian</t>
        </is>
      </c>
      <c r="L112" s="3" t="n">
        <v>47</v>
      </c>
    </row>
    <row r="113">
      <c r="A113" s="1" t="n">
        <v>112</v>
      </c>
      <c r="B113" s="2" t="n">
        <v>28.575</v>
      </c>
      <c r="C113" s="3" t="n">
        <v>2959</v>
      </c>
      <c r="D113" s="1" t="n">
        <v>231</v>
      </c>
      <c r="E113" s="1" t="n">
        <v>2</v>
      </c>
      <c r="F113" s="1" t="n">
        <v>60</v>
      </c>
      <c r="G113" s="1" t="n">
        <v>11</v>
      </c>
      <c r="H113" t="inlineStr">
        <is>
          <t>Female</t>
        </is>
      </c>
      <c r="I113" t="inlineStr">
        <is>
          <t>No</t>
        </is>
      </c>
      <c r="J113" t="inlineStr">
        <is>
          <t>No</t>
        </is>
      </c>
      <c r="K113" t="inlineStr">
        <is>
          <t>African American</t>
        </is>
      </c>
      <c r="L113" s="3" t="n">
        <v>0</v>
      </c>
    </row>
    <row r="114">
      <c r="A114" s="1" t="n">
        <v>113</v>
      </c>
      <c r="B114" s="2" t="n">
        <v>46.007</v>
      </c>
      <c r="C114" s="3" t="n">
        <v>6637</v>
      </c>
      <c r="D114" s="1" t="n">
        <v>491</v>
      </c>
      <c r="E114" s="1" t="n">
        <v>4</v>
      </c>
      <c r="F114" s="1" t="n">
        <v>42</v>
      </c>
      <c r="G114" s="1" t="n">
        <v>14</v>
      </c>
      <c r="H114" t="inlineStr">
        <is>
          <t>Male</t>
        </is>
      </c>
      <c r="I114" t="inlineStr">
        <is>
          <t>No</t>
        </is>
      </c>
      <c r="J114" t="inlineStr">
        <is>
          <t>Yes</t>
        </is>
      </c>
      <c r="K114" t="inlineStr">
        <is>
          <t>Caucasian</t>
        </is>
      </c>
      <c r="L114" s="3" t="n">
        <v>1046</v>
      </c>
    </row>
    <row r="115">
      <c r="A115" s="1" t="n">
        <v>114</v>
      </c>
      <c r="B115" s="2" t="n">
        <v>69.251</v>
      </c>
      <c r="C115" s="3" t="n">
        <v>6386</v>
      </c>
      <c r="D115" s="1" t="n">
        <v>474</v>
      </c>
      <c r="E115" s="1" t="n">
        <v>4</v>
      </c>
      <c r="F115" s="1" t="n">
        <v>30</v>
      </c>
      <c r="G115" s="1" t="n">
        <v>12</v>
      </c>
      <c r="H115" t="inlineStr">
        <is>
          <t>Female</t>
        </is>
      </c>
      <c r="I115" t="inlineStr">
        <is>
          <t>No</t>
        </is>
      </c>
      <c r="J115" t="inlineStr">
        <is>
          <t>Yes</t>
        </is>
      </c>
      <c r="K115" t="inlineStr">
        <is>
          <t>Asian</t>
        </is>
      </c>
      <c r="L115" s="3" t="n">
        <v>768</v>
      </c>
    </row>
    <row r="116">
      <c r="A116" s="1" t="n">
        <v>115</v>
      </c>
      <c r="B116" s="2" t="n">
        <v>16.482</v>
      </c>
      <c r="C116" s="3" t="n">
        <v>3326</v>
      </c>
      <c r="D116" s="1" t="n">
        <v>268</v>
      </c>
      <c r="E116" s="1" t="n">
        <v>4</v>
      </c>
      <c r="F116" s="1" t="n">
        <v>41</v>
      </c>
      <c r="G116" s="1" t="n">
        <v>15</v>
      </c>
      <c r="H116" t="inlineStr">
        <is>
          <t>Male</t>
        </is>
      </c>
      <c r="I116" t="inlineStr">
        <is>
          <t>No</t>
        </is>
      </c>
      <c r="J116" t="inlineStr">
        <is>
          <t>No</t>
        </is>
      </c>
      <c r="K116" t="inlineStr">
        <is>
          <t>Caucasian</t>
        </is>
      </c>
      <c r="L116" s="3" t="n">
        <v>271</v>
      </c>
    </row>
    <row r="117">
      <c r="A117" s="1" t="n">
        <v>116</v>
      </c>
      <c r="B117" s="2" t="n">
        <v>40.442</v>
      </c>
      <c r="C117" s="3" t="n">
        <v>4828</v>
      </c>
      <c r="D117" s="1" t="n">
        <v>369</v>
      </c>
      <c r="E117" s="1" t="n">
        <v>5</v>
      </c>
      <c r="F117" s="1" t="n">
        <v>81</v>
      </c>
      <c r="G117" s="1" t="n">
        <v>8</v>
      </c>
      <c r="H117" t="inlineStr">
        <is>
          <t>Female</t>
        </is>
      </c>
      <c r="I117" t="inlineStr">
        <is>
          <t>No</t>
        </is>
      </c>
      <c r="J117" t="inlineStr">
        <is>
          <t>No</t>
        </is>
      </c>
      <c r="K117" t="inlineStr">
        <is>
          <t>African American</t>
        </is>
      </c>
      <c r="L117" s="3" t="n">
        <v>510</v>
      </c>
    </row>
    <row r="118">
      <c r="A118" s="1" t="n">
        <v>117</v>
      </c>
      <c r="B118" s="2" t="n">
        <v>35.177</v>
      </c>
      <c r="C118" s="3" t="n">
        <v>2117</v>
      </c>
      <c r="D118" s="1" t="n">
        <v>186</v>
      </c>
      <c r="E118" s="1" t="n">
        <v>3</v>
      </c>
      <c r="F118" s="1" t="n">
        <v>62</v>
      </c>
      <c r="G118" s="1" t="n">
        <v>16</v>
      </c>
      <c r="H118" t="inlineStr">
        <is>
          <t>Female</t>
        </is>
      </c>
      <c r="I118" t="inlineStr">
        <is>
          <t>No</t>
        </is>
      </c>
      <c r="J118" t="inlineStr">
        <is>
          <t>No</t>
        </is>
      </c>
      <c r="K118" t="inlineStr">
        <is>
          <t>Caucasian</t>
        </is>
      </c>
      <c r="L118" s="3" t="n">
        <v>0</v>
      </c>
    </row>
    <row r="119">
      <c r="A119" s="1" t="n">
        <v>118</v>
      </c>
      <c r="B119" s="2" t="n">
        <v>91.36199999999999</v>
      </c>
      <c r="C119" s="3" t="n">
        <v>9113</v>
      </c>
      <c r="D119" s="1" t="n">
        <v>626</v>
      </c>
      <c r="E119" s="1" t="n">
        <v>1</v>
      </c>
      <c r="F119" s="1" t="n">
        <v>47</v>
      </c>
      <c r="G119" s="1" t="n">
        <v>17</v>
      </c>
      <c r="H119" t="inlineStr">
        <is>
          <t>Male</t>
        </is>
      </c>
      <c r="I119" t="inlineStr">
        <is>
          <t>No</t>
        </is>
      </c>
      <c r="J119" t="inlineStr">
        <is>
          <t>Yes</t>
        </is>
      </c>
      <c r="K119" t="inlineStr">
        <is>
          <t>Asian</t>
        </is>
      </c>
      <c r="L119" s="3" t="n">
        <v>1341</v>
      </c>
    </row>
    <row r="120">
      <c r="A120" s="1" t="n">
        <v>119</v>
      </c>
      <c r="B120" s="2" t="n">
        <v>27.039</v>
      </c>
      <c r="C120" s="3" t="n">
        <v>2161</v>
      </c>
      <c r="D120" s="1" t="n">
        <v>173</v>
      </c>
      <c r="E120" s="1" t="n">
        <v>3</v>
      </c>
      <c r="F120" s="1" t="n">
        <v>40</v>
      </c>
      <c r="G120" s="1" t="n">
        <v>17</v>
      </c>
      <c r="H120" t="inlineStr">
        <is>
          <t>Female</t>
        </is>
      </c>
      <c r="I120" t="inlineStr">
        <is>
          <t>No</t>
        </is>
      </c>
      <c r="J120" t="inlineStr">
        <is>
          <t>No</t>
        </is>
      </c>
      <c r="K120" t="inlineStr">
        <is>
          <t>Caucasian</t>
        </is>
      </c>
      <c r="L120" s="3" t="n">
        <v>0</v>
      </c>
    </row>
    <row r="121">
      <c r="A121" s="1" t="n">
        <v>120</v>
      </c>
      <c r="B121" s="2" t="n">
        <v>23.012</v>
      </c>
      <c r="C121" s="3" t="n">
        <v>1410</v>
      </c>
      <c r="D121" s="1" t="n">
        <v>137</v>
      </c>
      <c r="E121" s="1" t="n">
        <v>3</v>
      </c>
      <c r="F121" s="1" t="n">
        <v>81</v>
      </c>
      <c r="G121" s="1" t="n">
        <v>16</v>
      </c>
      <c r="H121" t="inlineStr">
        <is>
          <t>Male</t>
        </is>
      </c>
      <c r="I121" t="inlineStr">
        <is>
          <t>No</t>
        </is>
      </c>
      <c r="J121" t="inlineStr">
        <is>
          <t>No</t>
        </is>
      </c>
      <c r="K121" t="inlineStr">
        <is>
          <t>Caucasian</t>
        </is>
      </c>
      <c r="L121" s="3" t="n">
        <v>0</v>
      </c>
    </row>
    <row r="122">
      <c r="A122" s="1" t="n">
        <v>121</v>
      </c>
      <c r="B122" s="2" t="n">
        <v>27.241</v>
      </c>
      <c r="C122" s="3" t="n">
        <v>1402</v>
      </c>
      <c r="D122" s="1" t="n">
        <v>128</v>
      </c>
      <c r="E122" s="1" t="n">
        <v>2</v>
      </c>
      <c r="F122" s="1" t="n">
        <v>67</v>
      </c>
      <c r="G122" s="1" t="n">
        <v>15</v>
      </c>
      <c r="H122" t="inlineStr">
        <is>
          <t>Female</t>
        </is>
      </c>
      <c r="I122" t="inlineStr">
        <is>
          <t>No</t>
        </is>
      </c>
      <c r="J122" t="inlineStr">
        <is>
          <t>Yes</t>
        </is>
      </c>
      <c r="K122" t="inlineStr">
        <is>
          <t>Asian</t>
        </is>
      </c>
      <c r="L122" s="3" t="n">
        <v>0</v>
      </c>
    </row>
    <row r="123">
      <c r="A123" s="1" t="n">
        <v>122</v>
      </c>
      <c r="B123" s="2" t="n">
        <v>148.08</v>
      </c>
      <c r="C123" s="3" t="n">
        <v>8157</v>
      </c>
      <c r="D123" s="1" t="n">
        <v>599</v>
      </c>
      <c r="E123" s="1" t="n">
        <v>2</v>
      </c>
      <c r="F123" s="1" t="n">
        <v>83</v>
      </c>
      <c r="G123" s="1" t="n">
        <v>13</v>
      </c>
      <c r="H123" t="inlineStr">
        <is>
          <t>Male</t>
        </is>
      </c>
      <c r="I123" t="inlineStr">
        <is>
          <t>No</t>
        </is>
      </c>
      <c r="J123" t="inlineStr">
        <is>
          <t>Yes</t>
        </is>
      </c>
      <c r="K123" t="inlineStr">
        <is>
          <t>Caucasian</t>
        </is>
      </c>
      <c r="L123" s="3" t="n">
        <v>454</v>
      </c>
    </row>
    <row r="124">
      <c r="A124" s="1" t="n">
        <v>123</v>
      </c>
      <c r="B124" s="2" t="n">
        <v>62.602</v>
      </c>
      <c r="C124" s="3" t="n">
        <v>7056</v>
      </c>
      <c r="D124" s="1" t="n">
        <v>481</v>
      </c>
      <c r="E124" s="1" t="n">
        <v>1</v>
      </c>
      <c r="F124" s="1" t="n">
        <v>84</v>
      </c>
      <c r="G124" s="1" t="n">
        <v>11</v>
      </c>
      <c r="H124" t="inlineStr">
        <is>
          <t>Female</t>
        </is>
      </c>
      <c r="I124" t="inlineStr">
        <is>
          <t>No</t>
        </is>
      </c>
      <c r="J124" t="inlineStr">
        <is>
          <t>No</t>
        </is>
      </c>
      <c r="K124" t="inlineStr">
        <is>
          <t>Caucasian</t>
        </is>
      </c>
      <c r="L124" s="3" t="n">
        <v>904</v>
      </c>
    </row>
    <row r="125">
      <c r="A125" s="1" t="n">
        <v>124</v>
      </c>
      <c r="B125" s="2" t="n">
        <v>11.808</v>
      </c>
      <c r="C125" s="3" t="n">
        <v>1300</v>
      </c>
      <c r="D125" s="1" t="n">
        <v>117</v>
      </c>
      <c r="E125" s="1" t="n">
        <v>3</v>
      </c>
      <c r="F125" s="1" t="n">
        <v>77</v>
      </c>
      <c r="G125" s="1" t="n">
        <v>14</v>
      </c>
      <c r="H125" t="inlineStr">
        <is>
          <t>Female</t>
        </is>
      </c>
      <c r="I125" t="inlineStr">
        <is>
          <t>No</t>
        </is>
      </c>
      <c r="J125" t="inlineStr">
        <is>
          <t>No</t>
        </is>
      </c>
      <c r="K125" t="inlineStr">
        <is>
          <t>African American</t>
        </is>
      </c>
      <c r="L125" s="3" t="n">
        <v>0</v>
      </c>
    </row>
    <row r="126">
      <c r="A126" s="1" t="n">
        <v>125</v>
      </c>
      <c r="B126" s="2" t="n">
        <v>29.564</v>
      </c>
      <c r="C126" s="3" t="n">
        <v>2529</v>
      </c>
      <c r="D126" s="1" t="n">
        <v>192</v>
      </c>
      <c r="E126" s="1" t="n">
        <v>1</v>
      </c>
      <c r="F126" s="1" t="n">
        <v>30</v>
      </c>
      <c r="G126" s="1" t="n">
        <v>12</v>
      </c>
      <c r="H126" t="inlineStr">
        <is>
          <t>Female</t>
        </is>
      </c>
      <c r="I126" t="inlineStr">
        <is>
          <t>No</t>
        </is>
      </c>
      <c r="J126" t="inlineStr">
        <is>
          <t>Yes</t>
        </is>
      </c>
      <c r="K126" t="inlineStr">
        <is>
          <t>Caucasian</t>
        </is>
      </c>
      <c r="L126" s="3" t="n">
        <v>0</v>
      </c>
    </row>
    <row r="127">
      <c r="A127" s="1" t="n">
        <v>126</v>
      </c>
      <c r="B127" s="2" t="n">
        <v>27.578</v>
      </c>
      <c r="C127" s="3" t="n">
        <v>2531</v>
      </c>
      <c r="D127" s="1" t="n">
        <v>195</v>
      </c>
      <c r="E127" s="1" t="n">
        <v>1</v>
      </c>
      <c r="F127" s="1" t="n">
        <v>34</v>
      </c>
      <c r="G127" s="1" t="n">
        <v>15</v>
      </c>
      <c r="H127" t="inlineStr">
        <is>
          <t>Female</t>
        </is>
      </c>
      <c r="I127" t="inlineStr">
        <is>
          <t>No</t>
        </is>
      </c>
      <c r="J127" t="inlineStr">
        <is>
          <t>Yes</t>
        </is>
      </c>
      <c r="K127" t="inlineStr">
        <is>
          <t>Caucasian</t>
        </is>
      </c>
      <c r="L127" s="3" t="n">
        <v>0</v>
      </c>
    </row>
    <row r="128">
      <c r="A128" s="1" t="n">
        <v>127</v>
      </c>
      <c r="B128" s="2" t="n">
        <v>26.427</v>
      </c>
      <c r="C128" s="3" t="n">
        <v>5533</v>
      </c>
      <c r="D128" s="1" t="n">
        <v>433</v>
      </c>
      <c r="E128" s="1" t="n">
        <v>5</v>
      </c>
      <c r="F128" s="1" t="n">
        <v>50</v>
      </c>
      <c r="G128" s="1" t="n">
        <v>15</v>
      </c>
      <c r="H128" t="inlineStr">
        <is>
          <t>Female</t>
        </is>
      </c>
      <c r="I128" t="inlineStr">
        <is>
          <t>Yes</t>
        </is>
      </c>
      <c r="J128" t="inlineStr">
        <is>
          <t>Yes</t>
        </is>
      </c>
      <c r="K128" t="inlineStr">
        <is>
          <t>Asian</t>
        </is>
      </c>
      <c r="L128" s="3" t="n">
        <v>1404</v>
      </c>
    </row>
    <row r="129">
      <c r="A129" s="1" t="n">
        <v>128</v>
      </c>
      <c r="B129" s="2" t="n">
        <v>57.202</v>
      </c>
      <c r="C129" s="3" t="n">
        <v>3411</v>
      </c>
      <c r="D129" s="1" t="n">
        <v>259</v>
      </c>
      <c r="E129" s="1" t="n">
        <v>3</v>
      </c>
      <c r="F129" s="1" t="n">
        <v>72</v>
      </c>
      <c r="G129" s="1" t="n">
        <v>11</v>
      </c>
      <c r="H129" t="inlineStr">
        <is>
          <t>Female</t>
        </is>
      </c>
      <c r="I129" t="inlineStr">
        <is>
          <t>No</t>
        </is>
      </c>
      <c r="J129" t="inlineStr">
        <is>
          <t>No</t>
        </is>
      </c>
      <c r="K129" t="inlineStr">
        <is>
          <t>Caucasian</t>
        </is>
      </c>
      <c r="L129" s="3" t="n">
        <v>0</v>
      </c>
    </row>
    <row r="130">
      <c r="A130" s="1" t="n">
        <v>129</v>
      </c>
      <c r="B130" s="2" t="n">
        <v>123.299</v>
      </c>
      <c r="C130" s="3" t="n">
        <v>8376</v>
      </c>
      <c r="D130" s="1" t="n">
        <v>610</v>
      </c>
      <c r="E130" s="1" t="n">
        <v>2</v>
      </c>
      <c r="F130" s="1" t="n">
        <v>89</v>
      </c>
      <c r="G130" s="1" t="n">
        <v>17</v>
      </c>
      <c r="H130" t="inlineStr">
        <is>
          <t>Male</t>
        </is>
      </c>
      <c r="I130" t="inlineStr">
        <is>
          <t>Yes</t>
        </is>
      </c>
      <c r="J130" t="inlineStr">
        <is>
          <t>No</t>
        </is>
      </c>
      <c r="K130" t="inlineStr">
        <is>
          <t>African American</t>
        </is>
      </c>
      <c r="L130" s="3" t="n">
        <v>1259</v>
      </c>
    </row>
    <row r="131">
      <c r="A131" s="1" t="n">
        <v>130</v>
      </c>
      <c r="B131" s="2" t="n">
        <v>18.145</v>
      </c>
      <c r="C131" s="3" t="n">
        <v>3461</v>
      </c>
      <c r="D131" s="1" t="n">
        <v>279</v>
      </c>
      <c r="E131" s="1" t="n">
        <v>3</v>
      </c>
      <c r="F131" s="1" t="n">
        <v>56</v>
      </c>
      <c r="G131" s="1" t="n">
        <v>15</v>
      </c>
      <c r="H131" t="inlineStr">
        <is>
          <t>Male</t>
        </is>
      </c>
      <c r="I131" t="inlineStr">
        <is>
          <t>No</t>
        </is>
      </c>
      <c r="J131" t="inlineStr">
        <is>
          <t>Yes</t>
        </is>
      </c>
      <c r="K131" t="inlineStr">
        <is>
          <t>African American</t>
        </is>
      </c>
      <c r="L131" s="3" t="n">
        <v>255</v>
      </c>
    </row>
    <row r="132">
      <c r="A132" s="1" t="n">
        <v>131</v>
      </c>
      <c r="B132" s="2" t="n">
        <v>23.793</v>
      </c>
      <c r="C132" s="3" t="n">
        <v>3821</v>
      </c>
      <c r="D132" s="1" t="n">
        <v>281</v>
      </c>
      <c r="E132" s="1" t="n">
        <v>4</v>
      </c>
      <c r="F132" s="1" t="n">
        <v>56</v>
      </c>
      <c r="G132" s="1" t="n">
        <v>12</v>
      </c>
      <c r="H132" t="inlineStr">
        <is>
          <t>Female</t>
        </is>
      </c>
      <c r="I132" t="inlineStr">
        <is>
          <t>Yes</t>
        </is>
      </c>
      <c r="J132" t="inlineStr">
        <is>
          <t>Yes</t>
        </is>
      </c>
      <c r="K132" t="inlineStr">
        <is>
          <t>African American</t>
        </is>
      </c>
      <c r="L132" s="3" t="n">
        <v>868</v>
      </c>
    </row>
    <row r="133">
      <c r="A133" s="1" t="n">
        <v>132</v>
      </c>
      <c r="B133" s="2" t="n">
        <v>10.726</v>
      </c>
      <c r="C133" s="3" t="n">
        <v>1568</v>
      </c>
      <c r="D133" s="1" t="n">
        <v>162</v>
      </c>
      <c r="E133" s="1" t="n">
        <v>5</v>
      </c>
      <c r="F133" s="1" t="n">
        <v>46</v>
      </c>
      <c r="G133" s="1" t="n">
        <v>19</v>
      </c>
      <c r="H133" t="inlineStr">
        <is>
          <t>Male</t>
        </is>
      </c>
      <c r="I133" t="inlineStr">
        <is>
          <t>No</t>
        </is>
      </c>
      <c r="J133" t="inlineStr">
        <is>
          <t>Yes</t>
        </is>
      </c>
      <c r="K133" t="inlineStr">
        <is>
          <t>Asian</t>
        </is>
      </c>
      <c r="L133" s="3" t="n">
        <v>0</v>
      </c>
    </row>
    <row r="134">
      <c r="A134" s="1" t="n">
        <v>133</v>
      </c>
      <c r="B134" s="2" t="n">
        <v>23.283</v>
      </c>
      <c r="C134" s="3" t="n">
        <v>5443</v>
      </c>
      <c r="D134" s="1" t="n">
        <v>407</v>
      </c>
      <c r="E134" s="1" t="n">
        <v>4</v>
      </c>
      <c r="F134" s="1" t="n">
        <v>49</v>
      </c>
      <c r="G134" s="1" t="n">
        <v>13</v>
      </c>
      <c r="H134" t="inlineStr">
        <is>
          <t>Male</t>
        </is>
      </c>
      <c r="I134" t="inlineStr">
        <is>
          <t>No</t>
        </is>
      </c>
      <c r="J134" t="inlineStr">
        <is>
          <t>Yes</t>
        </is>
      </c>
      <c r="K134" t="inlineStr">
        <is>
          <t>African American</t>
        </is>
      </c>
      <c r="L134" s="3" t="n">
        <v>912</v>
      </c>
    </row>
    <row r="135">
      <c r="A135" s="1" t="n">
        <v>134</v>
      </c>
      <c r="B135" s="2" t="n">
        <v>21.455</v>
      </c>
      <c r="C135" s="3" t="n">
        <v>5829</v>
      </c>
      <c r="D135" s="1" t="n">
        <v>427</v>
      </c>
      <c r="E135" s="1" t="n">
        <v>4</v>
      </c>
      <c r="F135" s="1" t="n">
        <v>80</v>
      </c>
      <c r="G135" s="1" t="n">
        <v>12</v>
      </c>
      <c r="H135" t="inlineStr">
        <is>
          <t>Female</t>
        </is>
      </c>
      <c r="I135" t="inlineStr">
        <is>
          <t>No</t>
        </is>
      </c>
      <c r="J135" t="inlineStr">
        <is>
          <t>Yes</t>
        </is>
      </c>
      <c r="K135" t="inlineStr">
        <is>
          <t>African American</t>
        </is>
      </c>
      <c r="L135" s="3" t="n">
        <v>1018</v>
      </c>
    </row>
    <row r="136">
      <c r="A136" s="1" t="n">
        <v>135</v>
      </c>
      <c r="B136" s="2" t="n">
        <v>34.664</v>
      </c>
      <c r="C136" s="3" t="n">
        <v>5835</v>
      </c>
      <c r="D136" s="1" t="n">
        <v>452</v>
      </c>
      <c r="E136" s="1" t="n">
        <v>3</v>
      </c>
      <c r="F136" s="1" t="n">
        <v>77</v>
      </c>
      <c r="G136" s="1" t="n">
        <v>15</v>
      </c>
      <c r="H136" t="inlineStr">
        <is>
          <t>Female</t>
        </is>
      </c>
      <c r="I136" t="inlineStr">
        <is>
          <t>No</t>
        </is>
      </c>
      <c r="J136" t="inlineStr">
        <is>
          <t>Yes</t>
        </is>
      </c>
      <c r="K136" t="inlineStr">
        <is>
          <t>African American</t>
        </is>
      </c>
      <c r="L136" s="3" t="n">
        <v>835</v>
      </c>
    </row>
    <row r="137">
      <c r="A137" s="1" t="n">
        <v>136</v>
      </c>
      <c r="B137" s="2" t="n">
        <v>44.473</v>
      </c>
      <c r="C137" s="3" t="n">
        <v>3500</v>
      </c>
      <c r="D137" s="1" t="n">
        <v>257</v>
      </c>
      <c r="E137" s="1" t="n">
        <v>3</v>
      </c>
      <c r="F137" s="1" t="n">
        <v>81</v>
      </c>
      <c r="G137" s="1" t="n">
        <v>16</v>
      </c>
      <c r="H137" t="inlineStr">
        <is>
          <t>Female</t>
        </is>
      </c>
      <c r="I137" t="inlineStr">
        <is>
          <t>No</t>
        </is>
      </c>
      <c r="J137" t="inlineStr">
        <is>
          <t>No</t>
        </is>
      </c>
      <c r="K137" t="inlineStr">
        <is>
          <t>African American</t>
        </is>
      </c>
      <c r="L137" s="3" t="n">
        <v>8</v>
      </c>
    </row>
    <row r="138">
      <c r="A138" s="1" t="n">
        <v>137</v>
      </c>
      <c r="B138" s="2" t="n">
        <v>54.663</v>
      </c>
      <c r="C138" s="3" t="n">
        <v>4116</v>
      </c>
      <c r="D138" s="1" t="n">
        <v>314</v>
      </c>
      <c r="E138" s="1" t="n">
        <v>2</v>
      </c>
      <c r="F138" s="1" t="n">
        <v>70</v>
      </c>
      <c r="G138" s="1" t="n">
        <v>8</v>
      </c>
      <c r="H138" t="inlineStr">
        <is>
          <t>Female</t>
        </is>
      </c>
      <c r="I138" t="inlineStr">
        <is>
          <t>No</t>
        </is>
      </c>
      <c r="J138" t="inlineStr">
        <is>
          <t>No</t>
        </is>
      </c>
      <c r="K138" t="inlineStr">
        <is>
          <t>African American</t>
        </is>
      </c>
      <c r="L138" s="3" t="n">
        <v>75</v>
      </c>
    </row>
    <row r="139">
      <c r="A139" s="1" t="n">
        <v>138</v>
      </c>
      <c r="B139" s="2" t="n">
        <v>36.355</v>
      </c>
      <c r="C139" s="3" t="n">
        <v>3613</v>
      </c>
      <c r="D139" s="1" t="n">
        <v>278</v>
      </c>
      <c r="E139" s="1" t="n">
        <v>4</v>
      </c>
      <c r="F139" s="1" t="n">
        <v>35</v>
      </c>
      <c r="G139" s="1" t="n">
        <v>9</v>
      </c>
      <c r="H139" t="inlineStr">
        <is>
          <t>Male</t>
        </is>
      </c>
      <c r="I139" t="inlineStr">
        <is>
          <t>No</t>
        </is>
      </c>
      <c r="J139" t="inlineStr">
        <is>
          <t>Yes</t>
        </is>
      </c>
      <c r="K139" t="inlineStr">
        <is>
          <t>Asian</t>
        </is>
      </c>
      <c r="L139" s="3" t="n">
        <v>187</v>
      </c>
    </row>
    <row r="140">
      <c r="A140" s="1" t="n">
        <v>139</v>
      </c>
      <c r="B140" s="2" t="n">
        <v>21.374</v>
      </c>
      <c r="C140" s="3" t="n">
        <v>2073</v>
      </c>
      <c r="D140" s="1" t="n">
        <v>175</v>
      </c>
      <c r="E140" s="1" t="n">
        <v>2</v>
      </c>
      <c r="F140" s="1" t="n">
        <v>74</v>
      </c>
      <c r="G140" s="1" t="n">
        <v>11</v>
      </c>
      <c r="H140" t="inlineStr">
        <is>
          <t>Female</t>
        </is>
      </c>
      <c r="I140" t="inlineStr">
        <is>
          <t>No</t>
        </is>
      </c>
      <c r="J140" t="inlineStr">
        <is>
          <t>Yes</t>
        </is>
      </c>
      <c r="K140" t="inlineStr">
        <is>
          <t>Caucasian</t>
        </is>
      </c>
      <c r="L140" s="3" t="n">
        <v>0</v>
      </c>
    </row>
    <row r="141">
      <c r="A141" s="1" t="n">
        <v>140</v>
      </c>
      <c r="B141" s="2" t="n">
        <v>107.841</v>
      </c>
      <c r="C141" s="3" t="n">
        <v>10384</v>
      </c>
      <c r="D141" s="1" t="n">
        <v>728</v>
      </c>
      <c r="E141" s="1" t="n">
        <v>3</v>
      </c>
      <c r="F141" s="1" t="n">
        <v>87</v>
      </c>
      <c r="G141" s="1" t="n">
        <v>7</v>
      </c>
      <c r="H141" t="inlineStr">
        <is>
          <t>Male</t>
        </is>
      </c>
      <c r="I141" t="inlineStr">
        <is>
          <t>No</t>
        </is>
      </c>
      <c r="J141" t="inlineStr">
        <is>
          <t>No</t>
        </is>
      </c>
      <c r="K141" t="inlineStr">
        <is>
          <t>African American</t>
        </is>
      </c>
      <c r="L141" s="3" t="n">
        <v>1597</v>
      </c>
    </row>
    <row r="142">
      <c r="A142" s="1" t="n">
        <v>141</v>
      </c>
      <c r="B142" s="2" t="n">
        <v>39.831</v>
      </c>
      <c r="C142" s="3" t="n">
        <v>6045</v>
      </c>
      <c r="D142" s="1" t="n">
        <v>459</v>
      </c>
      <c r="E142" s="1" t="n">
        <v>3</v>
      </c>
      <c r="F142" s="1" t="n">
        <v>32</v>
      </c>
      <c r="G142" s="1" t="n">
        <v>12</v>
      </c>
      <c r="H142" t="inlineStr">
        <is>
          <t>Female</t>
        </is>
      </c>
      <c r="I142" t="inlineStr">
        <is>
          <t>Yes</t>
        </is>
      </c>
      <c r="J142" t="inlineStr">
        <is>
          <t>Yes</t>
        </is>
      </c>
      <c r="K142" t="inlineStr">
        <is>
          <t>African American</t>
        </is>
      </c>
      <c r="L142" s="3" t="n">
        <v>1425</v>
      </c>
    </row>
    <row r="143">
      <c r="A143" s="1" t="n">
        <v>142</v>
      </c>
      <c r="B143" s="2" t="n">
        <v>91.876</v>
      </c>
      <c r="C143" s="3" t="n">
        <v>6754</v>
      </c>
      <c r="D143" s="1" t="n">
        <v>483</v>
      </c>
      <c r="E143" s="1" t="n">
        <v>2</v>
      </c>
      <c r="F143" s="1" t="n">
        <v>33</v>
      </c>
      <c r="G143" s="1" t="n">
        <v>10</v>
      </c>
      <c r="H143" t="inlineStr">
        <is>
          <t>Male</t>
        </is>
      </c>
      <c r="I143" t="inlineStr">
        <is>
          <t>No</t>
        </is>
      </c>
      <c r="J143" t="inlineStr">
        <is>
          <t>Yes</t>
        </is>
      </c>
      <c r="K143" t="inlineStr">
        <is>
          <t>Caucasian</t>
        </is>
      </c>
      <c r="L143" s="3" t="n">
        <v>605</v>
      </c>
    </row>
    <row r="144">
      <c r="A144" s="1" t="n">
        <v>143</v>
      </c>
      <c r="B144" s="2" t="n">
        <v>103.893</v>
      </c>
      <c r="C144" s="3" t="n">
        <v>7416</v>
      </c>
      <c r="D144" s="1" t="n">
        <v>549</v>
      </c>
      <c r="E144" s="1" t="n">
        <v>3</v>
      </c>
      <c r="F144" s="1" t="n">
        <v>84</v>
      </c>
      <c r="G144" s="1" t="n">
        <v>17</v>
      </c>
      <c r="H144" t="inlineStr">
        <is>
          <t>Male</t>
        </is>
      </c>
      <c r="I144" t="inlineStr">
        <is>
          <t>No</t>
        </is>
      </c>
      <c r="J144" t="inlineStr">
        <is>
          <t>No</t>
        </is>
      </c>
      <c r="K144" t="inlineStr">
        <is>
          <t>Asian</t>
        </is>
      </c>
      <c r="L144" s="3" t="n">
        <v>669</v>
      </c>
    </row>
    <row r="145">
      <c r="A145" s="1" t="n">
        <v>144</v>
      </c>
      <c r="B145" s="2" t="n">
        <v>19.636</v>
      </c>
      <c r="C145" s="3" t="n">
        <v>4896</v>
      </c>
      <c r="D145" s="1" t="n">
        <v>387</v>
      </c>
      <c r="E145" s="1" t="n">
        <v>3</v>
      </c>
      <c r="F145" s="1" t="n">
        <v>64</v>
      </c>
      <c r="G145" s="1" t="n">
        <v>10</v>
      </c>
      <c r="H145" t="inlineStr">
        <is>
          <t>Female</t>
        </is>
      </c>
      <c r="I145" t="inlineStr">
        <is>
          <t>No</t>
        </is>
      </c>
      <c r="J145" t="inlineStr">
        <is>
          <t>No</t>
        </is>
      </c>
      <c r="K145" t="inlineStr">
        <is>
          <t>African American</t>
        </is>
      </c>
      <c r="L145" s="3" t="n">
        <v>710</v>
      </c>
    </row>
    <row r="146">
      <c r="A146" s="1" t="n">
        <v>145</v>
      </c>
      <c r="B146" s="2" t="n">
        <v>17.392</v>
      </c>
      <c r="C146" s="3" t="n">
        <v>2748</v>
      </c>
      <c r="D146" s="1" t="n">
        <v>228</v>
      </c>
      <c r="E146" s="1" t="n">
        <v>3</v>
      </c>
      <c r="F146" s="1" t="n">
        <v>32</v>
      </c>
      <c r="G146" s="1" t="n">
        <v>14</v>
      </c>
      <c r="H146" t="inlineStr">
        <is>
          <t>Male</t>
        </is>
      </c>
      <c r="I146" t="inlineStr">
        <is>
          <t>No</t>
        </is>
      </c>
      <c r="J146" t="inlineStr">
        <is>
          <t>Yes</t>
        </is>
      </c>
      <c r="K146" t="inlineStr">
        <is>
          <t>Caucasian</t>
        </is>
      </c>
      <c r="L146" s="3" t="n">
        <v>68</v>
      </c>
    </row>
    <row r="147">
      <c r="A147" s="1" t="n">
        <v>146</v>
      </c>
      <c r="B147" s="2" t="n">
        <v>19.529</v>
      </c>
      <c r="C147" s="3" t="n">
        <v>4673</v>
      </c>
      <c r="D147" s="1" t="n">
        <v>341</v>
      </c>
      <c r="E147" s="1" t="n">
        <v>2</v>
      </c>
      <c r="F147" s="1" t="n">
        <v>51</v>
      </c>
      <c r="G147" s="1" t="n">
        <v>14</v>
      </c>
      <c r="H147" t="inlineStr">
        <is>
          <t>Male</t>
        </is>
      </c>
      <c r="I147" t="inlineStr">
        <is>
          <t>No</t>
        </is>
      </c>
      <c r="J147" t="inlineStr">
        <is>
          <t>No</t>
        </is>
      </c>
      <c r="K147" t="inlineStr">
        <is>
          <t>Asian</t>
        </is>
      </c>
      <c r="L147" s="3" t="n">
        <v>642</v>
      </c>
    </row>
    <row r="148">
      <c r="A148" s="1" t="n">
        <v>147</v>
      </c>
      <c r="B148" s="2" t="n">
        <v>17.055</v>
      </c>
      <c r="C148" s="3" t="n">
        <v>5110</v>
      </c>
      <c r="D148" s="1" t="n">
        <v>371</v>
      </c>
      <c r="E148" s="1" t="n">
        <v>3</v>
      </c>
      <c r="F148" s="1" t="n">
        <v>55</v>
      </c>
      <c r="G148" s="1" t="n">
        <v>15</v>
      </c>
      <c r="H148" t="inlineStr">
        <is>
          <t>Female</t>
        </is>
      </c>
      <c r="I148" t="inlineStr">
        <is>
          <t>No</t>
        </is>
      </c>
      <c r="J148" t="inlineStr">
        <is>
          <t>Yes</t>
        </is>
      </c>
      <c r="K148" t="inlineStr">
        <is>
          <t>Caucasian</t>
        </is>
      </c>
      <c r="L148" s="3" t="n">
        <v>805</v>
      </c>
    </row>
    <row r="149">
      <c r="A149" s="1" t="n">
        <v>148</v>
      </c>
      <c r="B149" s="2" t="n">
        <v>23.857</v>
      </c>
      <c r="C149" s="3" t="n">
        <v>1501</v>
      </c>
      <c r="D149" s="1" t="n">
        <v>150</v>
      </c>
      <c r="E149" s="1" t="n">
        <v>3</v>
      </c>
      <c r="F149" s="1" t="n">
        <v>56</v>
      </c>
      <c r="G149" s="1" t="n">
        <v>16</v>
      </c>
      <c r="H149" t="inlineStr">
        <is>
          <t>Male</t>
        </is>
      </c>
      <c r="I149" t="inlineStr">
        <is>
          <t>No</t>
        </is>
      </c>
      <c r="J149" t="inlineStr">
        <is>
          <t>Yes</t>
        </is>
      </c>
      <c r="K149" t="inlineStr">
        <is>
          <t>Caucasian</t>
        </is>
      </c>
      <c r="L149" s="3" t="n">
        <v>0</v>
      </c>
    </row>
    <row r="150">
      <c r="A150" s="1" t="n">
        <v>149</v>
      </c>
      <c r="B150" s="2" t="n">
        <v>15.184</v>
      </c>
      <c r="C150" s="3" t="n">
        <v>2420</v>
      </c>
      <c r="D150" s="1" t="n">
        <v>192</v>
      </c>
      <c r="E150" s="1" t="n">
        <v>2</v>
      </c>
      <c r="F150" s="1" t="n">
        <v>69</v>
      </c>
      <c r="G150" s="1" t="n">
        <v>11</v>
      </c>
      <c r="H150" t="inlineStr">
        <is>
          <t>Female</t>
        </is>
      </c>
      <c r="I150" t="inlineStr">
        <is>
          <t>No</t>
        </is>
      </c>
      <c r="J150" t="inlineStr">
        <is>
          <t>Yes</t>
        </is>
      </c>
      <c r="K150" t="inlineStr">
        <is>
          <t>Caucasian</t>
        </is>
      </c>
      <c r="L150" s="3" t="n">
        <v>0</v>
      </c>
    </row>
    <row r="151">
      <c r="A151" s="1" t="n">
        <v>150</v>
      </c>
      <c r="B151" s="2" t="n">
        <v>13.444</v>
      </c>
      <c r="C151" s="3" t="n">
        <v>886</v>
      </c>
      <c r="D151" s="1" t="n">
        <v>121</v>
      </c>
      <c r="E151" s="1" t="n">
        <v>5</v>
      </c>
      <c r="F151" s="1" t="n">
        <v>44</v>
      </c>
      <c r="G151" s="1" t="n">
        <v>10</v>
      </c>
      <c r="H151" t="inlineStr">
        <is>
          <t>Male</t>
        </is>
      </c>
      <c r="I151" t="inlineStr">
        <is>
          <t>No</t>
        </is>
      </c>
      <c r="J151" t="inlineStr">
        <is>
          <t>Yes</t>
        </is>
      </c>
      <c r="K151" t="inlineStr">
        <is>
          <t>Asian</t>
        </is>
      </c>
      <c r="L151" s="3" t="n">
        <v>0</v>
      </c>
    </row>
    <row r="152">
      <c r="A152" s="1" t="n">
        <v>151</v>
      </c>
      <c r="B152" s="2" t="n">
        <v>63.931</v>
      </c>
      <c r="C152" s="3" t="n">
        <v>5728</v>
      </c>
      <c r="D152" s="1" t="n">
        <v>435</v>
      </c>
      <c r="E152" s="1" t="n">
        <v>3</v>
      </c>
      <c r="F152" s="1" t="n">
        <v>28</v>
      </c>
      <c r="G152" s="1" t="n">
        <v>14</v>
      </c>
      <c r="H152" t="inlineStr">
        <is>
          <t>Female</t>
        </is>
      </c>
      <c r="I152" t="inlineStr">
        <is>
          <t>No</t>
        </is>
      </c>
      <c r="J152" t="inlineStr">
        <is>
          <t>Yes</t>
        </is>
      </c>
      <c r="K152" t="inlineStr">
        <is>
          <t>African American</t>
        </is>
      </c>
      <c r="L152" s="3" t="n">
        <v>581</v>
      </c>
    </row>
    <row r="153">
      <c r="A153" s="1" t="n">
        <v>152</v>
      </c>
      <c r="B153" s="2" t="n">
        <v>35.864</v>
      </c>
      <c r="C153" s="3" t="n">
        <v>4831</v>
      </c>
      <c r="D153" s="1" t="n">
        <v>353</v>
      </c>
      <c r="E153" s="1" t="n">
        <v>3</v>
      </c>
      <c r="F153" s="1" t="n">
        <v>66</v>
      </c>
      <c r="G153" s="1" t="n">
        <v>13</v>
      </c>
      <c r="H153" t="inlineStr">
        <is>
          <t>Female</t>
        </is>
      </c>
      <c r="I153" t="inlineStr">
        <is>
          <t>No</t>
        </is>
      </c>
      <c r="J153" t="inlineStr">
        <is>
          <t>Yes</t>
        </is>
      </c>
      <c r="K153" t="inlineStr">
        <is>
          <t>Caucasian</t>
        </is>
      </c>
      <c r="L153" s="3" t="n">
        <v>534</v>
      </c>
    </row>
    <row r="154">
      <c r="A154" s="1" t="n">
        <v>153</v>
      </c>
      <c r="B154" s="2" t="n">
        <v>41.419</v>
      </c>
      <c r="C154" s="3" t="n">
        <v>2120</v>
      </c>
      <c r="D154" s="1" t="n">
        <v>184</v>
      </c>
      <c r="E154" s="1" t="n">
        <v>4</v>
      </c>
      <c r="F154" s="1" t="n">
        <v>24</v>
      </c>
      <c r="G154" s="1" t="n">
        <v>11</v>
      </c>
      <c r="H154" t="inlineStr">
        <is>
          <t>Female</t>
        </is>
      </c>
      <c r="I154" t="inlineStr">
        <is>
          <t>Yes</t>
        </is>
      </c>
      <c r="J154" t="inlineStr">
        <is>
          <t>No</t>
        </is>
      </c>
      <c r="K154" t="inlineStr">
        <is>
          <t>Caucasian</t>
        </is>
      </c>
      <c r="L154" s="3" t="n">
        <v>156</v>
      </c>
    </row>
    <row r="155">
      <c r="A155" s="1" t="n">
        <v>154</v>
      </c>
      <c r="B155" s="2" t="n">
        <v>92.11199999999999</v>
      </c>
      <c r="C155" s="3" t="n">
        <v>4612</v>
      </c>
      <c r="D155" s="1" t="n">
        <v>344</v>
      </c>
      <c r="E155" s="1" t="n">
        <v>3</v>
      </c>
      <c r="F155" s="1" t="n">
        <v>32</v>
      </c>
      <c r="G155" s="1" t="n">
        <v>17</v>
      </c>
      <c r="H155" t="inlineStr">
        <is>
          <t>Male</t>
        </is>
      </c>
      <c r="I155" t="inlineStr">
        <is>
          <t>No</t>
        </is>
      </c>
      <c r="J155" t="inlineStr">
        <is>
          <t>No</t>
        </is>
      </c>
      <c r="K155" t="inlineStr">
        <is>
          <t>Caucasian</t>
        </is>
      </c>
      <c r="L155" s="3" t="n">
        <v>0</v>
      </c>
    </row>
    <row r="156">
      <c r="A156" s="1" t="n">
        <v>155</v>
      </c>
      <c r="B156" s="2" t="n">
        <v>55.056</v>
      </c>
      <c r="C156" s="3" t="n">
        <v>3155</v>
      </c>
      <c r="D156" s="1" t="n">
        <v>235</v>
      </c>
      <c r="E156" s="1" t="n">
        <v>2</v>
      </c>
      <c r="F156" s="1" t="n">
        <v>31</v>
      </c>
      <c r="G156" s="1" t="n">
        <v>16</v>
      </c>
      <c r="H156" t="inlineStr">
        <is>
          <t>Male</t>
        </is>
      </c>
      <c r="I156" t="inlineStr">
        <is>
          <t>No</t>
        </is>
      </c>
      <c r="J156" t="inlineStr">
        <is>
          <t>Yes</t>
        </is>
      </c>
      <c r="K156" t="inlineStr">
        <is>
          <t>African American</t>
        </is>
      </c>
      <c r="L156" s="3" t="n">
        <v>0</v>
      </c>
    </row>
    <row r="157">
      <c r="A157" s="1" t="n">
        <v>156</v>
      </c>
      <c r="B157" s="2" t="n">
        <v>19.537</v>
      </c>
      <c r="C157" s="3" t="n">
        <v>1362</v>
      </c>
      <c r="D157" s="1" t="n">
        <v>143</v>
      </c>
      <c r="E157" s="1" t="n">
        <v>4</v>
      </c>
      <c r="F157" s="1" t="n">
        <v>34</v>
      </c>
      <c r="G157" s="1" t="n">
        <v>9</v>
      </c>
      <c r="H157" t="inlineStr">
        <is>
          <t>Female</t>
        </is>
      </c>
      <c r="I157" t="inlineStr">
        <is>
          <t>No</t>
        </is>
      </c>
      <c r="J157" t="inlineStr">
        <is>
          <t>Yes</t>
        </is>
      </c>
      <c r="K157" t="inlineStr">
        <is>
          <t>Asian</t>
        </is>
      </c>
      <c r="L157" s="3" t="n">
        <v>0</v>
      </c>
    </row>
    <row r="158">
      <c r="A158" s="1" t="n">
        <v>157</v>
      </c>
      <c r="B158" s="2" t="n">
        <v>31.811</v>
      </c>
      <c r="C158" s="3" t="n">
        <v>4284</v>
      </c>
      <c r="D158" s="1" t="n">
        <v>338</v>
      </c>
      <c r="E158" s="1" t="n">
        <v>5</v>
      </c>
      <c r="F158" s="1" t="n">
        <v>75</v>
      </c>
      <c r="G158" s="1" t="n">
        <v>13</v>
      </c>
      <c r="H158" t="inlineStr">
        <is>
          <t>Female</t>
        </is>
      </c>
      <c r="I158" t="inlineStr">
        <is>
          <t>No</t>
        </is>
      </c>
      <c r="J158" t="inlineStr">
        <is>
          <t>Yes</t>
        </is>
      </c>
      <c r="K158" t="inlineStr">
        <is>
          <t>Caucasian</t>
        </is>
      </c>
      <c r="L158" s="3" t="n">
        <v>429</v>
      </c>
    </row>
    <row r="159">
      <c r="A159" s="1" t="n">
        <v>158</v>
      </c>
      <c r="B159" s="2" t="n">
        <v>56.256</v>
      </c>
      <c r="C159" s="3" t="n">
        <v>5521</v>
      </c>
      <c r="D159" s="1" t="n">
        <v>406</v>
      </c>
      <c r="E159" s="1" t="n">
        <v>2</v>
      </c>
      <c r="F159" s="1" t="n">
        <v>72</v>
      </c>
      <c r="G159" s="1" t="n">
        <v>16</v>
      </c>
      <c r="H159" t="inlineStr">
        <is>
          <t>Female</t>
        </is>
      </c>
      <c r="I159" t="inlineStr">
        <is>
          <t>Yes</t>
        </is>
      </c>
      <c r="J159" t="inlineStr">
        <is>
          <t>Yes</t>
        </is>
      </c>
      <c r="K159" t="inlineStr">
        <is>
          <t>Caucasian</t>
        </is>
      </c>
      <c r="L159" s="3" t="n">
        <v>1020</v>
      </c>
    </row>
    <row r="160">
      <c r="A160" s="1" t="n">
        <v>159</v>
      </c>
      <c r="B160" s="2" t="n">
        <v>42.357</v>
      </c>
      <c r="C160" s="3" t="n">
        <v>5550</v>
      </c>
      <c r="D160" s="1" t="n">
        <v>406</v>
      </c>
      <c r="E160" s="1" t="n">
        <v>2</v>
      </c>
      <c r="F160" s="1" t="n">
        <v>83</v>
      </c>
      <c r="G160" s="1" t="n">
        <v>12</v>
      </c>
      <c r="H160" t="inlineStr">
        <is>
          <t>Female</t>
        </is>
      </c>
      <c r="I160" t="inlineStr">
        <is>
          <t>No</t>
        </is>
      </c>
      <c r="J160" t="inlineStr">
        <is>
          <t>Yes</t>
        </is>
      </c>
      <c r="K160" t="inlineStr">
        <is>
          <t>Asian</t>
        </is>
      </c>
      <c r="L160" s="3" t="n">
        <v>653</v>
      </c>
    </row>
    <row r="161">
      <c r="A161" s="1" t="n">
        <v>160</v>
      </c>
      <c r="B161" s="2" t="n">
        <v>53.319</v>
      </c>
      <c r="C161" s="3" t="n">
        <v>3000</v>
      </c>
      <c r="D161" s="1" t="n">
        <v>235</v>
      </c>
      <c r="E161" s="1" t="n">
        <v>3</v>
      </c>
      <c r="F161" s="1" t="n">
        <v>53</v>
      </c>
      <c r="G161" s="1" t="n">
        <v>13</v>
      </c>
      <c r="H161" t="inlineStr">
        <is>
          <t>Male</t>
        </is>
      </c>
      <c r="I161" t="inlineStr">
        <is>
          <t>No</t>
        </is>
      </c>
      <c r="J161" t="inlineStr">
        <is>
          <t>No</t>
        </is>
      </c>
      <c r="K161" t="inlineStr">
        <is>
          <t>Asian</t>
        </is>
      </c>
      <c r="L161" s="3" t="n">
        <v>0</v>
      </c>
    </row>
    <row r="162">
      <c r="A162" s="1" t="n">
        <v>161</v>
      </c>
      <c r="B162" s="2" t="n">
        <v>12.238</v>
      </c>
      <c r="C162" s="3" t="n">
        <v>4865</v>
      </c>
      <c r="D162" s="1" t="n">
        <v>381</v>
      </c>
      <c r="E162" s="1" t="n">
        <v>5</v>
      </c>
      <c r="F162" s="1" t="n">
        <v>67</v>
      </c>
      <c r="G162" s="1" t="n">
        <v>11</v>
      </c>
      <c r="H162" t="inlineStr">
        <is>
          <t>Female</t>
        </is>
      </c>
      <c r="I162" t="inlineStr">
        <is>
          <t>No</t>
        </is>
      </c>
      <c r="J162" t="inlineStr">
        <is>
          <t>No</t>
        </is>
      </c>
      <c r="K162" t="inlineStr">
        <is>
          <t>Caucasian</t>
        </is>
      </c>
      <c r="L162" s="3" t="n">
        <v>836</v>
      </c>
    </row>
    <row r="163">
      <c r="A163" s="1" t="n">
        <v>162</v>
      </c>
      <c r="B163" s="2" t="n">
        <v>31.353</v>
      </c>
      <c r="C163" s="3" t="n">
        <v>1705</v>
      </c>
      <c r="D163" s="1" t="n">
        <v>160</v>
      </c>
      <c r="E163" s="1" t="n">
        <v>3</v>
      </c>
      <c r="F163" s="1" t="n">
        <v>81</v>
      </c>
      <c r="G163" s="1" t="n">
        <v>14</v>
      </c>
      <c r="H163" t="inlineStr">
        <is>
          <t>Male</t>
        </is>
      </c>
      <c r="I163" t="inlineStr">
        <is>
          <t>No</t>
        </is>
      </c>
      <c r="J163" t="inlineStr">
        <is>
          <t>Yes</t>
        </is>
      </c>
      <c r="K163" t="inlineStr">
        <is>
          <t>Caucasian</t>
        </is>
      </c>
      <c r="L163" s="3" t="n">
        <v>0</v>
      </c>
    </row>
    <row r="164">
      <c r="A164" s="1" t="n">
        <v>163</v>
      </c>
      <c r="B164" s="2" t="n">
        <v>63.809</v>
      </c>
      <c r="C164" s="3" t="n">
        <v>7530</v>
      </c>
      <c r="D164" s="1" t="n">
        <v>515</v>
      </c>
      <c r="E164" s="1" t="n">
        <v>1</v>
      </c>
      <c r="F164" s="1" t="n">
        <v>56</v>
      </c>
      <c r="G164" s="1" t="n">
        <v>12</v>
      </c>
      <c r="H164" t="inlineStr">
        <is>
          <t>Male</t>
        </is>
      </c>
      <c r="I164" t="inlineStr">
        <is>
          <t>No</t>
        </is>
      </c>
      <c r="J164" t="inlineStr">
        <is>
          <t>Yes</t>
        </is>
      </c>
      <c r="K164" t="inlineStr">
        <is>
          <t>Caucasian</t>
        </is>
      </c>
      <c r="L164" s="3" t="n">
        <v>1086</v>
      </c>
    </row>
    <row r="165">
      <c r="A165" s="1" t="n">
        <v>164</v>
      </c>
      <c r="B165" s="2" t="n">
        <v>13.676</v>
      </c>
      <c r="C165" s="3" t="n">
        <v>2330</v>
      </c>
      <c r="D165" s="1" t="n">
        <v>203</v>
      </c>
      <c r="E165" s="1" t="n">
        <v>5</v>
      </c>
      <c r="F165" s="1" t="n">
        <v>80</v>
      </c>
      <c r="G165" s="1" t="n">
        <v>16</v>
      </c>
      <c r="H165" t="inlineStr">
        <is>
          <t>Female</t>
        </is>
      </c>
      <c r="I165" t="inlineStr">
        <is>
          <t>No</t>
        </is>
      </c>
      <c r="J165" t="inlineStr">
        <is>
          <t>No</t>
        </is>
      </c>
      <c r="K165" t="inlineStr">
        <is>
          <t>African American</t>
        </is>
      </c>
      <c r="L165" s="3" t="n">
        <v>0</v>
      </c>
    </row>
    <row r="166">
      <c r="A166" s="1" t="n">
        <v>165</v>
      </c>
      <c r="B166" s="2" t="n">
        <v>76.782</v>
      </c>
      <c r="C166" s="3" t="n">
        <v>5977</v>
      </c>
      <c r="D166" s="1" t="n">
        <v>429</v>
      </c>
      <c r="E166" s="1" t="n">
        <v>4</v>
      </c>
      <c r="F166" s="1" t="n">
        <v>44</v>
      </c>
      <c r="G166" s="1" t="n">
        <v>12</v>
      </c>
      <c r="H166" t="inlineStr">
        <is>
          <t>Male</t>
        </is>
      </c>
      <c r="I166" t="inlineStr">
        <is>
          <t>No</t>
        </is>
      </c>
      <c r="J166" t="inlineStr">
        <is>
          <t>Yes</t>
        </is>
      </c>
      <c r="K166" t="inlineStr">
        <is>
          <t>Asian</t>
        </is>
      </c>
      <c r="L166" s="3" t="n">
        <v>548</v>
      </c>
    </row>
    <row r="167">
      <c r="A167" s="1" t="n">
        <v>166</v>
      </c>
      <c r="B167" s="2" t="n">
        <v>25.383</v>
      </c>
      <c r="C167" s="3" t="n">
        <v>4527</v>
      </c>
      <c r="D167" s="1" t="n">
        <v>367</v>
      </c>
      <c r="E167" s="1" t="n">
        <v>4</v>
      </c>
      <c r="F167" s="1" t="n">
        <v>46</v>
      </c>
      <c r="G167" s="1" t="n">
        <v>11</v>
      </c>
      <c r="H167" t="inlineStr">
        <is>
          <t>Male</t>
        </is>
      </c>
      <c r="I167" t="inlineStr">
        <is>
          <t>No</t>
        </is>
      </c>
      <c r="J167" t="inlineStr">
        <is>
          <t>Yes</t>
        </is>
      </c>
      <c r="K167" t="inlineStr">
        <is>
          <t>Caucasian</t>
        </is>
      </c>
      <c r="L167" s="3" t="n">
        <v>570</v>
      </c>
    </row>
    <row r="168">
      <c r="A168" s="1" t="n">
        <v>167</v>
      </c>
      <c r="B168" s="2" t="n">
        <v>35.691</v>
      </c>
      <c r="C168" s="3" t="n">
        <v>2880</v>
      </c>
      <c r="D168" s="1" t="n">
        <v>214</v>
      </c>
      <c r="E168" s="1" t="n">
        <v>2</v>
      </c>
      <c r="F168" s="1" t="n">
        <v>35</v>
      </c>
      <c r="G168" s="1" t="n">
        <v>15</v>
      </c>
      <c r="H168" t="inlineStr">
        <is>
          <t>Male</t>
        </is>
      </c>
      <c r="I168" t="inlineStr">
        <is>
          <t>No</t>
        </is>
      </c>
      <c r="J168" t="inlineStr">
        <is>
          <t>No</t>
        </is>
      </c>
      <c r="K168" t="inlineStr">
        <is>
          <t>African American</t>
        </is>
      </c>
      <c r="L168" s="3" t="n">
        <v>0</v>
      </c>
    </row>
    <row r="169">
      <c r="A169" s="1" t="n">
        <v>168</v>
      </c>
      <c r="B169" s="2" t="n">
        <v>29.403</v>
      </c>
      <c r="C169" s="3" t="n">
        <v>2327</v>
      </c>
      <c r="D169" s="1" t="n">
        <v>178</v>
      </c>
      <c r="E169" s="1" t="n">
        <v>1</v>
      </c>
      <c r="F169" s="1" t="n">
        <v>37</v>
      </c>
      <c r="G169" s="1" t="n">
        <v>14</v>
      </c>
      <c r="H169" t="inlineStr">
        <is>
          <t>Female</t>
        </is>
      </c>
      <c r="I169" t="inlineStr">
        <is>
          <t>No</t>
        </is>
      </c>
      <c r="J169" t="inlineStr">
        <is>
          <t>Yes</t>
        </is>
      </c>
      <c r="K169" t="inlineStr">
        <is>
          <t>Caucasian</t>
        </is>
      </c>
      <c r="L169" s="3" t="n">
        <v>0</v>
      </c>
    </row>
    <row r="170">
      <c r="A170" s="1" t="n">
        <v>169</v>
      </c>
      <c r="B170" s="2" t="n">
        <v>27.47</v>
      </c>
      <c r="C170" s="3" t="n">
        <v>2820</v>
      </c>
      <c r="D170" s="1" t="n">
        <v>219</v>
      </c>
      <c r="E170" s="1" t="n">
        <v>1</v>
      </c>
      <c r="F170" s="1" t="n">
        <v>32</v>
      </c>
      <c r="G170" s="1" t="n">
        <v>11</v>
      </c>
      <c r="H170" t="inlineStr">
        <is>
          <t>Female</t>
        </is>
      </c>
      <c r="I170" t="inlineStr">
        <is>
          <t>No</t>
        </is>
      </c>
      <c r="J170" t="inlineStr">
        <is>
          <t>Yes</t>
        </is>
      </c>
      <c r="K170" t="inlineStr">
        <is>
          <t>Asian</t>
        </is>
      </c>
      <c r="L170" s="3" t="n">
        <v>0</v>
      </c>
    </row>
    <row r="171">
      <c r="A171" s="1" t="n">
        <v>170</v>
      </c>
      <c r="B171" s="2" t="n">
        <v>27.33</v>
      </c>
      <c r="C171" s="3" t="n">
        <v>6179</v>
      </c>
      <c r="D171" s="1" t="n">
        <v>459</v>
      </c>
      <c r="E171" s="1" t="n">
        <v>4</v>
      </c>
      <c r="F171" s="1" t="n">
        <v>36</v>
      </c>
      <c r="G171" s="1" t="n">
        <v>12</v>
      </c>
      <c r="H171" t="inlineStr">
        <is>
          <t>Female</t>
        </is>
      </c>
      <c r="I171" t="inlineStr">
        <is>
          <t>No</t>
        </is>
      </c>
      <c r="J171" t="inlineStr">
        <is>
          <t>Yes</t>
        </is>
      </c>
      <c r="K171" t="inlineStr">
        <is>
          <t>Caucasian</t>
        </is>
      </c>
      <c r="L171" s="3" t="n">
        <v>1099</v>
      </c>
    </row>
    <row r="172">
      <c r="A172" s="1" t="n">
        <v>171</v>
      </c>
      <c r="B172" s="2" t="n">
        <v>34.772</v>
      </c>
      <c r="C172" s="3" t="n">
        <v>2021</v>
      </c>
      <c r="D172" s="1" t="n">
        <v>167</v>
      </c>
      <c r="E172" s="1" t="n">
        <v>3</v>
      </c>
      <c r="F172" s="1" t="n">
        <v>57</v>
      </c>
      <c r="G172" s="1" t="n">
        <v>9</v>
      </c>
      <c r="H172" t="inlineStr">
        <is>
          <t>Male</t>
        </is>
      </c>
      <c r="I172" t="inlineStr">
        <is>
          <t>No</t>
        </is>
      </c>
      <c r="J172" t="inlineStr">
        <is>
          <t>No</t>
        </is>
      </c>
      <c r="K172" t="inlineStr">
        <is>
          <t>Asian</t>
        </is>
      </c>
      <c r="L172" s="3" t="n">
        <v>0</v>
      </c>
    </row>
    <row r="173">
      <c r="A173" s="1" t="n">
        <v>172</v>
      </c>
      <c r="B173" s="2" t="n">
        <v>36.934</v>
      </c>
      <c r="C173" s="3" t="n">
        <v>4270</v>
      </c>
      <c r="D173" s="1" t="n">
        <v>299</v>
      </c>
      <c r="E173" s="1" t="n">
        <v>1</v>
      </c>
      <c r="F173" s="1" t="n">
        <v>63</v>
      </c>
      <c r="G173" s="1" t="n">
        <v>9</v>
      </c>
      <c r="H173" t="inlineStr">
        <is>
          <t>Female</t>
        </is>
      </c>
      <c r="I173" t="inlineStr">
        <is>
          <t>No</t>
        </is>
      </c>
      <c r="J173" t="inlineStr">
        <is>
          <t>Yes</t>
        </is>
      </c>
      <c r="K173" t="inlineStr">
        <is>
          <t>Caucasian</t>
        </is>
      </c>
      <c r="L173" s="3" t="n">
        <v>283</v>
      </c>
    </row>
    <row r="174">
      <c r="A174" s="1" t="n">
        <v>173</v>
      </c>
      <c r="B174" s="2" t="n">
        <v>76.348</v>
      </c>
      <c r="C174" s="3" t="n">
        <v>4697</v>
      </c>
      <c r="D174" s="1" t="n">
        <v>344</v>
      </c>
      <c r="E174" s="1" t="n">
        <v>4</v>
      </c>
      <c r="F174" s="1" t="n">
        <v>60</v>
      </c>
      <c r="G174" s="1" t="n">
        <v>18</v>
      </c>
      <c r="H174" t="inlineStr">
        <is>
          <t>Male</t>
        </is>
      </c>
      <c r="I174" t="inlineStr">
        <is>
          <t>No</t>
        </is>
      </c>
      <c r="J174" t="inlineStr">
        <is>
          <t>No</t>
        </is>
      </c>
      <c r="K174" t="inlineStr">
        <is>
          <t>Asian</t>
        </is>
      </c>
      <c r="L174" s="3" t="n">
        <v>108</v>
      </c>
    </row>
    <row r="175">
      <c r="A175" s="1" t="n">
        <v>174</v>
      </c>
      <c r="B175" s="2" t="n">
        <v>14.887</v>
      </c>
      <c r="C175" s="3" t="n">
        <v>4745</v>
      </c>
      <c r="D175" s="1" t="n">
        <v>339</v>
      </c>
      <c r="E175" s="1" t="n">
        <v>3</v>
      </c>
      <c r="F175" s="1" t="n">
        <v>58</v>
      </c>
      <c r="G175" s="1" t="n">
        <v>12</v>
      </c>
      <c r="H175" t="inlineStr">
        <is>
          <t>Male</t>
        </is>
      </c>
      <c r="I175" t="inlineStr">
        <is>
          <t>No</t>
        </is>
      </c>
      <c r="J175" t="inlineStr">
        <is>
          <t>Yes</t>
        </is>
      </c>
      <c r="K175" t="inlineStr">
        <is>
          <t>African American</t>
        </is>
      </c>
      <c r="L175" s="3" t="n">
        <v>724</v>
      </c>
    </row>
    <row r="176">
      <c r="A176" s="1" t="n">
        <v>175</v>
      </c>
      <c r="B176" s="2" t="n">
        <v>121.834</v>
      </c>
      <c r="C176" s="3" t="n">
        <v>10673</v>
      </c>
      <c r="D176" s="1" t="n">
        <v>750</v>
      </c>
      <c r="E176" s="1" t="n">
        <v>3</v>
      </c>
      <c r="F176" s="1" t="n">
        <v>54</v>
      </c>
      <c r="G176" s="1" t="n">
        <v>16</v>
      </c>
      <c r="H176" t="inlineStr">
        <is>
          <t>Male</t>
        </is>
      </c>
      <c r="I176" t="inlineStr">
        <is>
          <t>No</t>
        </is>
      </c>
      <c r="J176" t="inlineStr">
        <is>
          <t>No</t>
        </is>
      </c>
      <c r="K176" t="inlineStr">
        <is>
          <t>African American</t>
        </is>
      </c>
      <c r="L176" s="3" t="n">
        <v>1573</v>
      </c>
    </row>
    <row r="177">
      <c r="A177" s="1" t="n">
        <v>176</v>
      </c>
      <c r="B177" s="2" t="n">
        <v>30.132</v>
      </c>
      <c r="C177" s="3" t="n">
        <v>2168</v>
      </c>
      <c r="D177" s="1" t="n">
        <v>206</v>
      </c>
      <c r="E177" s="1" t="n">
        <v>3</v>
      </c>
      <c r="F177" s="1" t="n">
        <v>52</v>
      </c>
      <c r="G177" s="1" t="n">
        <v>17</v>
      </c>
      <c r="H177" t="inlineStr">
        <is>
          <t>Male</t>
        </is>
      </c>
      <c r="I177" t="inlineStr">
        <is>
          <t>No</t>
        </is>
      </c>
      <c r="J177" t="inlineStr">
        <is>
          <t>No</t>
        </is>
      </c>
      <c r="K177" t="inlineStr">
        <is>
          <t>Caucasian</t>
        </is>
      </c>
      <c r="L177" s="3" t="n">
        <v>0</v>
      </c>
    </row>
    <row r="178">
      <c r="A178" s="1" t="n">
        <v>177</v>
      </c>
      <c r="B178" s="2" t="n">
        <v>24.05</v>
      </c>
      <c r="C178" s="3" t="n">
        <v>2607</v>
      </c>
      <c r="D178" s="1" t="n">
        <v>221</v>
      </c>
      <c r="E178" s="1" t="n">
        <v>4</v>
      </c>
      <c r="F178" s="1" t="n">
        <v>32</v>
      </c>
      <c r="G178" s="1" t="n">
        <v>18</v>
      </c>
      <c r="H178" t="inlineStr">
        <is>
          <t>Male</t>
        </is>
      </c>
      <c r="I178" t="inlineStr">
        <is>
          <t>No</t>
        </is>
      </c>
      <c r="J178" t="inlineStr">
        <is>
          <t>Yes</t>
        </is>
      </c>
      <c r="K178" t="inlineStr">
        <is>
          <t>Caucasian</t>
        </is>
      </c>
      <c r="L178" s="3" t="n">
        <v>0</v>
      </c>
    </row>
    <row r="179">
      <c r="A179" s="1" t="n">
        <v>178</v>
      </c>
      <c r="B179" s="2" t="n">
        <v>22.379</v>
      </c>
      <c r="C179" s="3" t="n">
        <v>3965</v>
      </c>
      <c r="D179" s="1" t="n">
        <v>292</v>
      </c>
      <c r="E179" s="1" t="n">
        <v>2</v>
      </c>
      <c r="F179" s="1" t="n">
        <v>34</v>
      </c>
      <c r="G179" s="1" t="n">
        <v>14</v>
      </c>
      <c r="H179" t="inlineStr">
        <is>
          <t>Female</t>
        </is>
      </c>
      <c r="I179" t="inlineStr">
        <is>
          <t>No</t>
        </is>
      </c>
      <c r="J179" t="inlineStr">
        <is>
          <t>Yes</t>
        </is>
      </c>
      <c r="K179" t="inlineStr">
        <is>
          <t>Asian</t>
        </is>
      </c>
      <c r="L179" s="3" t="n">
        <v>384</v>
      </c>
    </row>
    <row r="180">
      <c r="A180" s="1" t="n">
        <v>179</v>
      </c>
      <c r="B180" s="2" t="n">
        <v>28.316</v>
      </c>
      <c r="C180" s="3" t="n">
        <v>4391</v>
      </c>
      <c r="D180" s="1" t="n">
        <v>316</v>
      </c>
      <c r="E180" s="1" t="n">
        <v>2</v>
      </c>
      <c r="F180" s="1" t="n">
        <v>29</v>
      </c>
      <c r="G180" s="1" t="n">
        <v>10</v>
      </c>
      <c r="H180" t="inlineStr">
        <is>
          <t>Female</t>
        </is>
      </c>
      <c r="I180" t="inlineStr">
        <is>
          <t>No</t>
        </is>
      </c>
      <c r="J180" t="inlineStr">
        <is>
          <t>No</t>
        </is>
      </c>
      <c r="K180" t="inlineStr">
        <is>
          <t>Caucasian</t>
        </is>
      </c>
      <c r="L180" s="3" t="n">
        <v>453</v>
      </c>
    </row>
    <row r="181">
      <c r="A181" s="1" t="n">
        <v>180</v>
      </c>
      <c r="B181" s="2" t="n">
        <v>58.026</v>
      </c>
      <c r="C181" s="3" t="n">
        <v>7499</v>
      </c>
      <c r="D181" s="1" t="n">
        <v>560</v>
      </c>
      <c r="E181" s="1" t="n">
        <v>5</v>
      </c>
      <c r="F181" s="1" t="n">
        <v>67</v>
      </c>
      <c r="G181" s="1" t="n">
        <v>11</v>
      </c>
      <c r="H181" t="inlineStr">
        <is>
          <t>Female</t>
        </is>
      </c>
      <c r="I181" t="inlineStr">
        <is>
          <t>No</t>
        </is>
      </c>
      <c r="J181" t="inlineStr">
        <is>
          <t>No</t>
        </is>
      </c>
      <c r="K181" t="inlineStr">
        <is>
          <t>Caucasian</t>
        </is>
      </c>
      <c r="L181" s="3" t="n">
        <v>1237</v>
      </c>
    </row>
    <row r="182">
      <c r="A182" s="1" t="n">
        <v>181</v>
      </c>
      <c r="B182" s="2" t="n">
        <v>10.635</v>
      </c>
      <c r="C182" s="3" t="n">
        <v>3584</v>
      </c>
      <c r="D182" s="1" t="n">
        <v>294</v>
      </c>
      <c r="E182" s="1" t="n">
        <v>5</v>
      </c>
      <c r="F182" s="1" t="n">
        <v>69</v>
      </c>
      <c r="G182" s="1" t="n">
        <v>16</v>
      </c>
      <c r="H182" t="inlineStr">
        <is>
          <t>Male</t>
        </is>
      </c>
      <c r="I182" t="inlineStr">
        <is>
          <t>No</t>
        </is>
      </c>
      <c r="J182" t="inlineStr">
        <is>
          <t>Yes</t>
        </is>
      </c>
      <c r="K182" t="inlineStr">
        <is>
          <t>Asian</t>
        </is>
      </c>
      <c r="L182" s="3" t="n">
        <v>423</v>
      </c>
    </row>
    <row r="183">
      <c r="A183" s="1" t="n">
        <v>182</v>
      </c>
      <c r="B183" s="2" t="n">
        <v>46.102</v>
      </c>
      <c r="C183" s="3" t="n">
        <v>5180</v>
      </c>
      <c r="D183" s="1" t="n">
        <v>382</v>
      </c>
      <c r="E183" s="1" t="n">
        <v>3</v>
      </c>
      <c r="F183" s="1" t="n">
        <v>81</v>
      </c>
      <c r="G183" s="1" t="n">
        <v>12</v>
      </c>
      <c r="H183" t="inlineStr">
        <is>
          <t>Male</t>
        </is>
      </c>
      <c r="I183" t="inlineStr">
        <is>
          <t>No</t>
        </is>
      </c>
      <c r="J183" t="inlineStr">
        <is>
          <t>Yes</t>
        </is>
      </c>
      <c r="K183" t="inlineStr">
        <is>
          <t>African American</t>
        </is>
      </c>
      <c r="L183" s="3" t="n">
        <v>516</v>
      </c>
    </row>
    <row r="184">
      <c r="A184" s="1" t="n">
        <v>183</v>
      </c>
      <c r="B184" s="2" t="n">
        <v>58.929</v>
      </c>
      <c r="C184" s="3" t="n">
        <v>6420</v>
      </c>
      <c r="D184" s="1" t="n">
        <v>459</v>
      </c>
      <c r="E184" s="1" t="n">
        <v>2</v>
      </c>
      <c r="F184" s="1" t="n">
        <v>66</v>
      </c>
      <c r="G184" s="1" t="n">
        <v>9</v>
      </c>
      <c r="H184" t="inlineStr">
        <is>
          <t>Female</t>
        </is>
      </c>
      <c r="I184" t="inlineStr">
        <is>
          <t>No</t>
        </is>
      </c>
      <c r="J184" t="inlineStr">
        <is>
          <t>Yes</t>
        </is>
      </c>
      <c r="K184" t="inlineStr">
        <is>
          <t>African American</t>
        </is>
      </c>
      <c r="L184" s="3" t="n">
        <v>789</v>
      </c>
    </row>
    <row r="185">
      <c r="A185" s="1" t="n">
        <v>184</v>
      </c>
      <c r="B185" s="2" t="n">
        <v>80.861</v>
      </c>
      <c r="C185" s="3" t="n">
        <v>4090</v>
      </c>
      <c r="D185" s="1" t="n">
        <v>335</v>
      </c>
      <c r="E185" s="1" t="n">
        <v>3</v>
      </c>
      <c r="F185" s="1" t="n">
        <v>29</v>
      </c>
      <c r="G185" s="1" t="n">
        <v>15</v>
      </c>
      <c r="H185" t="inlineStr">
        <is>
          <t>Female</t>
        </is>
      </c>
      <c r="I185" t="inlineStr">
        <is>
          <t>No</t>
        </is>
      </c>
      <c r="J185" t="inlineStr">
        <is>
          <t>Yes</t>
        </is>
      </c>
      <c r="K185" t="inlineStr">
        <is>
          <t>Asian</t>
        </is>
      </c>
      <c r="L185" s="3" t="n">
        <v>0</v>
      </c>
    </row>
    <row r="186">
      <c r="A186" s="1" t="n">
        <v>185</v>
      </c>
      <c r="B186" s="2" t="n">
        <v>158.889</v>
      </c>
      <c r="C186" s="3" t="n">
        <v>11589</v>
      </c>
      <c r="D186" s="1" t="n">
        <v>805</v>
      </c>
      <c r="E186" s="1" t="n">
        <v>1</v>
      </c>
      <c r="F186" s="1" t="n">
        <v>62</v>
      </c>
      <c r="G186" s="1" t="n">
        <v>17</v>
      </c>
      <c r="H186" t="inlineStr">
        <is>
          <t>Female</t>
        </is>
      </c>
      <c r="I186" t="inlineStr">
        <is>
          <t>No</t>
        </is>
      </c>
      <c r="J186" t="inlineStr">
        <is>
          <t>Yes</t>
        </is>
      </c>
      <c r="K186" t="inlineStr">
        <is>
          <t>Caucasian</t>
        </is>
      </c>
      <c r="L186" s="3" t="n">
        <v>1448</v>
      </c>
    </row>
    <row r="187">
      <c r="A187" s="1" t="n">
        <v>186</v>
      </c>
      <c r="B187" s="2" t="n">
        <v>30.42</v>
      </c>
      <c r="C187" s="3" t="n">
        <v>4442</v>
      </c>
      <c r="D187" s="1" t="n">
        <v>316</v>
      </c>
      <c r="E187" s="1" t="n">
        <v>1</v>
      </c>
      <c r="F187" s="1" t="n">
        <v>30</v>
      </c>
      <c r="G187" s="1" t="n">
        <v>14</v>
      </c>
      <c r="H187" t="inlineStr">
        <is>
          <t>Female</t>
        </is>
      </c>
      <c r="I187" t="inlineStr">
        <is>
          <t>No</t>
        </is>
      </c>
      <c r="J187" t="inlineStr">
        <is>
          <t>No</t>
        </is>
      </c>
      <c r="K187" t="inlineStr">
        <is>
          <t>African American</t>
        </is>
      </c>
      <c r="L187" s="3" t="n">
        <v>450</v>
      </c>
    </row>
    <row r="188">
      <c r="A188" s="1" t="n">
        <v>187</v>
      </c>
      <c r="B188" s="2" t="n">
        <v>36.472</v>
      </c>
      <c r="C188" s="3" t="n">
        <v>3806</v>
      </c>
      <c r="D188" s="1" t="n">
        <v>309</v>
      </c>
      <c r="E188" s="1" t="n">
        <v>2</v>
      </c>
      <c r="F188" s="1" t="n">
        <v>52</v>
      </c>
      <c r="G188" s="1" t="n">
        <v>13</v>
      </c>
      <c r="H188" t="inlineStr">
        <is>
          <t>Male</t>
        </is>
      </c>
      <c r="I188" t="inlineStr">
        <is>
          <t>No</t>
        </is>
      </c>
      <c r="J188" t="inlineStr">
        <is>
          <t>No</t>
        </is>
      </c>
      <c r="K188" t="inlineStr">
        <is>
          <t>African American</t>
        </is>
      </c>
      <c r="L188" s="3" t="n">
        <v>188</v>
      </c>
    </row>
    <row r="189">
      <c r="A189" s="1" t="n">
        <v>188</v>
      </c>
      <c r="B189" s="2" t="n">
        <v>23.365</v>
      </c>
      <c r="C189" s="3" t="n">
        <v>2179</v>
      </c>
      <c r="D189" s="1" t="n">
        <v>167</v>
      </c>
      <c r="E189" s="1" t="n">
        <v>2</v>
      </c>
      <c r="F189" s="1" t="n">
        <v>75</v>
      </c>
      <c r="G189" s="1" t="n">
        <v>15</v>
      </c>
      <c r="H189" t="inlineStr">
        <is>
          <t>Male</t>
        </is>
      </c>
      <c r="I189" t="inlineStr">
        <is>
          <t>No</t>
        </is>
      </c>
      <c r="J189" t="inlineStr">
        <is>
          <t>No</t>
        </is>
      </c>
      <c r="K189" t="inlineStr">
        <is>
          <t>Asian</t>
        </is>
      </c>
      <c r="L189" s="3" t="n">
        <v>0</v>
      </c>
    </row>
    <row r="190">
      <c r="A190" s="1" t="n">
        <v>189</v>
      </c>
      <c r="B190" s="2" t="n">
        <v>83.869</v>
      </c>
      <c r="C190" s="3" t="n">
        <v>7667</v>
      </c>
      <c r="D190" s="1" t="n">
        <v>554</v>
      </c>
      <c r="E190" s="1" t="n">
        <v>2</v>
      </c>
      <c r="F190" s="1" t="n">
        <v>83</v>
      </c>
      <c r="G190" s="1" t="n">
        <v>11</v>
      </c>
      <c r="H190" t="inlineStr">
        <is>
          <t>Male</t>
        </is>
      </c>
      <c r="I190" t="inlineStr">
        <is>
          <t>No</t>
        </is>
      </c>
      <c r="J190" t="inlineStr">
        <is>
          <t>No</t>
        </is>
      </c>
      <c r="K190" t="inlineStr">
        <is>
          <t>African American</t>
        </is>
      </c>
      <c r="L190" s="3" t="n">
        <v>930</v>
      </c>
    </row>
    <row r="191">
      <c r="A191" s="1" t="n">
        <v>190</v>
      </c>
      <c r="B191" s="2" t="n">
        <v>58.351</v>
      </c>
      <c r="C191" s="3" t="n">
        <v>4411</v>
      </c>
      <c r="D191" s="1" t="n">
        <v>326</v>
      </c>
      <c r="E191" s="1" t="n">
        <v>2</v>
      </c>
      <c r="F191" s="1" t="n">
        <v>85</v>
      </c>
      <c r="G191" s="1" t="n">
        <v>16</v>
      </c>
      <c r="H191" t="inlineStr">
        <is>
          <t>Female</t>
        </is>
      </c>
      <c r="I191" t="inlineStr">
        <is>
          <t>No</t>
        </is>
      </c>
      <c r="J191" t="inlineStr">
        <is>
          <t>Yes</t>
        </is>
      </c>
      <c r="K191" t="inlineStr">
        <is>
          <t>Caucasian</t>
        </is>
      </c>
      <c r="L191" s="3" t="n">
        <v>126</v>
      </c>
    </row>
    <row r="192">
      <c r="A192" s="1" t="n">
        <v>191</v>
      </c>
      <c r="B192" s="2" t="n">
        <v>55.187</v>
      </c>
      <c r="C192" s="3" t="n">
        <v>5352</v>
      </c>
      <c r="D192" s="1" t="n">
        <v>385</v>
      </c>
      <c r="E192" s="1" t="n">
        <v>4</v>
      </c>
      <c r="F192" s="1" t="n">
        <v>50</v>
      </c>
      <c r="G192" s="1" t="n">
        <v>17</v>
      </c>
      <c r="H192" t="inlineStr">
        <is>
          <t>Female</t>
        </is>
      </c>
      <c r="I192" t="inlineStr">
        <is>
          <t>No</t>
        </is>
      </c>
      <c r="J192" t="inlineStr">
        <is>
          <t>Yes</t>
        </is>
      </c>
      <c r="K192" t="inlineStr">
        <is>
          <t>Caucasian</t>
        </is>
      </c>
      <c r="L192" s="3" t="n">
        <v>538</v>
      </c>
    </row>
    <row r="193">
      <c r="A193" s="1" t="n">
        <v>192</v>
      </c>
      <c r="B193" s="2" t="n">
        <v>124.29</v>
      </c>
      <c r="C193" s="3" t="n">
        <v>9560</v>
      </c>
      <c r="D193" s="1" t="n">
        <v>701</v>
      </c>
      <c r="E193" s="1" t="n">
        <v>3</v>
      </c>
      <c r="F193" s="1" t="n">
        <v>52</v>
      </c>
      <c r="G193" s="1" t="n">
        <v>17</v>
      </c>
      <c r="H193" t="inlineStr">
        <is>
          <t>Female</t>
        </is>
      </c>
      <c r="I193" t="inlineStr">
        <is>
          <t>Yes</t>
        </is>
      </c>
      <c r="J193" t="inlineStr">
        <is>
          <t>No</t>
        </is>
      </c>
      <c r="K193" t="inlineStr">
        <is>
          <t>Asian</t>
        </is>
      </c>
      <c r="L193" s="3" t="n">
        <v>1687</v>
      </c>
    </row>
    <row r="194">
      <c r="A194" s="1" t="n">
        <v>193</v>
      </c>
      <c r="B194" s="2" t="n">
        <v>28.508</v>
      </c>
      <c r="C194" s="3" t="n">
        <v>3933</v>
      </c>
      <c r="D194" s="1" t="n">
        <v>287</v>
      </c>
      <c r="E194" s="1" t="n">
        <v>4</v>
      </c>
      <c r="F194" s="1" t="n">
        <v>56</v>
      </c>
      <c r="G194" s="1" t="n">
        <v>14</v>
      </c>
      <c r="H194" t="inlineStr">
        <is>
          <t>Male</t>
        </is>
      </c>
      <c r="I194" t="inlineStr">
        <is>
          <t>No</t>
        </is>
      </c>
      <c r="J194" t="inlineStr">
        <is>
          <t>Yes</t>
        </is>
      </c>
      <c r="K194" t="inlineStr">
        <is>
          <t>Asian</t>
        </is>
      </c>
      <c r="L194" s="3" t="n">
        <v>336</v>
      </c>
    </row>
    <row r="195">
      <c r="A195" s="1" t="n">
        <v>194</v>
      </c>
      <c r="B195" s="2" t="n">
        <v>130.209</v>
      </c>
      <c r="C195" s="3" t="n">
        <v>10088</v>
      </c>
      <c r="D195" s="1" t="n">
        <v>730</v>
      </c>
      <c r="E195" s="1" t="n">
        <v>7</v>
      </c>
      <c r="F195" s="1" t="n">
        <v>39</v>
      </c>
      <c r="G195" s="1" t="n">
        <v>19</v>
      </c>
      <c r="H195" t="inlineStr">
        <is>
          <t>Female</t>
        </is>
      </c>
      <c r="I195" t="inlineStr">
        <is>
          <t>No</t>
        </is>
      </c>
      <c r="J195" t="inlineStr">
        <is>
          <t>Yes</t>
        </is>
      </c>
      <c r="K195" t="inlineStr">
        <is>
          <t>Caucasian</t>
        </is>
      </c>
      <c r="L195" s="3" t="n">
        <v>1426</v>
      </c>
    </row>
    <row r="196">
      <c r="A196" s="1" t="n">
        <v>195</v>
      </c>
      <c r="B196" s="2" t="n">
        <v>30.406</v>
      </c>
      <c r="C196" s="3" t="n">
        <v>2120</v>
      </c>
      <c r="D196" s="1" t="n">
        <v>181</v>
      </c>
      <c r="E196" s="1" t="n">
        <v>2</v>
      </c>
      <c r="F196" s="1" t="n">
        <v>79</v>
      </c>
      <c r="G196" s="1" t="n">
        <v>14</v>
      </c>
      <c r="H196" t="inlineStr">
        <is>
          <t>Male</t>
        </is>
      </c>
      <c r="I196" t="inlineStr">
        <is>
          <t>No</t>
        </is>
      </c>
      <c r="J196" t="inlineStr">
        <is>
          <t>Yes</t>
        </is>
      </c>
      <c r="K196" t="inlineStr">
        <is>
          <t>African American</t>
        </is>
      </c>
      <c r="L196" s="3" t="n">
        <v>0</v>
      </c>
    </row>
    <row r="197">
      <c r="A197" s="1" t="n">
        <v>196</v>
      </c>
      <c r="B197" s="2" t="n">
        <v>23.883</v>
      </c>
      <c r="C197" s="3" t="n">
        <v>5384</v>
      </c>
      <c r="D197" s="1" t="n">
        <v>398</v>
      </c>
      <c r="E197" s="1" t="n">
        <v>2</v>
      </c>
      <c r="F197" s="1" t="n">
        <v>73</v>
      </c>
      <c r="G197" s="1" t="n">
        <v>16</v>
      </c>
      <c r="H197" t="inlineStr">
        <is>
          <t>Female</t>
        </is>
      </c>
      <c r="I197" t="inlineStr">
        <is>
          <t>No</t>
        </is>
      </c>
      <c r="J197" t="inlineStr">
        <is>
          <t>Yes</t>
        </is>
      </c>
      <c r="K197" t="inlineStr">
        <is>
          <t>African American</t>
        </is>
      </c>
      <c r="L197" s="3" t="n">
        <v>802</v>
      </c>
    </row>
    <row r="198">
      <c r="A198" s="1" t="n">
        <v>197</v>
      </c>
      <c r="B198" s="2" t="n">
        <v>93.039</v>
      </c>
      <c r="C198" s="3" t="n">
        <v>7398</v>
      </c>
      <c r="D198" s="1" t="n">
        <v>517</v>
      </c>
      <c r="E198" s="1" t="n">
        <v>1</v>
      </c>
      <c r="F198" s="1" t="n">
        <v>67</v>
      </c>
      <c r="G198" s="1" t="n">
        <v>12</v>
      </c>
      <c r="H198" t="inlineStr">
        <is>
          <t>Male</t>
        </is>
      </c>
      <c r="I198" t="inlineStr">
        <is>
          <t>No</t>
        </is>
      </c>
      <c r="J198" t="inlineStr">
        <is>
          <t>Yes</t>
        </is>
      </c>
      <c r="K198" t="inlineStr">
        <is>
          <t>African American</t>
        </is>
      </c>
      <c r="L198" s="3" t="n">
        <v>749</v>
      </c>
    </row>
    <row r="199">
      <c r="A199" s="1" t="n">
        <v>198</v>
      </c>
      <c r="B199" s="2" t="n">
        <v>50.699</v>
      </c>
      <c r="C199" s="3" t="n">
        <v>3977</v>
      </c>
      <c r="D199" s="1" t="n">
        <v>304</v>
      </c>
      <c r="E199" s="1" t="n">
        <v>2</v>
      </c>
      <c r="F199" s="1" t="n">
        <v>84</v>
      </c>
      <c r="G199" s="1" t="n">
        <v>17</v>
      </c>
      <c r="H199" t="inlineStr">
        <is>
          <t>Female</t>
        </is>
      </c>
      <c r="I199" t="inlineStr">
        <is>
          <t>No</t>
        </is>
      </c>
      <c r="J199" t="inlineStr">
        <is>
          <t>No</t>
        </is>
      </c>
      <c r="K199" t="inlineStr">
        <is>
          <t>African American</t>
        </is>
      </c>
      <c r="L199" s="3" t="n">
        <v>69</v>
      </c>
    </row>
    <row r="200">
      <c r="A200" s="1" t="n">
        <v>199</v>
      </c>
      <c r="B200" s="2" t="n">
        <v>27.349</v>
      </c>
      <c r="C200" s="3" t="n">
        <v>2000</v>
      </c>
      <c r="D200" s="1" t="n">
        <v>169</v>
      </c>
      <c r="E200" s="1" t="n">
        <v>4</v>
      </c>
      <c r="F200" s="1" t="n">
        <v>51</v>
      </c>
      <c r="G200" s="1" t="n">
        <v>16</v>
      </c>
      <c r="H200" t="inlineStr">
        <is>
          <t>Female</t>
        </is>
      </c>
      <c r="I200" t="inlineStr">
        <is>
          <t>No</t>
        </is>
      </c>
      <c r="J200" t="inlineStr">
        <is>
          <t>Yes</t>
        </is>
      </c>
      <c r="K200" t="inlineStr">
        <is>
          <t>African American</t>
        </is>
      </c>
      <c r="L200" s="3" t="n">
        <v>0</v>
      </c>
    </row>
    <row r="201">
      <c r="A201" s="1" t="n">
        <v>200</v>
      </c>
      <c r="B201" s="2" t="n">
        <v>10.403</v>
      </c>
      <c r="C201" s="3" t="n">
        <v>4159</v>
      </c>
      <c r="D201" s="1" t="n">
        <v>310</v>
      </c>
      <c r="E201" s="1" t="n">
        <v>3</v>
      </c>
      <c r="F201" s="1" t="n">
        <v>43</v>
      </c>
      <c r="G201" s="1" t="n">
        <v>7</v>
      </c>
      <c r="H201" t="inlineStr">
        <is>
          <t>Male</t>
        </is>
      </c>
      <c r="I201" t="inlineStr">
        <is>
          <t>No</t>
        </is>
      </c>
      <c r="J201" t="inlineStr">
        <is>
          <t>Yes</t>
        </is>
      </c>
      <c r="K201" t="inlineStr">
        <is>
          <t>Asian</t>
        </is>
      </c>
      <c r="L201" s="3" t="n">
        <v>571</v>
      </c>
    </row>
    <row r="202">
      <c r="A202" s="1" t="n">
        <v>201</v>
      </c>
      <c r="B202" s="2" t="n">
        <v>23.949</v>
      </c>
      <c r="C202" s="3" t="n">
        <v>5343</v>
      </c>
      <c r="D202" s="1" t="n">
        <v>383</v>
      </c>
      <c r="E202" s="1" t="n">
        <v>2</v>
      </c>
      <c r="F202" s="1" t="n">
        <v>40</v>
      </c>
      <c r="G202" s="1" t="n">
        <v>18</v>
      </c>
      <c r="H202" t="inlineStr">
        <is>
          <t>Male</t>
        </is>
      </c>
      <c r="I202" t="inlineStr">
        <is>
          <t>No</t>
        </is>
      </c>
      <c r="J202" t="inlineStr">
        <is>
          <t>Yes</t>
        </is>
      </c>
      <c r="K202" t="inlineStr">
        <is>
          <t>African American</t>
        </is>
      </c>
      <c r="L202" s="3" t="n">
        <v>829</v>
      </c>
    </row>
    <row r="203">
      <c r="A203" s="1" t="n">
        <v>202</v>
      </c>
      <c r="B203" s="2" t="n">
        <v>73.914</v>
      </c>
      <c r="C203" s="3" t="n">
        <v>7333</v>
      </c>
      <c r="D203" s="1" t="n">
        <v>529</v>
      </c>
      <c r="E203" s="1" t="n">
        <v>6</v>
      </c>
      <c r="F203" s="1" t="n">
        <v>67</v>
      </c>
      <c r="G203" s="1" t="n">
        <v>15</v>
      </c>
      <c r="H203" t="inlineStr">
        <is>
          <t>Female</t>
        </is>
      </c>
      <c r="I203" t="inlineStr">
        <is>
          <t>No</t>
        </is>
      </c>
      <c r="J203" t="inlineStr">
        <is>
          <t>Yes</t>
        </is>
      </c>
      <c r="K203" t="inlineStr">
        <is>
          <t>Caucasian</t>
        </is>
      </c>
      <c r="L203" s="3" t="n">
        <v>1048</v>
      </c>
    </row>
    <row r="204">
      <c r="A204" s="1" t="n">
        <v>203</v>
      </c>
      <c r="B204" s="2" t="n">
        <v>21.038</v>
      </c>
      <c r="C204" s="3" t="n">
        <v>1448</v>
      </c>
      <c r="D204" s="1" t="n">
        <v>145</v>
      </c>
      <c r="E204" s="1" t="n">
        <v>2</v>
      </c>
      <c r="F204" s="1" t="n">
        <v>58</v>
      </c>
      <c r="G204" s="1" t="n">
        <v>13</v>
      </c>
      <c r="H204" t="inlineStr">
        <is>
          <t>Female</t>
        </is>
      </c>
      <c r="I204" t="inlineStr">
        <is>
          <t>No</t>
        </is>
      </c>
      <c r="J204" t="inlineStr">
        <is>
          <t>Yes</t>
        </is>
      </c>
      <c r="K204" t="inlineStr">
        <is>
          <t>Caucasian</t>
        </is>
      </c>
      <c r="L204" s="3" t="n">
        <v>0</v>
      </c>
    </row>
    <row r="205">
      <c r="A205" s="1" t="n">
        <v>204</v>
      </c>
      <c r="B205" s="2" t="n">
        <v>68.206</v>
      </c>
      <c r="C205" s="3" t="n">
        <v>6784</v>
      </c>
      <c r="D205" s="1" t="n">
        <v>499</v>
      </c>
      <c r="E205" s="1" t="n">
        <v>5</v>
      </c>
      <c r="F205" s="1" t="n">
        <v>40</v>
      </c>
      <c r="G205" s="1" t="n">
        <v>16</v>
      </c>
      <c r="H205" t="inlineStr">
        <is>
          <t>Female</t>
        </is>
      </c>
      <c r="I205" t="inlineStr">
        <is>
          <t>Yes</t>
        </is>
      </c>
      <c r="J205" t="inlineStr">
        <is>
          <t>No</t>
        </is>
      </c>
      <c r="K205" t="inlineStr">
        <is>
          <t>African American</t>
        </is>
      </c>
      <c r="L205" s="3" t="n">
        <v>1411</v>
      </c>
    </row>
    <row r="206">
      <c r="A206" s="1" t="n">
        <v>205</v>
      </c>
      <c r="B206" s="2" t="n">
        <v>57.337</v>
      </c>
      <c r="C206" s="3" t="n">
        <v>5310</v>
      </c>
      <c r="D206" s="1" t="n">
        <v>392</v>
      </c>
      <c r="E206" s="1" t="n">
        <v>2</v>
      </c>
      <c r="F206" s="1" t="n">
        <v>45</v>
      </c>
      <c r="G206" s="1" t="n">
        <v>7</v>
      </c>
      <c r="H206" t="inlineStr">
        <is>
          <t>Female</t>
        </is>
      </c>
      <c r="I206" t="inlineStr">
        <is>
          <t>No</t>
        </is>
      </c>
      <c r="J206" t="inlineStr">
        <is>
          <t>No</t>
        </is>
      </c>
      <c r="K206" t="inlineStr">
        <is>
          <t>Caucasian</t>
        </is>
      </c>
      <c r="L206" s="3" t="n">
        <v>456</v>
      </c>
    </row>
    <row r="207">
      <c r="A207" s="1" t="n">
        <v>206</v>
      </c>
      <c r="B207" s="2" t="n">
        <v>10.793</v>
      </c>
      <c r="C207" s="3" t="n">
        <v>3878</v>
      </c>
      <c r="D207" s="1" t="n">
        <v>321</v>
      </c>
      <c r="E207" s="1" t="n">
        <v>8</v>
      </c>
      <c r="F207" s="1" t="n">
        <v>29</v>
      </c>
      <c r="G207" s="1" t="n">
        <v>13</v>
      </c>
      <c r="H207" t="inlineStr">
        <is>
          <t>Male</t>
        </is>
      </c>
      <c r="I207" t="inlineStr">
        <is>
          <t>No</t>
        </is>
      </c>
      <c r="J207" t="inlineStr">
        <is>
          <t>No</t>
        </is>
      </c>
      <c r="K207" t="inlineStr">
        <is>
          <t>Caucasian</t>
        </is>
      </c>
      <c r="L207" s="3" t="n">
        <v>638</v>
      </c>
    </row>
    <row r="208">
      <c r="A208" s="1" t="n">
        <v>207</v>
      </c>
      <c r="B208" s="2" t="n">
        <v>23.45</v>
      </c>
      <c r="C208" s="3" t="n">
        <v>2450</v>
      </c>
      <c r="D208" s="1" t="n">
        <v>180</v>
      </c>
      <c r="E208" s="1" t="n">
        <v>2</v>
      </c>
      <c r="F208" s="1" t="n">
        <v>78</v>
      </c>
      <c r="G208" s="1" t="n">
        <v>13</v>
      </c>
      <c r="H208" t="inlineStr">
        <is>
          <t>Male</t>
        </is>
      </c>
      <c r="I208" t="inlineStr">
        <is>
          <t>No</t>
        </is>
      </c>
      <c r="J208" t="inlineStr">
        <is>
          <t>No</t>
        </is>
      </c>
      <c r="K208" t="inlineStr">
        <is>
          <t>Caucasian</t>
        </is>
      </c>
      <c r="L208" s="3" t="n">
        <v>0</v>
      </c>
    </row>
    <row r="209">
      <c r="A209" s="1" t="n">
        <v>208</v>
      </c>
      <c r="B209" s="2" t="n">
        <v>10.842</v>
      </c>
      <c r="C209" s="3" t="n">
        <v>4391</v>
      </c>
      <c r="D209" s="1" t="n">
        <v>358</v>
      </c>
      <c r="E209" s="1" t="n">
        <v>5</v>
      </c>
      <c r="F209" s="1" t="n">
        <v>37</v>
      </c>
      <c r="G209" s="1" t="n">
        <v>10</v>
      </c>
      <c r="H209" t="inlineStr">
        <is>
          <t>Female</t>
        </is>
      </c>
      <c r="I209" t="inlineStr">
        <is>
          <t>Yes</t>
        </is>
      </c>
      <c r="J209" t="inlineStr">
        <is>
          <t>Yes</t>
        </is>
      </c>
      <c r="K209" t="inlineStr">
        <is>
          <t>Caucasian</t>
        </is>
      </c>
      <c r="L209" s="3" t="n">
        <v>1216</v>
      </c>
    </row>
    <row r="210">
      <c r="A210" s="1" t="n">
        <v>209</v>
      </c>
      <c r="B210" s="2" t="n">
        <v>51.345</v>
      </c>
      <c r="C210" s="3" t="n">
        <v>4327</v>
      </c>
      <c r="D210" s="1" t="n">
        <v>320</v>
      </c>
      <c r="E210" s="1" t="n">
        <v>3</v>
      </c>
      <c r="F210" s="1" t="n">
        <v>46</v>
      </c>
      <c r="G210" s="1" t="n">
        <v>15</v>
      </c>
      <c r="H210" t="inlineStr">
        <is>
          <t>Male</t>
        </is>
      </c>
      <c r="I210" t="inlineStr">
        <is>
          <t>No</t>
        </is>
      </c>
      <c r="J210" t="inlineStr">
        <is>
          <t>No</t>
        </is>
      </c>
      <c r="K210" t="inlineStr">
        <is>
          <t>African American</t>
        </is>
      </c>
      <c r="L210" s="3" t="n">
        <v>230</v>
      </c>
    </row>
    <row r="211">
      <c r="A211" s="1" t="n">
        <v>210</v>
      </c>
      <c r="B211" s="2" t="n">
        <v>151.947</v>
      </c>
      <c r="C211" s="3" t="n">
        <v>9156</v>
      </c>
      <c r="D211" s="1" t="n">
        <v>642</v>
      </c>
      <c r="E211" s="1" t="n">
        <v>2</v>
      </c>
      <c r="F211" s="1" t="n">
        <v>91</v>
      </c>
      <c r="G211" s="1" t="n">
        <v>11</v>
      </c>
      <c r="H211" t="inlineStr">
        <is>
          <t>Female</t>
        </is>
      </c>
      <c r="I211" t="inlineStr">
        <is>
          <t>No</t>
        </is>
      </c>
      <c r="J211" t="inlineStr">
        <is>
          <t>Yes</t>
        </is>
      </c>
      <c r="K211" t="inlineStr">
        <is>
          <t>African American</t>
        </is>
      </c>
      <c r="L211" s="3" t="n">
        <v>732</v>
      </c>
    </row>
    <row r="212">
      <c r="A212" s="1" t="n">
        <v>211</v>
      </c>
      <c r="B212" s="2" t="n">
        <v>24.543</v>
      </c>
      <c r="C212" s="3" t="n">
        <v>3206</v>
      </c>
      <c r="D212" s="1" t="n">
        <v>243</v>
      </c>
      <c r="E212" s="1" t="n">
        <v>2</v>
      </c>
      <c r="F212" s="1" t="n">
        <v>62</v>
      </c>
      <c r="G212" s="1" t="n">
        <v>12</v>
      </c>
      <c r="H212" t="inlineStr">
        <is>
          <t>Female</t>
        </is>
      </c>
      <c r="I212" t="inlineStr">
        <is>
          <t>No</t>
        </is>
      </c>
      <c r="J212" t="inlineStr">
        <is>
          <t>Yes</t>
        </is>
      </c>
      <c r="K212" t="inlineStr">
        <is>
          <t>Caucasian</t>
        </is>
      </c>
      <c r="L212" s="3" t="n">
        <v>95</v>
      </c>
    </row>
    <row r="213">
      <c r="A213" s="1" t="n">
        <v>212</v>
      </c>
      <c r="B213" s="2" t="n">
        <v>29.567</v>
      </c>
      <c r="C213" s="3" t="n">
        <v>5309</v>
      </c>
      <c r="D213" s="1" t="n">
        <v>397</v>
      </c>
      <c r="E213" s="1" t="n">
        <v>3</v>
      </c>
      <c r="F213" s="1" t="n">
        <v>25</v>
      </c>
      <c r="G213" s="1" t="n">
        <v>15</v>
      </c>
      <c r="H213" t="inlineStr">
        <is>
          <t>Male</t>
        </is>
      </c>
      <c r="I213" t="inlineStr">
        <is>
          <t>No</t>
        </is>
      </c>
      <c r="J213" t="inlineStr">
        <is>
          <t>No</t>
        </is>
      </c>
      <c r="K213" t="inlineStr">
        <is>
          <t>Caucasian</t>
        </is>
      </c>
      <c r="L213" s="3" t="n">
        <v>799</v>
      </c>
    </row>
    <row r="214">
      <c r="A214" s="1" t="n">
        <v>213</v>
      </c>
      <c r="B214" s="2" t="n">
        <v>39.145</v>
      </c>
      <c r="C214" s="3" t="n">
        <v>4351</v>
      </c>
      <c r="D214" s="1" t="n">
        <v>323</v>
      </c>
      <c r="E214" s="1" t="n">
        <v>2</v>
      </c>
      <c r="F214" s="1" t="n">
        <v>66</v>
      </c>
      <c r="G214" s="1" t="n">
        <v>13</v>
      </c>
      <c r="H214" t="inlineStr">
        <is>
          <t>Male</t>
        </is>
      </c>
      <c r="I214" t="inlineStr">
        <is>
          <t>No</t>
        </is>
      </c>
      <c r="J214" t="inlineStr">
        <is>
          <t>Yes</t>
        </is>
      </c>
      <c r="K214" t="inlineStr">
        <is>
          <t>Caucasian</t>
        </is>
      </c>
      <c r="L214" s="3" t="n">
        <v>308</v>
      </c>
    </row>
    <row r="215">
      <c r="A215" s="1" t="n">
        <v>214</v>
      </c>
      <c r="B215" s="2" t="n">
        <v>39.422</v>
      </c>
      <c r="C215" s="3" t="n">
        <v>5245</v>
      </c>
      <c r="D215" s="1" t="n">
        <v>383</v>
      </c>
      <c r="E215" s="1" t="n">
        <v>2</v>
      </c>
      <c r="F215" s="1" t="n">
        <v>44</v>
      </c>
      <c r="G215" s="1" t="n">
        <v>19</v>
      </c>
      <c r="H215" t="inlineStr">
        <is>
          <t>Male</t>
        </is>
      </c>
      <c r="I215" t="inlineStr">
        <is>
          <t>No</t>
        </is>
      </c>
      <c r="J215" t="inlineStr">
        <is>
          <t>No</t>
        </is>
      </c>
      <c r="K215" t="inlineStr">
        <is>
          <t>African American</t>
        </is>
      </c>
      <c r="L215" s="3" t="n">
        <v>637</v>
      </c>
    </row>
    <row r="216">
      <c r="A216" s="1" t="n">
        <v>215</v>
      </c>
      <c r="B216" s="2" t="n">
        <v>34.909</v>
      </c>
      <c r="C216" s="3" t="n">
        <v>5289</v>
      </c>
      <c r="D216" s="1" t="n">
        <v>410</v>
      </c>
      <c r="E216" s="1" t="n">
        <v>2</v>
      </c>
      <c r="F216" s="1" t="n">
        <v>62</v>
      </c>
      <c r="G216" s="1" t="n">
        <v>16</v>
      </c>
      <c r="H216" t="inlineStr">
        <is>
          <t>Female</t>
        </is>
      </c>
      <c r="I216" t="inlineStr">
        <is>
          <t>No</t>
        </is>
      </c>
      <c r="J216" t="inlineStr">
        <is>
          <t>Yes</t>
        </is>
      </c>
      <c r="K216" t="inlineStr">
        <is>
          <t>Caucasian</t>
        </is>
      </c>
      <c r="L216" s="3" t="n">
        <v>681</v>
      </c>
    </row>
    <row r="217">
      <c r="A217" s="1" t="n">
        <v>216</v>
      </c>
      <c r="B217" s="2" t="n">
        <v>41.025</v>
      </c>
      <c r="C217" s="3" t="n">
        <v>4229</v>
      </c>
      <c r="D217" s="1" t="n">
        <v>337</v>
      </c>
      <c r="E217" s="1" t="n">
        <v>3</v>
      </c>
      <c r="F217" s="1" t="n">
        <v>79</v>
      </c>
      <c r="G217" s="1" t="n">
        <v>19</v>
      </c>
      <c r="H217" t="inlineStr">
        <is>
          <t>Female</t>
        </is>
      </c>
      <c r="I217" t="inlineStr">
        <is>
          <t>No</t>
        </is>
      </c>
      <c r="J217" t="inlineStr">
        <is>
          <t>Yes</t>
        </is>
      </c>
      <c r="K217" t="inlineStr">
        <is>
          <t>Caucasian</t>
        </is>
      </c>
      <c r="L217" s="3" t="n">
        <v>246</v>
      </c>
    </row>
    <row r="218">
      <c r="A218" s="1" t="n">
        <v>217</v>
      </c>
      <c r="B218" s="2" t="n">
        <v>15.476</v>
      </c>
      <c r="C218" s="3" t="n">
        <v>2762</v>
      </c>
      <c r="D218" s="1" t="n">
        <v>215</v>
      </c>
      <c r="E218" s="1" t="n">
        <v>3</v>
      </c>
      <c r="F218" s="1" t="n">
        <v>60</v>
      </c>
      <c r="G218" s="1" t="n">
        <v>18</v>
      </c>
      <c r="H218" t="inlineStr">
        <is>
          <t>Male</t>
        </is>
      </c>
      <c r="I218" t="inlineStr">
        <is>
          <t>No</t>
        </is>
      </c>
      <c r="J218" t="inlineStr">
        <is>
          <t>No</t>
        </is>
      </c>
      <c r="K218" t="inlineStr">
        <is>
          <t>Asian</t>
        </is>
      </c>
      <c r="L218" s="3" t="n">
        <v>52</v>
      </c>
    </row>
    <row r="219">
      <c r="A219" s="1" t="n">
        <v>218</v>
      </c>
      <c r="B219" s="2" t="n">
        <v>12.456</v>
      </c>
      <c r="C219" s="3" t="n">
        <v>5395</v>
      </c>
      <c r="D219" s="1" t="n">
        <v>392</v>
      </c>
      <c r="E219" s="1" t="n">
        <v>3</v>
      </c>
      <c r="F219" s="1" t="n">
        <v>65</v>
      </c>
      <c r="G219" s="1" t="n">
        <v>14</v>
      </c>
      <c r="H219" t="inlineStr">
        <is>
          <t>Male</t>
        </is>
      </c>
      <c r="I219" t="inlineStr">
        <is>
          <t>No</t>
        </is>
      </c>
      <c r="J219" t="inlineStr">
        <is>
          <t>Yes</t>
        </is>
      </c>
      <c r="K219" t="inlineStr">
        <is>
          <t>Caucasian</t>
        </is>
      </c>
      <c r="L219" s="3" t="n">
        <v>955</v>
      </c>
    </row>
    <row r="220">
      <c r="A220" s="1" t="n">
        <v>219</v>
      </c>
      <c r="B220" s="2" t="n">
        <v>10.627</v>
      </c>
      <c r="C220" s="3" t="n">
        <v>1647</v>
      </c>
      <c r="D220" s="1" t="n">
        <v>149</v>
      </c>
      <c r="E220" s="1" t="n">
        <v>2</v>
      </c>
      <c r="F220" s="1" t="n">
        <v>71</v>
      </c>
      <c r="G220" s="1" t="n">
        <v>10</v>
      </c>
      <c r="H220" t="inlineStr">
        <is>
          <t>Female</t>
        </is>
      </c>
      <c r="I220" t="inlineStr">
        <is>
          <t>Yes</t>
        </is>
      </c>
      <c r="J220" t="inlineStr">
        <is>
          <t>Yes</t>
        </is>
      </c>
      <c r="K220" t="inlineStr">
        <is>
          <t>Asian</t>
        </is>
      </c>
      <c r="L220" s="3" t="n">
        <v>195</v>
      </c>
    </row>
    <row r="221">
      <c r="A221" s="1" t="n">
        <v>220</v>
      </c>
      <c r="B221" s="2" t="n">
        <v>38.954</v>
      </c>
      <c r="C221" s="3" t="n">
        <v>5222</v>
      </c>
      <c r="D221" s="1" t="n">
        <v>370</v>
      </c>
      <c r="E221" s="1" t="n">
        <v>4</v>
      </c>
      <c r="F221" s="1" t="n">
        <v>76</v>
      </c>
      <c r="G221" s="1" t="n">
        <v>13</v>
      </c>
      <c r="H221" t="inlineStr">
        <is>
          <t>Female</t>
        </is>
      </c>
      <c r="I221" t="inlineStr">
        <is>
          <t>No</t>
        </is>
      </c>
      <c r="J221" t="inlineStr">
        <is>
          <t>No</t>
        </is>
      </c>
      <c r="K221" t="inlineStr">
        <is>
          <t>Caucasian</t>
        </is>
      </c>
      <c r="L221" s="3" t="n">
        <v>653</v>
      </c>
    </row>
    <row r="222">
      <c r="A222" s="1" t="n">
        <v>221</v>
      </c>
      <c r="B222" s="2" t="n">
        <v>44.847</v>
      </c>
      <c r="C222" s="3" t="n">
        <v>5765</v>
      </c>
      <c r="D222" s="1" t="n">
        <v>437</v>
      </c>
      <c r="E222" s="1" t="n">
        <v>3</v>
      </c>
      <c r="F222" s="1" t="n">
        <v>53</v>
      </c>
      <c r="G222" s="1" t="n">
        <v>13</v>
      </c>
      <c r="H222" t="inlineStr">
        <is>
          <t>Female</t>
        </is>
      </c>
      <c r="I222" t="inlineStr">
        <is>
          <t>Yes</t>
        </is>
      </c>
      <c r="J222" t="inlineStr">
        <is>
          <t>No</t>
        </is>
      </c>
      <c r="K222" t="inlineStr">
        <is>
          <t>Asian</t>
        </is>
      </c>
      <c r="L222" s="3" t="n">
        <v>1246</v>
      </c>
    </row>
    <row r="223">
      <c r="A223" s="1" t="n">
        <v>222</v>
      </c>
      <c r="B223" s="2" t="n">
        <v>98.515</v>
      </c>
      <c r="C223" s="3" t="n">
        <v>8760</v>
      </c>
      <c r="D223" s="1" t="n">
        <v>633</v>
      </c>
      <c r="E223" s="1" t="n">
        <v>5</v>
      </c>
      <c r="F223" s="1" t="n">
        <v>78</v>
      </c>
      <c r="G223" s="1" t="n">
        <v>11</v>
      </c>
      <c r="H223" t="inlineStr">
        <is>
          <t>Female</t>
        </is>
      </c>
      <c r="I223" t="inlineStr">
        <is>
          <t>No</t>
        </is>
      </c>
      <c r="J223" t="inlineStr">
        <is>
          <t>No</t>
        </is>
      </c>
      <c r="K223" t="inlineStr">
        <is>
          <t>African American</t>
        </is>
      </c>
      <c r="L223" s="3" t="n">
        <v>1230</v>
      </c>
    </row>
    <row r="224">
      <c r="A224" s="1" t="n">
        <v>223</v>
      </c>
      <c r="B224" s="2" t="n">
        <v>33.437</v>
      </c>
      <c r="C224" s="3" t="n">
        <v>6207</v>
      </c>
      <c r="D224" s="1" t="n">
        <v>451</v>
      </c>
      <c r="E224" s="1" t="n">
        <v>4</v>
      </c>
      <c r="F224" s="1" t="n">
        <v>44</v>
      </c>
      <c r="G224" s="1" t="n">
        <v>9</v>
      </c>
      <c r="H224" t="inlineStr">
        <is>
          <t>Male</t>
        </is>
      </c>
      <c r="I224" t="inlineStr">
        <is>
          <t>Yes</t>
        </is>
      </c>
      <c r="J224" t="inlineStr">
        <is>
          <t>No</t>
        </is>
      </c>
      <c r="K224" t="inlineStr">
        <is>
          <t>Caucasian</t>
        </is>
      </c>
      <c r="L224" s="3" t="n">
        <v>1549</v>
      </c>
    </row>
    <row r="225">
      <c r="A225" s="1" t="n">
        <v>224</v>
      </c>
      <c r="B225" s="2" t="n">
        <v>27.512</v>
      </c>
      <c r="C225" s="3" t="n">
        <v>4613</v>
      </c>
      <c r="D225" s="1" t="n">
        <v>344</v>
      </c>
      <c r="E225" s="1" t="n">
        <v>5</v>
      </c>
      <c r="F225" s="1" t="n">
        <v>72</v>
      </c>
      <c r="G225" s="1" t="n">
        <v>17</v>
      </c>
      <c r="H225" t="inlineStr">
        <is>
          <t>Male</t>
        </is>
      </c>
      <c r="I225" t="inlineStr">
        <is>
          <t>No</t>
        </is>
      </c>
      <c r="J225" t="inlineStr">
        <is>
          <t>Yes</t>
        </is>
      </c>
      <c r="K225" t="inlineStr">
        <is>
          <t>Asian</t>
        </is>
      </c>
      <c r="L225" s="3" t="n">
        <v>573</v>
      </c>
    </row>
    <row r="226">
      <c r="A226" s="1" t="n">
        <v>225</v>
      </c>
      <c r="B226" s="2" t="n">
        <v>121.709</v>
      </c>
      <c r="C226" s="3" t="n">
        <v>7818</v>
      </c>
      <c r="D226" s="1" t="n">
        <v>584</v>
      </c>
      <c r="E226" s="1" t="n">
        <v>4</v>
      </c>
      <c r="F226" s="1" t="n">
        <v>50</v>
      </c>
      <c r="G226" s="1" t="n">
        <v>6</v>
      </c>
      <c r="H226" t="inlineStr">
        <is>
          <t>Male</t>
        </is>
      </c>
      <c r="I226" t="inlineStr">
        <is>
          <t>No</t>
        </is>
      </c>
      <c r="J226" t="inlineStr">
        <is>
          <t>Yes</t>
        </is>
      </c>
      <c r="K226" t="inlineStr">
        <is>
          <t>Caucasian</t>
        </is>
      </c>
      <c r="L226" s="3" t="n">
        <v>701</v>
      </c>
    </row>
    <row r="227">
      <c r="A227" s="1" t="n">
        <v>226</v>
      </c>
      <c r="B227" s="2" t="n">
        <v>15.079</v>
      </c>
      <c r="C227" s="3" t="n">
        <v>5673</v>
      </c>
      <c r="D227" s="1" t="n">
        <v>411</v>
      </c>
      <c r="E227" s="1" t="n">
        <v>4</v>
      </c>
      <c r="F227" s="1" t="n">
        <v>28</v>
      </c>
      <c r="G227" s="1" t="n">
        <v>15</v>
      </c>
      <c r="H227" t="inlineStr">
        <is>
          <t>Female</t>
        </is>
      </c>
      <c r="I227" t="inlineStr">
        <is>
          <t>No</t>
        </is>
      </c>
      <c r="J227" t="inlineStr">
        <is>
          <t>Yes</t>
        </is>
      </c>
      <c r="K227" t="inlineStr">
        <is>
          <t>Asian</t>
        </is>
      </c>
      <c r="L227" s="3" t="n">
        <v>1075</v>
      </c>
    </row>
    <row r="228">
      <c r="A228" s="1" t="n">
        <v>227</v>
      </c>
      <c r="B228" s="2" t="n">
        <v>59.879</v>
      </c>
      <c r="C228" s="3" t="n">
        <v>6906</v>
      </c>
      <c r="D228" s="1" t="n">
        <v>527</v>
      </c>
      <c r="E228" s="1" t="n">
        <v>6</v>
      </c>
      <c r="F228" s="1" t="n">
        <v>78</v>
      </c>
      <c r="G228" s="1" t="n">
        <v>15</v>
      </c>
      <c r="H228" t="inlineStr">
        <is>
          <t>Female</t>
        </is>
      </c>
      <c r="I228" t="inlineStr">
        <is>
          <t>No</t>
        </is>
      </c>
      <c r="J228" t="inlineStr">
        <is>
          <t>No</t>
        </is>
      </c>
      <c r="K228" t="inlineStr">
        <is>
          <t>Caucasian</t>
        </is>
      </c>
      <c r="L228" s="3" t="n">
        <v>1032</v>
      </c>
    </row>
    <row r="229">
      <c r="A229" s="1" t="n">
        <v>228</v>
      </c>
      <c r="B229" s="2" t="n">
        <v>66.989</v>
      </c>
      <c r="C229" s="3" t="n">
        <v>5614</v>
      </c>
      <c r="D229" s="1" t="n">
        <v>430</v>
      </c>
      <c r="E229" s="1" t="n">
        <v>3</v>
      </c>
      <c r="F229" s="1" t="n">
        <v>47</v>
      </c>
      <c r="G229" s="1" t="n">
        <v>14</v>
      </c>
      <c r="H229" t="inlineStr">
        <is>
          <t>Female</t>
        </is>
      </c>
      <c r="I229" t="inlineStr">
        <is>
          <t>No</t>
        </is>
      </c>
      <c r="J229" t="inlineStr">
        <is>
          <t>Yes</t>
        </is>
      </c>
      <c r="K229" t="inlineStr">
        <is>
          <t>Caucasian</t>
        </is>
      </c>
      <c r="L229" s="3" t="n">
        <v>482</v>
      </c>
    </row>
    <row r="230">
      <c r="A230" s="1" t="n">
        <v>229</v>
      </c>
      <c r="B230" s="2" t="n">
        <v>69.16500000000001</v>
      </c>
      <c r="C230" s="3" t="n">
        <v>4668</v>
      </c>
      <c r="D230" s="1" t="n">
        <v>341</v>
      </c>
      <c r="E230" s="1" t="n">
        <v>2</v>
      </c>
      <c r="F230" s="1" t="n">
        <v>34</v>
      </c>
      <c r="G230" s="1" t="n">
        <v>11</v>
      </c>
      <c r="H230" t="inlineStr">
        <is>
          <t>Female</t>
        </is>
      </c>
      <c r="I230" t="inlineStr">
        <is>
          <t>No</t>
        </is>
      </c>
      <c r="J230" t="inlineStr">
        <is>
          <t>No</t>
        </is>
      </c>
      <c r="K230" t="inlineStr">
        <is>
          <t>African American</t>
        </is>
      </c>
      <c r="L230" s="3" t="n">
        <v>156</v>
      </c>
    </row>
    <row r="231">
      <c r="A231" s="1" t="n">
        <v>230</v>
      </c>
      <c r="B231" s="2" t="n">
        <v>69.943</v>
      </c>
      <c r="C231" s="3" t="n">
        <v>7555</v>
      </c>
      <c r="D231" s="1" t="n">
        <v>547</v>
      </c>
      <c r="E231" s="1" t="n">
        <v>3</v>
      </c>
      <c r="F231" s="1" t="n">
        <v>76</v>
      </c>
      <c r="G231" s="1" t="n">
        <v>9</v>
      </c>
      <c r="H231" t="inlineStr">
        <is>
          <t>Male</t>
        </is>
      </c>
      <c r="I231" t="inlineStr">
        <is>
          <t>No</t>
        </is>
      </c>
      <c r="J231" t="inlineStr">
        <is>
          <t>Yes</t>
        </is>
      </c>
      <c r="K231" t="inlineStr">
        <is>
          <t>Asian</t>
        </is>
      </c>
      <c r="L231" s="3" t="n">
        <v>1058</v>
      </c>
    </row>
    <row r="232">
      <c r="A232" s="1" t="n">
        <v>231</v>
      </c>
      <c r="B232" s="2" t="n">
        <v>33.214</v>
      </c>
      <c r="C232" s="3" t="n">
        <v>5137</v>
      </c>
      <c r="D232" s="1" t="n">
        <v>387</v>
      </c>
      <c r="E232" s="1" t="n">
        <v>3</v>
      </c>
      <c r="F232" s="1" t="n">
        <v>59</v>
      </c>
      <c r="G232" s="1" t="n">
        <v>9</v>
      </c>
      <c r="H232" t="inlineStr">
        <is>
          <t>Male</t>
        </is>
      </c>
      <c r="I232" t="inlineStr">
        <is>
          <t>No</t>
        </is>
      </c>
      <c r="J232" t="inlineStr">
        <is>
          <t>No</t>
        </is>
      </c>
      <c r="K232" t="inlineStr">
        <is>
          <t>African American</t>
        </is>
      </c>
      <c r="L232" s="3" t="n">
        <v>661</v>
      </c>
    </row>
    <row r="233">
      <c r="A233" s="1" t="n">
        <v>232</v>
      </c>
      <c r="B233" s="2" t="n">
        <v>25.124</v>
      </c>
      <c r="C233" s="3" t="n">
        <v>4776</v>
      </c>
      <c r="D233" s="1" t="n">
        <v>378</v>
      </c>
      <c r="E233" s="1" t="n">
        <v>4</v>
      </c>
      <c r="F233" s="1" t="n">
        <v>29</v>
      </c>
      <c r="G233" s="1" t="n">
        <v>12</v>
      </c>
      <c r="H233" t="inlineStr">
        <is>
          <t>Male</t>
        </is>
      </c>
      <c r="I233" t="inlineStr">
        <is>
          <t>No</t>
        </is>
      </c>
      <c r="J233" t="inlineStr">
        <is>
          <t>Yes</t>
        </is>
      </c>
      <c r="K233" t="inlineStr">
        <is>
          <t>Caucasian</t>
        </is>
      </c>
      <c r="L233" s="3" t="n">
        <v>657</v>
      </c>
    </row>
    <row r="234">
      <c r="A234" s="1" t="n">
        <v>233</v>
      </c>
      <c r="B234" s="2" t="n">
        <v>15.741</v>
      </c>
      <c r="C234" s="3" t="n">
        <v>4788</v>
      </c>
      <c r="D234" s="1" t="n">
        <v>360</v>
      </c>
      <c r="E234" s="1" t="n">
        <v>1</v>
      </c>
      <c r="F234" s="1" t="n">
        <v>39</v>
      </c>
      <c r="G234" s="1" t="n">
        <v>14</v>
      </c>
      <c r="H234" t="inlineStr">
        <is>
          <t>Male</t>
        </is>
      </c>
      <c r="I234" t="inlineStr">
        <is>
          <t>No</t>
        </is>
      </c>
      <c r="J234" t="inlineStr">
        <is>
          <t>Yes</t>
        </is>
      </c>
      <c r="K234" t="inlineStr">
        <is>
          <t>Asian</t>
        </is>
      </c>
      <c r="L234" s="3" t="n">
        <v>689</v>
      </c>
    </row>
    <row r="235">
      <c r="A235" s="1" t="n">
        <v>234</v>
      </c>
      <c r="B235" s="2" t="n">
        <v>11.603</v>
      </c>
      <c r="C235" s="3" t="n">
        <v>2278</v>
      </c>
      <c r="D235" s="1" t="n">
        <v>187</v>
      </c>
      <c r="E235" s="1" t="n">
        <v>3</v>
      </c>
      <c r="F235" s="1" t="n">
        <v>71</v>
      </c>
      <c r="G235" s="1" t="n">
        <v>11</v>
      </c>
      <c r="H235" t="inlineStr">
        <is>
          <t>Male</t>
        </is>
      </c>
      <c r="I235" t="inlineStr">
        <is>
          <t>No</t>
        </is>
      </c>
      <c r="J235" t="inlineStr">
        <is>
          <t>Yes</t>
        </is>
      </c>
      <c r="K235" t="inlineStr">
        <is>
          <t>Caucasian</t>
        </is>
      </c>
      <c r="L235" s="3" t="n">
        <v>0</v>
      </c>
    </row>
    <row r="236">
      <c r="A236" s="1" t="n">
        <v>235</v>
      </c>
      <c r="B236" s="2" t="n">
        <v>69.65600000000001</v>
      </c>
      <c r="C236" s="3" t="n">
        <v>8244</v>
      </c>
      <c r="D236" s="1" t="n">
        <v>579</v>
      </c>
      <c r="E236" s="1" t="n">
        <v>3</v>
      </c>
      <c r="F236" s="1" t="n">
        <v>41</v>
      </c>
      <c r="G236" s="1" t="n">
        <v>14</v>
      </c>
      <c r="H236" t="inlineStr">
        <is>
          <t>Male</t>
        </is>
      </c>
      <c r="I236" t="inlineStr">
        <is>
          <t>No</t>
        </is>
      </c>
      <c r="J236" t="inlineStr">
        <is>
          <t>Yes</t>
        </is>
      </c>
      <c r="K236" t="inlineStr">
        <is>
          <t>African American</t>
        </is>
      </c>
      <c r="L236" s="3" t="n">
        <v>1329</v>
      </c>
    </row>
    <row r="237">
      <c r="A237" s="1" t="n">
        <v>236</v>
      </c>
      <c r="B237" s="2" t="n">
        <v>10.503</v>
      </c>
      <c r="C237" s="3" t="n">
        <v>2923</v>
      </c>
      <c r="D237" s="1" t="n">
        <v>232</v>
      </c>
      <c r="E237" s="1" t="n">
        <v>3</v>
      </c>
      <c r="F237" s="1" t="n">
        <v>25</v>
      </c>
      <c r="G237" s="1" t="n">
        <v>18</v>
      </c>
      <c r="H237" t="inlineStr">
        <is>
          <t>Female</t>
        </is>
      </c>
      <c r="I237" t="inlineStr">
        <is>
          <t>No</t>
        </is>
      </c>
      <c r="J237" t="inlineStr">
        <is>
          <t>Yes</t>
        </is>
      </c>
      <c r="K237" t="inlineStr">
        <is>
          <t>African American</t>
        </is>
      </c>
      <c r="L237" s="3" t="n">
        <v>191</v>
      </c>
    </row>
    <row r="238">
      <c r="A238" s="1" t="n">
        <v>237</v>
      </c>
      <c r="B238" s="2" t="n">
        <v>42.529</v>
      </c>
      <c r="C238" s="3" t="n">
        <v>4986</v>
      </c>
      <c r="D238" s="1" t="n">
        <v>369</v>
      </c>
      <c r="E238" s="1" t="n">
        <v>2</v>
      </c>
      <c r="F238" s="1" t="n">
        <v>37</v>
      </c>
      <c r="G238" s="1" t="n">
        <v>11</v>
      </c>
      <c r="H238" t="inlineStr">
        <is>
          <t>Male</t>
        </is>
      </c>
      <c r="I238" t="inlineStr">
        <is>
          <t>No</t>
        </is>
      </c>
      <c r="J238" t="inlineStr">
        <is>
          <t>Yes</t>
        </is>
      </c>
      <c r="K238" t="inlineStr">
        <is>
          <t>Asian</t>
        </is>
      </c>
      <c r="L238" s="3" t="n">
        <v>489</v>
      </c>
    </row>
    <row r="239">
      <c r="A239" s="1" t="n">
        <v>238</v>
      </c>
      <c r="B239" s="2" t="n">
        <v>60.579</v>
      </c>
      <c r="C239" s="3" t="n">
        <v>5149</v>
      </c>
      <c r="D239" s="1" t="n">
        <v>388</v>
      </c>
      <c r="E239" s="1" t="n">
        <v>5</v>
      </c>
      <c r="F239" s="1" t="n">
        <v>38</v>
      </c>
      <c r="G239" s="1" t="n">
        <v>15</v>
      </c>
      <c r="H239" t="inlineStr">
        <is>
          <t>Male</t>
        </is>
      </c>
      <c r="I239" t="inlineStr">
        <is>
          <t>No</t>
        </is>
      </c>
      <c r="J239" t="inlineStr">
        <is>
          <t>Yes</t>
        </is>
      </c>
      <c r="K239" t="inlineStr">
        <is>
          <t>Asian</t>
        </is>
      </c>
      <c r="L239" s="3" t="n">
        <v>443</v>
      </c>
    </row>
    <row r="240">
      <c r="A240" s="1" t="n">
        <v>239</v>
      </c>
      <c r="B240" s="2" t="n">
        <v>26.532</v>
      </c>
      <c r="C240" s="3" t="n">
        <v>2910</v>
      </c>
      <c r="D240" s="1" t="n">
        <v>236</v>
      </c>
      <c r="E240" s="1" t="n">
        <v>6</v>
      </c>
      <c r="F240" s="1" t="n">
        <v>58</v>
      </c>
      <c r="G240" s="1" t="n">
        <v>19</v>
      </c>
      <c r="H240" t="inlineStr">
        <is>
          <t>Female</t>
        </is>
      </c>
      <c r="I240" t="inlineStr">
        <is>
          <t>No</t>
        </is>
      </c>
      <c r="J240" t="inlineStr">
        <is>
          <t>Yes</t>
        </is>
      </c>
      <c r="K240" t="inlineStr">
        <is>
          <t>Caucasian</t>
        </is>
      </c>
      <c r="L240" s="3" t="n">
        <v>52</v>
      </c>
    </row>
    <row r="241">
      <c r="A241" s="1" t="n">
        <v>240</v>
      </c>
      <c r="B241" s="2" t="n">
        <v>27.952</v>
      </c>
      <c r="C241" s="3" t="n">
        <v>3557</v>
      </c>
      <c r="D241" s="1" t="n">
        <v>263</v>
      </c>
      <c r="E241" s="1" t="n">
        <v>1</v>
      </c>
      <c r="F241" s="1" t="n">
        <v>35</v>
      </c>
      <c r="G241" s="1" t="n">
        <v>13</v>
      </c>
      <c r="H241" t="inlineStr">
        <is>
          <t>Female</t>
        </is>
      </c>
      <c r="I241" t="inlineStr">
        <is>
          <t>No</t>
        </is>
      </c>
      <c r="J241" t="inlineStr">
        <is>
          <t>Yes</t>
        </is>
      </c>
      <c r="K241" t="inlineStr">
        <is>
          <t>Asian</t>
        </is>
      </c>
      <c r="L241" s="3" t="n">
        <v>163</v>
      </c>
    </row>
    <row r="242">
      <c r="A242" s="1" t="n">
        <v>241</v>
      </c>
      <c r="B242" s="2" t="n">
        <v>29.705</v>
      </c>
      <c r="C242" s="3" t="n">
        <v>3351</v>
      </c>
      <c r="D242" s="1" t="n">
        <v>262</v>
      </c>
      <c r="E242" s="1" t="n">
        <v>5</v>
      </c>
      <c r="F242" s="1" t="n">
        <v>71</v>
      </c>
      <c r="G242" s="1" t="n">
        <v>14</v>
      </c>
      <c r="H242" t="inlineStr">
        <is>
          <t>Female</t>
        </is>
      </c>
      <c r="I242" t="inlineStr">
        <is>
          <t>No</t>
        </is>
      </c>
      <c r="J242" t="inlineStr">
        <is>
          <t>Yes</t>
        </is>
      </c>
      <c r="K242" t="inlineStr">
        <is>
          <t>Asian</t>
        </is>
      </c>
      <c r="L242" s="3" t="n">
        <v>148</v>
      </c>
    </row>
    <row r="243">
      <c r="A243" s="1" t="n">
        <v>242</v>
      </c>
      <c r="B243" s="2" t="n">
        <v>15.602</v>
      </c>
      <c r="C243" s="3" t="n">
        <v>906</v>
      </c>
      <c r="D243" s="1" t="n">
        <v>103</v>
      </c>
      <c r="E243" s="1" t="n">
        <v>2</v>
      </c>
      <c r="F243" s="1" t="n">
        <v>36</v>
      </c>
      <c r="G243" s="1" t="n">
        <v>11</v>
      </c>
      <c r="H243" t="inlineStr">
        <is>
          <t>Male</t>
        </is>
      </c>
      <c r="I243" t="inlineStr">
        <is>
          <t>No</t>
        </is>
      </c>
      <c r="J243" t="inlineStr">
        <is>
          <t>Yes</t>
        </is>
      </c>
      <c r="K243" t="inlineStr">
        <is>
          <t>African American</t>
        </is>
      </c>
      <c r="L243" s="3" t="n">
        <v>0</v>
      </c>
    </row>
    <row r="244">
      <c r="A244" s="1" t="n">
        <v>243</v>
      </c>
      <c r="B244" s="2" t="n">
        <v>20.918</v>
      </c>
      <c r="C244" s="3" t="n">
        <v>1233</v>
      </c>
      <c r="D244" s="1" t="n">
        <v>128</v>
      </c>
      <c r="E244" s="1" t="n">
        <v>3</v>
      </c>
      <c r="F244" s="1" t="n">
        <v>47</v>
      </c>
      <c r="G244" s="1" t="n">
        <v>18</v>
      </c>
      <c r="H244" t="inlineStr">
        <is>
          <t>Female</t>
        </is>
      </c>
      <c r="I244" t="inlineStr">
        <is>
          <t>Yes</t>
        </is>
      </c>
      <c r="J244" t="inlineStr">
        <is>
          <t>Yes</t>
        </is>
      </c>
      <c r="K244" t="inlineStr">
        <is>
          <t>Asian</t>
        </is>
      </c>
      <c r="L244" s="3" t="n">
        <v>16</v>
      </c>
    </row>
    <row r="245">
      <c r="A245" s="1" t="n">
        <v>244</v>
      </c>
      <c r="B245" s="2" t="n">
        <v>58.165</v>
      </c>
      <c r="C245" s="3" t="n">
        <v>6617</v>
      </c>
      <c r="D245" s="1" t="n">
        <v>460</v>
      </c>
      <c r="E245" s="1" t="n">
        <v>1</v>
      </c>
      <c r="F245" s="1" t="n">
        <v>56</v>
      </c>
      <c r="G245" s="1" t="n">
        <v>12</v>
      </c>
      <c r="H245" t="inlineStr">
        <is>
          <t>Female</t>
        </is>
      </c>
      <c r="I245" t="inlineStr">
        <is>
          <t>No</t>
        </is>
      </c>
      <c r="J245" t="inlineStr">
        <is>
          <t>Yes</t>
        </is>
      </c>
      <c r="K245" t="inlineStr">
        <is>
          <t>Caucasian</t>
        </is>
      </c>
      <c r="L245" s="3" t="n">
        <v>856</v>
      </c>
    </row>
    <row r="246">
      <c r="A246" s="1" t="n">
        <v>245</v>
      </c>
      <c r="B246" s="2" t="n">
        <v>22.561</v>
      </c>
      <c r="C246" s="3" t="n">
        <v>1787</v>
      </c>
      <c r="D246" s="1" t="n">
        <v>147</v>
      </c>
      <c r="E246" s="1" t="n">
        <v>4</v>
      </c>
      <c r="F246" s="1" t="n">
        <v>66</v>
      </c>
      <c r="G246" s="1" t="n">
        <v>15</v>
      </c>
      <c r="H246" t="inlineStr">
        <is>
          <t>Female</t>
        </is>
      </c>
      <c r="I246" t="inlineStr">
        <is>
          <t>No</t>
        </is>
      </c>
      <c r="J246" t="inlineStr">
        <is>
          <t>No</t>
        </is>
      </c>
      <c r="K246" t="inlineStr">
        <is>
          <t>Caucasian</t>
        </is>
      </c>
      <c r="L246" s="3" t="n">
        <v>0</v>
      </c>
    </row>
    <row r="247">
      <c r="A247" s="1" t="n">
        <v>246</v>
      </c>
      <c r="B247" s="2" t="n">
        <v>34.509</v>
      </c>
      <c r="C247" s="3" t="n">
        <v>2001</v>
      </c>
      <c r="D247" s="1" t="n">
        <v>189</v>
      </c>
      <c r="E247" s="1" t="n">
        <v>5</v>
      </c>
      <c r="F247" s="1" t="n">
        <v>80</v>
      </c>
      <c r="G247" s="1" t="n">
        <v>18</v>
      </c>
      <c r="H247" t="inlineStr">
        <is>
          <t>Female</t>
        </is>
      </c>
      <c r="I247" t="inlineStr">
        <is>
          <t>No</t>
        </is>
      </c>
      <c r="J247" t="inlineStr">
        <is>
          <t>Yes</t>
        </is>
      </c>
      <c r="K247" t="inlineStr">
        <is>
          <t>African American</t>
        </is>
      </c>
      <c r="L247" s="3" t="n">
        <v>0</v>
      </c>
    </row>
    <row r="248">
      <c r="A248" s="1" t="n">
        <v>247</v>
      </c>
      <c r="B248" s="2" t="n">
        <v>19.588</v>
      </c>
      <c r="C248" s="3" t="n">
        <v>3211</v>
      </c>
      <c r="D248" s="1" t="n">
        <v>265</v>
      </c>
      <c r="E248" s="1" t="n">
        <v>4</v>
      </c>
      <c r="F248" s="1" t="n">
        <v>59</v>
      </c>
      <c r="G248" s="1" t="n">
        <v>14</v>
      </c>
      <c r="H248" t="inlineStr">
        <is>
          <t>Female</t>
        </is>
      </c>
      <c r="I248" t="inlineStr">
        <is>
          <t>No</t>
        </is>
      </c>
      <c r="J248" t="inlineStr">
        <is>
          <t>No</t>
        </is>
      </c>
      <c r="K248" t="inlineStr">
        <is>
          <t>Asian</t>
        </is>
      </c>
      <c r="L248" s="3" t="n">
        <v>199</v>
      </c>
    </row>
    <row r="249">
      <c r="A249" s="1" t="n">
        <v>248</v>
      </c>
      <c r="B249" s="2" t="n">
        <v>36.364</v>
      </c>
      <c r="C249" s="3" t="n">
        <v>2220</v>
      </c>
      <c r="D249" s="1" t="n">
        <v>188</v>
      </c>
      <c r="E249" s="1" t="n">
        <v>3</v>
      </c>
      <c r="F249" s="1" t="n">
        <v>50</v>
      </c>
      <c r="G249" s="1" t="n">
        <v>19</v>
      </c>
      <c r="H249" t="inlineStr">
        <is>
          <t>Male</t>
        </is>
      </c>
      <c r="I249" t="inlineStr">
        <is>
          <t>No</t>
        </is>
      </c>
      <c r="J249" t="inlineStr">
        <is>
          <t>No</t>
        </is>
      </c>
      <c r="K249" t="inlineStr">
        <is>
          <t>Caucasian</t>
        </is>
      </c>
      <c r="L249" s="3" t="n">
        <v>0</v>
      </c>
    </row>
    <row r="250">
      <c r="A250" s="1" t="n">
        <v>249</v>
      </c>
      <c r="B250" s="2" t="n">
        <v>15.717</v>
      </c>
      <c r="C250" s="3" t="n">
        <v>905</v>
      </c>
      <c r="D250" s="1" t="n">
        <v>93</v>
      </c>
      <c r="E250" s="1" t="n">
        <v>1</v>
      </c>
      <c r="F250" s="1" t="n">
        <v>38</v>
      </c>
      <c r="G250" s="1" t="n">
        <v>16</v>
      </c>
      <c r="H250" t="inlineStr">
        <is>
          <t>Male</t>
        </is>
      </c>
      <c r="I250" t="inlineStr">
        <is>
          <t>Yes</t>
        </is>
      </c>
      <c r="J250" t="inlineStr">
        <is>
          <t>Yes</t>
        </is>
      </c>
      <c r="K250" t="inlineStr">
        <is>
          <t>Caucasian</t>
        </is>
      </c>
      <c r="L250" s="3" t="n">
        <v>0</v>
      </c>
    </row>
    <row r="251">
      <c r="A251" s="1" t="n">
        <v>250</v>
      </c>
      <c r="B251" s="2" t="n">
        <v>22.574</v>
      </c>
      <c r="C251" s="3" t="n">
        <v>1551</v>
      </c>
      <c r="D251" s="1" t="n">
        <v>134</v>
      </c>
      <c r="E251" s="1" t="n">
        <v>3</v>
      </c>
      <c r="F251" s="1" t="n">
        <v>43</v>
      </c>
      <c r="G251" s="1" t="n">
        <v>13</v>
      </c>
      <c r="H251" t="inlineStr">
        <is>
          <t>Female</t>
        </is>
      </c>
      <c r="I251" t="inlineStr">
        <is>
          <t>Yes</t>
        </is>
      </c>
      <c r="J251" t="inlineStr">
        <is>
          <t>Yes</t>
        </is>
      </c>
      <c r="K251" t="inlineStr">
        <is>
          <t>Caucasian</t>
        </is>
      </c>
      <c r="L251" s="3" t="n">
        <v>98</v>
      </c>
    </row>
    <row r="252">
      <c r="A252" s="1" t="n">
        <v>251</v>
      </c>
      <c r="B252" s="2" t="n">
        <v>10.363</v>
      </c>
      <c r="C252" s="3" t="n">
        <v>2430</v>
      </c>
      <c r="D252" s="1" t="n">
        <v>191</v>
      </c>
      <c r="E252" s="1" t="n">
        <v>2</v>
      </c>
      <c r="F252" s="1" t="n">
        <v>47</v>
      </c>
      <c r="G252" s="1" t="n">
        <v>18</v>
      </c>
      <c r="H252" t="inlineStr">
        <is>
          <t>Female</t>
        </is>
      </c>
      <c r="I252" t="inlineStr">
        <is>
          <t>No</t>
        </is>
      </c>
      <c r="J252" t="inlineStr">
        <is>
          <t>Yes</t>
        </is>
      </c>
      <c r="K252" t="inlineStr">
        <is>
          <t>Asian</t>
        </is>
      </c>
      <c r="L252" s="3" t="n">
        <v>0</v>
      </c>
    </row>
    <row r="253">
      <c r="A253" s="1" t="n">
        <v>252</v>
      </c>
      <c r="B253" s="2" t="n">
        <v>28.474</v>
      </c>
      <c r="C253" s="3" t="n">
        <v>3202</v>
      </c>
      <c r="D253" s="1" t="n">
        <v>267</v>
      </c>
      <c r="E253" s="1" t="n">
        <v>5</v>
      </c>
      <c r="F253" s="1" t="n">
        <v>66</v>
      </c>
      <c r="G253" s="1" t="n">
        <v>12</v>
      </c>
      <c r="H253" t="inlineStr">
        <is>
          <t>Male</t>
        </is>
      </c>
      <c r="I253" t="inlineStr">
        <is>
          <t>No</t>
        </is>
      </c>
      <c r="J253" t="inlineStr">
        <is>
          <t>Yes</t>
        </is>
      </c>
      <c r="K253" t="inlineStr">
        <is>
          <t>Caucasian</t>
        </is>
      </c>
      <c r="L253" s="3" t="n">
        <v>132</v>
      </c>
    </row>
    <row r="254">
      <c r="A254" s="1" t="n">
        <v>253</v>
      </c>
      <c r="B254" s="2" t="n">
        <v>72.94499999999999</v>
      </c>
      <c r="C254" s="3" t="n">
        <v>8603</v>
      </c>
      <c r="D254" s="1" t="n">
        <v>621</v>
      </c>
      <c r="E254" s="1" t="n">
        <v>3</v>
      </c>
      <c r="F254" s="1" t="n">
        <v>64</v>
      </c>
      <c r="G254" s="1" t="n">
        <v>8</v>
      </c>
      <c r="H254" t="inlineStr">
        <is>
          <t>Female</t>
        </is>
      </c>
      <c r="I254" t="inlineStr">
        <is>
          <t>No</t>
        </is>
      </c>
      <c r="J254" t="inlineStr">
        <is>
          <t>No</t>
        </is>
      </c>
      <c r="K254" t="inlineStr">
        <is>
          <t>Caucasian</t>
        </is>
      </c>
      <c r="L254" s="3" t="n">
        <v>1355</v>
      </c>
    </row>
    <row r="255">
      <c r="A255" s="1" t="n">
        <v>254</v>
      </c>
      <c r="B255" s="2" t="n">
        <v>85.425</v>
      </c>
      <c r="C255" s="3" t="n">
        <v>5182</v>
      </c>
      <c r="D255" s="1" t="n">
        <v>402</v>
      </c>
      <c r="E255" s="1" t="n">
        <v>6</v>
      </c>
      <c r="F255" s="1" t="n">
        <v>60</v>
      </c>
      <c r="G255" s="1" t="n">
        <v>12</v>
      </c>
      <c r="H255" t="inlineStr">
        <is>
          <t>Male</t>
        </is>
      </c>
      <c r="I255" t="inlineStr">
        <is>
          <t>No</t>
        </is>
      </c>
      <c r="J255" t="inlineStr">
        <is>
          <t>Yes</t>
        </is>
      </c>
      <c r="K255" t="inlineStr">
        <is>
          <t>African American</t>
        </is>
      </c>
      <c r="L255" s="3" t="n">
        <v>218</v>
      </c>
    </row>
    <row r="256">
      <c r="A256" s="1" t="n">
        <v>255</v>
      </c>
      <c r="B256" s="2" t="n">
        <v>36.508</v>
      </c>
      <c r="C256" s="3" t="n">
        <v>6386</v>
      </c>
      <c r="D256" s="1" t="n">
        <v>469</v>
      </c>
      <c r="E256" s="1" t="n">
        <v>4</v>
      </c>
      <c r="F256" s="1" t="n">
        <v>79</v>
      </c>
      <c r="G256" s="1" t="n">
        <v>6</v>
      </c>
      <c r="H256" t="inlineStr">
        <is>
          <t>Female</t>
        </is>
      </c>
      <c r="I256" t="inlineStr">
        <is>
          <t>No</t>
        </is>
      </c>
      <c r="J256" t="inlineStr">
        <is>
          <t>Yes</t>
        </is>
      </c>
      <c r="K256" t="inlineStr">
        <is>
          <t>Caucasian</t>
        </is>
      </c>
      <c r="L256" s="3" t="n">
        <v>1048</v>
      </c>
    </row>
    <row r="257">
      <c r="A257" s="1" t="n">
        <v>256</v>
      </c>
      <c r="B257" s="2" t="n">
        <v>58.063</v>
      </c>
      <c r="C257" s="3" t="n">
        <v>4221</v>
      </c>
      <c r="D257" s="1" t="n">
        <v>304</v>
      </c>
      <c r="E257" s="1" t="n">
        <v>3</v>
      </c>
      <c r="F257" s="1" t="n">
        <v>50</v>
      </c>
      <c r="G257" s="1" t="n">
        <v>8</v>
      </c>
      <c r="H257" t="inlineStr">
        <is>
          <t>Male</t>
        </is>
      </c>
      <c r="I257" t="inlineStr">
        <is>
          <t>No</t>
        </is>
      </c>
      <c r="J257" t="inlineStr">
        <is>
          <t>No</t>
        </is>
      </c>
      <c r="K257" t="inlineStr">
        <is>
          <t>African American</t>
        </is>
      </c>
      <c r="L257" s="3" t="n">
        <v>118</v>
      </c>
    </row>
    <row r="258">
      <c r="A258" s="1" t="n">
        <v>257</v>
      </c>
      <c r="B258" s="2" t="n">
        <v>25.936</v>
      </c>
      <c r="C258" s="3" t="n">
        <v>1774</v>
      </c>
      <c r="D258" s="1" t="n">
        <v>135</v>
      </c>
      <c r="E258" s="1" t="n">
        <v>2</v>
      </c>
      <c r="F258" s="1" t="n">
        <v>71</v>
      </c>
      <c r="G258" s="1" t="n">
        <v>14</v>
      </c>
      <c r="H258" t="inlineStr">
        <is>
          <t>Female</t>
        </is>
      </c>
      <c r="I258" t="inlineStr">
        <is>
          <t>No</t>
        </is>
      </c>
      <c r="J258" t="inlineStr">
        <is>
          <t>No</t>
        </is>
      </c>
      <c r="K258" t="inlineStr">
        <is>
          <t>Asian</t>
        </is>
      </c>
      <c r="L258" s="3" t="n">
        <v>0</v>
      </c>
    </row>
    <row r="259">
      <c r="A259" s="1" t="n">
        <v>258</v>
      </c>
      <c r="B259" s="2" t="n">
        <v>15.629</v>
      </c>
      <c r="C259" s="3" t="n">
        <v>2493</v>
      </c>
      <c r="D259" s="1" t="n">
        <v>186</v>
      </c>
      <c r="E259" s="1" t="n">
        <v>1</v>
      </c>
      <c r="F259" s="1" t="n">
        <v>60</v>
      </c>
      <c r="G259" s="1" t="n">
        <v>14</v>
      </c>
      <c r="H259" t="inlineStr">
        <is>
          <t>Male</t>
        </is>
      </c>
      <c r="I259" t="inlineStr">
        <is>
          <t>No</t>
        </is>
      </c>
      <c r="J259" t="inlineStr">
        <is>
          <t>Yes</t>
        </is>
      </c>
      <c r="K259" t="inlineStr">
        <is>
          <t>Asian</t>
        </is>
      </c>
      <c r="L259" s="3" t="n">
        <v>0</v>
      </c>
    </row>
    <row r="260">
      <c r="A260" s="1" t="n">
        <v>259</v>
      </c>
      <c r="B260" s="2" t="n">
        <v>41.4</v>
      </c>
      <c r="C260" s="3" t="n">
        <v>2561</v>
      </c>
      <c r="D260" s="1" t="n">
        <v>215</v>
      </c>
      <c r="E260" s="1" t="n">
        <v>2</v>
      </c>
      <c r="F260" s="1" t="n">
        <v>36</v>
      </c>
      <c r="G260" s="1" t="n">
        <v>14</v>
      </c>
      <c r="H260" t="inlineStr">
        <is>
          <t>Male</t>
        </is>
      </c>
      <c r="I260" t="inlineStr">
        <is>
          <t>No</t>
        </is>
      </c>
      <c r="J260" t="inlineStr">
        <is>
          <t>Yes</t>
        </is>
      </c>
      <c r="K260" t="inlineStr">
        <is>
          <t>Caucasian</t>
        </is>
      </c>
      <c r="L260" s="3" t="n">
        <v>0</v>
      </c>
    </row>
    <row r="261">
      <c r="A261" s="1" t="n">
        <v>260</v>
      </c>
      <c r="B261" s="2" t="n">
        <v>33.657</v>
      </c>
      <c r="C261" s="3" t="n">
        <v>6196</v>
      </c>
      <c r="D261" s="1" t="n">
        <v>450</v>
      </c>
      <c r="E261" s="1" t="n">
        <v>6</v>
      </c>
      <c r="F261" s="1" t="n">
        <v>55</v>
      </c>
      <c r="G261" s="1" t="n">
        <v>9</v>
      </c>
      <c r="H261" t="inlineStr">
        <is>
          <t>Female</t>
        </is>
      </c>
      <c r="I261" t="inlineStr">
        <is>
          <t>No</t>
        </is>
      </c>
      <c r="J261" t="inlineStr">
        <is>
          <t>No</t>
        </is>
      </c>
      <c r="K261" t="inlineStr">
        <is>
          <t>Caucasian</t>
        </is>
      </c>
      <c r="L261" s="3" t="n">
        <v>1092</v>
      </c>
    </row>
    <row r="262">
      <c r="A262" s="1" t="n">
        <v>261</v>
      </c>
      <c r="B262" s="2" t="n">
        <v>67.937</v>
      </c>
      <c r="C262" s="3" t="n">
        <v>5184</v>
      </c>
      <c r="D262" s="1" t="n">
        <v>383</v>
      </c>
      <c r="E262" s="1" t="n">
        <v>4</v>
      </c>
      <c r="F262" s="1" t="n">
        <v>63</v>
      </c>
      <c r="G262" s="1" t="n">
        <v>12</v>
      </c>
      <c r="H262" t="inlineStr">
        <is>
          <t>Male</t>
        </is>
      </c>
      <c r="I262" t="inlineStr">
        <is>
          <t>No</t>
        </is>
      </c>
      <c r="J262" t="inlineStr">
        <is>
          <t>Yes</t>
        </is>
      </c>
      <c r="K262" t="inlineStr">
        <is>
          <t>Asian</t>
        </is>
      </c>
      <c r="L262" s="3" t="n">
        <v>345</v>
      </c>
    </row>
    <row r="263">
      <c r="A263" s="1" t="n">
        <v>262</v>
      </c>
      <c r="B263" s="2" t="n">
        <v>180.379</v>
      </c>
      <c r="C263" s="3" t="n">
        <v>9310</v>
      </c>
      <c r="D263" s="1" t="n">
        <v>665</v>
      </c>
      <c r="E263" s="1" t="n">
        <v>3</v>
      </c>
      <c r="F263" s="1" t="n">
        <v>67</v>
      </c>
      <c r="G263" s="1" t="n">
        <v>8</v>
      </c>
      <c r="H263" t="inlineStr">
        <is>
          <t>Female</t>
        </is>
      </c>
      <c r="I263" t="inlineStr">
        <is>
          <t>Yes</t>
        </is>
      </c>
      <c r="J263" t="inlineStr">
        <is>
          <t>Yes</t>
        </is>
      </c>
      <c r="K263" t="inlineStr">
        <is>
          <t>Asian</t>
        </is>
      </c>
      <c r="L263" s="3" t="n">
        <v>1050</v>
      </c>
    </row>
    <row r="264">
      <c r="A264" s="1" t="n">
        <v>263</v>
      </c>
      <c r="B264" s="2" t="n">
        <v>10.588</v>
      </c>
      <c r="C264" s="3" t="n">
        <v>4049</v>
      </c>
      <c r="D264" s="1" t="n">
        <v>296</v>
      </c>
      <c r="E264" s="1" t="n">
        <v>1</v>
      </c>
      <c r="F264" s="1" t="n">
        <v>66</v>
      </c>
      <c r="G264" s="1" t="n">
        <v>13</v>
      </c>
      <c r="H264" t="inlineStr">
        <is>
          <t>Female</t>
        </is>
      </c>
      <c r="I264" t="inlineStr">
        <is>
          <t>No</t>
        </is>
      </c>
      <c r="J264" t="inlineStr">
        <is>
          <t>Yes</t>
        </is>
      </c>
      <c r="K264" t="inlineStr">
        <is>
          <t>Caucasian</t>
        </is>
      </c>
      <c r="L264" s="3" t="n">
        <v>465</v>
      </c>
    </row>
    <row r="265">
      <c r="A265" s="1" t="n">
        <v>264</v>
      </c>
      <c r="B265" s="2" t="n">
        <v>29.725</v>
      </c>
      <c r="C265" s="3" t="n">
        <v>3536</v>
      </c>
      <c r="D265" s="1" t="n">
        <v>270</v>
      </c>
      <c r="E265" s="1" t="n">
        <v>2</v>
      </c>
      <c r="F265" s="1" t="n">
        <v>52</v>
      </c>
      <c r="G265" s="1" t="n">
        <v>15</v>
      </c>
      <c r="H265" t="inlineStr">
        <is>
          <t>Female</t>
        </is>
      </c>
      <c r="I265" t="inlineStr">
        <is>
          <t>No</t>
        </is>
      </c>
      <c r="J265" t="inlineStr">
        <is>
          <t>No</t>
        </is>
      </c>
      <c r="K265" t="inlineStr">
        <is>
          <t>African American</t>
        </is>
      </c>
      <c r="L265" s="3" t="n">
        <v>133</v>
      </c>
    </row>
    <row r="266">
      <c r="A266" s="1" t="n">
        <v>265</v>
      </c>
      <c r="B266" s="2" t="n">
        <v>27.999</v>
      </c>
      <c r="C266" s="3" t="n">
        <v>5107</v>
      </c>
      <c r="D266" s="1" t="n">
        <v>380</v>
      </c>
      <c r="E266" s="1" t="n">
        <v>1</v>
      </c>
      <c r="F266" s="1" t="n">
        <v>55</v>
      </c>
      <c r="G266" s="1" t="n">
        <v>10</v>
      </c>
      <c r="H266" t="inlineStr">
        <is>
          <t>Male</t>
        </is>
      </c>
      <c r="I266" t="inlineStr">
        <is>
          <t>No</t>
        </is>
      </c>
      <c r="J266" t="inlineStr">
        <is>
          <t>Yes</t>
        </is>
      </c>
      <c r="K266" t="inlineStr">
        <is>
          <t>Caucasian</t>
        </is>
      </c>
      <c r="L266" s="3" t="n">
        <v>651</v>
      </c>
    </row>
    <row r="267">
      <c r="A267" s="1" t="n">
        <v>266</v>
      </c>
      <c r="B267" s="2" t="n">
        <v>40.885</v>
      </c>
      <c r="C267" s="3" t="n">
        <v>5013</v>
      </c>
      <c r="D267" s="1" t="n">
        <v>379</v>
      </c>
      <c r="E267" s="1" t="n">
        <v>3</v>
      </c>
      <c r="F267" s="1" t="n">
        <v>46</v>
      </c>
      <c r="G267" s="1" t="n">
        <v>13</v>
      </c>
      <c r="H267" t="inlineStr">
        <is>
          <t>Female</t>
        </is>
      </c>
      <c r="I267" t="inlineStr">
        <is>
          <t>No</t>
        </is>
      </c>
      <c r="J267" t="inlineStr">
        <is>
          <t>Yes</t>
        </is>
      </c>
      <c r="K267" t="inlineStr">
        <is>
          <t>African American</t>
        </is>
      </c>
      <c r="L267" s="3" t="n">
        <v>549</v>
      </c>
    </row>
    <row r="268">
      <c r="A268" s="1" t="n">
        <v>267</v>
      </c>
      <c r="B268" s="2" t="n">
        <v>88.83</v>
      </c>
      <c r="C268" s="3" t="n">
        <v>4952</v>
      </c>
      <c r="D268" s="1" t="n">
        <v>360</v>
      </c>
      <c r="E268" s="1" t="n">
        <v>4</v>
      </c>
      <c r="F268" s="1" t="n">
        <v>86</v>
      </c>
      <c r="G268" s="1" t="n">
        <v>16</v>
      </c>
      <c r="H268" t="inlineStr">
        <is>
          <t>Female</t>
        </is>
      </c>
      <c r="I268" t="inlineStr">
        <is>
          <t>No</t>
        </is>
      </c>
      <c r="J268" t="inlineStr">
        <is>
          <t>Yes</t>
        </is>
      </c>
      <c r="K268" t="inlineStr">
        <is>
          <t>Caucasian</t>
        </is>
      </c>
      <c r="L268" s="3" t="n">
        <v>15</v>
      </c>
    </row>
    <row r="269">
      <c r="A269" s="1" t="n">
        <v>268</v>
      </c>
      <c r="B269" s="2" t="n">
        <v>29.638</v>
      </c>
      <c r="C269" s="3" t="n">
        <v>5833</v>
      </c>
      <c r="D269" s="1" t="n">
        <v>433</v>
      </c>
      <c r="E269" s="1" t="n">
        <v>3</v>
      </c>
      <c r="F269" s="1" t="n">
        <v>29</v>
      </c>
      <c r="G269" s="1" t="n">
        <v>15</v>
      </c>
      <c r="H269" t="inlineStr">
        <is>
          <t>Female</t>
        </is>
      </c>
      <c r="I269" t="inlineStr">
        <is>
          <t>No</t>
        </is>
      </c>
      <c r="J269" t="inlineStr">
        <is>
          <t>Yes</t>
        </is>
      </c>
      <c r="K269" t="inlineStr">
        <is>
          <t>Asian</t>
        </is>
      </c>
      <c r="L269" s="3" t="n">
        <v>942</v>
      </c>
    </row>
    <row r="270">
      <c r="A270" s="1" t="n">
        <v>269</v>
      </c>
      <c r="B270" s="2" t="n">
        <v>25.988</v>
      </c>
      <c r="C270" s="3" t="n">
        <v>1349</v>
      </c>
      <c r="D270" s="1" t="n">
        <v>142</v>
      </c>
      <c r="E270" s="1" t="n">
        <v>4</v>
      </c>
      <c r="F270" s="1" t="n">
        <v>82</v>
      </c>
      <c r="G270" s="1" t="n">
        <v>12</v>
      </c>
      <c r="H270" t="inlineStr">
        <is>
          <t>Male</t>
        </is>
      </c>
      <c r="I270" t="inlineStr">
        <is>
          <t>No</t>
        </is>
      </c>
      <c r="J270" t="inlineStr">
        <is>
          <t>No</t>
        </is>
      </c>
      <c r="K270" t="inlineStr">
        <is>
          <t>Caucasian</t>
        </is>
      </c>
      <c r="L270" s="3" t="n">
        <v>0</v>
      </c>
    </row>
    <row r="271">
      <c r="A271" s="1" t="n">
        <v>270</v>
      </c>
      <c r="B271" s="2" t="n">
        <v>39.055</v>
      </c>
      <c r="C271" s="3" t="n">
        <v>5565</v>
      </c>
      <c r="D271" s="1" t="n">
        <v>410</v>
      </c>
      <c r="E271" s="1" t="n">
        <v>4</v>
      </c>
      <c r="F271" s="1" t="n">
        <v>48</v>
      </c>
      <c r="G271" s="1" t="n">
        <v>18</v>
      </c>
      <c r="H271" t="inlineStr">
        <is>
          <t>Female</t>
        </is>
      </c>
      <c r="I271" t="inlineStr">
        <is>
          <t>No</t>
        </is>
      </c>
      <c r="J271" t="inlineStr">
        <is>
          <t>Yes</t>
        </is>
      </c>
      <c r="K271" t="inlineStr">
        <is>
          <t>Caucasian</t>
        </is>
      </c>
      <c r="L271" s="3" t="n">
        <v>772</v>
      </c>
    </row>
    <row r="272">
      <c r="A272" s="1" t="n">
        <v>271</v>
      </c>
      <c r="B272" s="2" t="n">
        <v>15.866</v>
      </c>
      <c r="C272" s="3" t="n">
        <v>3085</v>
      </c>
      <c r="D272" s="1" t="n">
        <v>217</v>
      </c>
      <c r="E272" s="1" t="n">
        <v>1</v>
      </c>
      <c r="F272" s="1" t="n">
        <v>39</v>
      </c>
      <c r="G272" s="1" t="n">
        <v>13</v>
      </c>
      <c r="H272" t="inlineStr">
        <is>
          <t>Male</t>
        </is>
      </c>
      <c r="I272" t="inlineStr">
        <is>
          <t>No</t>
        </is>
      </c>
      <c r="J272" t="inlineStr">
        <is>
          <t>No</t>
        </is>
      </c>
      <c r="K272" t="inlineStr">
        <is>
          <t>Caucasian</t>
        </is>
      </c>
      <c r="L272" s="3" t="n">
        <v>136</v>
      </c>
    </row>
    <row r="273">
      <c r="A273" s="1" t="n">
        <v>272</v>
      </c>
      <c r="B273" s="2" t="n">
        <v>44.978</v>
      </c>
      <c r="C273" s="3" t="n">
        <v>4866</v>
      </c>
      <c r="D273" s="1" t="n">
        <v>347</v>
      </c>
      <c r="E273" s="1" t="n">
        <v>1</v>
      </c>
      <c r="F273" s="1" t="n">
        <v>30</v>
      </c>
      <c r="G273" s="1" t="n">
        <v>10</v>
      </c>
      <c r="H273" t="inlineStr">
        <is>
          <t>Female</t>
        </is>
      </c>
      <c r="I273" t="inlineStr">
        <is>
          <t>No</t>
        </is>
      </c>
      <c r="J273" t="inlineStr">
        <is>
          <t>No</t>
        </is>
      </c>
      <c r="K273" t="inlineStr">
        <is>
          <t>Caucasian</t>
        </is>
      </c>
      <c r="L273" s="3" t="n">
        <v>436</v>
      </c>
    </row>
    <row r="274">
      <c r="A274" s="1" t="n">
        <v>273</v>
      </c>
      <c r="B274" s="2" t="n">
        <v>30.413</v>
      </c>
      <c r="C274" s="3" t="n">
        <v>3690</v>
      </c>
      <c r="D274" s="1" t="n">
        <v>299</v>
      </c>
      <c r="E274" s="1" t="n">
        <v>2</v>
      </c>
      <c r="F274" s="1" t="n">
        <v>25</v>
      </c>
      <c r="G274" s="1" t="n">
        <v>15</v>
      </c>
      <c r="H274" t="inlineStr">
        <is>
          <t>Female</t>
        </is>
      </c>
      <c r="I274" t="inlineStr">
        <is>
          <t>Yes</t>
        </is>
      </c>
      <c r="J274" t="inlineStr">
        <is>
          <t>No</t>
        </is>
      </c>
      <c r="K274" t="inlineStr">
        <is>
          <t>Asian</t>
        </is>
      </c>
      <c r="L274" s="3" t="n">
        <v>728</v>
      </c>
    </row>
    <row r="275">
      <c r="A275" s="1" t="n">
        <v>274</v>
      </c>
      <c r="B275" s="2" t="n">
        <v>16.751</v>
      </c>
      <c r="C275" s="3" t="n">
        <v>4706</v>
      </c>
      <c r="D275" s="1" t="n">
        <v>353</v>
      </c>
      <c r="E275" s="1" t="n">
        <v>6</v>
      </c>
      <c r="F275" s="1" t="n">
        <v>48</v>
      </c>
      <c r="G275" s="1" t="n">
        <v>14</v>
      </c>
      <c r="H275" t="inlineStr">
        <is>
          <t>Male</t>
        </is>
      </c>
      <c r="I275" t="inlineStr">
        <is>
          <t>Yes</t>
        </is>
      </c>
      <c r="J275" t="inlineStr">
        <is>
          <t>No</t>
        </is>
      </c>
      <c r="K275" t="inlineStr">
        <is>
          <t>Asian</t>
        </is>
      </c>
      <c r="L275" s="3" t="n">
        <v>1255</v>
      </c>
    </row>
    <row r="276">
      <c r="A276" s="1" t="n">
        <v>275</v>
      </c>
      <c r="B276" s="2" t="n">
        <v>30.55</v>
      </c>
      <c r="C276" s="3" t="n">
        <v>5869</v>
      </c>
      <c r="D276" s="1" t="n">
        <v>439</v>
      </c>
      <c r="E276" s="1" t="n">
        <v>5</v>
      </c>
      <c r="F276" s="1" t="n">
        <v>81</v>
      </c>
      <c r="G276" s="1" t="n">
        <v>9</v>
      </c>
      <c r="H276" t="inlineStr">
        <is>
          <t>Female</t>
        </is>
      </c>
      <c r="I276" t="inlineStr">
        <is>
          <t>No</t>
        </is>
      </c>
      <c r="J276" t="inlineStr">
        <is>
          <t>No</t>
        </is>
      </c>
      <c r="K276" t="inlineStr">
        <is>
          <t>African American</t>
        </is>
      </c>
      <c r="L276" s="3" t="n">
        <v>967</v>
      </c>
    </row>
    <row r="277">
      <c r="A277" s="1" t="n">
        <v>276</v>
      </c>
      <c r="B277" s="2" t="n">
        <v>163.329</v>
      </c>
      <c r="C277" s="3" t="n">
        <v>8732</v>
      </c>
      <c r="D277" s="1" t="n">
        <v>636</v>
      </c>
      <c r="E277" s="1" t="n">
        <v>3</v>
      </c>
      <c r="F277" s="1" t="n">
        <v>50</v>
      </c>
      <c r="G277" s="1" t="n">
        <v>14</v>
      </c>
      <c r="H277" t="inlineStr">
        <is>
          <t>Male</t>
        </is>
      </c>
      <c r="I277" t="inlineStr">
        <is>
          <t>No</t>
        </is>
      </c>
      <c r="J277" t="inlineStr">
        <is>
          <t>Yes</t>
        </is>
      </c>
      <c r="K277" t="inlineStr">
        <is>
          <t>Caucasian</t>
        </is>
      </c>
      <c r="L277" s="3" t="n">
        <v>529</v>
      </c>
    </row>
    <row r="278">
      <c r="A278" s="1" t="n">
        <v>277</v>
      </c>
      <c r="B278" s="2" t="n">
        <v>23.106</v>
      </c>
      <c r="C278" s="3" t="n">
        <v>3476</v>
      </c>
      <c r="D278" s="1" t="n">
        <v>257</v>
      </c>
      <c r="E278" s="1" t="n">
        <v>2</v>
      </c>
      <c r="F278" s="1" t="n">
        <v>50</v>
      </c>
      <c r="G278" s="1" t="n">
        <v>15</v>
      </c>
      <c r="H278" t="inlineStr">
        <is>
          <t>Female</t>
        </is>
      </c>
      <c r="I278" t="inlineStr">
        <is>
          <t>No</t>
        </is>
      </c>
      <c r="J278" t="inlineStr">
        <is>
          <t>No</t>
        </is>
      </c>
      <c r="K278" t="inlineStr">
        <is>
          <t>Caucasian</t>
        </is>
      </c>
      <c r="L278" s="3" t="n">
        <v>209</v>
      </c>
    </row>
    <row r="279">
      <c r="A279" s="1" t="n">
        <v>278</v>
      </c>
      <c r="B279" s="2" t="n">
        <v>41.532</v>
      </c>
      <c r="C279" s="3" t="n">
        <v>5000</v>
      </c>
      <c r="D279" s="1" t="n">
        <v>353</v>
      </c>
      <c r="E279" s="1" t="n">
        <v>2</v>
      </c>
      <c r="F279" s="1" t="n">
        <v>50</v>
      </c>
      <c r="G279" s="1" t="n">
        <v>12</v>
      </c>
      <c r="H279" t="inlineStr">
        <is>
          <t>Male</t>
        </is>
      </c>
      <c r="I279" t="inlineStr">
        <is>
          <t>No</t>
        </is>
      </c>
      <c r="J279" t="inlineStr">
        <is>
          <t>Yes</t>
        </is>
      </c>
      <c r="K279" t="inlineStr">
        <is>
          <t>Caucasian</t>
        </is>
      </c>
      <c r="L279" s="3" t="n">
        <v>531</v>
      </c>
    </row>
    <row r="280">
      <c r="A280" s="1" t="n">
        <v>279</v>
      </c>
      <c r="B280" s="2" t="n">
        <v>128.04</v>
      </c>
      <c r="C280" s="3" t="n">
        <v>6982</v>
      </c>
      <c r="D280" s="1" t="n">
        <v>518</v>
      </c>
      <c r="E280" s="1" t="n">
        <v>2</v>
      </c>
      <c r="F280" s="1" t="n">
        <v>78</v>
      </c>
      <c r="G280" s="1" t="n">
        <v>11</v>
      </c>
      <c r="H280" t="inlineStr">
        <is>
          <t>Female</t>
        </is>
      </c>
      <c r="I280" t="inlineStr">
        <is>
          <t>No</t>
        </is>
      </c>
      <c r="J280" t="inlineStr">
        <is>
          <t>Yes</t>
        </is>
      </c>
      <c r="K280" t="inlineStr">
        <is>
          <t>Caucasian</t>
        </is>
      </c>
      <c r="L280" s="3" t="n">
        <v>250</v>
      </c>
    </row>
    <row r="281">
      <c r="A281" s="1" t="n">
        <v>280</v>
      </c>
      <c r="B281" s="2" t="n">
        <v>54.319</v>
      </c>
      <c r="C281" s="3" t="n">
        <v>3063</v>
      </c>
      <c r="D281" s="1" t="n">
        <v>248</v>
      </c>
      <c r="E281" s="1" t="n">
        <v>3</v>
      </c>
      <c r="F281" s="1" t="n">
        <v>59</v>
      </c>
      <c r="G281" s="1" t="n">
        <v>8</v>
      </c>
      <c r="H281" t="inlineStr">
        <is>
          <t>Female</t>
        </is>
      </c>
      <c r="I281" t="inlineStr">
        <is>
          <t>Yes</t>
        </is>
      </c>
      <c r="J281" t="inlineStr">
        <is>
          <t>No</t>
        </is>
      </c>
      <c r="K281" t="inlineStr">
        <is>
          <t>Caucasian</t>
        </is>
      </c>
      <c r="L281" s="3" t="n">
        <v>269</v>
      </c>
    </row>
    <row r="282">
      <c r="A282" s="1" t="n">
        <v>281</v>
      </c>
      <c r="B282" s="2" t="n">
        <v>53.401</v>
      </c>
      <c r="C282" s="3" t="n">
        <v>5319</v>
      </c>
      <c r="D282" s="1" t="n">
        <v>377</v>
      </c>
      <c r="E282" s="1" t="n">
        <v>3</v>
      </c>
      <c r="F282" s="1" t="n">
        <v>35</v>
      </c>
      <c r="G282" s="1" t="n">
        <v>12</v>
      </c>
      <c r="H282" t="inlineStr">
        <is>
          <t>Female</t>
        </is>
      </c>
      <c r="I282" t="inlineStr">
        <is>
          <t>No</t>
        </is>
      </c>
      <c r="J282" t="inlineStr">
        <is>
          <t>No</t>
        </is>
      </c>
      <c r="K282" t="inlineStr">
        <is>
          <t>African American</t>
        </is>
      </c>
      <c r="L282" s="3" t="n">
        <v>541</v>
      </c>
    </row>
    <row r="283">
      <c r="A283" s="1" t="n">
        <v>282</v>
      </c>
      <c r="B283" s="2" t="n">
        <v>36.142</v>
      </c>
      <c r="C283" s="3" t="n">
        <v>1852</v>
      </c>
      <c r="D283" s="1" t="n">
        <v>183</v>
      </c>
      <c r="E283" s="1" t="n">
        <v>3</v>
      </c>
      <c r="F283" s="1" t="n">
        <v>33</v>
      </c>
      <c r="G283" s="1" t="n">
        <v>13</v>
      </c>
      <c r="H283" t="inlineStr">
        <is>
          <t>Female</t>
        </is>
      </c>
      <c r="I283" t="inlineStr">
        <is>
          <t>No</t>
        </is>
      </c>
      <c r="J283" t="inlineStr">
        <is>
          <t>No</t>
        </is>
      </c>
      <c r="K283" t="inlineStr">
        <is>
          <t>African American</t>
        </is>
      </c>
      <c r="L283" s="3" t="n">
        <v>0</v>
      </c>
    </row>
    <row r="284">
      <c r="A284" s="1" t="n">
        <v>283</v>
      </c>
      <c r="B284" s="2" t="n">
        <v>63.534</v>
      </c>
      <c r="C284" s="3" t="n">
        <v>8100</v>
      </c>
      <c r="D284" s="1" t="n">
        <v>581</v>
      </c>
      <c r="E284" s="1" t="n">
        <v>2</v>
      </c>
      <c r="F284" s="1" t="n">
        <v>50</v>
      </c>
      <c r="G284" s="1" t="n">
        <v>17</v>
      </c>
      <c r="H284" t="inlineStr">
        <is>
          <t>Female</t>
        </is>
      </c>
      <c r="I284" t="inlineStr">
        <is>
          <t>No</t>
        </is>
      </c>
      <c r="J284" t="inlineStr">
        <is>
          <t>Yes</t>
        </is>
      </c>
      <c r="K284" t="inlineStr">
        <is>
          <t>Caucasian</t>
        </is>
      </c>
      <c r="L284" s="3" t="n">
        <v>1298</v>
      </c>
    </row>
    <row r="285">
      <c r="A285" s="1" t="n">
        <v>284</v>
      </c>
      <c r="B285" s="2" t="n">
        <v>49.927</v>
      </c>
      <c r="C285" s="3" t="n">
        <v>6396</v>
      </c>
      <c r="D285" s="1" t="n">
        <v>485</v>
      </c>
      <c r="E285" s="1" t="n">
        <v>3</v>
      </c>
      <c r="F285" s="1" t="n">
        <v>75</v>
      </c>
      <c r="G285" s="1" t="n">
        <v>17</v>
      </c>
      <c r="H285" t="inlineStr">
        <is>
          <t>Female</t>
        </is>
      </c>
      <c r="I285" t="inlineStr">
        <is>
          <t>No</t>
        </is>
      </c>
      <c r="J285" t="inlineStr">
        <is>
          <t>Yes</t>
        </is>
      </c>
      <c r="K285" t="inlineStr">
        <is>
          <t>Caucasian</t>
        </is>
      </c>
      <c r="L285" s="3" t="n">
        <v>890</v>
      </c>
    </row>
    <row r="286">
      <c r="A286" s="1" t="n">
        <v>285</v>
      </c>
      <c r="B286" s="2" t="n">
        <v>14.711</v>
      </c>
      <c r="C286" s="3" t="n">
        <v>2047</v>
      </c>
      <c r="D286" s="1" t="n">
        <v>167</v>
      </c>
      <c r="E286" s="1" t="n">
        <v>2</v>
      </c>
      <c r="F286" s="1" t="n">
        <v>67</v>
      </c>
      <c r="G286" s="1" t="n">
        <v>6</v>
      </c>
      <c r="H286" t="inlineStr">
        <is>
          <t>Male</t>
        </is>
      </c>
      <c r="I286" t="inlineStr">
        <is>
          <t>No</t>
        </is>
      </c>
      <c r="J286" t="inlineStr">
        <is>
          <t>Yes</t>
        </is>
      </c>
      <c r="K286" t="inlineStr">
        <is>
          <t>Caucasian</t>
        </is>
      </c>
      <c r="L286" s="3" t="n">
        <v>0</v>
      </c>
    </row>
    <row r="287">
      <c r="A287" s="1" t="n">
        <v>286</v>
      </c>
      <c r="B287" s="2" t="n">
        <v>18.967</v>
      </c>
      <c r="C287" s="3" t="n">
        <v>1626</v>
      </c>
      <c r="D287" s="1" t="n">
        <v>156</v>
      </c>
      <c r="E287" s="1" t="n">
        <v>2</v>
      </c>
      <c r="F287" s="1" t="n">
        <v>41</v>
      </c>
      <c r="G287" s="1" t="n">
        <v>11</v>
      </c>
      <c r="H287" t="inlineStr">
        <is>
          <t>Female</t>
        </is>
      </c>
      <c r="I287" t="inlineStr">
        <is>
          <t>No</t>
        </is>
      </c>
      <c r="J287" t="inlineStr">
        <is>
          <t>Yes</t>
        </is>
      </c>
      <c r="K287" t="inlineStr">
        <is>
          <t>Asian</t>
        </is>
      </c>
      <c r="L287" s="3" t="n">
        <v>0</v>
      </c>
    </row>
    <row r="288">
      <c r="A288" s="1" t="n">
        <v>287</v>
      </c>
      <c r="B288" s="2" t="n">
        <v>18.036</v>
      </c>
      <c r="C288" s="3" t="n">
        <v>1552</v>
      </c>
      <c r="D288" s="1" t="n">
        <v>142</v>
      </c>
      <c r="E288" s="1" t="n">
        <v>2</v>
      </c>
      <c r="F288" s="1" t="n">
        <v>48</v>
      </c>
      <c r="G288" s="1" t="n">
        <v>15</v>
      </c>
      <c r="H288" t="inlineStr">
        <is>
          <t>Female</t>
        </is>
      </c>
      <c r="I288" t="inlineStr">
        <is>
          <t>No</t>
        </is>
      </c>
      <c r="J288" t="inlineStr">
        <is>
          <t>No</t>
        </is>
      </c>
      <c r="K288" t="inlineStr">
        <is>
          <t>Caucasian</t>
        </is>
      </c>
      <c r="L288" s="3" t="n">
        <v>0</v>
      </c>
    </row>
    <row r="289">
      <c r="A289" s="1" t="n">
        <v>288</v>
      </c>
      <c r="B289" s="2" t="n">
        <v>60.449</v>
      </c>
      <c r="C289" s="3" t="n">
        <v>3098</v>
      </c>
      <c r="D289" s="1" t="n">
        <v>272</v>
      </c>
      <c r="E289" s="1" t="n">
        <v>4</v>
      </c>
      <c r="F289" s="1" t="n">
        <v>69</v>
      </c>
      <c r="G289" s="1" t="n">
        <v>8</v>
      </c>
      <c r="H289" t="inlineStr">
        <is>
          <t>Male</t>
        </is>
      </c>
      <c r="I289" t="inlineStr">
        <is>
          <t>No</t>
        </is>
      </c>
      <c r="J289" t="inlineStr">
        <is>
          <t>Yes</t>
        </is>
      </c>
      <c r="K289" t="inlineStr">
        <is>
          <t>Caucasian</t>
        </is>
      </c>
      <c r="L289" s="3" t="n">
        <v>0</v>
      </c>
    </row>
    <row r="290">
      <c r="A290" s="1" t="n">
        <v>289</v>
      </c>
      <c r="B290" s="2" t="n">
        <v>16.711</v>
      </c>
      <c r="C290" s="3" t="n">
        <v>5274</v>
      </c>
      <c r="D290" s="1" t="n">
        <v>387</v>
      </c>
      <c r="E290" s="1" t="n">
        <v>3</v>
      </c>
      <c r="F290" s="1" t="n">
        <v>42</v>
      </c>
      <c r="G290" s="1" t="n">
        <v>16</v>
      </c>
      <c r="H290" t="inlineStr">
        <is>
          <t>Female</t>
        </is>
      </c>
      <c r="I290" t="inlineStr">
        <is>
          <t>No</t>
        </is>
      </c>
      <c r="J290" t="inlineStr">
        <is>
          <t>Yes</t>
        </is>
      </c>
      <c r="K290" t="inlineStr">
        <is>
          <t>Asian</t>
        </is>
      </c>
      <c r="L290" s="3" t="n">
        <v>863</v>
      </c>
    </row>
    <row r="291">
      <c r="A291" s="1" t="n">
        <v>290</v>
      </c>
      <c r="B291" s="2" t="n">
        <v>10.852</v>
      </c>
      <c r="C291" s="3" t="n">
        <v>3907</v>
      </c>
      <c r="D291" s="1" t="n">
        <v>296</v>
      </c>
      <c r="E291" s="1" t="n">
        <v>2</v>
      </c>
      <c r="F291" s="1" t="n">
        <v>30</v>
      </c>
      <c r="G291" s="1" t="n">
        <v>9</v>
      </c>
      <c r="H291" t="inlineStr">
        <is>
          <t>Male</t>
        </is>
      </c>
      <c r="I291" t="inlineStr">
        <is>
          <t>No</t>
        </is>
      </c>
      <c r="J291" t="inlineStr">
        <is>
          <t>No</t>
        </is>
      </c>
      <c r="K291" t="inlineStr">
        <is>
          <t>Caucasian</t>
        </is>
      </c>
      <c r="L291" s="3" t="n">
        <v>485</v>
      </c>
    </row>
    <row r="292">
      <c r="A292" s="1" t="n">
        <v>291</v>
      </c>
      <c r="B292" s="2" t="n">
        <v>26.37</v>
      </c>
      <c r="C292" s="3" t="n">
        <v>3235</v>
      </c>
      <c r="D292" s="1" t="n">
        <v>268</v>
      </c>
      <c r="E292" s="1" t="n">
        <v>5</v>
      </c>
      <c r="F292" s="1" t="n">
        <v>78</v>
      </c>
      <c r="G292" s="1" t="n">
        <v>11</v>
      </c>
      <c r="H292" t="inlineStr">
        <is>
          <t>Male</t>
        </is>
      </c>
      <c r="I292" t="inlineStr">
        <is>
          <t>No</t>
        </is>
      </c>
      <c r="J292" t="inlineStr">
        <is>
          <t>Yes</t>
        </is>
      </c>
      <c r="K292" t="inlineStr">
        <is>
          <t>Asian</t>
        </is>
      </c>
      <c r="L292" s="3" t="n">
        <v>159</v>
      </c>
    </row>
    <row r="293">
      <c r="A293" s="1" t="n">
        <v>292</v>
      </c>
      <c r="B293" s="2" t="n">
        <v>24.088</v>
      </c>
      <c r="C293" s="3" t="n">
        <v>3665</v>
      </c>
      <c r="D293" s="1" t="n">
        <v>287</v>
      </c>
      <c r="E293" s="1" t="n">
        <v>4</v>
      </c>
      <c r="F293" s="1" t="n">
        <v>56</v>
      </c>
      <c r="G293" s="1" t="n">
        <v>13</v>
      </c>
      <c r="H293" t="inlineStr">
        <is>
          <t>Female</t>
        </is>
      </c>
      <c r="I293" t="inlineStr">
        <is>
          <t>No</t>
        </is>
      </c>
      <c r="J293" t="inlineStr">
        <is>
          <t>Yes</t>
        </is>
      </c>
      <c r="K293" t="inlineStr">
        <is>
          <t>Caucasian</t>
        </is>
      </c>
      <c r="L293" s="3" t="n">
        <v>309</v>
      </c>
    </row>
    <row r="294">
      <c r="A294" s="1" t="n">
        <v>293</v>
      </c>
      <c r="B294" s="2" t="n">
        <v>51.532</v>
      </c>
      <c r="C294" s="3" t="n">
        <v>5096</v>
      </c>
      <c r="D294" s="1" t="n">
        <v>380</v>
      </c>
      <c r="E294" s="1" t="n">
        <v>2</v>
      </c>
      <c r="F294" s="1" t="n">
        <v>31</v>
      </c>
      <c r="G294" s="1" t="n">
        <v>15</v>
      </c>
      <c r="H294" t="inlineStr">
        <is>
          <t>Male</t>
        </is>
      </c>
      <c r="I294" t="inlineStr">
        <is>
          <t>No</t>
        </is>
      </c>
      <c r="J294" t="inlineStr">
        <is>
          <t>Yes</t>
        </is>
      </c>
      <c r="K294" t="inlineStr">
        <is>
          <t>Caucasian</t>
        </is>
      </c>
      <c r="L294" s="3" t="n">
        <v>481</v>
      </c>
    </row>
    <row r="295">
      <c r="A295" s="1" t="n">
        <v>294</v>
      </c>
      <c r="B295" s="2" t="n">
        <v>140.672</v>
      </c>
      <c r="C295" s="3" t="n">
        <v>11200</v>
      </c>
      <c r="D295" s="1" t="n">
        <v>817</v>
      </c>
      <c r="E295" s="1" t="n">
        <v>7</v>
      </c>
      <c r="F295" s="1" t="n">
        <v>46</v>
      </c>
      <c r="G295" s="1" t="n">
        <v>9</v>
      </c>
      <c r="H295" t="inlineStr">
        <is>
          <t>Male</t>
        </is>
      </c>
      <c r="I295" t="inlineStr">
        <is>
          <t>No</t>
        </is>
      </c>
      <c r="J295" t="inlineStr">
        <is>
          <t>Yes</t>
        </is>
      </c>
      <c r="K295" t="inlineStr">
        <is>
          <t>African American</t>
        </is>
      </c>
      <c r="L295" s="3" t="n">
        <v>1677</v>
      </c>
    </row>
    <row r="296">
      <c r="A296" s="1" t="n">
        <v>295</v>
      </c>
      <c r="B296" s="2" t="n">
        <v>42.915</v>
      </c>
      <c r="C296" s="3" t="n">
        <v>2532</v>
      </c>
      <c r="D296" s="1" t="n">
        <v>205</v>
      </c>
      <c r="E296" s="1" t="n">
        <v>4</v>
      </c>
      <c r="F296" s="1" t="n">
        <v>42</v>
      </c>
      <c r="G296" s="1" t="n">
        <v>13</v>
      </c>
      <c r="H296" t="inlineStr">
        <is>
          <t>Male</t>
        </is>
      </c>
      <c r="I296" t="inlineStr">
        <is>
          <t>No</t>
        </is>
      </c>
      <c r="J296" t="inlineStr">
        <is>
          <t>Yes</t>
        </is>
      </c>
      <c r="K296" t="inlineStr">
        <is>
          <t>Asian</t>
        </is>
      </c>
      <c r="L296" s="3" t="n">
        <v>0</v>
      </c>
    </row>
    <row r="297">
      <c r="A297" s="1" t="n">
        <v>296</v>
      </c>
      <c r="B297" s="2" t="n">
        <v>27.272</v>
      </c>
      <c r="C297" s="3" t="n">
        <v>1389</v>
      </c>
      <c r="D297" s="1" t="n">
        <v>149</v>
      </c>
      <c r="E297" s="1" t="n">
        <v>5</v>
      </c>
      <c r="F297" s="1" t="n">
        <v>67</v>
      </c>
      <c r="G297" s="1" t="n">
        <v>10</v>
      </c>
      <c r="H297" t="inlineStr">
        <is>
          <t>Female</t>
        </is>
      </c>
      <c r="I297" t="inlineStr">
        <is>
          <t>No</t>
        </is>
      </c>
      <c r="J297" t="inlineStr">
        <is>
          <t>Yes</t>
        </is>
      </c>
      <c r="K297" t="inlineStr">
        <is>
          <t>Caucasian</t>
        </is>
      </c>
      <c r="L297" s="3" t="n">
        <v>0</v>
      </c>
    </row>
    <row r="298">
      <c r="A298" s="1" t="n">
        <v>297</v>
      </c>
      <c r="B298" s="2" t="n">
        <v>65.896</v>
      </c>
      <c r="C298" s="3" t="n">
        <v>5140</v>
      </c>
      <c r="D298" s="1" t="n">
        <v>370</v>
      </c>
      <c r="E298" s="1" t="n">
        <v>1</v>
      </c>
      <c r="F298" s="1" t="n">
        <v>49</v>
      </c>
      <c r="G298" s="1" t="n">
        <v>17</v>
      </c>
      <c r="H298" t="inlineStr">
        <is>
          <t>Female</t>
        </is>
      </c>
      <c r="I298" t="inlineStr">
        <is>
          <t>No</t>
        </is>
      </c>
      <c r="J298" t="inlineStr">
        <is>
          <t>Yes</t>
        </is>
      </c>
      <c r="K298" t="inlineStr">
        <is>
          <t>Caucasian</t>
        </is>
      </c>
      <c r="L298" s="3" t="n">
        <v>293</v>
      </c>
    </row>
    <row r="299">
      <c r="A299" s="1" t="n">
        <v>298</v>
      </c>
      <c r="B299" s="2" t="n">
        <v>55.054</v>
      </c>
      <c r="C299" s="3" t="n">
        <v>4381</v>
      </c>
      <c r="D299" s="1" t="n">
        <v>321</v>
      </c>
      <c r="E299" s="1" t="n">
        <v>3</v>
      </c>
      <c r="F299" s="1" t="n">
        <v>74</v>
      </c>
      <c r="G299" s="1" t="n">
        <v>17</v>
      </c>
      <c r="H299" t="inlineStr">
        <is>
          <t>Male</t>
        </is>
      </c>
      <c r="I299" t="inlineStr">
        <is>
          <t>No</t>
        </is>
      </c>
      <c r="J299" t="inlineStr">
        <is>
          <t>Yes</t>
        </is>
      </c>
      <c r="K299" t="inlineStr">
        <is>
          <t>Asian</t>
        </is>
      </c>
      <c r="L299" s="3" t="n">
        <v>188</v>
      </c>
    </row>
    <row r="300">
      <c r="A300" s="1" t="n">
        <v>299</v>
      </c>
      <c r="B300" s="2" t="n">
        <v>20.791</v>
      </c>
      <c r="C300" s="3" t="n">
        <v>2672</v>
      </c>
      <c r="D300" s="1" t="n">
        <v>204</v>
      </c>
      <c r="E300" s="1" t="n">
        <v>1</v>
      </c>
      <c r="F300" s="1" t="n">
        <v>70</v>
      </c>
      <c r="G300" s="1" t="n">
        <v>18</v>
      </c>
      <c r="H300" t="inlineStr">
        <is>
          <t>Female</t>
        </is>
      </c>
      <c r="I300" t="inlineStr">
        <is>
          <t>No</t>
        </is>
      </c>
      <c r="J300" t="inlineStr">
        <is>
          <t>No</t>
        </is>
      </c>
      <c r="K300" t="inlineStr">
        <is>
          <t>African American</t>
        </is>
      </c>
      <c r="L300" s="3" t="n">
        <v>0</v>
      </c>
    </row>
    <row r="301">
      <c r="A301" s="1" t="n">
        <v>300</v>
      </c>
      <c r="B301" s="2" t="n">
        <v>24.919</v>
      </c>
      <c r="C301" s="3" t="n">
        <v>5051</v>
      </c>
      <c r="D301" s="1" t="n">
        <v>372</v>
      </c>
      <c r="E301" s="1" t="n">
        <v>3</v>
      </c>
      <c r="F301" s="1" t="n">
        <v>76</v>
      </c>
      <c r="G301" s="1" t="n">
        <v>11</v>
      </c>
      <c r="H301" t="inlineStr">
        <is>
          <t>Female</t>
        </is>
      </c>
      <c r="I301" t="inlineStr">
        <is>
          <t>No</t>
        </is>
      </c>
      <c r="J301" t="inlineStr">
        <is>
          <t>Yes</t>
        </is>
      </c>
      <c r="K301" t="inlineStr">
        <is>
          <t>African American</t>
        </is>
      </c>
      <c r="L301" s="3" t="n">
        <v>711</v>
      </c>
    </row>
    <row r="302">
      <c r="A302" s="1" t="n">
        <v>301</v>
      </c>
      <c r="B302" s="2" t="n">
        <v>21.786</v>
      </c>
      <c r="C302" s="3" t="n">
        <v>4632</v>
      </c>
      <c r="D302" s="1" t="n">
        <v>355</v>
      </c>
      <c r="E302" s="1" t="n">
        <v>1</v>
      </c>
      <c r="F302" s="1" t="n">
        <v>50</v>
      </c>
      <c r="G302" s="1" t="n">
        <v>17</v>
      </c>
      <c r="H302" t="inlineStr">
        <is>
          <t>Male</t>
        </is>
      </c>
      <c r="I302" t="inlineStr">
        <is>
          <t>No</t>
        </is>
      </c>
      <c r="J302" t="inlineStr">
        <is>
          <t>Yes</t>
        </is>
      </c>
      <c r="K302" t="inlineStr">
        <is>
          <t>Caucasian</t>
        </is>
      </c>
      <c r="L302" s="3" t="n">
        <v>580</v>
      </c>
    </row>
    <row r="303">
      <c r="A303" s="1" t="n">
        <v>302</v>
      </c>
      <c r="B303" s="2" t="n">
        <v>31.335</v>
      </c>
      <c r="C303" s="3" t="n">
        <v>3526</v>
      </c>
      <c r="D303" s="1" t="n">
        <v>289</v>
      </c>
      <c r="E303" s="1" t="n">
        <v>3</v>
      </c>
      <c r="F303" s="1" t="n">
        <v>38</v>
      </c>
      <c r="G303" s="1" t="n">
        <v>7</v>
      </c>
      <c r="H303" t="inlineStr">
        <is>
          <t>Female</t>
        </is>
      </c>
      <c r="I303" t="inlineStr">
        <is>
          <t>No</t>
        </is>
      </c>
      <c r="J303" t="inlineStr">
        <is>
          <t>No</t>
        </is>
      </c>
      <c r="K303" t="inlineStr">
        <is>
          <t>Caucasian</t>
        </is>
      </c>
      <c r="L303" s="3" t="n">
        <v>172</v>
      </c>
    </row>
    <row r="304">
      <c r="A304" s="1" t="n">
        <v>303</v>
      </c>
      <c r="B304" s="2" t="n">
        <v>59.855</v>
      </c>
      <c r="C304" s="3" t="n">
        <v>4964</v>
      </c>
      <c r="D304" s="1" t="n">
        <v>365</v>
      </c>
      <c r="E304" s="1" t="n">
        <v>1</v>
      </c>
      <c r="F304" s="1" t="n">
        <v>46</v>
      </c>
      <c r="G304" s="1" t="n">
        <v>13</v>
      </c>
      <c r="H304" t="inlineStr">
        <is>
          <t>Female</t>
        </is>
      </c>
      <c r="I304" t="inlineStr">
        <is>
          <t>No</t>
        </is>
      </c>
      <c r="J304" t="inlineStr">
        <is>
          <t>Yes</t>
        </is>
      </c>
      <c r="K304" t="inlineStr">
        <is>
          <t>Caucasian</t>
        </is>
      </c>
      <c r="L304" s="3" t="n">
        <v>295</v>
      </c>
    </row>
    <row r="305">
      <c r="A305" s="1" t="n">
        <v>304</v>
      </c>
      <c r="B305" s="2" t="n">
        <v>44.061</v>
      </c>
      <c r="C305" s="3" t="n">
        <v>4970</v>
      </c>
      <c r="D305" s="1" t="n">
        <v>352</v>
      </c>
      <c r="E305" s="1" t="n">
        <v>1</v>
      </c>
      <c r="F305" s="1" t="n">
        <v>79</v>
      </c>
      <c r="G305" s="1" t="n">
        <v>11</v>
      </c>
      <c r="H305" t="inlineStr">
        <is>
          <t>Male</t>
        </is>
      </c>
      <c r="I305" t="inlineStr">
        <is>
          <t>No</t>
        </is>
      </c>
      <c r="J305" t="inlineStr">
        <is>
          <t>Yes</t>
        </is>
      </c>
      <c r="K305" t="inlineStr">
        <is>
          <t>African American</t>
        </is>
      </c>
      <c r="L305" s="3" t="n">
        <v>414</v>
      </c>
    </row>
    <row r="306">
      <c r="A306" s="1" t="n">
        <v>305</v>
      </c>
      <c r="B306" s="2" t="n">
        <v>82.706</v>
      </c>
      <c r="C306" s="3" t="n">
        <v>7506</v>
      </c>
      <c r="D306" s="1" t="n">
        <v>536</v>
      </c>
      <c r="E306" s="1" t="n">
        <v>2</v>
      </c>
      <c r="F306" s="1" t="n">
        <v>64</v>
      </c>
      <c r="G306" s="1" t="n">
        <v>13</v>
      </c>
      <c r="H306" t="inlineStr">
        <is>
          <t>Female</t>
        </is>
      </c>
      <c r="I306" t="inlineStr">
        <is>
          <t>No</t>
        </is>
      </c>
      <c r="J306" t="inlineStr">
        <is>
          <t>Yes</t>
        </is>
      </c>
      <c r="K306" t="inlineStr">
        <is>
          <t>Asian</t>
        </is>
      </c>
      <c r="L306" s="3" t="n">
        <v>905</v>
      </c>
    </row>
    <row r="307">
      <c r="A307" s="1" t="n">
        <v>306</v>
      </c>
      <c r="B307" s="2" t="n">
        <v>24.46</v>
      </c>
      <c r="C307" s="3" t="n">
        <v>1924</v>
      </c>
      <c r="D307" s="1" t="n">
        <v>165</v>
      </c>
      <c r="E307" s="1" t="n">
        <v>2</v>
      </c>
      <c r="F307" s="1" t="n">
        <v>50</v>
      </c>
      <c r="G307" s="1" t="n">
        <v>14</v>
      </c>
      <c r="H307" t="inlineStr">
        <is>
          <t>Female</t>
        </is>
      </c>
      <c r="I307" t="inlineStr">
        <is>
          <t>No</t>
        </is>
      </c>
      <c r="J307" t="inlineStr">
        <is>
          <t>Yes</t>
        </is>
      </c>
      <c r="K307" t="inlineStr">
        <is>
          <t>Asian</t>
        </is>
      </c>
      <c r="L307" s="3" t="n">
        <v>0</v>
      </c>
    </row>
    <row r="308">
      <c r="A308" s="1" t="n">
        <v>307</v>
      </c>
      <c r="B308" s="2" t="n">
        <v>45.12</v>
      </c>
      <c r="C308" s="3" t="n">
        <v>3762</v>
      </c>
      <c r="D308" s="1" t="n">
        <v>287</v>
      </c>
      <c r="E308" s="1" t="n">
        <v>3</v>
      </c>
      <c r="F308" s="1" t="n">
        <v>80</v>
      </c>
      <c r="G308" s="1" t="n">
        <v>8</v>
      </c>
      <c r="H308" t="inlineStr">
        <is>
          <t>Male</t>
        </is>
      </c>
      <c r="I308" t="inlineStr">
        <is>
          <t>No</t>
        </is>
      </c>
      <c r="J308" t="inlineStr">
        <is>
          <t>Yes</t>
        </is>
      </c>
      <c r="K308" t="inlineStr">
        <is>
          <t>Caucasian</t>
        </is>
      </c>
      <c r="L308" s="3" t="n">
        <v>70</v>
      </c>
    </row>
    <row r="309">
      <c r="A309" s="1" t="n">
        <v>308</v>
      </c>
      <c r="B309" s="2" t="n">
        <v>75.40600000000001</v>
      </c>
      <c r="C309" s="3" t="n">
        <v>3874</v>
      </c>
      <c r="D309" s="1" t="n">
        <v>298</v>
      </c>
      <c r="E309" s="1" t="n">
        <v>3</v>
      </c>
      <c r="F309" s="1" t="n">
        <v>41</v>
      </c>
      <c r="G309" s="1" t="n">
        <v>14</v>
      </c>
      <c r="H309" t="inlineStr">
        <is>
          <t>Female</t>
        </is>
      </c>
      <c r="I309" t="inlineStr">
        <is>
          <t>No</t>
        </is>
      </c>
      <c r="J309" t="inlineStr">
        <is>
          <t>Yes</t>
        </is>
      </c>
      <c r="K309" t="inlineStr">
        <is>
          <t>Asian</t>
        </is>
      </c>
      <c r="L309" s="3" t="n">
        <v>0</v>
      </c>
    </row>
    <row r="310">
      <c r="A310" s="1" t="n">
        <v>309</v>
      </c>
      <c r="B310" s="2" t="n">
        <v>14.956</v>
      </c>
      <c r="C310" s="3" t="n">
        <v>4640</v>
      </c>
      <c r="D310" s="1" t="n">
        <v>332</v>
      </c>
      <c r="E310" s="1" t="n">
        <v>2</v>
      </c>
      <c r="F310" s="1" t="n">
        <v>33</v>
      </c>
      <c r="G310" s="1" t="n">
        <v>6</v>
      </c>
      <c r="H310" t="inlineStr">
        <is>
          <t>Male</t>
        </is>
      </c>
      <c r="I310" t="inlineStr">
        <is>
          <t>No</t>
        </is>
      </c>
      <c r="J310" t="inlineStr">
        <is>
          <t>No</t>
        </is>
      </c>
      <c r="K310" t="inlineStr">
        <is>
          <t>Asian</t>
        </is>
      </c>
      <c r="L310" s="3" t="n">
        <v>681</v>
      </c>
    </row>
    <row r="311">
      <c r="A311" s="1" t="n">
        <v>310</v>
      </c>
      <c r="B311" s="2" t="n">
        <v>75.25700000000001</v>
      </c>
      <c r="C311" s="3" t="n">
        <v>7010</v>
      </c>
      <c r="D311" s="1" t="n">
        <v>494</v>
      </c>
      <c r="E311" s="1" t="n">
        <v>3</v>
      </c>
      <c r="F311" s="1" t="n">
        <v>34</v>
      </c>
      <c r="G311" s="1" t="n">
        <v>18</v>
      </c>
      <c r="H311" t="inlineStr">
        <is>
          <t>Female</t>
        </is>
      </c>
      <c r="I311" t="inlineStr">
        <is>
          <t>No</t>
        </is>
      </c>
      <c r="J311" t="inlineStr">
        <is>
          <t>Yes</t>
        </is>
      </c>
      <c r="K311" t="inlineStr">
        <is>
          <t>Caucasian</t>
        </is>
      </c>
      <c r="L311" s="3" t="n">
        <v>885</v>
      </c>
    </row>
    <row r="312">
      <c r="A312" s="1" t="n">
        <v>311</v>
      </c>
      <c r="B312" s="2" t="n">
        <v>33.694</v>
      </c>
      <c r="C312" s="3" t="n">
        <v>4891</v>
      </c>
      <c r="D312" s="1" t="n">
        <v>369</v>
      </c>
      <c r="E312" s="1" t="n">
        <v>1</v>
      </c>
      <c r="F312" s="1" t="n">
        <v>52</v>
      </c>
      <c r="G312" s="1" t="n">
        <v>16</v>
      </c>
      <c r="H312" t="inlineStr">
        <is>
          <t>Male</t>
        </is>
      </c>
      <c r="I312" t="inlineStr">
        <is>
          <t>Yes</t>
        </is>
      </c>
      <c r="J312" t="inlineStr">
        <is>
          <t>No</t>
        </is>
      </c>
      <c r="K312" t="inlineStr">
        <is>
          <t>African American</t>
        </is>
      </c>
      <c r="L312" s="3" t="n">
        <v>1036</v>
      </c>
    </row>
    <row r="313">
      <c r="A313" s="1" t="n">
        <v>312</v>
      </c>
      <c r="B313" s="2" t="n">
        <v>23.375</v>
      </c>
      <c r="C313" s="3" t="n">
        <v>5429</v>
      </c>
      <c r="D313" s="1" t="n">
        <v>396</v>
      </c>
      <c r="E313" s="1" t="n">
        <v>3</v>
      </c>
      <c r="F313" s="1" t="n">
        <v>57</v>
      </c>
      <c r="G313" s="1" t="n">
        <v>15</v>
      </c>
      <c r="H313" t="inlineStr">
        <is>
          <t>Female</t>
        </is>
      </c>
      <c r="I313" t="inlineStr">
        <is>
          <t>No</t>
        </is>
      </c>
      <c r="J313" t="inlineStr">
        <is>
          <t>Yes</t>
        </is>
      </c>
      <c r="K313" t="inlineStr">
        <is>
          <t>Caucasian</t>
        </is>
      </c>
      <c r="L313" s="3" t="n">
        <v>844</v>
      </c>
    </row>
    <row r="314">
      <c r="A314" s="1" t="n">
        <v>313</v>
      </c>
      <c r="B314" s="2" t="n">
        <v>27.825</v>
      </c>
      <c r="C314" s="3" t="n">
        <v>5227</v>
      </c>
      <c r="D314" s="1" t="n">
        <v>386</v>
      </c>
      <c r="E314" s="1" t="n">
        <v>6</v>
      </c>
      <c r="F314" s="1" t="n">
        <v>63</v>
      </c>
      <c r="G314" s="1" t="n">
        <v>11</v>
      </c>
      <c r="H314" t="inlineStr">
        <is>
          <t>Male</t>
        </is>
      </c>
      <c r="I314" t="inlineStr">
        <is>
          <t>No</t>
        </is>
      </c>
      <c r="J314" t="inlineStr">
        <is>
          <t>Yes</t>
        </is>
      </c>
      <c r="K314" t="inlineStr">
        <is>
          <t>Caucasian</t>
        </is>
      </c>
      <c r="L314" s="3" t="n">
        <v>823</v>
      </c>
    </row>
    <row r="315">
      <c r="A315" s="1" t="n">
        <v>314</v>
      </c>
      <c r="B315" s="2" t="n">
        <v>92.386</v>
      </c>
      <c r="C315" s="3" t="n">
        <v>7685</v>
      </c>
      <c r="D315" s="1" t="n">
        <v>534</v>
      </c>
      <c r="E315" s="1" t="n">
        <v>2</v>
      </c>
      <c r="F315" s="1" t="n">
        <v>75</v>
      </c>
      <c r="G315" s="1" t="n">
        <v>18</v>
      </c>
      <c r="H315" t="inlineStr">
        <is>
          <t>Female</t>
        </is>
      </c>
      <c r="I315" t="inlineStr">
        <is>
          <t>No</t>
        </is>
      </c>
      <c r="J315" t="inlineStr">
        <is>
          <t>Yes</t>
        </is>
      </c>
      <c r="K315" t="inlineStr">
        <is>
          <t>Asian</t>
        </is>
      </c>
      <c r="L315" s="3" t="n">
        <v>843</v>
      </c>
    </row>
    <row r="316">
      <c r="A316" s="1" t="n">
        <v>315</v>
      </c>
      <c r="B316" s="2" t="n">
        <v>115.52</v>
      </c>
      <c r="C316" s="3" t="n">
        <v>9272</v>
      </c>
      <c r="D316" s="1" t="n">
        <v>656</v>
      </c>
      <c r="E316" s="1" t="n">
        <v>2</v>
      </c>
      <c r="F316" s="1" t="n">
        <v>69</v>
      </c>
      <c r="G316" s="1" t="n">
        <v>14</v>
      </c>
      <c r="H316" t="inlineStr">
        <is>
          <t>Male</t>
        </is>
      </c>
      <c r="I316" t="inlineStr">
        <is>
          <t>No</t>
        </is>
      </c>
      <c r="J316" t="inlineStr">
        <is>
          <t>No</t>
        </is>
      </c>
      <c r="K316" t="inlineStr">
        <is>
          <t>African American</t>
        </is>
      </c>
      <c r="L316" s="3" t="n">
        <v>1140</v>
      </c>
    </row>
    <row r="317">
      <c r="A317" s="1" t="n">
        <v>316</v>
      </c>
      <c r="B317" s="2" t="n">
        <v>14.479</v>
      </c>
      <c r="C317" s="3" t="n">
        <v>3907</v>
      </c>
      <c r="D317" s="1" t="n">
        <v>296</v>
      </c>
      <c r="E317" s="1" t="n">
        <v>3</v>
      </c>
      <c r="F317" s="1" t="n">
        <v>43</v>
      </c>
      <c r="G317" s="1" t="n">
        <v>16</v>
      </c>
      <c r="H317" t="inlineStr">
        <is>
          <t>Male</t>
        </is>
      </c>
      <c r="I317" t="inlineStr">
        <is>
          <t>No</t>
        </is>
      </c>
      <c r="J317" t="inlineStr">
        <is>
          <t>Yes</t>
        </is>
      </c>
      <c r="K317" t="inlineStr">
        <is>
          <t>Caucasian</t>
        </is>
      </c>
      <c r="L317" s="3" t="n">
        <v>463</v>
      </c>
    </row>
    <row r="318">
      <c r="A318" s="1" t="n">
        <v>317</v>
      </c>
      <c r="B318" s="2" t="n">
        <v>52.179</v>
      </c>
      <c r="C318" s="3" t="n">
        <v>7306</v>
      </c>
      <c r="D318" s="1" t="n">
        <v>522</v>
      </c>
      <c r="E318" s="1" t="n">
        <v>2</v>
      </c>
      <c r="F318" s="1" t="n">
        <v>57</v>
      </c>
      <c r="G318" s="1" t="n">
        <v>14</v>
      </c>
      <c r="H318" t="inlineStr">
        <is>
          <t>Male</t>
        </is>
      </c>
      <c r="I318" t="inlineStr">
        <is>
          <t>No</t>
        </is>
      </c>
      <c r="J318" t="inlineStr">
        <is>
          <t>No</t>
        </is>
      </c>
      <c r="K318" t="inlineStr">
        <is>
          <t>Asian</t>
        </is>
      </c>
      <c r="L318" s="3" t="n">
        <v>1142</v>
      </c>
    </row>
    <row r="319">
      <c r="A319" s="1" t="n">
        <v>318</v>
      </c>
      <c r="B319" s="2" t="n">
        <v>68.462</v>
      </c>
      <c r="C319" s="3" t="n">
        <v>4712</v>
      </c>
      <c r="D319" s="1" t="n">
        <v>340</v>
      </c>
      <c r="E319" s="1" t="n">
        <v>2</v>
      </c>
      <c r="F319" s="1" t="n">
        <v>71</v>
      </c>
      <c r="G319" s="1" t="n">
        <v>16</v>
      </c>
      <c r="H319" t="inlineStr">
        <is>
          <t>Male</t>
        </is>
      </c>
      <c r="I319" t="inlineStr">
        <is>
          <t>No</t>
        </is>
      </c>
      <c r="J319" t="inlineStr">
        <is>
          <t>Yes</t>
        </is>
      </c>
      <c r="K319" t="inlineStr">
        <is>
          <t>Caucasian</t>
        </is>
      </c>
      <c r="L319" s="3" t="n">
        <v>136</v>
      </c>
    </row>
    <row r="320">
      <c r="A320" s="1" t="n">
        <v>319</v>
      </c>
      <c r="B320" s="2" t="n">
        <v>18.951</v>
      </c>
      <c r="C320" s="3" t="n">
        <v>1485</v>
      </c>
      <c r="D320" s="1" t="n">
        <v>129</v>
      </c>
      <c r="E320" s="1" t="n">
        <v>3</v>
      </c>
      <c r="F320" s="1" t="n">
        <v>82</v>
      </c>
      <c r="G320" s="1" t="n">
        <v>13</v>
      </c>
      <c r="H320" t="inlineStr">
        <is>
          <t>Female</t>
        </is>
      </c>
      <c r="I320" t="inlineStr">
        <is>
          <t>No</t>
        </is>
      </c>
      <c r="J320" t="inlineStr">
        <is>
          <t>No</t>
        </is>
      </c>
      <c r="K320" t="inlineStr">
        <is>
          <t>Caucasian</t>
        </is>
      </c>
      <c r="L320" s="3" t="n">
        <v>0</v>
      </c>
    </row>
    <row r="321">
      <c r="A321" s="1" t="n">
        <v>320</v>
      </c>
      <c r="B321" s="2" t="n">
        <v>27.59</v>
      </c>
      <c r="C321" s="3" t="n">
        <v>2586</v>
      </c>
      <c r="D321" s="1" t="n">
        <v>229</v>
      </c>
      <c r="E321" s="1" t="n">
        <v>5</v>
      </c>
      <c r="F321" s="1" t="n">
        <v>54</v>
      </c>
      <c r="G321" s="1" t="n">
        <v>16</v>
      </c>
      <c r="H321" t="inlineStr">
        <is>
          <t>Male</t>
        </is>
      </c>
      <c r="I321" t="inlineStr">
        <is>
          <t>No</t>
        </is>
      </c>
      <c r="J321" t="inlineStr">
        <is>
          <t>Yes</t>
        </is>
      </c>
      <c r="K321" t="inlineStr">
        <is>
          <t>African American</t>
        </is>
      </c>
      <c r="L321" s="3" t="n">
        <v>0</v>
      </c>
    </row>
    <row r="322">
      <c r="A322" s="1" t="n">
        <v>321</v>
      </c>
      <c r="B322" s="2" t="n">
        <v>16.279</v>
      </c>
      <c r="C322" s="3" t="n">
        <v>1160</v>
      </c>
      <c r="D322" s="1" t="n">
        <v>126</v>
      </c>
      <c r="E322" s="1" t="n">
        <v>3</v>
      </c>
      <c r="F322" s="1" t="n">
        <v>78</v>
      </c>
      <c r="G322" s="1" t="n">
        <v>13</v>
      </c>
      <c r="H322" t="inlineStr">
        <is>
          <t>Male</t>
        </is>
      </c>
      <c r="I322" t="inlineStr">
        <is>
          <t>Yes</t>
        </is>
      </c>
      <c r="J322" t="inlineStr">
        <is>
          <t>Yes</t>
        </is>
      </c>
      <c r="K322" t="inlineStr">
        <is>
          <t>African American</t>
        </is>
      </c>
      <c r="L322" s="3" t="n">
        <v>5</v>
      </c>
    </row>
    <row r="323">
      <c r="A323" s="1" t="n">
        <v>322</v>
      </c>
      <c r="B323" s="2" t="n">
        <v>25.078</v>
      </c>
      <c r="C323" s="3" t="n">
        <v>3096</v>
      </c>
      <c r="D323" s="1" t="n">
        <v>236</v>
      </c>
      <c r="E323" s="1" t="n">
        <v>2</v>
      </c>
      <c r="F323" s="1" t="n">
        <v>27</v>
      </c>
      <c r="G323" s="1" t="n">
        <v>15</v>
      </c>
      <c r="H323" t="inlineStr">
        <is>
          <t>Female</t>
        </is>
      </c>
      <c r="I323" t="inlineStr">
        <is>
          <t>No</t>
        </is>
      </c>
      <c r="J323" t="inlineStr">
        <is>
          <t>Yes</t>
        </is>
      </c>
      <c r="K323" t="inlineStr">
        <is>
          <t>Caucasian</t>
        </is>
      </c>
      <c r="L323" s="3" t="n">
        <v>81</v>
      </c>
    </row>
    <row r="324">
      <c r="A324" s="1" t="n">
        <v>323</v>
      </c>
      <c r="B324" s="2" t="n">
        <v>27.229</v>
      </c>
      <c r="C324" s="3" t="n">
        <v>3484</v>
      </c>
      <c r="D324" s="1" t="n">
        <v>282</v>
      </c>
      <c r="E324" s="1" t="n">
        <v>6</v>
      </c>
      <c r="F324" s="1" t="n">
        <v>51</v>
      </c>
      <c r="G324" s="1" t="n">
        <v>11</v>
      </c>
      <c r="H324" t="inlineStr">
        <is>
          <t>Male</t>
        </is>
      </c>
      <c r="I324" t="inlineStr">
        <is>
          <t>No</t>
        </is>
      </c>
      <c r="J324" t="inlineStr">
        <is>
          <t>No</t>
        </is>
      </c>
      <c r="K324" t="inlineStr">
        <is>
          <t>Caucasian</t>
        </is>
      </c>
      <c r="L324" s="3" t="n">
        <v>265</v>
      </c>
    </row>
    <row r="325">
      <c r="A325" s="1" t="n">
        <v>324</v>
      </c>
      <c r="B325" s="2" t="n">
        <v>182.728</v>
      </c>
      <c r="C325" s="3" t="n">
        <v>13913</v>
      </c>
      <c r="D325" s="1" t="n">
        <v>982</v>
      </c>
      <c r="E325" s="1" t="n">
        <v>4</v>
      </c>
      <c r="F325" s="1" t="n">
        <v>98</v>
      </c>
      <c r="G325" s="1" t="n">
        <v>17</v>
      </c>
      <c r="H325" t="inlineStr">
        <is>
          <t>Male</t>
        </is>
      </c>
      <c r="I325" t="inlineStr">
        <is>
          <t>No</t>
        </is>
      </c>
      <c r="J325" t="inlineStr">
        <is>
          <t>Yes</t>
        </is>
      </c>
      <c r="K325" t="inlineStr">
        <is>
          <t>Caucasian</t>
        </is>
      </c>
      <c r="L325" s="3" t="n">
        <v>1999</v>
      </c>
    </row>
    <row r="326">
      <c r="A326" s="1" t="n">
        <v>325</v>
      </c>
      <c r="B326" s="2" t="n">
        <v>31.029</v>
      </c>
      <c r="C326" s="3" t="n">
        <v>2863</v>
      </c>
      <c r="D326" s="1" t="n">
        <v>223</v>
      </c>
      <c r="E326" s="1" t="n">
        <v>2</v>
      </c>
      <c r="F326" s="1" t="n">
        <v>66</v>
      </c>
      <c r="G326" s="1" t="n">
        <v>17</v>
      </c>
      <c r="H326" t="inlineStr">
        <is>
          <t>Male</t>
        </is>
      </c>
      <c r="I326" t="inlineStr">
        <is>
          <t>Yes</t>
        </is>
      </c>
      <c r="J326" t="inlineStr">
        <is>
          <t>Yes</t>
        </is>
      </c>
      <c r="K326" t="inlineStr">
        <is>
          <t>Asian</t>
        </is>
      </c>
      <c r="L326" s="3" t="n">
        <v>415</v>
      </c>
    </row>
    <row r="327">
      <c r="A327" s="1" t="n">
        <v>326</v>
      </c>
      <c r="B327" s="2" t="n">
        <v>17.765</v>
      </c>
      <c r="C327" s="3" t="n">
        <v>5072</v>
      </c>
      <c r="D327" s="1" t="n">
        <v>364</v>
      </c>
      <c r="E327" s="1" t="n">
        <v>1</v>
      </c>
      <c r="F327" s="1" t="n">
        <v>66</v>
      </c>
      <c r="G327" s="1" t="n">
        <v>12</v>
      </c>
      <c r="H327" t="inlineStr">
        <is>
          <t>Female</t>
        </is>
      </c>
      <c r="I327" t="inlineStr">
        <is>
          <t>No</t>
        </is>
      </c>
      <c r="J327" t="inlineStr">
        <is>
          <t>Yes</t>
        </is>
      </c>
      <c r="K327" t="inlineStr">
        <is>
          <t>Caucasian</t>
        </is>
      </c>
      <c r="L327" s="3" t="n">
        <v>732</v>
      </c>
    </row>
    <row r="328">
      <c r="A328" s="1" t="n">
        <v>327</v>
      </c>
      <c r="B328" s="2" t="n">
        <v>125.48</v>
      </c>
      <c r="C328" s="3" t="n">
        <v>10230</v>
      </c>
      <c r="D328" s="1" t="n">
        <v>721</v>
      </c>
      <c r="E328" s="1" t="n">
        <v>3</v>
      </c>
      <c r="F328" s="1" t="n">
        <v>82</v>
      </c>
      <c r="G328" s="1" t="n">
        <v>16</v>
      </c>
      <c r="H328" t="inlineStr">
        <is>
          <t>Male</t>
        </is>
      </c>
      <c r="I328" t="inlineStr">
        <is>
          <t>No</t>
        </is>
      </c>
      <c r="J328" t="inlineStr">
        <is>
          <t>Yes</t>
        </is>
      </c>
      <c r="K328" t="inlineStr">
        <is>
          <t>Caucasian</t>
        </is>
      </c>
      <c r="L328" s="3" t="n">
        <v>1361</v>
      </c>
    </row>
    <row r="329">
      <c r="A329" s="1" t="n">
        <v>328</v>
      </c>
      <c r="B329" s="2" t="n">
        <v>49.166</v>
      </c>
      <c r="C329" s="3" t="n">
        <v>6662</v>
      </c>
      <c r="D329" s="1" t="n">
        <v>508</v>
      </c>
      <c r="E329" s="1" t="n">
        <v>3</v>
      </c>
      <c r="F329" s="1" t="n">
        <v>68</v>
      </c>
      <c r="G329" s="1" t="n">
        <v>14</v>
      </c>
      <c r="H329" t="inlineStr">
        <is>
          <t>Female</t>
        </is>
      </c>
      <c r="I329" t="inlineStr">
        <is>
          <t>No</t>
        </is>
      </c>
      <c r="J329" t="inlineStr">
        <is>
          <t>No</t>
        </is>
      </c>
      <c r="K329" t="inlineStr">
        <is>
          <t>Asian</t>
        </is>
      </c>
      <c r="L329" s="3" t="n">
        <v>984</v>
      </c>
    </row>
    <row r="330">
      <c r="A330" s="1" t="n">
        <v>329</v>
      </c>
      <c r="B330" s="2" t="n">
        <v>41.192</v>
      </c>
      <c r="C330" s="3" t="n">
        <v>3673</v>
      </c>
      <c r="D330" s="1" t="n">
        <v>297</v>
      </c>
      <c r="E330" s="1" t="n">
        <v>3</v>
      </c>
      <c r="F330" s="1" t="n">
        <v>54</v>
      </c>
      <c r="G330" s="1" t="n">
        <v>16</v>
      </c>
      <c r="H330" t="inlineStr">
        <is>
          <t>Female</t>
        </is>
      </c>
      <c r="I330" t="inlineStr">
        <is>
          <t>No</t>
        </is>
      </c>
      <c r="J330" t="inlineStr">
        <is>
          <t>Yes</t>
        </is>
      </c>
      <c r="K330" t="inlineStr">
        <is>
          <t>Caucasian</t>
        </is>
      </c>
      <c r="L330" s="3" t="n">
        <v>121</v>
      </c>
    </row>
    <row r="331">
      <c r="A331" s="1" t="n">
        <v>330</v>
      </c>
      <c r="B331" s="2" t="n">
        <v>94.193</v>
      </c>
      <c r="C331" s="3" t="n">
        <v>7576</v>
      </c>
      <c r="D331" s="1" t="n">
        <v>527</v>
      </c>
      <c r="E331" s="1" t="n">
        <v>2</v>
      </c>
      <c r="F331" s="1" t="n">
        <v>44</v>
      </c>
      <c r="G331" s="1" t="n">
        <v>16</v>
      </c>
      <c r="H331" t="inlineStr">
        <is>
          <t>Female</t>
        </is>
      </c>
      <c r="I331" t="inlineStr">
        <is>
          <t>No</t>
        </is>
      </c>
      <c r="J331" t="inlineStr">
        <is>
          <t>Yes</t>
        </is>
      </c>
      <c r="K331" t="inlineStr">
        <is>
          <t>Caucasian</t>
        </is>
      </c>
      <c r="L331" s="3" t="n">
        <v>846</v>
      </c>
    </row>
    <row r="332">
      <c r="A332" s="1" t="n">
        <v>331</v>
      </c>
      <c r="B332" s="2" t="n">
        <v>20.405</v>
      </c>
      <c r="C332" s="3" t="n">
        <v>4543</v>
      </c>
      <c r="D332" s="1" t="n">
        <v>329</v>
      </c>
      <c r="E332" s="1" t="n">
        <v>2</v>
      </c>
      <c r="F332" s="1" t="n">
        <v>72</v>
      </c>
      <c r="G332" s="1" t="n">
        <v>17</v>
      </c>
      <c r="H332" t="inlineStr">
        <is>
          <t>Male</t>
        </is>
      </c>
      <c r="I332" t="inlineStr">
        <is>
          <t>Yes</t>
        </is>
      </c>
      <c r="J332" t="inlineStr">
        <is>
          <t>No</t>
        </is>
      </c>
      <c r="K332" t="inlineStr">
        <is>
          <t>Asian</t>
        </is>
      </c>
      <c r="L332" s="3" t="n">
        <v>1054</v>
      </c>
    </row>
    <row r="333">
      <c r="A333" s="1" t="n">
        <v>332</v>
      </c>
      <c r="B333" s="2" t="n">
        <v>12.581</v>
      </c>
      <c r="C333" s="3" t="n">
        <v>3976</v>
      </c>
      <c r="D333" s="1" t="n">
        <v>291</v>
      </c>
      <c r="E333" s="1" t="n">
        <v>2</v>
      </c>
      <c r="F333" s="1" t="n">
        <v>48</v>
      </c>
      <c r="G333" s="1" t="n">
        <v>16</v>
      </c>
      <c r="H333" t="inlineStr">
        <is>
          <t>Male</t>
        </is>
      </c>
      <c r="I333" t="inlineStr">
        <is>
          <t>No</t>
        </is>
      </c>
      <c r="J333" t="inlineStr">
        <is>
          <t>Yes</t>
        </is>
      </c>
      <c r="K333" t="inlineStr">
        <is>
          <t>Caucasian</t>
        </is>
      </c>
      <c r="L333" s="3" t="n">
        <v>474</v>
      </c>
    </row>
    <row r="334">
      <c r="A334" s="1" t="n">
        <v>333</v>
      </c>
      <c r="B334" s="2" t="n">
        <v>62.328</v>
      </c>
      <c r="C334" s="3" t="n">
        <v>5228</v>
      </c>
      <c r="D334" s="1" t="n">
        <v>377</v>
      </c>
      <c r="E334" s="1" t="n">
        <v>3</v>
      </c>
      <c r="F334" s="1" t="n">
        <v>83</v>
      </c>
      <c r="G334" s="1" t="n">
        <v>15</v>
      </c>
      <c r="H334" t="inlineStr">
        <is>
          <t>Male</t>
        </is>
      </c>
      <c r="I334" t="inlineStr">
        <is>
          <t>No</t>
        </is>
      </c>
      <c r="J334" t="inlineStr">
        <is>
          <t>No</t>
        </is>
      </c>
      <c r="K334" t="inlineStr">
        <is>
          <t>Caucasian</t>
        </is>
      </c>
      <c r="L334" s="3" t="n">
        <v>380</v>
      </c>
    </row>
    <row r="335">
      <c r="A335" s="1" t="n">
        <v>334</v>
      </c>
      <c r="B335" s="2" t="n">
        <v>21.011</v>
      </c>
      <c r="C335" s="3" t="n">
        <v>3402</v>
      </c>
      <c r="D335" s="1" t="n">
        <v>261</v>
      </c>
      <c r="E335" s="1" t="n">
        <v>2</v>
      </c>
      <c r="F335" s="1" t="n">
        <v>68</v>
      </c>
      <c r="G335" s="1" t="n">
        <v>17</v>
      </c>
      <c r="H335" t="inlineStr">
        <is>
          <t>Male</t>
        </is>
      </c>
      <c r="I335" t="inlineStr">
        <is>
          <t>No</t>
        </is>
      </c>
      <c r="J335" t="inlineStr">
        <is>
          <t>Yes</t>
        </is>
      </c>
      <c r="K335" t="inlineStr">
        <is>
          <t>African American</t>
        </is>
      </c>
      <c r="L335" s="3" t="n">
        <v>182</v>
      </c>
    </row>
    <row r="336">
      <c r="A336" s="1" t="n">
        <v>335</v>
      </c>
      <c r="B336" s="2" t="n">
        <v>24.23</v>
      </c>
      <c r="C336" s="3" t="n">
        <v>4756</v>
      </c>
      <c r="D336" s="1" t="n">
        <v>351</v>
      </c>
      <c r="E336" s="1" t="n">
        <v>2</v>
      </c>
      <c r="F336" s="1" t="n">
        <v>64</v>
      </c>
      <c r="G336" s="1" t="n">
        <v>15</v>
      </c>
      <c r="H336" t="inlineStr">
        <is>
          <t>Female</t>
        </is>
      </c>
      <c r="I336" t="inlineStr">
        <is>
          <t>No</t>
        </is>
      </c>
      <c r="J336" t="inlineStr">
        <is>
          <t>Yes</t>
        </is>
      </c>
      <c r="K336" t="inlineStr">
        <is>
          <t>Caucasian</t>
        </is>
      </c>
      <c r="L336" s="3" t="n">
        <v>594</v>
      </c>
    </row>
    <row r="337">
      <c r="A337" s="1" t="n">
        <v>336</v>
      </c>
      <c r="B337" s="2" t="n">
        <v>24.314</v>
      </c>
      <c r="C337" s="3" t="n">
        <v>3409</v>
      </c>
      <c r="D337" s="1" t="n">
        <v>270</v>
      </c>
      <c r="E337" s="1" t="n">
        <v>2</v>
      </c>
      <c r="F337" s="1" t="n">
        <v>23</v>
      </c>
      <c r="G337" s="1" t="n">
        <v>7</v>
      </c>
      <c r="H337" t="inlineStr">
        <is>
          <t>Female</t>
        </is>
      </c>
      <c r="I337" t="inlineStr">
        <is>
          <t>No</t>
        </is>
      </c>
      <c r="J337" t="inlineStr">
        <is>
          <t>Yes</t>
        </is>
      </c>
      <c r="K337" t="inlineStr">
        <is>
          <t>Caucasian</t>
        </is>
      </c>
      <c r="L337" s="3" t="n">
        <v>194</v>
      </c>
    </row>
    <row r="338">
      <c r="A338" s="1" t="n">
        <v>337</v>
      </c>
      <c r="B338" s="2" t="n">
        <v>32.856</v>
      </c>
      <c r="C338" s="3" t="n">
        <v>5884</v>
      </c>
      <c r="D338" s="1" t="n">
        <v>438</v>
      </c>
      <c r="E338" s="1" t="n">
        <v>4</v>
      </c>
      <c r="F338" s="1" t="n">
        <v>68</v>
      </c>
      <c r="G338" s="1" t="n">
        <v>13</v>
      </c>
      <c r="H338" t="inlineStr">
        <is>
          <t>Male</t>
        </is>
      </c>
      <c r="I338" t="inlineStr">
        <is>
          <t>No</t>
        </is>
      </c>
      <c r="J338" t="inlineStr">
        <is>
          <t>No</t>
        </is>
      </c>
      <c r="K338" t="inlineStr">
        <is>
          <t>Caucasian</t>
        </is>
      </c>
      <c r="L338" s="3" t="n">
        <v>926</v>
      </c>
    </row>
    <row r="339">
      <c r="A339" s="1" t="n">
        <v>338</v>
      </c>
      <c r="B339" s="2" t="n">
        <v>12.414</v>
      </c>
      <c r="C339" s="3" t="n">
        <v>855</v>
      </c>
      <c r="D339" s="1" t="n">
        <v>119</v>
      </c>
      <c r="E339" s="1" t="n">
        <v>3</v>
      </c>
      <c r="F339" s="1" t="n">
        <v>32</v>
      </c>
      <c r="G339" s="1" t="n">
        <v>12</v>
      </c>
      <c r="H339" t="inlineStr">
        <is>
          <t>Male</t>
        </is>
      </c>
      <c r="I339" t="inlineStr">
        <is>
          <t>No</t>
        </is>
      </c>
      <c r="J339" t="inlineStr">
        <is>
          <t>Yes</t>
        </is>
      </c>
      <c r="K339" t="inlineStr">
        <is>
          <t>African American</t>
        </is>
      </c>
      <c r="L339" s="3" t="n">
        <v>0</v>
      </c>
    </row>
    <row r="340">
      <c r="A340" s="1" t="n">
        <v>339</v>
      </c>
      <c r="B340" s="2" t="n">
        <v>41.365</v>
      </c>
      <c r="C340" s="3" t="n">
        <v>5303</v>
      </c>
      <c r="D340" s="1" t="n">
        <v>377</v>
      </c>
      <c r="E340" s="1" t="n">
        <v>1</v>
      </c>
      <c r="F340" s="1" t="n">
        <v>45</v>
      </c>
      <c r="G340" s="1" t="n">
        <v>14</v>
      </c>
      <c r="H340" t="inlineStr">
        <is>
          <t>Male</t>
        </is>
      </c>
      <c r="I340" t="inlineStr">
        <is>
          <t>No</t>
        </is>
      </c>
      <c r="J340" t="inlineStr">
        <is>
          <t>No</t>
        </is>
      </c>
      <c r="K340" t="inlineStr">
        <is>
          <t>Caucasian</t>
        </is>
      </c>
      <c r="L340" s="3" t="n">
        <v>606</v>
      </c>
    </row>
    <row r="341">
      <c r="A341" s="1" t="n">
        <v>340</v>
      </c>
      <c r="B341" s="2" t="n">
        <v>149.316</v>
      </c>
      <c r="C341" s="3" t="n">
        <v>10278</v>
      </c>
      <c r="D341" s="1" t="n">
        <v>707</v>
      </c>
      <c r="E341" s="1" t="n">
        <v>1</v>
      </c>
      <c r="F341" s="1" t="n">
        <v>80</v>
      </c>
      <c r="G341" s="1" t="n">
        <v>16</v>
      </c>
      <c r="H341" t="inlineStr">
        <is>
          <t>Male</t>
        </is>
      </c>
      <c r="I341" t="inlineStr">
        <is>
          <t>No</t>
        </is>
      </c>
      <c r="J341" t="inlineStr">
        <is>
          <t>No</t>
        </is>
      </c>
      <c r="K341" t="inlineStr">
        <is>
          <t>African American</t>
        </is>
      </c>
      <c r="L341" s="3" t="n">
        <v>1107</v>
      </c>
    </row>
    <row r="342">
      <c r="A342" s="1" t="n">
        <v>341</v>
      </c>
      <c r="B342" s="2" t="n">
        <v>27.794</v>
      </c>
      <c r="C342" s="3" t="n">
        <v>3807</v>
      </c>
      <c r="D342" s="1" t="n">
        <v>301</v>
      </c>
      <c r="E342" s="1" t="n">
        <v>4</v>
      </c>
      <c r="F342" s="1" t="n">
        <v>35</v>
      </c>
      <c r="G342" s="1" t="n">
        <v>8</v>
      </c>
      <c r="H342" t="inlineStr">
        <is>
          <t>Female</t>
        </is>
      </c>
      <c r="I342" t="inlineStr">
        <is>
          <t>No</t>
        </is>
      </c>
      <c r="J342" t="inlineStr">
        <is>
          <t>Yes</t>
        </is>
      </c>
      <c r="K342" t="inlineStr">
        <is>
          <t>African American</t>
        </is>
      </c>
      <c r="L342" s="3" t="n">
        <v>320</v>
      </c>
    </row>
    <row r="343">
      <c r="A343" s="1" t="n">
        <v>342</v>
      </c>
      <c r="B343" s="2" t="n">
        <v>13.234</v>
      </c>
      <c r="C343" s="3" t="n">
        <v>3922</v>
      </c>
      <c r="D343" s="1" t="n">
        <v>299</v>
      </c>
      <c r="E343" s="1" t="n">
        <v>2</v>
      </c>
      <c r="F343" s="1" t="n">
        <v>77</v>
      </c>
      <c r="G343" s="1" t="n">
        <v>17</v>
      </c>
      <c r="H343" t="inlineStr">
        <is>
          <t>Female</t>
        </is>
      </c>
      <c r="I343" t="inlineStr">
        <is>
          <t>No</t>
        </is>
      </c>
      <c r="J343" t="inlineStr">
        <is>
          <t>Yes</t>
        </is>
      </c>
      <c r="K343" t="inlineStr">
        <is>
          <t>Caucasian</t>
        </is>
      </c>
      <c r="L343" s="3" t="n">
        <v>426</v>
      </c>
    </row>
    <row r="344">
      <c r="A344" s="1" t="n">
        <v>343</v>
      </c>
      <c r="B344" s="2" t="n">
        <v>14.595</v>
      </c>
      <c r="C344" s="3" t="n">
        <v>2955</v>
      </c>
      <c r="D344" s="1" t="n">
        <v>260</v>
      </c>
      <c r="E344" s="1" t="n">
        <v>5</v>
      </c>
      <c r="F344" s="1" t="n">
        <v>37</v>
      </c>
      <c r="G344" s="1" t="n">
        <v>9</v>
      </c>
      <c r="H344" t="inlineStr">
        <is>
          <t>Male</t>
        </is>
      </c>
      <c r="I344" t="inlineStr">
        <is>
          <t>No</t>
        </is>
      </c>
      <c r="J344" t="inlineStr">
        <is>
          <t>Yes</t>
        </is>
      </c>
      <c r="K344" t="inlineStr">
        <is>
          <t>African American</t>
        </is>
      </c>
      <c r="L344" s="3" t="n">
        <v>204</v>
      </c>
    </row>
    <row r="345">
      <c r="A345" s="1" t="n">
        <v>344</v>
      </c>
      <c r="B345" s="2" t="n">
        <v>10.735</v>
      </c>
      <c r="C345" s="3" t="n">
        <v>3746</v>
      </c>
      <c r="D345" s="1" t="n">
        <v>280</v>
      </c>
      <c r="E345" s="1" t="n">
        <v>2</v>
      </c>
      <c r="F345" s="1" t="n">
        <v>44</v>
      </c>
      <c r="G345" s="1" t="n">
        <v>17</v>
      </c>
      <c r="H345" t="inlineStr">
        <is>
          <t>Female</t>
        </is>
      </c>
      <c r="I345" t="inlineStr">
        <is>
          <t>No</t>
        </is>
      </c>
      <c r="J345" t="inlineStr">
        <is>
          <t>Yes</t>
        </is>
      </c>
      <c r="K345" t="inlineStr">
        <is>
          <t>Caucasian</t>
        </is>
      </c>
      <c r="L345" s="3" t="n">
        <v>410</v>
      </c>
    </row>
    <row r="346">
      <c r="A346" s="1" t="n">
        <v>345</v>
      </c>
      <c r="B346" s="2" t="n">
        <v>48.218</v>
      </c>
      <c r="C346" s="3" t="n">
        <v>5199</v>
      </c>
      <c r="D346" s="1" t="n">
        <v>401</v>
      </c>
      <c r="E346" s="1" t="n">
        <v>7</v>
      </c>
      <c r="F346" s="1" t="n">
        <v>39</v>
      </c>
      <c r="G346" s="1" t="n">
        <v>10</v>
      </c>
      <c r="H346" t="inlineStr">
        <is>
          <t>Male</t>
        </is>
      </c>
      <c r="I346" t="inlineStr">
        <is>
          <t>No</t>
        </is>
      </c>
      <c r="J346" t="inlineStr">
        <is>
          <t>Yes</t>
        </is>
      </c>
      <c r="K346" t="inlineStr">
        <is>
          <t>Asian</t>
        </is>
      </c>
      <c r="L346" s="3" t="n">
        <v>633</v>
      </c>
    </row>
    <row r="347">
      <c r="A347" s="1" t="n">
        <v>346</v>
      </c>
      <c r="B347" s="2" t="n">
        <v>30.012</v>
      </c>
      <c r="C347" s="3" t="n">
        <v>1511</v>
      </c>
      <c r="D347" s="1" t="n">
        <v>137</v>
      </c>
      <c r="E347" s="1" t="n">
        <v>2</v>
      </c>
      <c r="F347" s="1" t="n">
        <v>33</v>
      </c>
      <c r="G347" s="1" t="n">
        <v>17</v>
      </c>
      <c r="H347" t="inlineStr">
        <is>
          <t>Male</t>
        </is>
      </c>
      <c r="I347" t="inlineStr">
        <is>
          <t>No</t>
        </is>
      </c>
      <c r="J347" t="inlineStr">
        <is>
          <t>Yes</t>
        </is>
      </c>
      <c r="K347" t="inlineStr">
        <is>
          <t>Caucasian</t>
        </is>
      </c>
      <c r="L347" s="3" t="n">
        <v>0</v>
      </c>
    </row>
    <row r="348">
      <c r="A348" s="1" t="n">
        <v>347</v>
      </c>
      <c r="B348" s="2" t="n">
        <v>21.551</v>
      </c>
      <c r="C348" s="3" t="n">
        <v>5380</v>
      </c>
      <c r="D348" s="1" t="n">
        <v>420</v>
      </c>
      <c r="E348" s="1" t="n">
        <v>5</v>
      </c>
      <c r="F348" s="1" t="n">
        <v>51</v>
      </c>
      <c r="G348" s="1" t="n">
        <v>18</v>
      </c>
      <c r="H348" t="inlineStr">
        <is>
          <t>Male</t>
        </is>
      </c>
      <c r="I348" t="inlineStr">
        <is>
          <t>No</t>
        </is>
      </c>
      <c r="J348" t="inlineStr">
        <is>
          <t>Yes</t>
        </is>
      </c>
      <c r="K348" t="inlineStr">
        <is>
          <t>Asian</t>
        </is>
      </c>
      <c r="L348" s="3" t="n">
        <v>907</v>
      </c>
    </row>
    <row r="349">
      <c r="A349" s="1" t="n">
        <v>348</v>
      </c>
      <c r="B349" s="2" t="n">
        <v>160.231</v>
      </c>
      <c r="C349" s="3" t="n">
        <v>10748</v>
      </c>
      <c r="D349" s="1" t="n">
        <v>754</v>
      </c>
      <c r="E349" s="1" t="n">
        <v>2</v>
      </c>
      <c r="F349" s="1" t="n">
        <v>69</v>
      </c>
      <c r="G349" s="1" t="n">
        <v>17</v>
      </c>
      <c r="H349" t="inlineStr">
        <is>
          <t>Male</t>
        </is>
      </c>
      <c r="I349" t="inlineStr">
        <is>
          <t>No</t>
        </is>
      </c>
      <c r="J349" t="inlineStr">
        <is>
          <t>No</t>
        </is>
      </c>
      <c r="K349" t="inlineStr">
        <is>
          <t>Caucasian</t>
        </is>
      </c>
      <c r="L349" s="3" t="n">
        <v>1192</v>
      </c>
    </row>
    <row r="350">
      <c r="A350" s="1" t="n">
        <v>349</v>
      </c>
      <c r="B350" s="2" t="n">
        <v>13.433</v>
      </c>
      <c r="C350" s="3" t="n">
        <v>1134</v>
      </c>
      <c r="D350" s="1" t="n">
        <v>112</v>
      </c>
      <c r="E350" s="1" t="n">
        <v>3</v>
      </c>
      <c r="F350" s="1" t="n">
        <v>70</v>
      </c>
      <c r="G350" s="1" t="n">
        <v>14</v>
      </c>
      <c r="H350" t="inlineStr">
        <is>
          <t>Male</t>
        </is>
      </c>
      <c r="I350" t="inlineStr">
        <is>
          <t>No</t>
        </is>
      </c>
      <c r="J350" t="inlineStr">
        <is>
          <t>Yes</t>
        </is>
      </c>
      <c r="K350" t="inlineStr">
        <is>
          <t>Caucasian</t>
        </is>
      </c>
      <c r="L350" s="3" t="n">
        <v>0</v>
      </c>
    </row>
    <row r="351">
      <c r="A351" s="1" t="n">
        <v>350</v>
      </c>
      <c r="B351" s="2" t="n">
        <v>48.577</v>
      </c>
      <c r="C351" s="3" t="n">
        <v>5145</v>
      </c>
      <c r="D351" s="1" t="n">
        <v>389</v>
      </c>
      <c r="E351" s="1" t="n">
        <v>3</v>
      </c>
      <c r="F351" s="1" t="n">
        <v>71</v>
      </c>
      <c r="G351" s="1" t="n">
        <v>13</v>
      </c>
      <c r="H351" t="inlineStr">
        <is>
          <t>Female</t>
        </is>
      </c>
      <c r="I351" t="inlineStr">
        <is>
          <t>No</t>
        </is>
      </c>
      <c r="J351" t="inlineStr">
        <is>
          <t>Yes</t>
        </is>
      </c>
      <c r="K351" t="inlineStr">
        <is>
          <t>Asian</t>
        </is>
      </c>
      <c r="L351" s="3" t="n">
        <v>503</v>
      </c>
    </row>
    <row r="352">
      <c r="A352" s="1" t="n">
        <v>351</v>
      </c>
      <c r="B352" s="2" t="n">
        <v>30.002</v>
      </c>
      <c r="C352" s="3" t="n">
        <v>1561</v>
      </c>
      <c r="D352" s="1" t="n">
        <v>155</v>
      </c>
      <c r="E352" s="1" t="n">
        <v>4</v>
      </c>
      <c r="F352" s="1" t="n">
        <v>70</v>
      </c>
      <c r="G352" s="1" t="n">
        <v>13</v>
      </c>
      <c r="H352" t="inlineStr">
        <is>
          <t>Female</t>
        </is>
      </c>
      <c r="I352" t="inlineStr">
        <is>
          <t>No</t>
        </is>
      </c>
      <c r="J352" t="inlineStr">
        <is>
          <t>Yes</t>
        </is>
      </c>
      <c r="K352" t="inlineStr">
        <is>
          <t>Caucasian</t>
        </is>
      </c>
      <c r="L352" s="3" t="n">
        <v>0</v>
      </c>
    </row>
    <row r="353">
      <c r="A353" s="1" t="n">
        <v>352</v>
      </c>
      <c r="B353" s="2" t="n">
        <v>61.62</v>
      </c>
      <c r="C353" s="3" t="n">
        <v>5140</v>
      </c>
      <c r="D353" s="1" t="n">
        <v>374</v>
      </c>
      <c r="E353" s="1" t="n">
        <v>1</v>
      </c>
      <c r="F353" s="1" t="n">
        <v>71</v>
      </c>
      <c r="G353" s="1" t="n">
        <v>9</v>
      </c>
      <c r="H353" t="inlineStr">
        <is>
          <t>Male</t>
        </is>
      </c>
      <c r="I353" t="inlineStr">
        <is>
          <t>No</t>
        </is>
      </c>
      <c r="J353" t="inlineStr">
        <is>
          <t>Yes</t>
        </is>
      </c>
      <c r="K353" t="inlineStr">
        <is>
          <t>Caucasian</t>
        </is>
      </c>
      <c r="L353" s="3" t="n">
        <v>302</v>
      </c>
    </row>
    <row r="354">
      <c r="A354" s="1" t="n">
        <v>353</v>
      </c>
      <c r="B354" s="2" t="n">
        <v>104.483</v>
      </c>
      <c r="C354" s="3" t="n">
        <v>7140</v>
      </c>
      <c r="D354" s="1" t="n">
        <v>507</v>
      </c>
      <c r="E354" s="1" t="n">
        <v>2</v>
      </c>
      <c r="F354" s="1" t="n">
        <v>41</v>
      </c>
      <c r="G354" s="1" t="n">
        <v>14</v>
      </c>
      <c r="H354" t="inlineStr">
        <is>
          <t>Male</t>
        </is>
      </c>
      <c r="I354" t="inlineStr">
        <is>
          <t>No</t>
        </is>
      </c>
      <c r="J354" t="inlineStr">
        <is>
          <t>Yes</t>
        </is>
      </c>
      <c r="K354" t="inlineStr">
        <is>
          <t>African American</t>
        </is>
      </c>
      <c r="L354" s="3" t="n">
        <v>583</v>
      </c>
    </row>
    <row r="355">
      <c r="A355" s="1" t="n">
        <v>354</v>
      </c>
      <c r="B355" s="2" t="n">
        <v>41.868</v>
      </c>
      <c r="C355" s="3" t="n">
        <v>4716</v>
      </c>
      <c r="D355" s="1" t="n">
        <v>342</v>
      </c>
      <c r="E355" s="1" t="n">
        <v>2</v>
      </c>
      <c r="F355" s="1" t="n">
        <v>47</v>
      </c>
      <c r="G355" s="1" t="n">
        <v>18</v>
      </c>
      <c r="H355" t="inlineStr">
        <is>
          <t>Male</t>
        </is>
      </c>
      <c r="I355" t="inlineStr">
        <is>
          <t>No</t>
        </is>
      </c>
      <c r="J355" t="inlineStr">
        <is>
          <t>No</t>
        </is>
      </c>
      <c r="K355" t="inlineStr">
        <is>
          <t>Caucasian</t>
        </is>
      </c>
      <c r="L355" s="3" t="n">
        <v>425</v>
      </c>
    </row>
    <row r="356">
      <c r="A356" s="1" t="n">
        <v>355</v>
      </c>
      <c r="B356" s="2" t="n">
        <v>12.068</v>
      </c>
      <c r="C356" s="3" t="n">
        <v>3873</v>
      </c>
      <c r="D356" s="1" t="n">
        <v>292</v>
      </c>
      <c r="E356" s="1" t="n">
        <v>1</v>
      </c>
      <c r="F356" s="1" t="n">
        <v>44</v>
      </c>
      <c r="G356" s="1" t="n">
        <v>18</v>
      </c>
      <c r="H356" t="inlineStr">
        <is>
          <t>Female</t>
        </is>
      </c>
      <c r="I356" t="inlineStr">
        <is>
          <t>No</t>
        </is>
      </c>
      <c r="J356" t="inlineStr">
        <is>
          <t>Yes</t>
        </is>
      </c>
      <c r="K356" t="inlineStr">
        <is>
          <t>Asian</t>
        </is>
      </c>
      <c r="L356" s="3" t="n">
        <v>413</v>
      </c>
    </row>
    <row r="357">
      <c r="A357" s="1" t="n">
        <v>356</v>
      </c>
      <c r="B357" s="2" t="n">
        <v>180.682</v>
      </c>
      <c r="C357" s="3" t="n">
        <v>11966</v>
      </c>
      <c r="D357" s="1" t="n">
        <v>832</v>
      </c>
      <c r="E357" s="1" t="n">
        <v>2</v>
      </c>
      <c r="F357" s="1" t="n">
        <v>58</v>
      </c>
      <c r="G357" s="1" t="n">
        <v>8</v>
      </c>
      <c r="H357" t="inlineStr">
        <is>
          <t>Female</t>
        </is>
      </c>
      <c r="I357" t="inlineStr">
        <is>
          <t>No</t>
        </is>
      </c>
      <c r="J357" t="inlineStr">
        <is>
          <t>Yes</t>
        </is>
      </c>
      <c r="K357" t="inlineStr">
        <is>
          <t>African American</t>
        </is>
      </c>
      <c r="L357" s="3" t="n">
        <v>1405</v>
      </c>
    </row>
    <row r="358">
      <c r="A358" s="1" t="n">
        <v>357</v>
      </c>
      <c r="B358" s="2" t="n">
        <v>34.48</v>
      </c>
      <c r="C358" s="3" t="n">
        <v>6090</v>
      </c>
      <c r="D358" s="1" t="n">
        <v>442</v>
      </c>
      <c r="E358" s="1" t="n">
        <v>3</v>
      </c>
      <c r="F358" s="1" t="n">
        <v>36</v>
      </c>
      <c r="G358" s="1" t="n">
        <v>14</v>
      </c>
      <c r="H358" t="inlineStr">
        <is>
          <t>Male</t>
        </is>
      </c>
      <c r="I358" t="inlineStr">
        <is>
          <t>No</t>
        </is>
      </c>
      <c r="J358" t="inlineStr">
        <is>
          <t>No</t>
        </is>
      </c>
      <c r="K358" t="inlineStr">
        <is>
          <t>Caucasian</t>
        </is>
      </c>
      <c r="L358" s="3" t="n">
        <v>962</v>
      </c>
    </row>
    <row r="359">
      <c r="A359" s="1" t="n">
        <v>358</v>
      </c>
      <c r="B359" s="2" t="n">
        <v>39.609</v>
      </c>
      <c r="C359" s="3" t="n">
        <v>2539</v>
      </c>
      <c r="D359" s="1" t="n">
        <v>188</v>
      </c>
      <c r="E359" s="1" t="n">
        <v>1</v>
      </c>
      <c r="F359" s="1" t="n">
        <v>40</v>
      </c>
      <c r="G359" s="1" t="n">
        <v>14</v>
      </c>
      <c r="H359" t="inlineStr">
        <is>
          <t>Male</t>
        </is>
      </c>
      <c r="I359" t="inlineStr">
        <is>
          <t>No</t>
        </is>
      </c>
      <c r="J359" t="inlineStr">
        <is>
          <t>Yes</t>
        </is>
      </c>
      <c r="K359" t="inlineStr">
        <is>
          <t>Asian</t>
        </is>
      </c>
      <c r="L359" s="3" t="n">
        <v>0</v>
      </c>
    </row>
    <row r="360">
      <c r="A360" s="1" t="n">
        <v>359</v>
      </c>
      <c r="B360" s="2" t="n">
        <v>30.111</v>
      </c>
      <c r="C360" s="3" t="n">
        <v>4336</v>
      </c>
      <c r="D360" s="1" t="n">
        <v>339</v>
      </c>
      <c r="E360" s="1" t="n">
        <v>1</v>
      </c>
      <c r="F360" s="1" t="n">
        <v>81</v>
      </c>
      <c r="G360" s="1" t="n">
        <v>18</v>
      </c>
      <c r="H360" t="inlineStr">
        <is>
          <t>Male</t>
        </is>
      </c>
      <c r="I360" t="inlineStr">
        <is>
          <t>No</t>
        </is>
      </c>
      <c r="J360" t="inlineStr">
        <is>
          <t>Yes</t>
        </is>
      </c>
      <c r="K360" t="inlineStr">
        <is>
          <t>Caucasian</t>
        </is>
      </c>
      <c r="L360" s="3" t="n">
        <v>347</v>
      </c>
    </row>
    <row r="361">
      <c r="A361" s="1" t="n">
        <v>360</v>
      </c>
      <c r="B361" s="2" t="n">
        <v>12.335</v>
      </c>
      <c r="C361" s="3" t="n">
        <v>4471</v>
      </c>
      <c r="D361" s="1" t="n">
        <v>344</v>
      </c>
      <c r="E361" s="1" t="n">
        <v>3</v>
      </c>
      <c r="F361" s="1" t="n">
        <v>79</v>
      </c>
      <c r="G361" s="1" t="n">
        <v>12</v>
      </c>
      <c r="H361" t="inlineStr">
        <is>
          <t>Male</t>
        </is>
      </c>
      <c r="I361" t="inlineStr">
        <is>
          <t>No</t>
        </is>
      </c>
      <c r="J361" t="inlineStr">
        <is>
          <t>Yes</t>
        </is>
      </c>
      <c r="K361" t="inlineStr">
        <is>
          <t>African American</t>
        </is>
      </c>
      <c r="L361" s="3" t="n">
        <v>611</v>
      </c>
    </row>
    <row r="362">
      <c r="A362" s="1" t="n">
        <v>361</v>
      </c>
      <c r="B362" s="2" t="n">
        <v>53.566</v>
      </c>
      <c r="C362" s="3" t="n">
        <v>5891</v>
      </c>
      <c r="D362" s="1" t="n">
        <v>434</v>
      </c>
      <c r="E362" s="1" t="n">
        <v>4</v>
      </c>
      <c r="F362" s="1" t="n">
        <v>82</v>
      </c>
      <c r="G362" s="1" t="n">
        <v>10</v>
      </c>
      <c r="H362" t="inlineStr">
        <is>
          <t>Female</t>
        </is>
      </c>
      <c r="I362" t="inlineStr">
        <is>
          <t>No</t>
        </is>
      </c>
      <c r="J362" t="inlineStr">
        <is>
          <t>No</t>
        </is>
      </c>
      <c r="K362" t="inlineStr">
        <is>
          <t>Caucasian</t>
        </is>
      </c>
      <c r="L362" s="3" t="n">
        <v>712</v>
      </c>
    </row>
    <row r="363">
      <c r="A363" s="1" t="n">
        <v>362</v>
      </c>
      <c r="B363" s="2" t="n">
        <v>53.217</v>
      </c>
      <c r="C363" s="3" t="n">
        <v>4943</v>
      </c>
      <c r="D363" s="1" t="n">
        <v>362</v>
      </c>
      <c r="E363" s="1" t="n">
        <v>2</v>
      </c>
      <c r="F363" s="1" t="n">
        <v>46</v>
      </c>
      <c r="G363" s="1" t="n">
        <v>16</v>
      </c>
      <c r="H363" t="inlineStr">
        <is>
          <t>Female</t>
        </is>
      </c>
      <c r="I363" t="inlineStr">
        <is>
          <t>No</t>
        </is>
      </c>
      <c r="J363" t="inlineStr">
        <is>
          <t>Yes</t>
        </is>
      </c>
      <c r="K363" t="inlineStr">
        <is>
          <t>Asian</t>
        </is>
      </c>
      <c r="L363" s="3" t="n">
        <v>382</v>
      </c>
    </row>
    <row r="364">
      <c r="A364" s="1" t="n">
        <v>363</v>
      </c>
      <c r="B364" s="2" t="n">
        <v>26.162</v>
      </c>
      <c r="C364" s="3" t="n">
        <v>5101</v>
      </c>
      <c r="D364" s="1" t="n">
        <v>382</v>
      </c>
      <c r="E364" s="1" t="n">
        <v>3</v>
      </c>
      <c r="F364" s="1" t="n">
        <v>62</v>
      </c>
      <c r="G364" s="1" t="n">
        <v>19</v>
      </c>
      <c r="H364" t="inlineStr">
        <is>
          <t>Female</t>
        </is>
      </c>
      <c r="I364" t="inlineStr">
        <is>
          <t>No</t>
        </is>
      </c>
      <c r="J364" t="inlineStr">
        <is>
          <t>No</t>
        </is>
      </c>
      <c r="K364" t="inlineStr">
        <is>
          <t>African American</t>
        </is>
      </c>
      <c r="L364" s="3" t="n">
        <v>710</v>
      </c>
    </row>
    <row r="365">
      <c r="A365" s="1" t="n">
        <v>364</v>
      </c>
      <c r="B365" s="2" t="n">
        <v>64.173</v>
      </c>
      <c r="C365" s="3" t="n">
        <v>6127</v>
      </c>
      <c r="D365" s="1" t="n">
        <v>433</v>
      </c>
      <c r="E365" s="1" t="n">
        <v>1</v>
      </c>
      <c r="F365" s="1" t="n">
        <v>80</v>
      </c>
      <c r="G365" s="1" t="n">
        <v>10</v>
      </c>
      <c r="H365" t="inlineStr">
        <is>
          <t>Male</t>
        </is>
      </c>
      <c r="I365" t="inlineStr">
        <is>
          <t>No</t>
        </is>
      </c>
      <c r="J365" t="inlineStr">
        <is>
          <t>Yes</t>
        </is>
      </c>
      <c r="K365" t="inlineStr">
        <is>
          <t>Caucasian</t>
        </is>
      </c>
      <c r="L365" s="3" t="n">
        <v>578</v>
      </c>
    </row>
    <row r="366">
      <c r="A366" s="1" t="n">
        <v>365</v>
      </c>
      <c r="B366" s="2" t="n">
        <v>128.669</v>
      </c>
      <c r="C366" s="3" t="n">
        <v>9824</v>
      </c>
      <c r="D366" s="1" t="n">
        <v>685</v>
      </c>
      <c r="E366" s="1" t="n">
        <v>3</v>
      </c>
      <c r="F366" s="1" t="n">
        <v>67</v>
      </c>
      <c r="G366" s="1" t="n">
        <v>16</v>
      </c>
      <c r="H366" t="inlineStr">
        <is>
          <t>Male</t>
        </is>
      </c>
      <c r="I366" t="inlineStr">
        <is>
          <t>No</t>
        </is>
      </c>
      <c r="J366" t="inlineStr">
        <is>
          <t>Yes</t>
        </is>
      </c>
      <c r="K366" t="inlineStr">
        <is>
          <t>Asian</t>
        </is>
      </c>
      <c r="L366" s="3" t="n">
        <v>1243</v>
      </c>
    </row>
    <row r="367">
      <c r="A367" s="1" t="n">
        <v>366</v>
      </c>
      <c r="B367" s="2" t="n">
        <v>113.772</v>
      </c>
      <c r="C367" s="3" t="n">
        <v>6442</v>
      </c>
      <c r="D367" s="1" t="n">
        <v>489</v>
      </c>
      <c r="E367" s="1" t="n">
        <v>4</v>
      </c>
      <c r="F367" s="1" t="n">
        <v>69</v>
      </c>
      <c r="G367" s="1" t="n">
        <v>15</v>
      </c>
      <c r="H367" t="inlineStr">
        <is>
          <t>Male</t>
        </is>
      </c>
      <c r="I367" t="inlineStr">
        <is>
          <t>Yes</t>
        </is>
      </c>
      <c r="J367" t="inlineStr">
        <is>
          <t>Yes</t>
        </is>
      </c>
      <c r="K367" t="inlineStr">
        <is>
          <t>Caucasian</t>
        </is>
      </c>
      <c r="L367" s="3" t="n">
        <v>790</v>
      </c>
    </row>
    <row r="368">
      <c r="A368" s="1" t="n">
        <v>367</v>
      </c>
      <c r="B368" s="2" t="n">
        <v>61.069</v>
      </c>
      <c r="C368" s="3" t="n">
        <v>7871</v>
      </c>
      <c r="D368" s="1" t="n">
        <v>564</v>
      </c>
      <c r="E368" s="1" t="n">
        <v>3</v>
      </c>
      <c r="F368" s="1" t="n">
        <v>56</v>
      </c>
      <c r="G368" s="1" t="n">
        <v>14</v>
      </c>
      <c r="H368" t="inlineStr">
        <is>
          <t>Male</t>
        </is>
      </c>
      <c r="I368" t="inlineStr">
        <is>
          <t>No</t>
        </is>
      </c>
      <c r="J368" t="inlineStr">
        <is>
          <t>Yes</t>
        </is>
      </c>
      <c r="K368" t="inlineStr">
        <is>
          <t>Caucasian</t>
        </is>
      </c>
      <c r="L368" s="3" t="n">
        <v>1264</v>
      </c>
    </row>
    <row r="369">
      <c r="A369" s="1" t="n">
        <v>368</v>
      </c>
      <c r="B369" s="2" t="n">
        <v>23.793</v>
      </c>
      <c r="C369" s="3" t="n">
        <v>3615</v>
      </c>
      <c r="D369" s="1" t="n">
        <v>263</v>
      </c>
      <c r="E369" s="1" t="n">
        <v>2</v>
      </c>
      <c r="F369" s="1" t="n">
        <v>70</v>
      </c>
      <c r="G369" s="1" t="n">
        <v>14</v>
      </c>
      <c r="H369" t="inlineStr">
        <is>
          <t>Male</t>
        </is>
      </c>
      <c r="I369" t="inlineStr">
        <is>
          <t>No</t>
        </is>
      </c>
      <c r="J369" t="inlineStr">
        <is>
          <t>No</t>
        </is>
      </c>
      <c r="K369" t="inlineStr">
        <is>
          <t>African American</t>
        </is>
      </c>
      <c r="L369" s="3" t="n">
        <v>216</v>
      </c>
    </row>
    <row r="370">
      <c r="A370" s="1" t="n">
        <v>369</v>
      </c>
      <c r="B370" s="2" t="n">
        <v>89</v>
      </c>
      <c r="C370" s="3" t="n">
        <v>5759</v>
      </c>
      <c r="D370" s="1" t="n">
        <v>440</v>
      </c>
      <c r="E370" s="1" t="n">
        <v>3</v>
      </c>
      <c r="F370" s="1" t="n">
        <v>37</v>
      </c>
      <c r="G370" s="1" t="n">
        <v>6</v>
      </c>
      <c r="H370" t="inlineStr">
        <is>
          <t>Female</t>
        </is>
      </c>
      <c r="I370" t="inlineStr">
        <is>
          <t>No</t>
        </is>
      </c>
      <c r="J370" t="inlineStr">
        <is>
          <t>No</t>
        </is>
      </c>
      <c r="K370" t="inlineStr">
        <is>
          <t>Caucasian</t>
        </is>
      </c>
      <c r="L370" s="3" t="n">
        <v>345</v>
      </c>
    </row>
    <row r="371">
      <c r="A371" s="1" t="n">
        <v>370</v>
      </c>
      <c r="B371" s="2" t="n">
        <v>71.682</v>
      </c>
      <c r="C371" s="3" t="n">
        <v>8028</v>
      </c>
      <c r="D371" s="1" t="n">
        <v>599</v>
      </c>
      <c r="E371" s="1" t="n">
        <v>3</v>
      </c>
      <c r="F371" s="1" t="n">
        <v>57</v>
      </c>
      <c r="G371" s="1" t="n">
        <v>16</v>
      </c>
      <c r="H371" t="inlineStr">
        <is>
          <t>Male</t>
        </is>
      </c>
      <c r="I371" t="inlineStr">
        <is>
          <t>No</t>
        </is>
      </c>
      <c r="J371" t="inlineStr">
        <is>
          <t>Yes</t>
        </is>
      </c>
      <c r="K371" t="inlineStr">
        <is>
          <t>Caucasian</t>
        </is>
      </c>
      <c r="L371" s="3" t="n">
        <v>1208</v>
      </c>
    </row>
    <row r="372">
      <c r="A372" s="1" t="n">
        <v>371</v>
      </c>
      <c r="B372" s="2" t="n">
        <v>35.61</v>
      </c>
      <c r="C372" s="3" t="n">
        <v>6135</v>
      </c>
      <c r="D372" s="1" t="n">
        <v>466</v>
      </c>
      <c r="E372" s="1" t="n">
        <v>4</v>
      </c>
      <c r="F372" s="1" t="n">
        <v>40</v>
      </c>
      <c r="G372" s="1" t="n">
        <v>12</v>
      </c>
      <c r="H372" t="inlineStr">
        <is>
          <t>Male</t>
        </is>
      </c>
      <c r="I372" t="inlineStr">
        <is>
          <t>No</t>
        </is>
      </c>
      <c r="J372" t="inlineStr">
        <is>
          <t>No</t>
        </is>
      </c>
      <c r="K372" t="inlineStr">
        <is>
          <t>Caucasian</t>
        </is>
      </c>
      <c r="L372" s="3" t="n">
        <v>992</v>
      </c>
    </row>
    <row r="373">
      <c r="A373" s="1" t="n">
        <v>372</v>
      </c>
      <c r="B373" s="2" t="n">
        <v>39.116</v>
      </c>
      <c r="C373" s="3" t="n">
        <v>2150</v>
      </c>
      <c r="D373" s="1" t="n">
        <v>173</v>
      </c>
      <c r="E373" s="1" t="n">
        <v>4</v>
      </c>
      <c r="F373" s="1" t="n">
        <v>75</v>
      </c>
      <c r="G373" s="1" t="n">
        <v>15</v>
      </c>
      <c r="H373" t="inlineStr">
        <is>
          <t>Male</t>
        </is>
      </c>
      <c r="I373" t="inlineStr">
        <is>
          <t>No</t>
        </is>
      </c>
      <c r="J373" t="inlineStr">
        <is>
          <t>No</t>
        </is>
      </c>
      <c r="K373" t="inlineStr">
        <is>
          <t>Caucasian</t>
        </is>
      </c>
      <c r="L373" s="3" t="n">
        <v>0</v>
      </c>
    </row>
    <row r="374">
      <c r="A374" s="1" t="n">
        <v>373</v>
      </c>
      <c r="B374" s="2" t="n">
        <v>19.782</v>
      </c>
      <c r="C374" s="3" t="n">
        <v>3782</v>
      </c>
      <c r="D374" s="1" t="n">
        <v>293</v>
      </c>
      <c r="E374" s="1" t="n">
        <v>2</v>
      </c>
      <c r="F374" s="1" t="n">
        <v>46</v>
      </c>
      <c r="G374" s="1" t="n">
        <v>16</v>
      </c>
      <c r="H374" t="inlineStr">
        <is>
          <t>Female</t>
        </is>
      </c>
      <c r="I374" t="inlineStr">
        <is>
          <t>Yes</t>
        </is>
      </c>
      <c r="J374" t="inlineStr">
        <is>
          <t>No</t>
        </is>
      </c>
      <c r="K374" t="inlineStr">
        <is>
          <t>Caucasian</t>
        </is>
      </c>
      <c r="L374" s="3" t="n">
        <v>840</v>
      </c>
    </row>
    <row r="375">
      <c r="A375" s="1" t="n">
        <v>374</v>
      </c>
      <c r="B375" s="2" t="n">
        <v>55.412</v>
      </c>
      <c r="C375" s="3" t="n">
        <v>5354</v>
      </c>
      <c r="D375" s="1" t="n">
        <v>383</v>
      </c>
      <c r="E375" s="1" t="n">
        <v>2</v>
      </c>
      <c r="F375" s="1" t="n">
        <v>37</v>
      </c>
      <c r="G375" s="1" t="n">
        <v>16</v>
      </c>
      <c r="H375" t="inlineStr">
        <is>
          <t>Female</t>
        </is>
      </c>
      <c r="I375" t="inlineStr">
        <is>
          <t>Yes</t>
        </is>
      </c>
      <c r="J375" t="inlineStr">
        <is>
          <t>Yes</t>
        </is>
      </c>
      <c r="K375" t="inlineStr">
        <is>
          <t>Caucasian</t>
        </is>
      </c>
      <c r="L375" s="3" t="n">
        <v>1003</v>
      </c>
    </row>
    <row r="376">
      <c r="A376" s="1" t="n">
        <v>375</v>
      </c>
      <c r="B376" s="2" t="n">
        <v>29.4</v>
      </c>
      <c r="C376" s="3" t="n">
        <v>4840</v>
      </c>
      <c r="D376" s="1" t="n">
        <v>368</v>
      </c>
      <c r="E376" s="1" t="n">
        <v>3</v>
      </c>
      <c r="F376" s="1" t="n">
        <v>76</v>
      </c>
      <c r="G376" s="1" t="n">
        <v>18</v>
      </c>
      <c r="H376" t="inlineStr">
        <is>
          <t>Female</t>
        </is>
      </c>
      <c r="I376" t="inlineStr">
        <is>
          <t>No</t>
        </is>
      </c>
      <c r="J376" t="inlineStr">
        <is>
          <t>Yes</t>
        </is>
      </c>
      <c r="K376" t="inlineStr">
        <is>
          <t>Caucasian</t>
        </is>
      </c>
      <c r="L376" s="3" t="n">
        <v>588</v>
      </c>
    </row>
    <row r="377">
      <c r="A377" s="1" t="n">
        <v>376</v>
      </c>
      <c r="B377" s="2" t="n">
        <v>20.974</v>
      </c>
      <c r="C377" s="3" t="n">
        <v>5673</v>
      </c>
      <c r="D377" s="1" t="n">
        <v>413</v>
      </c>
      <c r="E377" s="1" t="n">
        <v>5</v>
      </c>
      <c r="F377" s="1" t="n">
        <v>44</v>
      </c>
      <c r="G377" s="1" t="n">
        <v>16</v>
      </c>
      <c r="H377" t="inlineStr">
        <is>
          <t>Female</t>
        </is>
      </c>
      <c r="I377" t="inlineStr">
        <is>
          <t>No</t>
        </is>
      </c>
      <c r="J377" t="inlineStr">
        <is>
          <t>Yes</t>
        </is>
      </c>
      <c r="K377" t="inlineStr">
        <is>
          <t>Caucasian</t>
        </is>
      </c>
      <c r="L377" s="3" t="n">
        <v>1000</v>
      </c>
    </row>
    <row r="378">
      <c r="A378" s="1" t="n">
        <v>377</v>
      </c>
      <c r="B378" s="2" t="n">
        <v>87.625</v>
      </c>
      <c r="C378" s="3" t="n">
        <v>7167</v>
      </c>
      <c r="D378" s="1" t="n">
        <v>515</v>
      </c>
      <c r="E378" s="1" t="n">
        <v>2</v>
      </c>
      <c r="F378" s="1" t="n">
        <v>46</v>
      </c>
      <c r="G378" s="1" t="n">
        <v>10</v>
      </c>
      <c r="H378" t="inlineStr">
        <is>
          <t>Female</t>
        </is>
      </c>
      <c r="I378" t="inlineStr">
        <is>
          <t>No</t>
        </is>
      </c>
      <c r="J378" t="inlineStr">
        <is>
          <t>No</t>
        </is>
      </c>
      <c r="K378" t="inlineStr">
        <is>
          <t>African American</t>
        </is>
      </c>
      <c r="L378" s="3" t="n">
        <v>767</v>
      </c>
    </row>
    <row r="379">
      <c r="A379" s="1" t="n">
        <v>378</v>
      </c>
      <c r="B379" s="2" t="n">
        <v>28.144</v>
      </c>
      <c r="C379" s="3" t="n">
        <v>1567</v>
      </c>
      <c r="D379" s="1" t="n">
        <v>142</v>
      </c>
      <c r="E379" s="1" t="n">
        <v>3</v>
      </c>
      <c r="F379" s="1" t="n">
        <v>51</v>
      </c>
      <c r="G379" s="1" t="n">
        <v>10</v>
      </c>
      <c r="H379" t="inlineStr">
        <is>
          <t>Male</t>
        </is>
      </c>
      <c r="I379" t="inlineStr">
        <is>
          <t>No</t>
        </is>
      </c>
      <c r="J379" t="inlineStr">
        <is>
          <t>Yes</t>
        </is>
      </c>
      <c r="K379" t="inlineStr">
        <is>
          <t>Caucasian</t>
        </is>
      </c>
      <c r="L379" s="3" t="n">
        <v>0</v>
      </c>
    </row>
    <row r="380">
      <c r="A380" s="1" t="n">
        <v>379</v>
      </c>
      <c r="B380" s="2" t="n">
        <v>19.349</v>
      </c>
      <c r="C380" s="3" t="n">
        <v>4941</v>
      </c>
      <c r="D380" s="1" t="n">
        <v>366</v>
      </c>
      <c r="E380" s="1" t="n">
        <v>1</v>
      </c>
      <c r="F380" s="1" t="n">
        <v>33</v>
      </c>
      <c r="G380" s="1" t="n">
        <v>19</v>
      </c>
      <c r="H380" t="inlineStr">
        <is>
          <t>Male</t>
        </is>
      </c>
      <c r="I380" t="inlineStr">
        <is>
          <t>No</t>
        </is>
      </c>
      <c r="J380" t="inlineStr">
        <is>
          <t>Yes</t>
        </is>
      </c>
      <c r="K380" t="inlineStr">
        <is>
          <t>Caucasian</t>
        </is>
      </c>
      <c r="L380" s="3" t="n">
        <v>717</v>
      </c>
    </row>
    <row r="381">
      <c r="A381" s="1" t="n">
        <v>380</v>
      </c>
      <c r="B381" s="2" t="n">
        <v>53.308</v>
      </c>
      <c r="C381" s="3" t="n">
        <v>2860</v>
      </c>
      <c r="D381" s="1" t="n">
        <v>214</v>
      </c>
      <c r="E381" s="1" t="n">
        <v>1</v>
      </c>
      <c r="F381" s="1" t="n">
        <v>84</v>
      </c>
      <c r="G381" s="1" t="n">
        <v>10</v>
      </c>
      <c r="H381" t="inlineStr">
        <is>
          <t>Male</t>
        </is>
      </c>
      <c r="I381" t="inlineStr">
        <is>
          <t>No</t>
        </is>
      </c>
      <c r="J381" t="inlineStr">
        <is>
          <t>Yes</t>
        </is>
      </c>
      <c r="K381" t="inlineStr">
        <is>
          <t>Caucasian</t>
        </is>
      </c>
      <c r="L381" s="3" t="n">
        <v>0</v>
      </c>
    </row>
    <row r="382">
      <c r="A382" s="1" t="n">
        <v>381</v>
      </c>
      <c r="B382" s="2" t="n">
        <v>115.123</v>
      </c>
      <c r="C382" s="3" t="n">
        <v>7760</v>
      </c>
      <c r="D382" s="1" t="n">
        <v>538</v>
      </c>
      <c r="E382" s="1" t="n">
        <v>3</v>
      </c>
      <c r="F382" s="1" t="n">
        <v>83</v>
      </c>
      <c r="G382" s="1" t="n">
        <v>14</v>
      </c>
      <c r="H382" t="inlineStr">
        <is>
          <t>Female</t>
        </is>
      </c>
      <c r="I382" t="inlineStr">
        <is>
          <t>No</t>
        </is>
      </c>
      <c r="J382" t="inlineStr">
        <is>
          <t>No</t>
        </is>
      </c>
      <c r="K382" t="inlineStr">
        <is>
          <t>African American</t>
        </is>
      </c>
      <c r="L382" s="3" t="n">
        <v>661</v>
      </c>
    </row>
    <row r="383">
      <c r="A383" s="1" t="n">
        <v>382</v>
      </c>
      <c r="B383" s="2" t="n">
        <v>101.788</v>
      </c>
      <c r="C383" s="3" t="n">
        <v>8029</v>
      </c>
      <c r="D383" s="1" t="n">
        <v>574</v>
      </c>
      <c r="E383" s="1" t="n">
        <v>2</v>
      </c>
      <c r="F383" s="1" t="n">
        <v>84</v>
      </c>
      <c r="G383" s="1" t="n">
        <v>11</v>
      </c>
      <c r="H383" t="inlineStr">
        <is>
          <t>Male</t>
        </is>
      </c>
      <c r="I383" t="inlineStr">
        <is>
          <t>No</t>
        </is>
      </c>
      <c r="J383" t="inlineStr">
        <is>
          <t>Yes</t>
        </is>
      </c>
      <c r="K383" t="inlineStr">
        <is>
          <t>Caucasian</t>
        </is>
      </c>
      <c r="L383" s="3" t="n">
        <v>849</v>
      </c>
    </row>
    <row r="384">
      <c r="A384" s="1" t="n">
        <v>383</v>
      </c>
      <c r="B384" s="2" t="n">
        <v>24.824</v>
      </c>
      <c r="C384" s="3" t="n">
        <v>5495</v>
      </c>
      <c r="D384" s="1" t="n">
        <v>409</v>
      </c>
      <c r="E384" s="1" t="n">
        <v>1</v>
      </c>
      <c r="F384" s="1" t="n">
        <v>33</v>
      </c>
      <c r="G384" s="1" t="n">
        <v>9</v>
      </c>
      <c r="H384" t="inlineStr">
        <is>
          <t>Male</t>
        </is>
      </c>
      <c r="I384" t="inlineStr">
        <is>
          <t>Yes</t>
        </is>
      </c>
      <c r="J384" t="inlineStr">
        <is>
          <t>No</t>
        </is>
      </c>
      <c r="K384" t="inlineStr">
        <is>
          <t>Caucasian</t>
        </is>
      </c>
      <c r="L384" s="3" t="n">
        <v>1352</v>
      </c>
    </row>
    <row r="385">
      <c r="A385" s="1" t="n">
        <v>384</v>
      </c>
      <c r="B385" s="2" t="n">
        <v>14.292</v>
      </c>
      <c r="C385" s="3" t="n">
        <v>3274</v>
      </c>
      <c r="D385" s="1" t="n">
        <v>282</v>
      </c>
      <c r="E385" s="1" t="n">
        <v>9</v>
      </c>
      <c r="F385" s="1" t="n">
        <v>64</v>
      </c>
      <c r="G385" s="1" t="n">
        <v>9</v>
      </c>
      <c r="H385" t="inlineStr">
        <is>
          <t>Male</t>
        </is>
      </c>
      <c r="I385" t="inlineStr">
        <is>
          <t>No</t>
        </is>
      </c>
      <c r="J385" t="inlineStr">
        <is>
          <t>Yes</t>
        </is>
      </c>
      <c r="K385" t="inlineStr">
        <is>
          <t>Caucasian</t>
        </is>
      </c>
      <c r="L385" s="3" t="n">
        <v>382</v>
      </c>
    </row>
    <row r="386">
      <c r="A386" s="1" t="n">
        <v>385</v>
      </c>
      <c r="B386" s="2" t="n">
        <v>20.088</v>
      </c>
      <c r="C386" s="3" t="n">
        <v>1870</v>
      </c>
      <c r="D386" s="1" t="n">
        <v>180</v>
      </c>
      <c r="E386" s="1" t="n">
        <v>3</v>
      </c>
      <c r="F386" s="1" t="n">
        <v>76</v>
      </c>
      <c r="G386" s="1" t="n">
        <v>16</v>
      </c>
      <c r="H386" t="inlineStr">
        <is>
          <t>Male</t>
        </is>
      </c>
      <c r="I386" t="inlineStr">
        <is>
          <t>No</t>
        </is>
      </c>
      <c r="J386" t="inlineStr">
        <is>
          <t>No</t>
        </is>
      </c>
      <c r="K386" t="inlineStr">
        <is>
          <t>African American</t>
        </is>
      </c>
      <c r="L386" s="3" t="n">
        <v>0</v>
      </c>
    </row>
    <row r="387">
      <c r="A387" s="1" t="n">
        <v>386</v>
      </c>
      <c r="B387" s="2" t="n">
        <v>26.4</v>
      </c>
      <c r="C387" s="3" t="n">
        <v>5640</v>
      </c>
      <c r="D387" s="1" t="n">
        <v>398</v>
      </c>
      <c r="E387" s="1" t="n">
        <v>3</v>
      </c>
      <c r="F387" s="1" t="n">
        <v>58</v>
      </c>
      <c r="G387" s="1" t="n">
        <v>15</v>
      </c>
      <c r="H387" t="inlineStr">
        <is>
          <t>Female</t>
        </is>
      </c>
      <c r="I387" t="inlineStr">
        <is>
          <t>No</t>
        </is>
      </c>
      <c r="J387" t="inlineStr">
        <is>
          <t>No</t>
        </is>
      </c>
      <c r="K387" t="inlineStr">
        <is>
          <t>Asian</t>
        </is>
      </c>
      <c r="L387" s="3" t="n">
        <v>905</v>
      </c>
    </row>
    <row r="388">
      <c r="A388" s="1" t="n">
        <v>387</v>
      </c>
      <c r="B388" s="2" t="n">
        <v>19.253</v>
      </c>
      <c r="C388" s="3" t="n">
        <v>3683</v>
      </c>
      <c r="D388" s="1" t="n">
        <v>287</v>
      </c>
      <c r="E388" s="1" t="n">
        <v>4</v>
      </c>
      <c r="F388" s="1" t="n">
        <v>57</v>
      </c>
      <c r="G388" s="1" t="n">
        <v>10</v>
      </c>
      <c r="H388" t="inlineStr">
        <is>
          <t>Male</t>
        </is>
      </c>
      <c r="I388" t="inlineStr">
        <is>
          <t>No</t>
        </is>
      </c>
      <c r="J388" t="inlineStr">
        <is>
          <t>No</t>
        </is>
      </c>
      <c r="K388" t="inlineStr">
        <is>
          <t>African American</t>
        </is>
      </c>
      <c r="L388" s="3" t="n">
        <v>371</v>
      </c>
    </row>
    <row r="389">
      <c r="A389" s="1" t="n">
        <v>388</v>
      </c>
      <c r="B389" s="2" t="n">
        <v>16.529</v>
      </c>
      <c r="C389" s="3" t="n">
        <v>1357</v>
      </c>
      <c r="D389" s="1" t="n">
        <v>126</v>
      </c>
      <c r="E389" s="1" t="n">
        <v>3</v>
      </c>
      <c r="F389" s="1" t="n">
        <v>62</v>
      </c>
      <c r="G389" s="1" t="n">
        <v>9</v>
      </c>
      <c r="H389" t="inlineStr">
        <is>
          <t>Male</t>
        </is>
      </c>
      <c r="I389" t="inlineStr">
        <is>
          <t>No</t>
        </is>
      </c>
      <c r="J389" t="inlineStr">
        <is>
          <t>No</t>
        </is>
      </c>
      <c r="K389" t="inlineStr">
        <is>
          <t>Asian</t>
        </is>
      </c>
      <c r="L389" s="3" t="n">
        <v>0</v>
      </c>
    </row>
    <row r="390">
      <c r="A390" s="1" t="n">
        <v>389</v>
      </c>
      <c r="B390" s="2" t="n">
        <v>37.878</v>
      </c>
      <c r="C390" s="3" t="n">
        <v>6827</v>
      </c>
      <c r="D390" s="1" t="n">
        <v>482</v>
      </c>
      <c r="E390" s="1" t="n">
        <v>2</v>
      </c>
      <c r="F390" s="1" t="n">
        <v>80</v>
      </c>
      <c r="G390" s="1" t="n">
        <v>13</v>
      </c>
      <c r="H390" t="inlineStr">
        <is>
          <t>Female</t>
        </is>
      </c>
      <c r="I390" t="inlineStr">
        <is>
          <t>No</t>
        </is>
      </c>
      <c r="J390" t="inlineStr">
        <is>
          <t>No</t>
        </is>
      </c>
      <c r="K390" t="inlineStr">
        <is>
          <t>Caucasian</t>
        </is>
      </c>
      <c r="L390" s="3" t="n">
        <v>1129</v>
      </c>
    </row>
    <row r="391">
      <c r="A391" s="1" t="n">
        <v>390</v>
      </c>
      <c r="B391" s="2" t="n">
        <v>83.94799999999999</v>
      </c>
      <c r="C391" s="3" t="n">
        <v>7100</v>
      </c>
      <c r="D391" s="1" t="n">
        <v>503</v>
      </c>
      <c r="E391" s="1" t="n">
        <v>2</v>
      </c>
      <c r="F391" s="1" t="n">
        <v>44</v>
      </c>
      <c r="G391" s="1" t="n">
        <v>18</v>
      </c>
      <c r="H391" t="inlineStr">
        <is>
          <t>Male</t>
        </is>
      </c>
      <c r="I391" t="inlineStr">
        <is>
          <t>No</t>
        </is>
      </c>
      <c r="J391" t="inlineStr">
        <is>
          <t>No</t>
        </is>
      </c>
      <c r="K391" t="inlineStr">
        <is>
          <t>Caucasian</t>
        </is>
      </c>
      <c r="L391" s="3" t="n">
        <v>806</v>
      </c>
    </row>
    <row r="392">
      <c r="A392" s="1" t="n">
        <v>391</v>
      </c>
      <c r="B392" s="2" t="n">
        <v>135.118</v>
      </c>
      <c r="C392" s="3" t="n">
        <v>10578</v>
      </c>
      <c r="D392" s="1" t="n">
        <v>747</v>
      </c>
      <c r="E392" s="1" t="n">
        <v>3</v>
      </c>
      <c r="F392" s="1" t="n">
        <v>81</v>
      </c>
      <c r="G392" s="1" t="n">
        <v>15</v>
      </c>
      <c r="H392" t="inlineStr">
        <is>
          <t>Female</t>
        </is>
      </c>
      <c r="I392" t="inlineStr">
        <is>
          <t>No</t>
        </is>
      </c>
      <c r="J392" t="inlineStr">
        <is>
          <t>Yes</t>
        </is>
      </c>
      <c r="K392" t="inlineStr">
        <is>
          <t>Asian</t>
        </is>
      </c>
      <c r="L392" s="3" t="n">
        <v>1393</v>
      </c>
    </row>
    <row r="393">
      <c r="A393" s="1" t="n">
        <v>392</v>
      </c>
      <c r="B393" s="2" t="n">
        <v>73.327</v>
      </c>
      <c r="C393" s="3" t="n">
        <v>6555</v>
      </c>
      <c r="D393" s="1" t="n">
        <v>472</v>
      </c>
      <c r="E393" s="1" t="n">
        <v>2</v>
      </c>
      <c r="F393" s="1" t="n">
        <v>43</v>
      </c>
      <c r="G393" s="1" t="n">
        <v>15</v>
      </c>
      <c r="H393" t="inlineStr">
        <is>
          <t>Female</t>
        </is>
      </c>
      <c r="I393" t="inlineStr">
        <is>
          <t>No</t>
        </is>
      </c>
      <c r="J393" t="inlineStr">
        <is>
          <t>No</t>
        </is>
      </c>
      <c r="K393" t="inlineStr">
        <is>
          <t>Caucasian</t>
        </is>
      </c>
      <c r="L393" s="3" t="n">
        <v>721</v>
      </c>
    </row>
    <row r="394">
      <c r="A394" s="1" t="n">
        <v>393</v>
      </c>
      <c r="B394" s="2" t="n">
        <v>25.974</v>
      </c>
      <c r="C394" s="3" t="n">
        <v>2308</v>
      </c>
      <c r="D394" s="1" t="n">
        <v>196</v>
      </c>
      <c r="E394" s="1" t="n">
        <v>2</v>
      </c>
      <c r="F394" s="1" t="n">
        <v>24</v>
      </c>
      <c r="G394" s="1" t="n">
        <v>10</v>
      </c>
      <c r="H394" t="inlineStr">
        <is>
          <t>Male</t>
        </is>
      </c>
      <c r="I394" t="inlineStr">
        <is>
          <t>No</t>
        </is>
      </c>
      <c r="J394" t="inlineStr">
        <is>
          <t>No</t>
        </is>
      </c>
      <c r="K394" t="inlineStr">
        <is>
          <t>Asian</t>
        </is>
      </c>
      <c r="L394" s="3" t="n">
        <v>0</v>
      </c>
    </row>
    <row r="395">
      <c r="A395" s="1" t="n">
        <v>394</v>
      </c>
      <c r="B395" s="2" t="n">
        <v>17.316</v>
      </c>
      <c r="C395" s="3" t="n">
        <v>1335</v>
      </c>
      <c r="D395" s="1" t="n">
        <v>138</v>
      </c>
      <c r="E395" s="1" t="n">
        <v>2</v>
      </c>
      <c r="F395" s="1" t="n">
        <v>65</v>
      </c>
      <c r="G395" s="1" t="n">
        <v>13</v>
      </c>
      <c r="H395" t="inlineStr">
        <is>
          <t>Male</t>
        </is>
      </c>
      <c r="I395" t="inlineStr">
        <is>
          <t>No</t>
        </is>
      </c>
      <c r="J395" t="inlineStr">
        <is>
          <t>No</t>
        </is>
      </c>
      <c r="K395" t="inlineStr">
        <is>
          <t>African American</t>
        </is>
      </c>
      <c r="L395" s="3" t="n">
        <v>0</v>
      </c>
    </row>
    <row r="396">
      <c r="A396" s="1" t="n">
        <v>395</v>
      </c>
      <c r="B396" s="2" t="n">
        <v>49.794</v>
      </c>
      <c r="C396" s="3" t="n">
        <v>5758</v>
      </c>
      <c r="D396" s="1" t="n">
        <v>410</v>
      </c>
      <c r="E396" s="1" t="n">
        <v>4</v>
      </c>
      <c r="F396" s="1" t="n">
        <v>40</v>
      </c>
      <c r="G396" s="1" t="n">
        <v>8</v>
      </c>
      <c r="H396" t="inlineStr">
        <is>
          <t>Male</t>
        </is>
      </c>
      <c r="I396" t="inlineStr">
        <is>
          <t>No</t>
        </is>
      </c>
      <c r="J396" t="inlineStr">
        <is>
          <t>No</t>
        </is>
      </c>
      <c r="K396" t="inlineStr">
        <is>
          <t>Caucasian</t>
        </is>
      </c>
      <c r="L396" s="3" t="n">
        <v>734</v>
      </c>
    </row>
    <row r="397">
      <c r="A397" s="1" t="n">
        <v>396</v>
      </c>
      <c r="B397" s="2" t="n">
        <v>12.096</v>
      </c>
      <c r="C397" s="3" t="n">
        <v>4100</v>
      </c>
      <c r="D397" s="1" t="n">
        <v>307</v>
      </c>
      <c r="E397" s="1" t="n">
        <v>3</v>
      </c>
      <c r="F397" s="1" t="n">
        <v>32</v>
      </c>
      <c r="G397" s="1" t="n">
        <v>13</v>
      </c>
      <c r="H397" t="inlineStr">
        <is>
          <t>Male</t>
        </is>
      </c>
      <c r="I397" t="inlineStr">
        <is>
          <t>No</t>
        </is>
      </c>
      <c r="J397" t="inlineStr">
        <is>
          <t>Yes</t>
        </is>
      </c>
      <c r="K397" t="inlineStr">
        <is>
          <t>Caucasian</t>
        </is>
      </c>
      <c r="L397" s="3" t="n">
        <v>560</v>
      </c>
    </row>
    <row r="398">
      <c r="A398" s="1" t="n">
        <v>397</v>
      </c>
      <c r="B398" s="2" t="n">
        <v>13.364</v>
      </c>
      <c r="C398" s="3" t="n">
        <v>3838</v>
      </c>
      <c r="D398" s="1" t="n">
        <v>296</v>
      </c>
      <c r="E398" s="1" t="n">
        <v>5</v>
      </c>
      <c r="F398" s="1" t="n">
        <v>65</v>
      </c>
      <c r="G398" s="1" t="n">
        <v>17</v>
      </c>
      <c r="H398" t="inlineStr">
        <is>
          <t>Male</t>
        </is>
      </c>
      <c r="I398" t="inlineStr">
        <is>
          <t>No</t>
        </is>
      </c>
      <c r="J398" t="inlineStr">
        <is>
          <t>No</t>
        </is>
      </c>
      <c r="K398" t="inlineStr">
        <is>
          <t>African American</t>
        </is>
      </c>
      <c r="L398" s="3" t="n">
        <v>480</v>
      </c>
    </row>
    <row r="399">
      <c r="A399" s="1" t="n">
        <v>398</v>
      </c>
      <c r="B399" s="2" t="n">
        <v>57.872</v>
      </c>
      <c r="C399" s="3" t="n">
        <v>4171</v>
      </c>
      <c r="D399" s="1" t="n">
        <v>321</v>
      </c>
      <c r="E399" s="1" t="n">
        <v>5</v>
      </c>
      <c r="F399" s="1" t="n">
        <v>67</v>
      </c>
      <c r="G399" s="1" t="n">
        <v>12</v>
      </c>
      <c r="H399" t="inlineStr">
        <is>
          <t>Female</t>
        </is>
      </c>
      <c r="I399" t="inlineStr">
        <is>
          <t>No</t>
        </is>
      </c>
      <c r="J399" t="inlineStr">
        <is>
          <t>Yes</t>
        </is>
      </c>
      <c r="K399" t="inlineStr">
        <is>
          <t>Caucasian</t>
        </is>
      </c>
      <c r="L399" s="3" t="n">
        <v>138</v>
      </c>
    </row>
    <row r="400">
      <c r="A400" s="1" t="n">
        <v>399</v>
      </c>
      <c r="B400" s="2" t="n">
        <v>37.728</v>
      </c>
      <c r="C400" s="3" t="n">
        <v>2525</v>
      </c>
      <c r="D400" s="1" t="n">
        <v>192</v>
      </c>
      <c r="E400" s="1" t="n">
        <v>1</v>
      </c>
      <c r="F400" s="1" t="n">
        <v>44</v>
      </c>
      <c r="G400" s="1" t="n">
        <v>13</v>
      </c>
      <c r="H400" t="inlineStr">
        <is>
          <t>Male</t>
        </is>
      </c>
      <c r="I400" t="inlineStr">
        <is>
          <t>No</t>
        </is>
      </c>
      <c r="J400" t="inlineStr">
        <is>
          <t>Yes</t>
        </is>
      </c>
      <c r="K400" t="inlineStr">
        <is>
          <t>Caucasian</t>
        </is>
      </c>
      <c r="L400" s="3" t="n">
        <v>0</v>
      </c>
    </row>
    <row r="401">
      <c r="A401" s="1" t="n">
        <v>400</v>
      </c>
      <c r="B401" s="2" t="n">
        <v>18.701</v>
      </c>
      <c r="C401" s="3" t="n">
        <v>5524</v>
      </c>
      <c r="D401" s="1" t="n">
        <v>415</v>
      </c>
      <c r="E401" s="1" t="n">
        <v>5</v>
      </c>
      <c r="F401" s="1" t="n">
        <v>64</v>
      </c>
      <c r="G401" s="1" t="n">
        <v>7</v>
      </c>
      <c r="H401" t="inlineStr">
        <is>
          <t>Female</t>
        </is>
      </c>
      <c r="I401" t="inlineStr">
        <is>
          <t>No</t>
        </is>
      </c>
      <c r="J401" t="inlineStr">
        <is>
          <t>No</t>
        </is>
      </c>
      <c r="K401" t="inlineStr">
        <is>
          <t>Asian</t>
        </is>
      </c>
      <c r="L401" s="3" t="n">
        <v>966</v>
      </c>
    </row>
  </sheetData>
  <conditionalFormatting sqref="B2:B40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A4B-9C15-3E8E8A8D3F6E}">
          <x14:id>{F676D8C1-38ED-44B0-A345-0E91FD580302}</x14:id>
        </ext>
      </extLst>
    </cfRule>
    <cfRule type="expression" priority="10" dxfId="0">
      <formula>B2&gt;AVERAGE($B$2:$B$401)+2*STDEV($B$2:$B$401)</formula>
    </cfRule>
  </conditionalFormatting>
  <conditionalFormatting sqref="C2:C401">
    <cfRule type="cellIs" priority="2" operator="greaterThan" dxfId="1">
      <formula>10000</formula>
    </cfRule>
    <cfRule type="duplicateValues" priority="3" dxfId="2"/>
  </conditionalFormatting>
  <conditionalFormatting sqref="D2:D40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401">
    <cfRule type="iconSet" priority="5">
      <iconSet iconSet="3TrafficLights1" reverse="1">
        <cfvo type="num" val="0"/>
        <cfvo type="num" val="3"/>
        <cfvo type="num" val="5"/>
      </iconSet>
    </cfRule>
  </conditionalFormatting>
  <conditionalFormatting sqref="F2:F401">
    <cfRule type="cellIs" priority="6" operator="between" dxfId="3">
      <formula>18</formula>
      <formula>30</formula>
    </cfRule>
  </conditionalFormatting>
  <conditionalFormatting sqref="G2:G401">
    <cfRule type="aboveAverage" priority="7" dxfId="4"/>
  </conditionalFormatting>
  <conditionalFormatting sqref="I2:I401">
    <cfRule type="cellIs" priority="8" operator="equal" dxfId="5">
      <formula>"Yes"</formula>
    </cfRule>
  </conditionalFormatting>
  <conditionalFormatting sqref="L2:L401">
    <cfRule type="top10" rank="10" priority="9" dxfId="6"/>
  </conditionalFormatting>
  <conditionalFormatting sqref="A2:L401">
    <cfRule type="expression" priority="11" dxfId="7">
      <formula>$L2=0</formula>
    </cfRule>
    <cfRule type="expression" priority="12" dxfId="8">
      <formula>AND($I2="Yes",$L2&gt;1000)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76D8C1-38ED-44B0-A345-0E91FD5803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B2:B401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34" customWidth="1" min="4" max="4"/>
    <col width="42" customWidth="1" min="5" max="5"/>
    <col width="46" customWidth="1" min="6" max="6"/>
    <col width="32" customWidth="1" min="7" max="7"/>
    <col width="11" customWidth="1" min="8" max="8"/>
    <col width="52" customWidth="1" min="9" max="9"/>
  </cols>
  <sheetData>
    <row r="1">
      <c r="A1" s="4" t="inlineStr">
        <is>
          <t>Conditional formatting rules applied to the table tblCustomers (sheet 'Customers')</t>
        </is>
      </c>
    </row>
    <row r="2">
      <c r="A2" s="5" t="inlineStr">
        <is>
          <t>The 'Cells matched' column is computed live with worksheet formulas on the data (plain A1 ranges, the same ones used inside the rules).</t>
        </is>
      </c>
    </row>
    <row r="4">
      <c r="A4" s="6" t="inlineStr">
        <is>
          <t>#</t>
        </is>
      </c>
      <c r="B4" s="6" t="inlineStr">
        <is>
          <t>Column</t>
        </is>
      </c>
      <c r="C4" s="6" t="inlineStr">
        <is>
          <t>Applies to</t>
        </is>
      </c>
      <c r="D4" s="6" t="inlineStr">
        <is>
          <t>Menu path (Home ▸ Conditional Formatting ▸ …)</t>
        </is>
      </c>
      <c r="E4" s="6" t="inlineStr">
        <is>
          <t>Rule as set in the dialog</t>
        </is>
      </c>
      <c r="F4" s="6" t="inlineStr">
        <is>
          <t>Equivalent formula (New Rule ▸ Use a formula…)</t>
        </is>
      </c>
      <c r="G4" s="6" t="inlineStr">
        <is>
          <t>Format</t>
        </is>
      </c>
      <c r="H4" s="6" t="inlineStr">
        <is>
          <t>Cells matched</t>
        </is>
      </c>
      <c r="I4" s="6" t="inlineStr">
        <is>
          <t>Notes</t>
        </is>
      </c>
    </row>
    <row r="5">
      <c r="A5" s="7" t="n">
        <v>1</v>
      </c>
      <c r="B5" s="8" t="inlineStr">
        <is>
          <t>Income</t>
        </is>
      </c>
      <c r="C5" s="8" t="inlineStr">
        <is>
          <t>$B$2:$B$401</t>
        </is>
      </c>
      <c r="D5" s="8" t="inlineStr">
        <is>
          <t>Data Bars ▸ Gradient Fill ▸ Blue Data Bar</t>
        </is>
      </c>
      <c r="E5" s="8" t="inlineStr">
        <is>
          <t>Data bar: Minimum = lowest value, Maximum = highest value, Show Bar Only unchecked</t>
        </is>
      </c>
      <c r="F5" s="8" t="inlineStr">
        <is>
          <t>n/a – graphical rule (no formula): the bar length is proportional to the value</t>
        </is>
      </c>
      <c r="G5" s="8" t="inlineStr">
        <is>
          <t>Blue gradient bar behind the number</t>
        </is>
      </c>
      <c r="H5" s="9">
        <f>COUNT(Customers!$B$2:$B$401)</f>
        <v/>
      </c>
      <c r="I5" s="8" t="inlineStr">
        <is>
          <t>Data Bars, Color Scales and Icon Sets have no formula: they read the whole range at once.</t>
        </is>
      </c>
    </row>
    <row r="6">
      <c r="A6" s="7" t="n">
        <v>2</v>
      </c>
      <c r="B6" s="8" t="inlineStr">
        <is>
          <t>Limit</t>
        </is>
      </c>
      <c r="C6" s="8" t="inlineStr">
        <is>
          <t>$C$2:$C$401</t>
        </is>
      </c>
      <c r="D6" s="8" t="inlineStr">
        <is>
          <t>Highlight Cells Rules ▸ Greater Than…</t>
        </is>
      </c>
      <c r="E6" s="8" t="inlineStr">
        <is>
          <t>Format cells that are GREATER THAN: 10000</t>
        </is>
      </c>
      <c r="F6" s="10" t="inlineStr">
        <is>
          <t>=C2&gt;10000</t>
        </is>
      </c>
      <c r="G6" s="8" t="inlineStr">
        <is>
          <t>Light Red Fill with Dark Red Text (preset)</t>
        </is>
      </c>
      <c r="H6" s="9">
        <f>COUNTIF(Customers!$C$2:$C$401,"&gt;10000")</f>
        <v/>
      </c>
      <c r="I6" s="8" t="inlineStr">
        <is>
          <t>The formula is written for the first cell of the range (C2); Excel shifts it down row by row.</t>
        </is>
      </c>
    </row>
    <row r="7">
      <c r="A7" s="7" t="n">
        <v>3</v>
      </c>
      <c r="B7" s="8" t="inlineStr">
        <is>
          <t>Limit</t>
        </is>
      </c>
      <c r="C7" s="8" t="inlineStr">
        <is>
          <t>$C$2:$C$401</t>
        </is>
      </c>
      <c r="D7" s="8" t="inlineStr">
        <is>
          <t>Highlight Cells Rules ▸ Duplicate Values…</t>
        </is>
      </c>
      <c r="E7" s="8" t="inlineStr">
        <is>
          <t>Format cells that contain: Duplicate values</t>
        </is>
      </c>
      <c r="F7" s="10" t="inlineStr">
        <is>
          <t>=COUNTIF($C$2:$C$401,C2)&gt;1</t>
        </is>
      </c>
      <c r="G7" s="8" t="inlineStr">
        <is>
          <t>Custom Format: thin dark-red border (no fill)</t>
        </is>
      </c>
      <c r="H7" s="9">
        <f>SUMPRODUCT(--(COUNTIF(Customers!$C$2:$C$401,Customers!$C$2:$C$401)&gt;1))</f>
        <v/>
      </c>
      <c r="I7" s="8" t="inlineStr">
        <is>
          <t>Second rule on the same column: a border does not conflict with the fill of rule 2, so a cell can show both.</t>
        </is>
      </c>
    </row>
    <row r="8">
      <c r="A8" s="7" t="n">
        <v>4</v>
      </c>
      <c r="B8" s="8" t="inlineStr">
        <is>
          <t>Rating</t>
        </is>
      </c>
      <c r="C8" s="8" t="inlineStr">
        <is>
          <t>$D$2:$D$401</t>
        </is>
      </c>
      <c r="D8" s="8" t="inlineStr">
        <is>
          <t>Color Scales ▸ Green – Yellow – Red Color Scale</t>
        </is>
      </c>
      <c r="E8" s="8" t="inlineStr">
        <is>
          <t>3-Color Scale: Minimum = lowest value (red), Midpoint = 50th percentile (yellow), Maximum = highest value (green)</t>
        </is>
      </c>
      <c r="F8" s="8" t="inlineStr">
        <is>
          <t>n/a – graphical rule (no formula)</t>
        </is>
      </c>
      <c r="G8" s="8" t="inlineStr">
        <is>
          <t>Cell background shaded from red (low rating) to green (high rating)</t>
        </is>
      </c>
      <c r="H8" s="9">
        <f>COUNT(Customers!$D$2:$D$401)</f>
        <v/>
      </c>
      <c r="I8" s="8" t="inlineStr">
        <is>
          <t>Choose 'Red – Yellow – Green' instead when a HIGH value is the bad one.</t>
        </is>
      </c>
    </row>
    <row r="9">
      <c r="A9" s="7" t="n">
        <v>5</v>
      </c>
      <c r="B9" s="8" t="inlineStr">
        <is>
          <t>Cards</t>
        </is>
      </c>
      <c r="C9" s="8" t="inlineStr">
        <is>
          <t>$E$2:$E$401</t>
        </is>
      </c>
      <c r="D9" s="8" t="inlineStr">
        <is>
          <t>Icon Sets ▸ Shapes ▸ 3 Traffic Lights (Unrimmed), then Manage Rules ▸ Edit Rule…</t>
        </is>
      </c>
      <c r="E9" s="8" t="inlineStr">
        <is>
          <t>Type = Number: red when &gt;= 5, yellow when &gt;= 3 and &lt; 5, green when &lt; 3 (Reverse Icon Order)</t>
        </is>
      </c>
      <c r="F9" s="8" t="inlineStr">
        <is>
          <t>n/a – graphical rule (no formula)</t>
        </is>
      </c>
      <c r="G9" s="8" t="inlineStr">
        <is>
          <t>Traffic-light icon next to the number</t>
        </is>
      </c>
      <c r="H9" s="9">
        <f>COUNT(Customers!$E$2:$E$401)</f>
        <v/>
      </c>
      <c r="I9" s="8" t="inlineStr">
        <is>
          <t>The default thresholds are percentages (67 % / 33 %); we edit the rule to use fixed numbers.</t>
        </is>
      </c>
    </row>
    <row r="10">
      <c r="A10" s="7" t="n">
        <v>6</v>
      </c>
      <c r="B10" s="8" t="inlineStr">
        <is>
          <t>Age</t>
        </is>
      </c>
      <c r="C10" s="8" t="inlineStr">
        <is>
          <t>$F$2:$F$401</t>
        </is>
      </c>
      <c r="D10" s="8" t="inlineStr">
        <is>
          <t>Highlight Cells Rules ▸ Between…</t>
        </is>
      </c>
      <c r="E10" s="8" t="inlineStr">
        <is>
          <t>Format cells that are BETWEEN: 18 and 30</t>
        </is>
      </c>
      <c r="F10" s="10" t="inlineStr">
        <is>
          <t>=AND(F2&gt;=18,F2&lt;=30)</t>
        </is>
      </c>
      <c r="G10" s="8" t="inlineStr">
        <is>
          <t>Yellow Fill with Dark Yellow Text (preset)</t>
        </is>
      </c>
      <c r="H10" s="9">
        <f>COUNTIFS(Customers!$F$2:$F$401,"&gt;=18",Customers!$F$2:$F$401,"&lt;=30")</f>
        <v/>
      </c>
      <c r="I10" s="8" t="inlineStr">
        <is>
          <t>Both limits are included (18 &lt;= Age &lt;= 30).</t>
        </is>
      </c>
    </row>
    <row r="11">
      <c r="A11" s="7" t="n">
        <v>7</v>
      </c>
      <c r="B11" s="8" t="inlineStr">
        <is>
          <t>Education</t>
        </is>
      </c>
      <c r="C11" s="8" t="inlineStr">
        <is>
          <t>$G$2:$G$401</t>
        </is>
      </c>
      <c r="D11" s="8" t="inlineStr">
        <is>
          <t>Top/Bottom Rules ▸ Above Average…</t>
        </is>
      </c>
      <c r="E11" s="8" t="inlineStr">
        <is>
          <t>Format cells that are ABOVE AVERAGE for the selected range</t>
        </is>
      </c>
      <c r="F11" s="10" t="inlineStr">
        <is>
          <t>=G2&gt;AVERAGE($G$2:$G$401)</t>
        </is>
      </c>
      <c r="G11" s="8" t="inlineStr">
        <is>
          <t>Green Fill with Dark Green Text (preset)</t>
        </is>
      </c>
      <c r="H11" s="9">
        <f>COUNTIF(Customers!$G$2:$G$401,"&gt;"&amp;AVERAGE(Customers!$G$2:$G$401))</f>
        <v/>
      </c>
      <c r="I11" s="8" t="inlineStr">
        <is>
          <t>The average is recomputed whenever the data changes. 'Below Average…' is the mirror rule.</t>
        </is>
      </c>
    </row>
    <row r="12">
      <c r="A12" s="7" t="n">
        <v>8</v>
      </c>
      <c r="B12" s="8" t="inlineStr">
        <is>
          <t>Student</t>
        </is>
      </c>
      <c r="C12" s="8" t="inlineStr">
        <is>
          <t>$I$2:$I$401</t>
        </is>
      </c>
      <c r="D12" s="8" t="inlineStr">
        <is>
          <t>Highlight Cells Rules ▸ Equal To…</t>
        </is>
      </c>
      <c r="E12" s="8" t="inlineStr">
        <is>
          <t>Format cells that are EQUAL TO: Yes</t>
        </is>
      </c>
      <c r="F12" s="10" t="inlineStr">
        <is>
          <t>=I2="Yes"</t>
        </is>
      </c>
      <c r="G12" s="8" t="inlineStr">
        <is>
          <t>Custom Format: light blue fill, dark blue bold text</t>
        </is>
      </c>
      <c r="H12" s="9">
        <f>COUNTIF(Customers!$I$2:$I$401,"Yes")</f>
        <v/>
      </c>
      <c r="I12" s="8" t="inlineStr">
        <is>
          <t>For partial matches use "Text that Contains…" – equivalent formula =ISNUMBER(SEARCH("Yes",I2)). Comparisons are not case-sensitive.</t>
        </is>
      </c>
    </row>
    <row r="13">
      <c r="A13" s="7" t="n">
        <v>9</v>
      </c>
      <c r="B13" s="8" t="inlineStr">
        <is>
          <t>Balance</t>
        </is>
      </c>
      <c r="C13" s="8" t="inlineStr">
        <is>
          <t>$L$2:$L$401</t>
        </is>
      </c>
      <c r="D13" s="8" t="inlineStr">
        <is>
          <t>Top/Bottom Rules ▸ Top 10 Items…</t>
        </is>
      </c>
      <c r="E13" s="8" t="inlineStr">
        <is>
          <t>Format cells that rank in the TOP: 10</t>
        </is>
      </c>
      <c r="F13" s="10" t="inlineStr">
        <is>
          <t>=L2&gt;=LARGE($L$2:$L$401,10)</t>
        </is>
      </c>
      <c r="G13" s="8" t="inlineStr">
        <is>
          <t>Custom Format: gold fill, bold</t>
        </is>
      </c>
      <c r="H13" s="9">
        <f>COUNTIF(Customers!$L$2:$L$401,"&gt;="&amp;LARGE(Customers!$L$2:$L$401,10))</f>
        <v/>
      </c>
      <c r="I13" s="8" t="inlineStr">
        <is>
          <t>Variants: Top 10 % ▸ =L2&gt;=PERCENTILE($L$2:$L$401,0.9); Bottom 10 Items ▸ =L2&lt;=SMALL($L$2:$L$401,10). Ties are all highlighted.</t>
        </is>
      </c>
    </row>
    <row r="14">
      <c r="A14" s="7" t="n">
        <v>10</v>
      </c>
      <c r="B14" s="8" t="inlineStr">
        <is>
          <t>Income</t>
        </is>
      </c>
      <c r="C14" s="8" t="inlineStr">
        <is>
          <t>$B$2:$B$401</t>
        </is>
      </c>
      <c r="D14" s="8" t="inlineStr">
        <is>
          <t>New Rule… ▸ Use a formula to determine which cells to format</t>
        </is>
      </c>
      <c r="E14" s="10" t="inlineStr">
        <is>
          <t>=B2&gt;AVERAGE($B$2:$B$401)+2*STDEV($B$2:$B$401)</t>
        </is>
      </c>
      <c r="F14" s="8" t="inlineStr">
        <is>
          <t>(the rule IS the formula)</t>
        </is>
      </c>
      <c r="G14" s="8" t="inlineStr">
        <is>
          <t>Custom Format: bold red text</t>
        </is>
      </c>
      <c r="H14" s="9">
        <f>COUNTIF(Customers!$B$2:$B$401,"&gt;"&amp;(AVERAGE(Customers!$B$2:$B$401)+2*STDEV(Customers!$B$2:$B$401)))</f>
        <v/>
      </c>
      <c r="I14" s="8" t="inlineStr">
        <is>
          <t>Incomes more than 2 standard deviations above the mean (z-score &gt; 2). STDEV.S gives the same result as STDEV. Second rule on Income: the red text combines with the data bar of rule 1.</t>
        </is>
      </c>
    </row>
    <row r="15">
      <c r="A15" s="7" t="n">
        <v>11</v>
      </c>
      <c r="B15" s="8" t="inlineStr">
        <is>
          <t>Whole row</t>
        </is>
      </c>
      <c r="C15" s="8" t="inlineStr">
        <is>
          <t>$A$2:$L$401</t>
        </is>
      </c>
      <c r="D15" s="8" t="inlineStr">
        <is>
          <t>New Rule… ▸ Use a formula to determine which cells to format</t>
        </is>
      </c>
      <c r="E15" s="10" t="inlineStr">
        <is>
          <t>=$L2=0</t>
        </is>
      </c>
      <c r="F15" s="8" t="inlineStr">
        <is>
          <t>(the rule IS the formula)</t>
        </is>
      </c>
      <c r="G15" s="8" t="inlineStr">
        <is>
          <t>Custom Format: grey italic text</t>
        </is>
      </c>
      <c r="H15" s="9">
        <f>COUNTIF(Customers!$L$2:$L$401,0)</f>
        <v/>
      </c>
      <c r="I15" s="8" t="inlineStr">
        <is>
          <t>Rows with no balance. The $ in front of L locks the column: every cell of the row tests its own row's Balance. Count = rows.</t>
        </is>
      </c>
    </row>
    <row r="16">
      <c r="A16" s="7" t="n">
        <v>12</v>
      </c>
      <c r="B16" s="8" t="inlineStr">
        <is>
          <t>Whole row</t>
        </is>
      </c>
      <c r="C16" s="8" t="inlineStr">
        <is>
          <t>$A$2:$L$401</t>
        </is>
      </c>
      <c r="D16" s="8" t="inlineStr">
        <is>
          <t>New Rule… ▸ Use a formula to determine which cells to format</t>
        </is>
      </c>
      <c r="E16" s="10" t="inlineStr">
        <is>
          <t>=AND($I2="Yes",$L2&gt;1000)</t>
        </is>
      </c>
      <c r="F16" s="8" t="inlineStr">
        <is>
          <t>(the rule IS the formula)</t>
        </is>
      </c>
      <c r="G16" s="8" t="inlineStr">
        <is>
          <t>Custom Format: light purple fill</t>
        </is>
      </c>
      <c r="H16" s="9">
        <f>COUNTIFS(Customers!$I$2:$I$401,"Yes",Customers!$L$2:$L$401,"&gt;1000")</f>
        <v/>
      </c>
      <c r="I16" s="8" t="inlineStr">
        <is>
          <t>Students with a balance above 1,000. Rules 1-10 come first in the Rules Manager (higher priority), so on their cells the column colour wins over the purple fill. Count = rows.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2026-09-15T18:18:26Z</dcterms:created>
  <dcterms:modified xmlns:dcterms="http://purl.org/dc/terms/" xmlns:xsi="http://www.w3.org/2001/XMLSchema-instance" xsi:type="dcterms:W3CDTF">2026-09-15T18:18:26Z</dcterms:modified>
</cp:coreProperties>
</file>