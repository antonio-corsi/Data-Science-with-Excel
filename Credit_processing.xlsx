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Repository GitHub corsi\Corso-DS-Excel\Data-Science-with-Excel\"/>
    </mc:Choice>
  </mc:AlternateContent>
  <xr:revisionPtr revIDLastSave="0" documentId="13_ncr:1_{0B30BD6E-6FC0-4FB0-9DDC-5FA2D43BBB7A}" xr6:coauthVersionLast="47" xr6:coauthVersionMax="47" xr10:uidLastSave="{00000000-0000-0000-0000-000000000000}"/>
  <bookViews>
    <workbookView xWindow="-120" yWindow="-120" windowWidth="29040" windowHeight="15840" activeTab="3" xr2:uid="{D7D1898F-FD53-4890-BFF5-A97FF5F08A8B}"/>
  </bookViews>
  <sheets>
    <sheet name="pivot table" sheetId="9" r:id="rId1"/>
    <sheet name="Credit" sheetId="10" r:id="rId2"/>
    <sheet name="Credit without 0 bal cust" sheetId="12" r:id="rId3"/>
    <sheet name="Sheet2" sheetId="13" r:id="rId4"/>
  </sheets>
  <definedNames>
    <definedName name="ExternalData_1" localSheetId="1" hidden="1">Credit!$A$1:$F$402</definedName>
    <definedName name="ExternalData_1" localSheetId="2" hidden="1">'Credit without 0 bal cust'!$A$1:$F$401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3" i="13" l="1" a="1"/>
  <c r="D313" i="13" s="1"/>
  <c r="F403" i="12" a="1"/>
  <c r="F403" i="12" s="1"/>
  <c r="F402" i="10" a="1"/>
  <c r="F402" i="10" s="1"/>
  <c r="G417" i="10" l="1"/>
  <c r="G416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C6E313-0606-40FC-9244-BA1683674228}" keepAlive="1" name="Query - credit" description="Connection to the 'credit' query in the workbook." type="5" refreshedVersion="0" background="1">
    <dbPr connection="Provider=Microsoft.Mashup.OleDb.1;Data Source=$Workbook$;Location=credit;Extended Properties=&quot;&quot;" command="SELECT * FROM [credit]"/>
  </connection>
  <connection id="2" xr16:uid="{3DC92AE0-1344-4EE7-ACB0-DE6D1F2A6213}" keepAlive="1" name="Query - credit (2)" description="Connection to the 'credit (2)' query in the workbook." type="5" refreshedVersion="8" background="1" saveData="1">
    <dbPr connection="Provider=Microsoft.Mashup.OleDb.1;Data Source=$Workbook$;Location=&quot;credit (2)&quot;;Extended Properties=&quot;&quot;" command="SELECT * FROM [credit (2)]"/>
  </connection>
  <connection id="3" xr16:uid="{1B31ABF0-A92B-4B2B-9785-B5962B7195ED}" keepAlive="1" name="Query - Credit_ISLR" description="Connection to the 'Credit_ISLR' query in the workbook." type="5" refreshedVersion="0" background="1">
    <dbPr connection="Provider=Microsoft.Mashup.OleDb.1;Data Source=$Workbook$;Location=Credit_ISLR;Extended Properties=&quot;&quot;" command="SELECT * FROM [Credit_ISLR]"/>
  </connection>
  <connection id="4" xr16:uid="{56BA4704-911B-4F16-AD89-78B314D725B7}" keepAlive="1" name="Query - Credit_ISLR (2)" description="Connection to the 'Credit_ISLR (2)' query in the workbook." type="5" refreshedVersion="0" background="1">
    <dbPr connection="Provider=Microsoft.Mashup.OleDb.1;Data Source=$Workbook$;Location=&quot;Credit_ISLR (2)&quot;;Extended Properties=&quot;&quot;" command="SELECT * FROM [Credit_ISLR (2)]"/>
  </connection>
  <connection id="5" xr16:uid="{10EA6B22-9760-4ACA-9FAD-EB63C5F6EE20}" keepAlive="1" name="Query - Credit_ISLR (3)" description="Connection to the 'Credit_ISLR (3)' query in the workbook." type="5" refreshedVersion="0" background="1">
    <dbPr connection="Provider=Microsoft.Mashup.OleDb.1;Data Source=$Workbook$;Location=&quot;Credit_ISLR (3)&quot;;Extended Properties=&quot;&quot;" command="SELECT * FROM [Credit_ISLR (3)]"/>
  </connection>
  <connection id="6" xr16:uid="{344674EC-03D3-4D37-994F-35A4CA064727}" keepAlive="1" name="Query - Credit_ISLR (4)" description="Connection to the 'Credit_ISLR (4)' query in the workbook." type="5" refreshedVersion="0" background="1">
    <dbPr connection="Provider=Microsoft.Mashup.OleDb.1;Data Source=$Workbook$;Location=&quot;Credit_ISLR (4)&quot;;Extended Properties=&quot;&quot;" command="SELECT * FROM [Credit_ISLR (4)]"/>
  </connection>
  <connection id="7" xr16:uid="{ADC71310-A924-44C7-B5F3-46D5FF13E55A}" keepAlive="1" name="Query - Credit_ISLR (5)" description="Connection to the 'Credit_ISLR (5)' query in the workbook." type="5" refreshedVersion="8" background="1" saveData="1">
    <dbPr connection="Provider=Microsoft.Mashup.OleDb.1;Data Source=$Workbook$;Location=&quot;Credit_ISLR (5)&quot;;Extended Properties=&quot;&quot;" command="SELECT * FROM [Credit_ISLR (5)]"/>
  </connection>
  <connection id="8" xr16:uid="{9DF22819-958B-43E7-BC8D-7A6ABC25DC14}" keepAlive="1" name="Query - transaction_amounts" description="Connection to the 'transaction_amounts' query in the workbook." type="5" refreshedVersion="0" background="1">
    <dbPr connection="Provider=Microsoft.Mashup.OleDb.1;Data Source=$Workbook$;Location=transaction_amounts;Extended Properties=&quot;&quot;" command="SELECT * FROM [transaction_amou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<sst xmlns="http://schemas.openxmlformats.org/spreadsheetml/2006/main" count="253" uniqueCount="57">
  <si>
    <t>Column1</t>
  </si>
  <si>
    <t>ID</t>
  </si>
  <si>
    <t>Income</t>
  </si>
  <si>
    <t>Limit</t>
  </si>
  <si>
    <t>Rating</t>
  </si>
  <si>
    <t>Cards</t>
  </si>
  <si>
    <t>Age</t>
  </si>
  <si>
    <t>Education</t>
  </si>
  <si>
    <t>Gender</t>
  </si>
  <si>
    <t>Balance</t>
  </si>
  <si>
    <t>Caucasian</t>
  </si>
  <si>
    <t>Female</t>
  </si>
  <si>
    <t>Asian</t>
  </si>
  <si>
    <t>African American</t>
  </si>
  <si>
    <t xml:space="preserve"> </t>
  </si>
  <si>
    <t>Total</t>
  </si>
  <si>
    <t>Standard Error</t>
  </si>
  <si>
    <t>Sum of Income</t>
  </si>
  <si>
    <t>Row Labels</t>
  </si>
  <si>
    <t>Grand Total</t>
  </si>
  <si>
    <t>Column Labels</t>
  </si>
  <si>
    <t>Total Sum of Income</t>
  </si>
  <si>
    <t>Total Sum of Age</t>
  </si>
  <si>
    <t>Sum of Age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</si>
  <si>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</si>
  <si>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</si>
  <si>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</si>
  <si>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</si>
  <si>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</si>
  <si>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</si>
  <si>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</si>
  <si>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</si>
  <si>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</si>
  <si>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</si>
  <si>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</si>
  <si>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</si>
  <si>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</si>
  <si>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</si>
  <si>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</si>
  <si>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</si>
  <si>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</si>
  <si>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</si>
  <si>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</si>
  <si>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</si>
  <si>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</si>
  <si>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</si>
  <si>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As we know the two predictors Limit and Rating are highly correlated (many signs of this)</t>
  </si>
  <si>
    <t>So, we should delete one of them from the multivariate regression model). The choice is up to you.</t>
  </si>
  <si>
    <t xml:space="preserve">when predicting something (eg, with regression) we want predictors that correlate with the Y, </t>
  </si>
  <si>
    <t>and we do NOT want predictors that correlate  between them</t>
  </si>
  <si>
    <t>point estimate</t>
  </si>
  <si>
    <t>they convey a false feeling of certainty, but you WILL never GET such a value</t>
  </si>
  <si>
    <t>there is uncertainty in every prediction, which is expressed in the terms of PREDICTION INTERVAL (not easy to be computed)</t>
  </si>
  <si>
    <t>it's just a picture of the relationships between the numerical variables - 
they are EXACT values - it doesn't support predictions</t>
  </si>
  <si>
    <t>LB</t>
  </si>
  <si>
    <t>UP</t>
  </si>
  <si>
    <t>PI=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</si>
</sst>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C00000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thin">
        <color indexed="64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0" xfId="0" applyFill="1"/>
    <xf numFmtId="0" fontId="5" fillId="2" borderId="13" xfId="0" applyFont="1" applyFill="1" applyBorder="1"/>
    <xf numFmtId="2" fontId="0" fillId="0" borderId="0" xfId="0" applyNumberFormat="1"/>
    <xf numFmtId="2" fontId="0" fillId="0" borderId="2" xfId="0" applyNumberFormat="1" applyBorder="1"/>
    <xf numFmtId="2" fontId="0" fillId="2" borderId="0" xfId="0" applyNumberFormat="1" applyFill="1"/>
    <xf numFmtId="2" fontId="0" fillId="2" borderId="2" xfId="0" applyNumberFormat="1" applyFill="1" applyBorder="1"/>
    <xf numFmtId="2" fontId="1" fillId="3" borderId="0" xfId="0" applyNumberFormat="1" applyFont="1" applyFill="1"/>
    <xf numFmtId="0" fontId="3" fillId="3" borderId="12" xfId="0" applyFont="1" applyFill="1" applyBorder="1"/>
    <xf numFmtId="0" fontId="3" fillId="3" borderId="0" xfId="0" applyFont="1" applyFill="1"/>
    <xf numFmtId="0" fontId="2" fillId="0" borderId="1" xfId="0" applyFont="1" applyBorder="1" applyAlignment="1">
      <alignment horizont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Credit!$D$1</c:f>
              <c:strCache>
                <c:ptCount val="1"/>
                <c:pt idx="0">
                  <c:v>Rating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Credit!#REF!</c:f>
            </c:numRef>
          </c:xVal>
          <c:yVal>
            <c:numRef>
              <c:f>Credit!$D$2:$D$401</c:f>
              <c:numCache>
                <c:formatCode>General</c:formatCode>
                <c:ptCount val="400"/>
                <c:pt idx="0">
                  <c:v>283</c:v>
                </c:pt>
                <c:pt idx="1">
                  <c:v>483</c:v>
                </c:pt>
                <c:pt idx="2">
                  <c:v>514</c:v>
                </c:pt>
                <c:pt idx="3">
                  <c:v>681</c:v>
                </c:pt>
                <c:pt idx="4">
                  <c:v>357</c:v>
                </c:pt>
                <c:pt idx="5">
                  <c:v>569</c:v>
                </c:pt>
                <c:pt idx="6">
                  <c:v>259</c:v>
                </c:pt>
                <c:pt idx="7">
                  <c:v>512</c:v>
                </c:pt>
                <c:pt idx="8">
                  <c:v>266</c:v>
                </c:pt>
                <c:pt idx="9">
                  <c:v>491</c:v>
                </c:pt>
                <c:pt idx="10">
                  <c:v>589</c:v>
                </c:pt>
                <c:pt idx="11">
                  <c:v>138</c:v>
                </c:pt>
                <c:pt idx="12">
                  <c:v>394</c:v>
                </c:pt>
                <c:pt idx="13">
                  <c:v>511</c:v>
                </c:pt>
                <c:pt idx="14">
                  <c:v>269</c:v>
                </c:pt>
                <c:pt idx="15">
                  <c:v>200</c:v>
                </c:pt>
                <c:pt idx="16">
                  <c:v>286</c:v>
                </c:pt>
                <c:pt idx="17">
                  <c:v>339</c:v>
                </c:pt>
                <c:pt idx="18">
                  <c:v>448</c:v>
                </c:pt>
                <c:pt idx="19">
                  <c:v>479</c:v>
                </c:pt>
                <c:pt idx="20">
                  <c:v>235</c:v>
                </c:pt>
                <c:pt idx="21">
                  <c:v>458</c:v>
                </c:pt>
                <c:pt idx="22">
                  <c:v>213</c:v>
                </c:pt>
                <c:pt idx="23">
                  <c:v>398</c:v>
                </c:pt>
                <c:pt idx="24">
                  <c:v>156</c:v>
                </c:pt>
                <c:pt idx="25">
                  <c:v>326</c:v>
                </c:pt>
                <c:pt idx="26">
                  <c:v>289</c:v>
                </c:pt>
                <c:pt idx="27">
                  <c:v>333</c:v>
                </c:pt>
                <c:pt idx="28">
                  <c:v>949</c:v>
                </c:pt>
                <c:pt idx="29">
                  <c:v>411</c:v>
                </c:pt>
                <c:pt idx="30">
                  <c:v>413</c:v>
                </c:pt>
                <c:pt idx="31">
                  <c:v>210</c:v>
                </c:pt>
                <c:pt idx="32">
                  <c:v>563</c:v>
                </c:pt>
                <c:pt idx="33">
                  <c:v>162</c:v>
                </c:pt>
                <c:pt idx="34">
                  <c:v>199</c:v>
                </c:pt>
                <c:pt idx="35">
                  <c:v>220</c:v>
                </c:pt>
                <c:pt idx="36">
                  <c:v>455</c:v>
                </c:pt>
                <c:pt idx="37">
                  <c:v>462</c:v>
                </c:pt>
                <c:pt idx="38">
                  <c:v>300</c:v>
                </c:pt>
                <c:pt idx="39">
                  <c:v>264</c:v>
                </c:pt>
                <c:pt idx="40">
                  <c:v>253</c:v>
                </c:pt>
                <c:pt idx="41">
                  <c:v>538</c:v>
                </c:pt>
                <c:pt idx="42">
                  <c:v>351</c:v>
                </c:pt>
                <c:pt idx="43">
                  <c:v>445</c:v>
                </c:pt>
                <c:pt idx="44">
                  <c:v>469</c:v>
                </c:pt>
                <c:pt idx="45">
                  <c:v>564</c:v>
                </c:pt>
                <c:pt idx="46">
                  <c:v>376</c:v>
                </c:pt>
                <c:pt idx="47">
                  <c:v>320</c:v>
                </c:pt>
                <c:pt idx="48">
                  <c:v>205</c:v>
                </c:pt>
                <c:pt idx="49">
                  <c:v>354</c:v>
                </c:pt>
                <c:pt idx="50">
                  <c:v>376</c:v>
                </c:pt>
                <c:pt idx="51">
                  <c:v>301</c:v>
                </c:pt>
                <c:pt idx="52">
                  <c:v>394</c:v>
                </c:pt>
                <c:pt idx="53">
                  <c:v>413</c:v>
                </c:pt>
                <c:pt idx="54">
                  <c:v>138</c:v>
                </c:pt>
                <c:pt idx="55">
                  <c:v>154</c:v>
                </c:pt>
                <c:pt idx="56">
                  <c:v>372</c:v>
                </c:pt>
                <c:pt idx="57">
                  <c:v>367</c:v>
                </c:pt>
                <c:pt idx="58">
                  <c:v>281</c:v>
                </c:pt>
                <c:pt idx="59">
                  <c:v>390</c:v>
                </c:pt>
                <c:pt idx="60">
                  <c:v>364</c:v>
                </c:pt>
                <c:pt idx="61">
                  <c:v>254</c:v>
                </c:pt>
                <c:pt idx="62">
                  <c:v>160</c:v>
                </c:pt>
                <c:pt idx="63">
                  <c:v>251</c:v>
                </c:pt>
                <c:pt idx="64">
                  <c:v>223</c:v>
                </c:pt>
                <c:pt idx="65">
                  <c:v>320</c:v>
                </c:pt>
                <c:pt idx="66">
                  <c:v>694</c:v>
                </c:pt>
                <c:pt idx="67">
                  <c:v>380</c:v>
                </c:pt>
                <c:pt idx="68">
                  <c:v>418</c:v>
                </c:pt>
                <c:pt idx="69">
                  <c:v>505</c:v>
                </c:pt>
                <c:pt idx="70">
                  <c:v>318</c:v>
                </c:pt>
                <c:pt idx="71">
                  <c:v>538</c:v>
                </c:pt>
                <c:pt idx="72">
                  <c:v>355</c:v>
                </c:pt>
                <c:pt idx="73">
                  <c:v>338</c:v>
                </c:pt>
                <c:pt idx="74">
                  <c:v>418</c:v>
                </c:pt>
                <c:pt idx="75">
                  <c:v>224</c:v>
                </c:pt>
                <c:pt idx="76">
                  <c:v>251</c:v>
                </c:pt>
                <c:pt idx="77">
                  <c:v>253</c:v>
                </c:pt>
                <c:pt idx="78">
                  <c:v>468</c:v>
                </c:pt>
                <c:pt idx="79">
                  <c:v>171</c:v>
                </c:pt>
                <c:pt idx="80">
                  <c:v>288</c:v>
                </c:pt>
                <c:pt idx="81">
                  <c:v>317</c:v>
                </c:pt>
                <c:pt idx="82">
                  <c:v>344</c:v>
                </c:pt>
                <c:pt idx="83">
                  <c:v>122</c:v>
                </c:pt>
                <c:pt idx="84">
                  <c:v>232</c:v>
                </c:pt>
                <c:pt idx="85">
                  <c:v>828</c:v>
                </c:pt>
                <c:pt idx="86">
                  <c:v>448</c:v>
                </c:pt>
                <c:pt idx="87">
                  <c:v>182</c:v>
                </c:pt>
                <c:pt idx="88">
                  <c:v>352</c:v>
                </c:pt>
                <c:pt idx="89">
                  <c:v>543</c:v>
                </c:pt>
                <c:pt idx="90">
                  <c:v>431</c:v>
                </c:pt>
                <c:pt idx="91">
                  <c:v>456</c:v>
                </c:pt>
                <c:pt idx="92">
                  <c:v>249</c:v>
                </c:pt>
                <c:pt idx="93">
                  <c:v>388</c:v>
                </c:pt>
                <c:pt idx="94">
                  <c:v>245</c:v>
                </c:pt>
                <c:pt idx="95">
                  <c:v>120</c:v>
                </c:pt>
                <c:pt idx="96">
                  <c:v>367</c:v>
                </c:pt>
                <c:pt idx="97">
                  <c:v>266</c:v>
                </c:pt>
                <c:pt idx="98">
                  <c:v>241</c:v>
                </c:pt>
                <c:pt idx="99">
                  <c:v>607</c:v>
                </c:pt>
                <c:pt idx="100">
                  <c:v>256</c:v>
                </c:pt>
                <c:pt idx="101">
                  <c:v>190</c:v>
                </c:pt>
                <c:pt idx="102">
                  <c:v>531</c:v>
                </c:pt>
                <c:pt idx="103">
                  <c:v>682</c:v>
                </c:pt>
                <c:pt idx="104">
                  <c:v>365</c:v>
                </c:pt>
                <c:pt idx="105">
                  <c:v>259</c:v>
                </c:pt>
                <c:pt idx="106">
                  <c:v>115</c:v>
                </c:pt>
                <c:pt idx="107">
                  <c:v>263</c:v>
                </c:pt>
                <c:pt idx="108">
                  <c:v>449</c:v>
                </c:pt>
                <c:pt idx="109">
                  <c:v>279</c:v>
                </c:pt>
                <c:pt idx="110">
                  <c:v>250</c:v>
                </c:pt>
                <c:pt idx="111">
                  <c:v>231</c:v>
                </c:pt>
                <c:pt idx="112">
                  <c:v>491</c:v>
                </c:pt>
                <c:pt idx="113">
                  <c:v>474</c:v>
                </c:pt>
                <c:pt idx="114">
                  <c:v>268</c:v>
                </c:pt>
                <c:pt idx="115">
                  <c:v>369</c:v>
                </c:pt>
                <c:pt idx="116">
                  <c:v>186</c:v>
                </c:pt>
                <c:pt idx="117">
                  <c:v>626</c:v>
                </c:pt>
                <c:pt idx="118">
                  <c:v>173</c:v>
                </c:pt>
                <c:pt idx="119">
                  <c:v>137</c:v>
                </c:pt>
                <c:pt idx="120">
                  <c:v>128</c:v>
                </c:pt>
                <c:pt idx="121">
                  <c:v>599</c:v>
                </c:pt>
                <c:pt idx="122">
                  <c:v>481</c:v>
                </c:pt>
                <c:pt idx="123">
                  <c:v>117</c:v>
                </c:pt>
                <c:pt idx="124">
                  <c:v>192</c:v>
                </c:pt>
                <c:pt idx="125">
                  <c:v>195</c:v>
                </c:pt>
                <c:pt idx="126">
                  <c:v>433</c:v>
                </c:pt>
                <c:pt idx="127">
                  <c:v>259</c:v>
                </c:pt>
                <c:pt idx="128">
                  <c:v>610</c:v>
                </c:pt>
                <c:pt idx="129">
                  <c:v>279</c:v>
                </c:pt>
                <c:pt idx="130">
                  <c:v>281</c:v>
                </c:pt>
                <c:pt idx="131">
                  <c:v>162</c:v>
                </c:pt>
                <c:pt idx="132">
                  <c:v>407</c:v>
                </c:pt>
                <c:pt idx="133">
                  <c:v>427</c:v>
                </c:pt>
                <c:pt idx="134">
                  <c:v>452</c:v>
                </c:pt>
                <c:pt idx="135">
                  <c:v>257</c:v>
                </c:pt>
                <c:pt idx="136">
                  <c:v>314</c:v>
                </c:pt>
                <c:pt idx="137">
                  <c:v>278</c:v>
                </c:pt>
                <c:pt idx="138">
                  <c:v>175</c:v>
                </c:pt>
                <c:pt idx="139">
                  <c:v>728</c:v>
                </c:pt>
                <c:pt idx="140">
                  <c:v>459</c:v>
                </c:pt>
                <c:pt idx="141">
                  <c:v>483</c:v>
                </c:pt>
                <c:pt idx="142">
                  <c:v>549</c:v>
                </c:pt>
                <c:pt idx="143">
                  <c:v>387</c:v>
                </c:pt>
                <c:pt idx="144">
                  <c:v>228</c:v>
                </c:pt>
                <c:pt idx="145">
                  <c:v>341</c:v>
                </c:pt>
                <c:pt idx="146">
                  <c:v>371</c:v>
                </c:pt>
                <c:pt idx="147">
                  <c:v>150</c:v>
                </c:pt>
                <c:pt idx="148">
                  <c:v>192</c:v>
                </c:pt>
                <c:pt idx="149">
                  <c:v>121</c:v>
                </c:pt>
                <c:pt idx="150">
                  <c:v>435</c:v>
                </c:pt>
                <c:pt idx="151">
                  <c:v>353</c:v>
                </c:pt>
                <c:pt idx="152">
                  <c:v>184</c:v>
                </c:pt>
                <c:pt idx="153">
                  <c:v>344</c:v>
                </c:pt>
                <c:pt idx="154">
                  <c:v>235</c:v>
                </c:pt>
                <c:pt idx="155">
                  <c:v>143</c:v>
                </c:pt>
                <c:pt idx="156">
                  <c:v>338</c:v>
                </c:pt>
                <c:pt idx="157">
                  <c:v>406</c:v>
                </c:pt>
                <c:pt idx="158">
                  <c:v>406</c:v>
                </c:pt>
                <c:pt idx="159">
                  <c:v>235</c:v>
                </c:pt>
                <c:pt idx="160">
                  <c:v>381</c:v>
                </c:pt>
                <c:pt idx="161">
                  <c:v>160</c:v>
                </c:pt>
                <c:pt idx="162">
                  <c:v>515</c:v>
                </c:pt>
                <c:pt idx="163">
                  <c:v>203</c:v>
                </c:pt>
                <c:pt idx="164">
                  <c:v>429</c:v>
                </c:pt>
                <c:pt idx="165">
                  <c:v>367</c:v>
                </c:pt>
                <c:pt idx="166">
                  <c:v>214</c:v>
                </c:pt>
                <c:pt idx="167">
                  <c:v>178</c:v>
                </c:pt>
                <c:pt idx="168">
                  <c:v>219</c:v>
                </c:pt>
                <c:pt idx="169">
                  <c:v>459</c:v>
                </c:pt>
                <c:pt idx="170">
                  <c:v>167</c:v>
                </c:pt>
                <c:pt idx="171">
                  <c:v>299</c:v>
                </c:pt>
                <c:pt idx="172">
                  <c:v>344</c:v>
                </c:pt>
                <c:pt idx="173">
                  <c:v>339</c:v>
                </c:pt>
                <c:pt idx="174">
                  <c:v>750</c:v>
                </c:pt>
                <c:pt idx="175">
                  <c:v>206</c:v>
                </c:pt>
                <c:pt idx="176">
                  <c:v>221</c:v>
                </c:pt>
                <c:pt idx="177">
                  <c:v>292</c:v>
                </c:pt>
                <c:pt idx="178">
                  <c:v>316</c:v>
                </c:pt>
                <c:pt idx="179">
                  <c:v>560</c:v>
                </c:pt>
                <c:pt idx="180">
                  <c:v>294</c:v>
                </c:pt>
                <c:pt idx="181">
                  <c:v>382</c:v>
                </c:pt>
                <c:pt idx="182">
                  <c:v>459</c:v>
                </c:pt>
                <c:pt idx="183">
                  <c:v>335</c:v>
                </c:pt>
                <c:pt idx="184">
                  <c:v>805</c:v>
                </c:pt>
                <c:pt idx="185">
                  <c:v>316</c:v>
                </c:pt>
                <c:pt idx="186">
                  <c:v>309</c:v>
                </c:pt>
                <c:pt idx="187">
                  <c:v>167</c:v>
                </c:pt>
                <c:pt idx="188">
                  <c:v>554</c:v>
                </c:pt>
                <c:pt idx="189">
                  <c:v>326</c:v>
                </c:pt>
                <c:pt idx="190">
                  <c:v>385</c:v>
                </c:pt>
                <c:pt idx="191">
                  <c:v>701</c:v>
                </c:pt>
                <c:pt idx="192">
                  <c:v>287</c:v>
                </c:pt>
                <c:pt idx="193">
                  <c:v>730</c:v>
                </c:pt>
                <c:pt idx="194">
                  <c:v>181</c:v>
                </c:pt>
                <c:pt idx="195">
                  <c:v>398</c:v>
                </c:pt>
                <c:pt idx="196">
                  <c:v>517</c:v>
                </c:pt>
                <c:pt idx="197">
                  <c:v>304</c:v>
                </c:pt>
                <c:pt idx="198">
                  <c:v>169</c:v>
                </c:pt>
                <c:pt idx="199">
                  <c:v>310</c:v>
                </c:pt>
                <c:pt idx="200">
                  <c:v>383</c:v>
                </c:pt>
                <c:pt idx="201">
                  <c:v>529</c:v>
                </c:pt>
                <c:pt idx="202">
                  <c:v>145</c:v>
                </c:pt>
                <c:pt idx="203">
                  <c:v>499</c:v>
                </c:pt>
                <c:pt idx="204">
                  <c:v>392</c:v>
                </c:pt>
                <c:pt idx="205">
                  <c:v>321</c:v>
                </c:pt>
                <c:pt idx="206">
                  <c:v>180</c:v>
                </c:pt>
                <c:pt idx="207">
                  <c:v>358</c:v>
                </c:pt>
                <c:pt idx="208">
                  <c:v>320</c:v>
                </c:pt>
                <c:pt idx="209">
                  <c:v>642</c:v>
                </c:pt>
                <c:pt idx="210">
                  <c:v>243</c:v>
                </c:pt>
                <c:pt idx="211">
                  <c:v>397</c:v>
                </c:pt>
                <c:pt idx="212">
                  <c:v>323</c:v>
                </c:pt>
                <c:pt idx="213">
                  <c:v>383</c:v>
                </c:pt>
                <c:pt idx="214">
                  <c:v>410</c:v>
                </c:pt>
                <c:pt idx="215">
                  <c:v>337</c:v>
                </c:pt>
                <c:pt idx="216">
                  <c:v>215</c:v>
                </c:pt>
                <c:pt idx="217">
                  <c:v>392</c:v>
                </c:pt>
                <c:pt idx="218">
                  <c:v>149</c:v>
                </c:pt>
                <c:pt idx="219">
                  <c:v>370</c:v>
                </c:pt>
                <c:pt idx="220">
                  <c:v>437</c:v>
                </c:pt>
                <c:pt idx="221">
                  <c:v>633</c:v>
                </c:pt>
                <c:pt idx="222">
                  <c:v>451</c:v>
                </c:pt>
                <c:pt idx="223">
                  <c:v>344</c:v>
                </c:pt>
                <c:pt idx="224">
                  <c:v>584</c:v>
                </c:pt>
                <c:pt idx="225">
                  <c:v>411</c:v>
                </c:pt>
                <c:pt idx="226">
                  <c:v>527</c:v>
                </c:pt>
                <c:pt idx="227">
                  <c:v>430</c:v>
                </c:pt>
                <c:pt idx="228">
                  <c:v>341</c:v>
                </c:pt>
                <c:pt idx="229">
                  <c:v>547</c:v>
                </c:pt>
                <c:pt idx="230">
                  <c:v>387</c:v>
                </c:pt>
                <c:pt idx="231">
                  <c:v>378</c:v>
                </c:pt>
                <c:pt idx="232">
                  <c:v>360</c:v>
                </c:pt>
                <c:pt idx="233">
                  <c:v>187</c:v>
                </c:pt>
                <c:pt idx="234">
                  <c:v>579</c:v>
                </c:pt>
                <c:pt idx="235">
                  <c:v>232</c:v>
                </c:pt>
                <c:pt idx="236">
                  <c:v>369</c:v>
                </c:pt>
                <c:pt idx="237">
                  <c:v>388</c:v>
                </c:pt>
                <c:pt idx="238">
                  <c:v>236</c:v>
                </c:pt>
                <c:pt idx="239">
                  <c:v>263</c:v>
                </c:pt>
                <c:pt idx="240">
                  <c:v>262</c:v>
                </c:pt>
                <c:pt idx="241">
                  <c:v>103</c:v>
                </c:pt>
                <c:pt idx="242">
                  <c:v>128</c:v>
                </c:pt>
                <c:pt idx="243">
                  <c:v>460</c:v>
                </c:pt>
                <c:pt idx="244">
                  <c:v>147</c:v>
                </c:pt>
                <c:pt idx="245">
                  <c:v>189</c:v>
                </c:pt>
                <c:pt idx="246">
                  <c:v>265</c:v>
                </c:pt>
                <c:pt idx="247">
                  <c:v>188</c:v>
                </c:pt>
                <c:pt idx="248">
                  <c:v>93</c:v>
                </c:pt>
                <c:pt idx="249">
                  <c:v>134</c:v>
                </c:pt>
                <c:pt idx="250">
                  <c:v>191</c:v>
                </c:pt>
                <c:pt idx="251">
                  <c:v>267</c:v>
                </c:pt>
                <c:pt idx="252">
                  <c:v>621</c:v>
                </c:pt>
                <c:pt idx="253">
                  <c:v>402</c:v>
                </c:pt>
                <c:pt idx="254">
                  <c:v>469</c:v>
                </c:pt>
                <c:pt idx="255">
                  <c:v>304</c:v>
                </c:pt>
                <c:pt idx="256">
                  <c:v>135</c:v>
                </c:pt>
                <c:pt idx="257">
                  <c:v>186</c:v>
                </c:pt>
                <c:pt idx="258">
                  <c:v>215</c:v>
                </c:pt>
                <c:pt idx="259">
                  <c:v>450</c:v>
                </c:pt>
                <c:pt idx="260">
                  <c:v>383</c:v>
                </c:pt>
                <c:pt idx="261">
                  <c:v>665</c:v>
                </c:pt>
                <c:pt idx="262">
                  <c:v>296</c:v>
                </c:pt>
                <c:pt idx="263">
                  <c:v>270</c:v>
                </c:pt>
                <c:pt idx="264">
                  <c:v>380</c:v>
                </c:pt>
                <c:pt idx="265">
                  <c:v>379</c:v>
                </c:pt>
                <c:pt idx="266">
                  <c:v>360</c:v>
                </c:pt>
                <c:pt idx="267">
                  <c:v>433</c:v>
                </c:pt>
                <c:pt idx="268">
                  <c:v>142</c:v>
                </c:pt>
                <c:pt idx="269">
                  <c:v>410</c:v>
                </c:pt>
                <c:pt idx="270">
                  <c:v>217</c:v>
                </c:pt>
                <c:pt idx="271">
                  <c:v>347</c:v>
                </c:pt>
                <c:pt idx="272">
                  <c:v>299</c:v>
                </c:pt>
                <c:pt idx="273">
                  <c:v>353</c:v>
                </c:pt>
                <c:pt idx="274">
                  <c:v>439</c:v>
                </c:pt>
                <c:pt idx="275">
                  <c:v>636</c:v>
                </c:pt>
                <c:pt idx="276">
                  <c:v>257</c:v>
                </c:pt>
                <c:pt idx="277">
                  <c:v>353</c:v>
                </c:pt>
                <c:pt idx="278">
                  <c:v>518</c:v>
                </c:pt>
                <c:pt idx="279">
                  <c:v>248</c:v>
                </c:pt>
                <c:pt idx="280">
                  <c:v>377</c:v>
                </c:pt>
                <c:pt idx="281">
                  <c:v>183</c:v>
                </c:pt>
                <c:pt idx="282">
                  <c:v>581</c:v>
                </c:pt>
                <c:pt idx="283">
                  <c:v>485</c:v>
                </c:pt>
                <c:pt idx="284">
                  <c:v>167</c:v>
                </c:pt>
                <c:pt idx="285">
                  <c:v>156</c:v>
                </c:pt>
                <c:pt idx="286">
                  <c:v>142</c:v>
                </c:pt>
                <c:pt idx="287">
                  <c:v>272</c:v>
                </c:pt>
                <c:pt idx="288">
                  <c:v>387</c:v>
                </c:pt>
                <c:pt idx="289">
                  <c:v>296</c:v>
                </c:pt>
                <c:pt idx="290">
                  <c:v>268</c:v>
                </c:pt>
                <c:pt idx="291">
                  <c:v>287</c:v>
                </c:pt>
                <c:pt idx="292">
                  <c:v>380</c:v>
                </c:pt>
                <c:pt idx="293">
                  <c:v>817</c:v>
                </c:pt>
                <c:pt idx="294">
                  <c:v>205</c:v>
                </c:pt>
                <c:pt idx="295">
                  <c:v>149</c:v>
                </c:pt>
                <c:pt idx="296">
                  <c:v>370</c:v>
                </c:pt>
                <c:pt idx="297">
                  <c:v>321</c:v>
                </c:pt>
                <c:pt idx="298">
                  <c:v>204</c:v>
                </c:pt>
                <c:pt idx="299">
                  <c:v>372</c:v>
                </c:pt>
                <c:pt idx="300">
                  <c:v>355</c:v>
                </c:pt>
                <c:pt idx="301">
                  <c:v>289</c:v>
                </c:pt>
                <c:pt idx="302">
                  <c:v>365</c:v>
                </c:pt>
                <c:pt idx="303">
                  <c:v>352</c:v>
                </c:pt>
                <c:pt idx="304">
                  <c:v>536</c:v>
                </c:pt>
                <c:pt idx="305">
                  <c:v>165</c:v>
                </c:pt>
                <c:pt idx="306">
                  <c:v>287</c:v>
                </c:pt>
                <c:pt idx="307">
                  <c:v>298</c:v>
                </c:pt>
                <c:pt idx="308">
                  <c:v>332</c:v>
                </c:pt>
                <c:pt idx="309">
                  <c:v>494</c:v>
                </c:pt>
                <c:pt idx="310">
                  <c:v>369</c:v>
                </c:pt>
                <c:pt idx="311">
                  <c:v>396</c:v>
                </c:pt>
                <c:pt idx="312">
                  <c:v>386</c:v>
                </c:pt>
                <c:pt idx="313">
                  <c:v>534</c:v>
                </c:pt>
                <c:pt idx="314">
                  <c:v>656</c:v>
                </c:pt>
                <c:pt idx="315">
                  <c:v>296</c:v>
                </c:pt>
                <c:pt idx="316">
                  <c:v>522</c:v>
                </c:pt>
                <c:pt idx="317">
                  <c:v>340</c:v>
                </c:pt>
                <c:pt idx="318">
                  <c:v>129</c:v>
                </c:pt>
                <c:pt idx="319">
                  <c:v>229</c:v>
                </c:pt>
                <c:pt idx="320">
                  <c:v>126</c:v>
                </c:pt>
                <c:pt idx="321">
                  <c:v>236</c:v>
                </c:pt>
                <c:pt idx="322">
                  <c:v>282</c:v>
                </c:pt>
                <c:pt idx="323">
                  <c:v>982</c:v>
                </c:pt>
                <c:pt idx="324">
                  <c:v>223</c:v>
                </c:pt>
                <c:pt idx="325">
                  <c:v>364</c:v>
                </c:pt>
                <c:pt idx="326">
                  <c:v>721</c:v>
                </c:pt>
                <c:pt idx="327">
                  <c:v>508</c:v>
                </c:pt>
                <c:pt idx="328">
                  <c:v>297</c:v>
                </c:pt>
                <c:pt idx="329">
                  <c:v>527</c:v>
                </c:pt>
                <c:pt idx="330">
                  <c:v>329</c:v>
                </c:pt>
                <c:pt idx="331">
                  <c:v>291</c:v>
                </c:pt>
                <c:pt idx="332">
                  <c:v>377</c:v>
                </c:pt>
                <c:pt idx="333">
                  <c:v>261</c:v>
                </c:pt>
                <c:pt idx="334">
                  <c:v>351</c:v>
                </c:pt>
                <c:pt idx="335">
                  <c:v>270</c:v>
                </c:pt>
                <c:pt idx="336">
                  <c:v>438</c:v>
                </c:pt>
                <c:pt idx="337">
                  <c:v>119</c:v>
                </c:pt>
                <c:pt idx="338">
                  <c:v>377</c:v>
                </c:pt>
                <c:pt idx="339">
                  <c:v>707</c:v>
                </c:pt>
                <c:pt idx="340">
                  <c:v>301</c:v>
                </c:pt>
                <c:pt idx="341">
                  <c:v>299</c:v>
                </c:pt>
                <c:pt idx="342">
                  <c:v>260</c:v>
                </c:pt>
                <c:pt idx="343">
                  <c:v>280</c:v>
                </c:pt>
                <c:pt idx="344">
                  <c:v>401</c:v>
                </c:pt>
                <c:pt idx="345">
                  <c:v>137</c:v>
                </c:pt>
                <c:pt idx="346">
                  <c:v>420</c:v>
                </c:pt>
                <c:pt idx="347">
                  <c:v>754</c:v>
                </c:pt>
                <c:pt idx="348">
                  <c:v>112</c:v>
                </c:pt>
                <c:pt idx="349">
                  <c:v>389</c:v>
                </c:pt>
                <c:pt idx="350">
                  <c:v>155</c:v>
                </c:pt>
                <c:pt idx="351">
                  <c:v>374</c:v>
                </c:pt>
                <c:pt idx="352">
                  <c:v>507</c:v>
                </c:pt>
                <c:pt idx="353">
                  <c:v>342</c:v>
                </c:pt>
                <c:pt idx="354">
                  <c:v>292</c:v>
                </c:pt>
                <c:pt idx="355">
                  <c:v>832</c:v>
                </c:pt>
                <c:pt idx="356">
                  <c:v>442</c:v>
                </c:pt>
                <c:pt idx="357">
                  <c:v>188</c:v>
                </c:pt>
                <c:pt idx="358">
                  <c:v>339</c:v>
                </c:pt>
                <c:pt idx="359">
                  <c:v>344</c:v>
                </c:pt>
                <c:pt idx="360">
                  <c:v>434</c:v>
                </c:pt>
                <c:pt idx="361">
                  <c:v>362</c:v>
                </c:pt>
                <c:pt idx="362">
                  <c:v>382</c:v>
                </c:pt>
                <c:pt idx="363">
                  <c:v>433</c:v>
                </c:pt>
                <c:pt idx="364">
                  <c:v>685</c:v>
                </c:pt>
                <c:pt idx="365">
                  <c:v>489</c:v>
                </c:pt>
                <c:pt idx="366">
                  <c:v>564</c:v>
                </c:pt>
                <c:pt idx="367">
                  <c:v>263</c:v>
                </c:pt>
                <c:pt idx="368">
                  <c:v>440</c:v>
                </c:pt>
                <c:pt idx="369">
                  <c:v>599</c:v>
                </c:pt>
                <c:pt idx="370">
                  <c:v>466</c:v>
                </c:pt>
                <c:pt idx="371">
                  <c:v>173</c:v>
                </c:pt>
                <c:pt idx="372">
                  <c:v>293</c:v>
                </c:pt>
                <c:pt idx="373">
                  <c:v>383</c:v>
                </c:pt>
                <c:pt idx="374">
                  <c:v>368</c:v>
                </c:pt>
                <c:pt idx="375">
                  <c:v>413</c:v>
                </c:pt>
                <c:pt idx="376">
                  <c:v>515</c:v>
                </c:pt>
                <c:pt idx="377">
                  <c:v>142</c:v>
                </c:pt>
                <c:pt idx="378">
                  <c:v>366</c:v>
                </c:pt>
                <c:pt idx="379">
                  <c:v>214</c:v>
                </c:pt>
                <c:pt idx="380">
                  <c:v>538</c:v>
                </c:pt>
                <c:pt idx="381">
                  <c:v>574</c:v>
                </c:pt>
                <c:pt idx="382">
                  <c:v>409</c:v>
                </c:pt>
                <c:pt idx="383">
                  <c:v>282</c:v>
                </c:pt>
                <c:pt idx="384">
                  <c:v>180</c:v>
                </c:pt>
                <c:pt idx="385">
                  <c:v>398</c:v>
                </c:pt>
                <c:pt idx="386">
                  <c:v>287</c:v>
                </c:pt>
                <c:pt idx="387">
                  <c:v>126</c:v>
                </c:pt>
                <c:pt idx="388">
                  <c:v>482</c:v>
                </c:pt>
                <c:pt idx="389">
                  <c:v>503</c:v>
                </c:pt>
                <c:pt idx="390">
                  <c:v>747</c:v>
                </c:pt>
                <c:pt idx="391">
                  <c:v>472</c:v>
                </c:pt>
                <c:pt idx="392">
                  <c:v>196</c:v>
                </c:pt>
                <c:pt idx="393">
                  <c:v>138</c:v>
                </c:pt>
                <c:pt idx="394">
                  <c:v>410</c:v>
                </c:pt>
                <c:pt idx="395">
                  <c:v>307</c:v>
                </c:pt>
                <c:pt idx="396">
                  <c:v>296</c:v>
                </c:pt>
                <c:pt idx="397">
                  <c:v>321</c:v>
                </c:pt>
                <c:pt idx="398">
                  <c:v>192</c:v>
                </c:pt>
                <c:pt idx="399">
                  <c:v>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B-4ABB-8FFB-24C68CA5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32208"/>
        <c:axId val="1568959455"/>
      </c:scatterChart>
      <c:valAx>
        <c:axId val="15773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59455"/>
        <c:crosses val="autoZero"/>
        <c:crossBetween val="midCat"/>
      </c:valAx>
      <c:valAx>
        <c:axId val="156895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0</xdr:row>
      <xdr:rowOff>95249</xdr:rowOff>
    </xdr:from>
    <xdr:to>
      <xdr:col>11</xdr:col>
      <xdr:colOff>552450</xdr:colOff>
      <xdr:row>5</xdr:row>
      <xdr:rowOff>171449</xdr:rowOff>
    </xdr:to>
    <xdr:sp macro="" textlink="">
      <xdr:nvSpPr>
        <xdr:cNvPr id="2" name="Speech Bubble: Rectangle with Corners Rounded 1" descr="30b8fb7f-72f2-424d-8fe7-60e457c84d66">
          <a:extLst>
            <a:ext uri="{FF2B5EF4-FFF2-40B4-BE49-F238E27FC236}">
              <a16:creationId xmlns:a16="http://schemas.microsoft.com/office/drawing/2014/main" id="{478EA44C-F09E-4F86-A739-7017DCDBC212}"/>
            </a:ext>
          </a:extLst>
        </xdr:cNvPr>
        <xdr:cNvSpPr/>
      </xdr:nvSpPr>
      <xdr:spPr>
        <a:xfrm>
          <a:off x="7781925" y="95249"/>
          <a:ext cx="1238250" cy="1038225"/>
        </a:xfrm>
        <a:prstGeom prst="wedgeRoundRectCallout">
          <a:avLst>
            <a:gd name="adj1" fmla="val -88405"/>
            <a:gd name="adj2" fmla="val 30796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R^2: a number between 0 and 1: the higher is, the</a:t>
          </a:r>
          <a:r>
            <a:rPr lang="en-GB" sz="1100" baseline="0"/>
            <a:t> better is the line's fit</a:t>
          </a:r>
          <a:endParaRPr lang="en-GB" sz="1100"/>
        </a:p>
      </xdr:txBody>
    </xdr:sp>
    <xdr:clientData/>
  </xdr:twoCellAnchor>
  <xdr:twoCellAnchor>
    <xdr:from>
      <xdr:col>12</xdr:col>
      <xdr:colOff>247650</xdr:colOff>
      <xdr:row>18</xdr:row>
      <xdr:rowOff>76199</xdr:rowOff>
    </xdr:from>
    <xdr:to>
      <xdr:col>14</xdr:col>
      <xdr:colOff>647700</xdr:colOff>
      <xdr:row>22</xdr:row>
      <xdr:rowOff>66674</xdr:rowOff>
    </xdr:to>
    <xdr:sp macro="" textlink="">
      <xdr:nvSpPr>
        <xdr:cNvPr id="3" name="Speech Bubble: Rectangle with Corners Rounded 2" descr="8fdb36e3-46ad-46ac-ae1f-30a301778f14">
          <a:extLst>
            <a:ext uri="{FF2B5EF4-FFF2-40B4-BE49-F238E27FC236}">
              <a16:creationId xmlns:a16="http://schemas.microsoft.com/office/drawing/2014/main" id="{F58C5898-F8A9-460C-99D6-0DF49781CD26}"/>
            </a:ext>
          </a:extLst>
        </xdr:cNvPr>
        <xdr:cNvSpPr/>
      </xdr:nvSpPr>
      <xdr:spPr>
        <a:xfrm>
          <a:off x="5686425" y="3562349"/>
          <a:ext cx="1905000" cy="752475"/>
        </a:xfrm>
        <a:prstGeom prst="wedgeRoundRectCallout">
          <a:avLst>
            <a:gd name="adj1" fmla="val -69336"/>
            <a:gd name="adj2" fmla="val -56072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 a general rule the p-values</a:t>
          </a:r>
          <a:r>
            <a:rPr lang="en-GB" sz="1100" baseline="0"/>
            <a:t> should be &lt; 0.05 for the model be significant</a:t>
          </a:r>
          <a:endParaRPr lang="en-GB" sz="1100"/>
        </a:p>
      </xdr:txBody>
    </xdr:sp>
    <xdr:clientData/>
  </xdr:twoCellAnchor>
  <xdr:twoCellAnchor>
    <xdr:from>
      <xdr:col>7</xdr:col>
      <xdr:colOff>323851</xdr:colOff>
      <xdr:row>19</xdr:row>
      <xdr:rowOff>123824</xdr:rowOff>
    </xdr:from>
    <xdr:to>
      <xdr:col>9</xdr:col>
      <xdr:colOff>257175</xdr:colOff>
      <xdr:row>22</xdr:row>
      <xdr:rowOff>123825</xdr:rowOff>
    </xdr:to>
    <xdr:sp macro="" textlink="">
      <xdr:nvSpPr>
        <xdr:cNvPr id="4" name="Speech Bubble: Rectangle with Corners Rounded 3" descr="29d18713-ea20-4cf9-9135-ba0c33c9f06b">
          <a:extLst>
            <a:ext uri="{FF2B5EF4-FFF2-40B4-BE49-F238E27FC236}">
              <a16:creationId xmlns:a16="http://schemas.microsoft.com/office/drawing/2014/main" id="{AF40B1B4-2E73-4445-B86F-D697BF2A49C4}"/>
            </a:ext>
          </a:extLst>
        </xdr:cNvPr>
        <xdr:cNvSpPr/>
      </xdr:nvSpPr>
      <xdr:spPr>
        <a:xfrm>
          <a:off x="6353176" y="3800474"/>
          <a:ext cx="1152524" cy="571501"/>
        </a:xfrm>
        <a:prstGeom prst="wedgeRoundRectCallout">
          <a:avLst>
            <a:gd name="adj1" fmla="val 3532"/>
            <a:gd name="adj2" fmla="val -105786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the slope of the regression</a:t>
          </a:r>
          <a:r>
            <a:rPr lang="en-GB" sz="1100" baseline="0"/>
            <a:t> line</a:t>
          </a:r>
          <a:endParaRPr lang="en-GB" sz="1100"/>
        </a:p>
      </xdr:txBody>
    </xdr:sp>
    <xdr:clientData/>
  </xdr:twoCellAnchor>
  <xdr:twoCellAnchor>
    <xdr:from>
      <xdr:col>6</xdr:col>
      <xdr:colOff>171450</xdr:colOff>
      <xdr:row>0</xdr:row>
      <xdr:rowOff>9525</xdr:rowOff>
    </xdr:from>
    <xdr:to>
      <xdr:col>16</xdr:col>
      <xdr:colOff>47625</xdr:colOff>
      <xdr:row>25</xdr:row>
      <xdr:rowOff>47625</xdr:rowOff>
    </xdr:to>
    <xdr:sp macro="" textlink="">
      <xdr:nvSpPr>
        <xdr:cNvPr id="5" name="Rectangle: Rounded Corners 4" descr="99bcfbbb-51c3-4c4c-8ea2-2500398b980d">
          <a:extLst>
            <a:ext uri="{FF2B5EF4-FFF2-40B4-BE49-F238E27FC236}">
              <a16:creationId xmlns:a16="http://schemas.microsoft.com/office/drawing/2014/main" id="{44FDBD6B-E0C1-6D75-E57A-2984EEEE07DE}"/>
            </a:ext>
          </a:extLst>
        </xdr:cNvPr>
        <xdr:cNvSpPr/>
      </xdr:nvSpPr>
      <xdr:spPr>
        <a:xfrm>
          <a:off x="5591175" y="9525"/>
          <a:ext cx="5972175" cy="48577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95250</xdr:colOff>
      <xdr:row>1</xdr:row>
      <xdr:rowOff>180975</xdr:rowOff>
    </xdr:from>
    <xdr:to>
      <xdr:col>15</xdr:col>
      <xdr:colOff>361950</xdr:colOff>
      <xdr:row>7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605C09-C2D2-9D47-A435-880FF7A926FC}"/>
            </a:ext>
          </a:extLst>
        </xdr:cNvPr>
        <xdr:cNvSpPr txBox="1"/>
      </xdr:nvSpPr>
      <xdr:spPr>
        <a:xfrm>
          <a:off x="9525000" y="371475"/>
          <a:ext cx="20955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Univariate Regression (prediction of Limit based on Rating)</a:t>
          </a:r>
        </a:p>
        <a:p>
          <a:endParaRPr lang="en-GB" sz="1100"/>
        </a:p>
      </xdr:txBody>
    </xdr:sp>
    <xdr:clientData/>
  </xdr:twoCellAnchor>
  <xdr:twoCellAnchor>
    <xdr:from>
      <xdr:col>16</xdr:col>
      <xdr:colOff>304800</xdr:colOff>
      <xdr:row>0</xdr:row>
      <xdr:rowOff>0</xdr:rowOff>
    </xdr:from>
    <xdr:to>
      <xdr:col>26</xdr:col>
      <xdr:colOff>180975</xdr:colOff>
      <xdr:row>25</xdr:row>
      <xdr:rowOff>38100</xdr:rowOff>
    </xdr:to>
    <xdr:sp macro="" textlink="">
      <xdr:nvSpPr>
        <xdr:cNvPr id="7" name="Rectangle: Rounded Corners 6" descr="94e2cafc-b6d8-4483-888a-ea453faba480">
          <a:extLst>
            <a:ext uri="{FF2B5EF4-FFF2-40B4-BE49-F238E27FC236}">
              <a16:creationId xmlns:a16="http://schemas.microsoft.com/office/drawing/2014/main" id="{6A3FE3F5-B44B-4A1A-A127-7A4A49E406C9}"/>
            </a:ext>
          </a:extLst>
        </xdr:cNvPr>
        <xdr:cNvSpPr/>
      </xdr:nvSpPr>
      <xdr:spPr>
        <a:xfrm>
          <a:off x="11820525" y="0"/>
          <a:ext cx="5972175" cy="4867275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523875</xdr:colOff>
      <xdr:row>3</xdr:row>
      <xdr:rowOff>95249</xdr:rowOff>
    </xdr:from>
    <xdr:to>
      <xdr:col>21</xdr:col>
      <xdr:colOff>209550</xdr:colOff>
      <xdr:row>5</xdr:row>
      <xdr:rowOff>57150</xdr:rowOff>
    </xdr:to>
    <xdr:sp macro="" textlink="">
      <xdr:nvSpPr>
        <xdr:cNvPr id="8" name="Speech Bubble: Rectangle with Corners Rounded 7" descr="c56cd324-dfcd-46e8-b44c-171c6b67ec8d">
          <a:extLst>
            <a:ext uri="{FF2B5EF4-FFF2-40B4-BE49-F238E27FC236}">
              <a16:creationId xmlns:a16="http://schemas.microsoft.com/office/drawing/2014/main" id="{F8637995-0C2F-4D6A-89E6-5F1684191236}"/>
            </a:ext>
          </a:extLst>
        </xdr:cNvPr>
        <xdr:cNvSpPr/>
      </xdr:nvSpPr>
      <xdr:spPr>
        <a:xfrm>
          <a:off x="13868400" y="676274"/>
          <a:ext cx="904875" cy="342901"/>
        </a:xfrm>
        <a:prstGeom prst="wedgeRoundRectCallout">
          <a:avLst>
            <a:gd name="adj1" fmla="val -99943"/>
            <a:gd name="adj2" fmla="val 1520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quite good</a:t>
          </a:r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304800</xdr:colOff>
      <xdr:row>41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0243ED1-7260-4F6F-B74A-C2A5545DD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476249</xdr:colOff>
      <xdr:row>1</xdr:row>
      <xdr:rowOff>152400</xdr:rowOff>
    </xdr:from>
    <xdr:to>
      <xdr:col>25</xdr:col>
      <xdr:colOff>295274</xdr:colOff>
      <xdr:row>8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10C3E6-3B8F-4CAE-8054-12DE353CAC69}"/>
            </a:ext>
          </a:extLst>
        </xdr:cNvPr>
        <xdr:cNvSpPr txBox="1"/>
      </xdr:nvSpPr>
      <xdr:spPr>
        <a:xfrm>
          <a:off x="15392399" y="342900"/>
          <a:ext cx="225742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Multivariate Regression (prediction of Balance based on all numerical predictors)</a:t>
          </a:r>
          <a:endParaRPr lang="en-GB" sz="1100"/>
        </a:p>
      </xdr:txBody>
    </xdr:sp>
    <xdr:clientData/>
  </xdr:twoCellAnchor>
  <xdr:twoCellAnchor>
    <xdr:from>
      <xdr:col>23</xdr:col>
      <xdr:colOff>133349</xdr:colOff>
      <xdr:row>29</xdr:row>
      <xdr:rowOff>161925</xdr:rowOff>
    </xdr:from>
    <xdr:to>
      <xdr:col>26</xdr:col>
      <xdr:colOff>561974</xdr:colOff>
      <xdr:row>36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A6E5385-E74D-4FBC-96CB-EA403245ACDD}"/>
            </a:ext>
          </a:extLst>
        </xdr:cNvPr>
        <xdr:cNvSpPr txBox="1"/>
      </xdr:nvSpPr>
      <xdr:spPr>
        <a:xfrm>
          <a:off x="15659099" y="5753100"/>
          <a:ext cx="225742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Multivariate Regression (prediction of Balance based on all numerical predictors BUT Limit)</a:t>
          </a:r>
          <a:endParaRPr lang="en-GB" sz="1100"/>
        </a:p>
      </xdr:txBody>
    </xdr:sp>
    <xdr:clientData/>
  </xdr:twoCellAnchor>
  <xdr:twoCellAnchor>
    <xdr:from>
      <xdr:col>19</xdr:col>
      <xdr:colOff>333375</xdr:colOff>
      <xdr:row>29</xdr:row>
      <xdr:rowOff>0</xdr:rowOff>
    </xdr:from>
    <xdr:to>
      <xdr:col>29</xdr:col>
      <xdr:colOff>209550</xdr:colOff>
      <xdr:row>54</xdr:row>
      <xdr:rowOff>19050</xdr:rowOff>
    </xdr:to>
    <xdr:sp macro="" textlink="">
      <xdr:nvSpPr>
        <xdr:cNvPr id="14" name="Rectangle: Rounded Corners 13" descr="e9b40923-c5c9-4558-8ff2-8d8b99879968">
          <a:extLst>
            <a:ext uri="{FF2B5EF4-FFF2-40B4-BE49-F238E27FC236}">
              <a16:creationId xmlns:a16="http://schemas.microsoft.com/office/drawing/2014/main" id="{97357D8B-9765-4C67-AC1A-22E33C28FBD4}"/>
            </a:ext>
          </a:extLst>
        </xdr:cNvPr>
        <xdr:cNvSpPr/>
      </xdr:nvSpPr>
      <xdr:spPr>
        <a:xfrm>
          <a:off x="12820650" y="5591175"/>
          <a:ext cx="5972175" cy="4867275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6</xdr:col>
      <xdr:colOff>0</xdr:colOff>
      <xdr:row>405</xdr:row>
      <xdr:rowOff>0</xdr:rowOff>
    </xdr:from>
    <xdr:to>
      <xdr:col>16</xdr:col>
      <xdr:colOff>322968</xdr:colOff>
      <xdr:row>414</xdr:row>
      <xdr:rowOff>47405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04479F-BF91-9834-E140-63197462C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77647800"/>
          <a:ext cx="7057143" cy="17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19</xdr:col>
      <xdr:colOff>161067</xdr:colOff>
      <xdr:row>5</xdr:row>
      <xdr:rowOff>161785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3DDE8-C2FF-C7B7-4F2F-F40FF3EA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0"/>
          <a:ext cx="6866667" cy="11238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294.519428009262" createdVersion="8" refreshedVersion="8" minRefreshableVersion="3" recordCount="400" xr:uid="{BF8E493F-1055-466E-9E90-C2CD8B99CCAF}">
  <cacheSource type="worksheet">
    <worksheetSource name="Credit_ISLR__2"/>
  </cacheSource>
  <cacheFields count="13">
    <cacheField name="Column1" numFmtId="0">
      <sharedItems containsSemiMixedTypes="0" containsString="0" containsNumber="1" containsInteger="1" minValue="1" maxValue="400"/>
    </cacheField>
    <cacheField name="ID" numFmtId="0">
      <sharedItems containsSemiMixedTypes="0" containsString="0" containsNumber="1" containsInteger="1" minValue="1" maxValue="400"/>
    </cacheField>
    <cacheField name="Income" numFmtId="0">
      <sharedItems containsSemiMixedTypes="0" containsString="0" containsNumber="1" containsInteger="1" minValue="12" maxValue="186634"/>
    </cacheField>
    <cacheField name="Limit" numFmtId="0">
      <sharedItems containsSemiMixedTypes="0" containsString="0" containsNumber="1" containsInteger="1" minValue="855" maxValue="13913"/>
    </cacheField>
    <cacheField name="Rating" numFmtId="0">
      <sharedItems containsSemiMixedTypes="0" containsString="0" containsNumber="1" containsInteger="1" minValue="93" maxValue="982"/>
    </cacheField>
    <cacheField name="Cards" numFmtId="0">
      <sharedItems containsSemiMixedTypes="0" containsString="0" containsNumber="1" containsInteger="1" minValue="1" maxValue="9"/>
    </cacheField>
    <cacheField name="Age" numFmtId="0">
      <sharedItems containsSemiMixedTypes="0" containsString="0" containsNumber="1" containsInteger="1" minValue="23" maxValue="98" count="68">
        <n v="34"/>
        <n v="82"/>
        <n v="71"/>
        <n v="36"/>
        <n v="68"/>
        <n v="77"/>
        <n v="37"/>
        <n v="87"/>
        <n v="66"/>
        <n v="41"/>
        <n v="30"/>
        <n v="64"/>
        <n v="57"/>
        <n v="49"/>
        <n v="75"/>
        <n v="73"/>
        <n v="69"/>
        <n v="28"/>
        <n v="44"/>
        <n v="63"/>
        <n v="72"/>
        <n v="61"/>
        <n v="48"/>
        <n v="25"/>
        <n v="55"/>
        <n v="47"/>
        <n v="43"/>
        <n v="54"/>
        <n v="24"/>
        <n v="50"/>
        <n v="27"/>
        <n v="32"/>
        <n v="60"/>
        <n v="79"/>
        <n v="65"/>
        <n v="70"/>
        <n v="81"/>
        <n v="35"/>
        <n v="59"/>
        <n v="38"/>
        <n v="78"/>
        <n v="31"/>
        <n v="45"/>
        <n v="40"/>
        <n v="83"/>
        <n v="33"/>
        <n v="52"/>
        <n v="42"/>
        <n v="51"/>
        <n v="26"/>
        <n v="46"/>
        <n v="74"/>
        <n v="56"/>
        <n v="53"/>
        <n v="58"/>
        <n v="62"/>
        <n v="67"/>
        <n v="84"/>
        <n v="89"/>
        <n v="80"/>
        <n v="29"/>
        <n v="85"/>
        <n v="39"/>
        <n v="91"/>
        <n v="76"/>
        <n v="86"/>
        <n v="98"/>
        <n v="23"/>
      </sharedItems>
    </cacheField>
    <cacheField name="Education" numFmtId="0">
      <sharedItems containsSemiMixedTypes="0" containsString="0" containsNumber="1" containsInteger="1" minValue="5" maxValue="20" count="16">
        <n v="11"/>
        <n v="15"/>
        <n v="16"/>
        <n v="10"/>
        <n v="12"/>
        <n v="9"/>
        <n v="13"/>
        <n v="19"/>
        <n v="14"/>
        <n v="7"/>
        <n v="17"/>
        <n v="8"/>
        <n v="5"/>
        <n v="20"/>
        <n v="18"/>
        <n v="6"/>
      </sharedItems>
    </cacheField>
    <cacheField name="Gender" numFmtId="0">
      <sharedItems count="2">
        <s v=" Male"/>
        <s v="Female"/>
      </sharedItems>
    </cacheField>
    <cacheField name="Student" numFmtId="0">
      <sharedItems/>
    </cacheField>
    <cacheField name="Married" numFmtId="0">
      <sharedItems/>
    </cacheField>
    <cacheField name="Ethnicity" numFmtId="0">
      <sharedItems count="3">
        <s v="Caucasian"/>
        <s v="Asian"/>
        <s v="African American"/>
      </sharedItems>
    </cacheField>
    <cacheField name="Balance" numFmtId="0">
      <sharedItems containsSemiMixedTypes="0" containsString="0" containsNumber="1" containsInteger="1" minValue="0" maxValue="1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n v="1"/>
    <n v="14891"/>
    <n v="3606"/>
    <n v="283"/>
    <n v="2"/>
    <x v="0"/>
    <x v="0"/>
    <x v="0"/>
    <s v="No"/>
    <s v="Yes"/>
    <x v="0"/>
    <n v="333"/>
  </r>
  <r>
    <n v="2"/>
    <n v="2"/>
    <n v="106025"/>
    <n v="6645"/>
    <n v="483"/>
    <n v="3"/>
    <x v="1"/>
    <x v="1"/>
    <x v="1"/>
    <s v="Yes"/>
    <s v="Yes"/>
    <x v="1"/>
    <n v="903"/>
  </r>
  <r>
    <n v="3"/>
    <n v="3"/>
    <n v="104593"/>
    <n v="7075"/>
    <n v="514"/>
    <n v="4"/>
    <x v="2"/>
    <x v="0"/>
    <x v="0"/>
    <s v="No"/>
    <s v="No"/>
    <x v="1"/>
    <n v="580"/>
  </r>
  <r>
    <n v="4"/>
    <n v="4"/>
    <n v="148924"/>
    <n v="9504"/>
    <n v="681"/>
    <n v="3"/>
    <x v="3"/>
    <x v="0"/>
    <x v="1"/>
    <s v="No"/>
    <s v="No"/>
    <x v="1"/>
    <n v="964"/>
  </r>
  <r>
    <n v="5"/>
    <n v="5"/>
    <n v="55882"/>
    <n v="4897"/>
    <n v="357"/>
    <n v="2"/>
    <x v="4"/>
    <x v="2"/>
    <x v="0"/>
    <s v="No"/>
    <s v="Yes"/>
    <x v="0"/>
    <n v="331"/>
  </r>
  <r>
    <n v="6"/>
    <n v="6"/>
    <n v="8018"/>
    <n v="8047"/>
    <n v="569"/>
    <n v="4"/>
    <x v="5"/>
    <x v="3"/>
    <x v="0"/>
    <s v="No"/>
    <s v="No"/>
    <x v="0"/>
    <n v="1151"/>
  </r>
  <r>
    <n v="7"/>
    <n v="7"/>
    <n v="20996"/>
    <n v="3388"/>
    <n v="259"/>
    <n v="2"/>
    <x v="6"/>
    <x v="4"/>
    <x v="1"/>
    <s v="No"/>
    <s v="No"/>
    <x v="2"/>
    <n v="203"/>
  </r>
  <r>
    <n v="8"/>
    <n v="8"/>
    <n v="71408"/>
    <n v="7114"/>
    <n v="512"/>
    <n v="2"/>
    <x v="7"/>
    <x v="5"/>
    <x v="0"/>
    <s v="No"/>
    <s v="No"/>
    <x v="1"/>
    <n v="872"/>
  </r>
  <r>
    <n v="9"/>
    <n v="9"/>
    <n v="15125"/>
    <n v="3300"/>
    <n v="266"/>
    <n v="5"/>
    <x v="8"/>
    <x v="6"/>
    <x v="1"/>
    <s v="No"/>
    <s v="No"/>
    <x v="0"/>
    <n v="279"/>
  </r>
  <r>
    <n v="10"/>
    <n v="10"/>
    <n v="71061"/>
    <n v="6819"/>
    <n v="491"/>
    <n v="3"/>
    <x v="9"/>
    <x v="7"/>
    <x v="1"/>
    <s v="Yes"/>
    <s v="Yes"/>
    <x v="2"/>
    <n v="1350"/>
  </r>
  <r>
    <n v="11"/>
    <n v="11"/>
    <n v="63095"/>
    <n v="8117"/>
    <n v="589"/>
    <n v="4"/>
    <x v="10"/>
    <x v="8"/>
    <x v="0"/>
    <s v="No"/>
    <s v="Yes"/>
    <x v="0"/>
    <n v="1407"/>
  </r>
  <r>
    <n v="12"/>
    <n v="12"/>
    <n v="15045"/>
    <n v="1311"/>
    <n v="138"/>
    <n v="3"/>
    <x v="11"/>
    <x v="2"/>
    <x v="0"/>
    <s v="No"/>
    <s v="No"/>
    <x v="0"/>
    <n v="0"/>
  </r>
  <r>
    <n v="13"/>
    <n v="13"/>
    <n v="80616"/>
    <n v="5308"/>
    <n v="394"/>
    <n v="1"/>
    <x v="12"/>
    <x v="9"/>
    <x v="1"/>
    <s v="No"/>
    <s v="Yes"/>
    <x v="1"/>
    <n v="204"/>
  </r>
  <r>
    <n v="14"/>
    <n v="14"/>
    <n v="43682"/>
    <n v="6922"/>
    <n v="511"/>
    <n v="1"/>
    <x v="13"/>
    <x v="5"/>
    <x v="0"/>
    <s v="No"/>
    <s v="Yes"/>
    <x v="0"/>
    <n v="1081"/>
  </r>
  <r>
    <n v="15"/>
    <n v="15"/>
    <n v="19144"/>
    <n v="3291"/>
    <n v="269"/>
    <n v="2"/>
    <x v="14"/>
    <x v="6"/>
    <x v="1"/>
    <s v="No"/>
    <s v="No"/>
    <x v="2"/>
    <n v="148"/>
  </r>
  <r>
    <n v="16"/>
    <n v="16"/>
    <n v="20089"/>
    <n v="2525"/>
    <n v="200"/>
    <n v="3"/>
    <x v="12"/>
    <x v="1"/>
    <x v="1"/>
    <s v="No"/>
    <s v="Yes"/>
    <x v="2"/>
    <n v="0"/>
  </r>
  <r>
    <n v="17"/>
    <n v="17"/>
    <n v="53598"/>
    <n v="3714"/>
    <n v="286"/>
    <n v="3"/>
    <x v="15"/>
    <x v="10"/>
    <x v="1"/>
    <s v="No"/>
    <s v="Yes"/>
    <x v="2"/>
    <n v="0"/>
  </r>
  <r>
    <n v="18"/>
    <n v="18"/>
    <n v="36496"/>
    <n v="4378"/>
    <n v="339"/>
    <n v="3"/>
    <x v="16"/>
    <x v="1"/>
    <x v="1"/>
    <s v="No"/>
    <s v="Yes"/>
    <x v="1"/>
    <n v="368"/>
  </r>
  <r>
    <n v="19"/>
    <n v="19"/>
    <n v="4957"/>
    <n v="6384"/>
    <n v="448"/>
    <n v="1"/>
    <x v="17"/>
    <x v="5"/>
    <x v="1"/>
    <s v="No"/>
    <s v="Yes"/>
    <x v="1"/>
    <n v="891"/>
  </r>
  <r>
    <n v="20"/>
    <n v="20"/>
    <n v="42079"/>
    <n v="6626"/>
    <n v="479"/>
    <n v="2"/>
    <x v="18"/>
    <x v="5"/>
    <x v="0"/>
    <s v="No"/>
    <s v="No"/>
    <x v="1"/>
    <n v="1048"/>
  </r>
  <r>
    <n v="21"/>
    <n v="21"/>
    <n v="177"/>
    <n v="2860"/>
    <n v="235"/>
    <n v="4"/>
    <x v="19"/>
    <x v="2"/>
    <x v="1"/>
    <s v="No"/>
    <s v="No"/>
    <x v="1"/>
    <n v="89"/>
  </r>
  <r>
    <n v="22"/>
    <n v="22"/>
    <n v="37348"/>
    <n v="6378"/>
    <n v="458"/>
    <n v="1"/>
    <x v="20"/>
    <x v="10"/>
    <x v="1"/>
    <s v="No"/>
    <s v="No"/>
    <x v="0"/>
    <n v="968"/>
  </r>
  <r>
    <n v="23"/>
    <n v="23"/>
    <n v="20103"/>
    <n v="2631"/>
    <n v="213"/>
    <n v="3"/>
    <x v="21"/>
    <x v="3"/>
    <x v="0"/>
    <s v="No"/>
    <s v="Yes"/>
    <x v="2"/>
    <n v="0"/>
  </r>
  <r>
    <n v="24"/>
    <n v="24"/>
    <n v="64027"/>
    <n v="5179"/>
    <n v="398"/>
    <n v="5"/>
    <x v="22"/>
    <x v="11"/>
    <x v="0"/>
    <s v="No"/>
    <s v="Yes"/>
    <x v="2"/>
    <n v="411"/>
  </r>
  <r>
    <n v="25"/>
    <n v="25"/>
    <n v="10742"/>
    <n v="1757"/>
    <n v="156"/>
    <n v="3"/>
    <x v="12"/>
    <x v="1"/>
    <x v="1"/>
    <s v="No"/>
    <s v="No"/>
    <x v="0"/>
    <n v="0"/>
  </r>
  <r>
    <n v="26"/>
    <n v="26"/>
    <n v="1409"/>
    <n v="4323"/>
    <n v="326"/>
    <n v="5"/>
    <x v="23"/>
    <x v="2"/>
    <x v="1"/>
    <s v="No"/>
    <s v="Yes"/>
    <x v="2"/>
    <n v="671"/>
  </r>
  <r>
    <n v="27"/>
    <n v="27"/>
    <n v="42471"/>
    <n v="3625"/>
    <n v="289"/>
    <n v="6"/>
    <x v="18"/>
    <x v="4"/>
    <x v="1"/>
    <s v="Yes"/>
    <s v="No"/>
    <x v="0"/>
    <n v="654"/>
  </r>
  <r>
    <n v="28"/>
    <n v="28"/>
    <n v="32793"/>
    <n v="4534"/>
    <n v="333"/>
    <n v="2"/>
    <x v="18"/>
    <x v="2"/>
    <x v="0"/>
    <s v="No"/>
    <s v="No"/>
    <x v="2"/>
    <n v="467"/>
  </r>
  <r>
    <n v="29"/>
    <n v="29"/>
    <n v="186634"/>
    <n v="13414"/>
    <n v="949"/>
    <n v="2"/>
    <x v="9"/>
    <x v="8"/>
    <x v="1"/>
    <s v="No"/>
    <s v="Yes"/>
    <x v="2"/>
    <n v="1809"/>
  </r>
  <r>
    <n v="30"/>
    <n v="30"/>
    <n v="26813"/>
    <n v="5611"/>
    <n v="411"/>
    <n v="4"/>
    <x v="24"/>
    <x v="2"/>
    <x v="1"/>
    <s v="No"/>
    <s v="No"/>
    <x v="0"/>
    <n v="915"/>
  </r>
  <r>
    <n v="31"/>
    <n v="31"/>
    <n v="34142"/>
    <n v="5666"/>
    <n v="413"/>
    <n v="4"/>
    <x v="25"/>
    <x v="12"/>
    <x v="1"/>
    <s v="No"/>
    <s v="Yes"/>
    <x v="0"/>
    <n v="863"/>
  </r>
  <r>
    <n v="32"/>
    <n v="32"/>
    <n v="28941"/>
    <n v="2733"/>
    <n v="210"/>
    <n v="5"/>
    <x v="26"/>
    <x v="2"/>
    <x v="0"/>
    <s v="No"/>
    <s v="Yes"/>
    <x v="1"/>
    <n v="0"/>
  </r>
  <r>
    <n v="33"/>
    <n v="33"/>
    <n v="134181"/>
    <n v="7838"/>
    <n v="563"/>
    <n v="2"/>
    <x v="22"/>
    <x v="6"/>
    <x v="1"/>
    <s v="No"/>
    <s v="No"/>
    <x v="0"/>
    <n v="526"/>
  </r>
  <r>
    <n v="34"/>
    <n v="34"/>
    <n v="31367"/>
    <n v="1829"/>
    <n v="162"/>
    <n v="4"/>
    <x v="10"/>
    <x v="3"/>
    <x v="0"/>
    <s v="No"/>
    <s v="Yes"/>
    <x v="0"/>
    <n v="0"/>
  </r>
  <r>
    <n v="35"/>
    <n v="35"/>
    <n v="2015"/>
    <n v="2646"/>
    <n v="199"/>
    <n v="2"/>
    <x v="23"/>
    <x v="8"/>
    <x v="1"/>
    <s v="No"/>
    <s v="Yes"/>
    <x v="1"/>
    <n v="0"/>
  </r>
  <r>
    <n v="36"/>
    <n v="36"/>
    <n v="2335"/>
    <n v="2558"/>
    <n v="220"/>
    <n v="3"/>
    <x v="13"/>
    <x v="4"/>
    <x v="1"/>
    <s v="Yes"/>
    <s v="No"/>
    <x v="0"/>
    <n v="419"/>
  </r>
  <r>
    <n v="37"/>
    <n v="37"/>
    <n v="62413"/>
    <n v="6457"/>
    <n v="455"/>
    <n v="2"/>
    <x v="2"/>
    <x v="0"/>
    <x v="1"/>
    <s v="No"/>
    <s v="Yes"/>
    <x v="0"/>
    <n v="762"/>
  </r>
  <r>
    <n v="38"/>
    <n v="38"/>
    <n v="30007"/>
    <n v="6481"/>
    <n v="462"/>
    <n v="2"/>
    <x v="16"/>
    <x v="5"/>
    <x v="1"/>
    <s v="No"/>
    <s v="Yes"/>
    <x v="0"/>
    <n v="1093"/>
  </r>
  <r>
    <n v="39"/>
    <n v="39"/>
    <n v="11795"/>
    <n v="3899"/>
    <n v="300"/>
    <n v="4"/>
    <x v="23"/>
    <x v="3"/>
    <x v="1"/>
    <s v="No"/>
    <s v="No"/>
    <x v="0"/>
    <n v="531"/>
  </r>
  <r>
    <n v="40"/>
    <n v="40"/>
    <n v="13647"/>
    <n v="3461"/>
    <n v="264"/>
    <n v="4"/>
    <x v="25"/>
    <x v="8"/>
    <x v="0"/>
    <s v="No"/>
    <s v="Yes"/>
    <x v="0"/>
    <n v="344"/>
  </r>
  <r>
    <n v="41"/>
    <n v="41"/>
    <n v="3495"/>
    <n v="3327"/>
    <n v="253"/>
    <n v="3"/>
    <x v="27"/>
    <x v="8"/>
    <x v="1"/>
    <s v="No"/>
    <s v="No"/>
    <x v="2"/>
    <n v="50"/>
  </r>
  <r>
    <n v="42"/>
    <n v="42"/>
    <n v="113659"/>
    <n v="7659"/>
    <n v="538"/>
    <n v="2"/>
    <x v="8"/>
    <x v="1"/>
    <x v="0"/>
    <s v="Yes"/>
    <s v="Yes"/>
    <x v="2"/>
    <n v="1155"/>
  </r>
  <r>
    <n v="43"/>
    <n v="43"/>
    <n v="44158"/>
    <n v="4763"/>
    <n v="351"/>
    <n v="2"/>
    <x v="8"/>
    <x v="6"/>
    <x v="1"/>
    <s v="No"/>
    <s v="Yes"/>
    <x v="1"/>
    <n v="385"/>
  </r>
  <r>
    <n v="44"/>
    <n v="44"/>
    <n v="36929"/>
    <n v="6257"/>
    <n v="445"/>
    <n v="1"/>
    <x v="28"/>
    <x v="8"/>
    <x v="1"/>
    <s v="No"/>
    <s v="Yes"/>
    <x v="1"/>
    <n v="976"/>
  </r>
  <r>
    <n v="45"/>
    <n v="45"/>
    <n v="31861"/>
    <n v="6375"/>
    <n v="469"/>
    <n v="3"/>
    <x v="23"/>
    <x v="2"/>
    <x v="1"/>
    <s v="No"/>
    <s v="Yes"/>
    <x v="0"/>
    <n v="1120"/>
  </r>
  <r>
    <n v="46"/>
    <n v="46"/>
    <n v="7738"/>
    <n v="7569"/>
    <n v="564"/>
    <n v="3"/>
    <x v="29"/>
    <x v="4"/>
    <x v="1"/>
    <s v="No"/>
    <s v="Yes"/>
    <x v="0"/>
    <n v="997"/>
  </r>
  <r>
    <n v="47"/>
    <n v="47"/>
    <n v="19531"/>
    <n v="5043"/>
    <n v="376"/>
    <n v="2"/>
    <x v="11"/>
    <x v="2"/>
    <x v="1"/>
    <s v="Yes"/>
    <s v="Yes"/>
    <x v="1"/>
    <n v="1241"/>
  </r>
  <r>
    <n v="48"/>
    <n v="48"/>
    <n v="44646"/>
    <n v="4431"/>
    <n v="320"/>
    <n v="2"/>
    <x v="13"/>
    <x v="1"/>
    <x v="0"/>
    <s v="Yes"/>
    <s v="Yes"/>
    <x v="0"/>
    <n v="797"/>
  </r>
  <r>
    <n v="49"/>
    <n v="49"/>
    <n v="44522"/>
    <n v="2252"/>
    <n v="205"/>
    <n v="6"/>
    <x v="20"/>
    <x v="1"/>
    <x v="0"/>
    <s v="No"/>
    <s v="Yes"/>
    <x v="1"/>
    <n v="0"/>
  </r>
  <r>
    <n v="50"/>
    <n v="50"/>
    <n v="43479"/>
    <n v="4569"/>
    <n v="354"/>
    <n v="4"/>
    <x v="13"/>
    <x v="6"/>
    <x v="0"/>
    <s v="Yes"/>
    <s v="Yes"/>
    <x v="2"/>
    <n v="902"/>
  </r>
  <r>
    <n v="51"/>
    <n v="51"/>
    <n v="36362"/>
    <n v="5183"/>
    <n v="376"/>
    <n v="3"/>
    <x v="13"/>
    <x v="1"/>
    <x v="0"/>
    <s v="No"/>
    <s v="Yes"/>
    <x v="2"/>
    <n v="654"/>
  </r>
  <r>
    <n v="52"/>
    <n v="52"/>
    <n v="39705"/>
    <n v="3969"/>
    <n v="301"/>
    <n v="2"/>
    <x v="30"/>
    <x v="13"/>
    <x v="0"/>
    <s v="No"/>
    <s v="Yes"/>
    <x v="2"/>
    <n v="211"/>
  </r>
  <r>
    <n v="53"/>
    <n v="53"/>
    <n v="44205"/>
    <n v="5441"/>
    <n v="394"/>
    <n v="1"/>
    <x v="31"/>
    <x v="4"/>
    <x v="0"/>
    <s v="No"/>
    <s v="Yes"/>
    <x v="0"/>
    <n v="607"/>
  </r>
  <r>
    <n v="54"/>
    <n v="54"/>
    <n v="16304"/>
    <n v="5466"/>
    <n v="413"/>
    <n v="4"/>
    <x v="8"/>
    <x v="3"/>
    <x v="0"/>
    <s v="No"/>
    <s v="Yes"/>
    <x v="1"/>
    <n v="957"/>
  </r>
  <r>
    <n v="55"/>
    <n v="55"/>
    <n v="15333"/>
    <n v="1499"/>
    <n v="138"/>
    <n v="2"/>
    <x v="25"/>
    <x v="5"/>
    <x v="1"/>
    <s v="No"/>
    <s v="Yes"/>
    <x v="1"/>
    <n v="0"/>
  </r>
  <r>
    <n v="56"/>
    <n v="56"/>
    <n v="32916"/>
    <n v="1786"/>
    <n v="154"/>
    <n v="2"/>
    <x v="32"/>
    <x v="11"/>
    <x v="1"/>
    <s v="No"/>
    <s v="Yes"/>
    <x v="1"/>
    <n v="0"/>
  </r>
  <r>
    <n v="57"/>
    <n v="57"/>
    <n v="571"/>
    <n v="4742"/>
    <n v="372"/>
    <n v="7"/>
    <x v="33"/>
    <x v="14"/>
    <x v="1"/>
    <s v="No"/>
    <s v="Yes"/>
    <x v="1"/>
    <n v="379"/>
  </r>
  <r>
    <n v="58"/>
    <n v="58"/>
    <n v="76273"/>
    <n v="4779"/>
    <n v="367"/>
    <n v="4"/>
    <x v="34"/>
    <x v="8"/>
    <x v="1"/>
    <s v="No"/>
    <s v="Yes"/>
    <x v="0"/>
    <n v="133"/>
  </r>
  <r>
    <n v="59"/>
    <n v="59"/>
    <n v="10354"/>
    <n v="3480"/>
    <n v="281"/>
    <n v="2"/>
    <x v="35"/>
    <x v="10"/>
    <x v="0"/>
    <s v="No"/>
    <s v="Yes"/>
    <x v="0"/>
    <n v="333"/>
  </r>
  <r>
    <n v="60"/>
    <n v="60"/>
    <n v="51872"/>
    <n v="5294"/>
    <n v="390"/>
    <n v="4"/>
    <x v="36"/>
    <x v="10"/>
    <x v="1"/>
    <s v="No"/>
    <s v="No"/>
    <x v="0"/>
    <n v="531"/>
  </r>
  <r>
    <n v="61"/>
    <n v="61"/>
    <n v="3551"/>
    <n v="5198"/>
    <n v="364"/>
    <n v="2"/>
    <x v="37"/>
    <x v="13"/>
    <x v="1"/>
    <s v="No"/>
    <s v="No"/>
    <x v="1"/>
    <n v="631"/>
  </r>
  <r>
    <n v="62"/>
    <n v="62"/>
    <n v="21238"/>
    <n v="3089"/>
    <n v="254"/>
    <n v="3"/>
    <x v="38"/>
    <x v="3"/>
    <x v="1"/>
    <s v="No"/>
    <s v="No"/>
    <x v="0"/>
    <n v="108"/>
  </r>
  <r>
    <n v="63"/>
    <n v="63"/>
    <n v="30682"/>
    <n v="1671"/>
    <n v="160"/>
    <n v="2"/>
    <x v="5"/>
    <x v="9"/>
    <x v="1"/>
    <s v="No"/>
    <s v="No"/>
    <x v="0"/>
    <n v="0"/>
  </r>
  <r>
    <n v="64"/>
    <n v="64"/>
    <n v="14132"/>
    <n v="2998"/>
    <n v="251"/>
    <n v="4"/>
    <x v="14"/>
    <x v="10"/>
    <x v="0"/>
    <s v="No"/>
    <s v="No"/>
    <x v="0"/>
    <n v="133"/>
  </r>
  <r>
    <n v="65"/>
    <n v="65"/>
    <n v="32164"/>
    <n v="2937"/>
    <n v="223"/>
    <n v="2"/>
    <x v="33"/>
    <x v="1"/>
    <x v="1"/>
    <s v="No"/>
    <s v="Yes"/>
    <x v="2"/>
    <n v="0"/>
  </r>
  <r>
    <n v="66"/>
    <n v="66"/>
    <n v="12"/>
    <n v="4160"/>
    <n v="320"/>
    <n v="4"/>
    <x v="17"/>
    <x v="8"/>
    <x v="1"/>
    <s v="No"/>
    <s v="Yes"/>
    <x v="0"/>
    <n v="602"/>
  </r>
  <r>
    <n v="67"/>
    <n v="67"/>
    <n v="113829"/>
    <n v="9704"/>
    <n v="694"/>
    <n v="4"/>
    <x v="39"/>
    <x v="6"/>
    <x v="1"/>
    <s v="No"/>
    <s v="Yes"/>
    <x v="1"/>
    <n v="1388"/>
  </r>
  <r>
    <n v="68"/>
    <n v="68"/>
    <n v="11187"/>
    <n v="5099"/>
    <n v="380"/>
    <n v="4"/>
    <x v="16"/>
    <x v="2"/>
    <x v="1"/>
    <s v="No"/>
    <s v="No"/>
    <x v="2"/>
    <n v="889"/>
  </r>
  <r>
    <n v="69"/>
    <n v="69"/>
    <n v="27847"/>
    <n v="5619"/>
    <n v="418"/>
    <n v="2"/>
    <x v="40"/>
    <x v="1"/>
    <x v="1"/>
    <s v="No"/>
    <s v="Yes"/>
    <x v="0"/>
    <n v="822"/>
  </r>
  <r>
    <n v="70"/>
    <n v="70"/>
    <n v="49502"/>
    <n v="6819"/>
    <n v="505"/>
    <n v="4"/>
    <x v="24"/>
    <x v="8"/>
    <x v="0"/>
    <s v="No"/>
    <s v="Yes"/>
    <x v="0"/>
    <n v="1084"/>
  </r>
  <r>
    <n v="71"/>
    <n v="71"/>
    <n v="24889"/>
    <n v="3954"/>
    <n v="318"/>
    <n v="4"/>
    <x v="14"/>
    <x v="4"/>
    <x v="0"/>
    <s v="No"/>
    <s v="Yes"/>
    <x v="0"/>
    <n v="357"/>
  </r>
  <r>
    <n v="72"/>
    <n v="72"/>
    <n v="58781"/>
    <n v="7402"/>
    <n v="538"/>
    <n v="2"/>
    <x v="36"/>
    <x v="4"/>
    <x v="1"/>
    <s v="No"/>
    <s v="Yes"/>
    <x v="1"/>
    <n v="1103"/>
  </r>
  <r>
    <n v="73"/>
    <n v="73"/>
    <n v="22939"/>
    <n v="4923"/>
    <n v="355"/>
    <n v="1"/>
    <x v="25"/>
    <x v="14"/>
    <x v="1"/>
    <s v="No"/>
    <s v="Yes"/>
    <x v="1"/>
    <n v="663"/>
  </r>
  <r>
    <n v="74"/>
    <n v="74"/>
    <n v="23989"/>
    <n v="4523"/>
    <n v="338"/>
    <n v="4"/>
    <x v="41"/>
    <x v="1"/>
    <x v="0"/>
    <s v="No"/>
    <s v="No"/>
    <x v="0"/>
    <n v="601"/>
  </r>
  <r>
    <n v="75"/>
    <n v="75"/>
    <n v="16103"/>
    <n v="5390"/>
    <n v="418"/>
    <n v="4"/>
    <x v="42"/>
    <x v="3"/>
    <x v="1"/>
    <s v="No"/>
    <s v="Yes"/>
    <x v="0"/>
    <n v="945"/>
  </r>
  <r>
    <n v="76"/>
    <n v="76"/>
    <n v="33017"/>
    <n v="3180"/>
    <n v="224"/>
    <n v="2"/>
    <x v="17"/>
    <x v="2"/>
    <x v="0"/>
    <s v="No"/>
    <s v="Yes"/>
    <x v="2"/>
    <n v="29"/>
  </r>
  <r>
    <n v="77"/>
    <n v="77"/>
    <n v="30622"/>
    <n v="3293"/>
    <n v="251"/>
    <n v="1"/>
    <x v="4"/>
    <x v="2"/>
    <x v="0"/>
    <s v="Yes"/>
    <s v="No"/>
    <x v="0"/>
    <n v="532"/>
  </r>
  <r>
    <n v="78"/>
    <n v="78"/>
    <n v="20936"/>
    <n v="3254"/>
    <n v="253"/>
    <n v="1"/>
    <x v="10"/>
    <x v="1"/>
    <x v="1"/>
    <s v="No"/>
    <s v="No"/>
    <x v="1"/>
    <n v="145"/>
  </r>
  <r>
    <n v="79"/>
    <n v="79"/>
    <n v="110968"/>
    <n v="6662"/>
    <n v="468"/>
    <n v="3"/>
    <x v="42"/>
    <x v="0"/>
    <x v="1"/>
    <s v="No"/>
    <s v="Yes"/>
    <x v="0"/>
    <n v="391"/>
  </r>
  <r>
    <n v="80"/>
    <n v="80"/>
    <n v="15354"/>
    <n v="2101"/>
    <n v="171"/>
    <n v="2"/>
    <x v="34"/>
    <x v="8"/>
    <x v="0"/>
    <s v="No"/>
    <s v="No"/>
    <x v="1"/>
    <n v="0"/>
  </r>
  <r>
    <n v="81"/>
    <n v="81"/>
    <n v="27369"/>
    <n v="3449"/>
    <n v="288"/>
    <n v="3"/>
    <x v="43"/>
    <x v="5"/>
    <x v="1"/>
    <s v="No"/>
    <s v="Yes"/>
    <x v="0"/>
    <n v="162"/>
  </r>
  <r>
    <n v="82"/>
    <n v="82"/>
    <n v="5348"/>
    <n v="4263"/>
    <n v="317"/>
    <n v="1"/>
    <x v="44"/>
    <x v="1"/>
    <x v="0"/>
    <s v="No"/>
    <s v="No"/>
    <x v="0"/>
    <n v="99"/>
  </r>
  <r>
    <n v="83"/>
    <n v="83"/>
    <n v="23672"/>
    <n v="4433"/>
    <n v="344"/>
    <n v="3"/>
    <x v="19"/>
    <x v="0"/>
    <x v="0"/>
    <s v="No"/>
    <s v="No"/>
    <x v="0"/>
    <n v="503"/>
  </r>
  <r>
    <n v="84"/>
    <n v="84"/>
    <n v="19225"/>
    <n v="1433"/>
    <n v="122"/>
    <n v="3"/>
    <x v="39"/>
    <x v="8"/>
    <x v="1"/>
    <s v="No"/>
    <s v="No"/>
    <x v="0"/>
    <n v="0"/>
  </r>
  <r>
    <n v="85"/>
    <n v="85"/>
    <n v="4354"/>
    <n v="2906"/>
    <n v="232"/>
    <n v="4"/>
    <x v="16"/>
    <x v="0"/>
    <x v="0"/>
    <s v="No"/>
    <s v="No"/>
    <x v="0"/>
    <n v="0"/>
  </r>
  <r>
    <n v="86"/>
    <n v="86"/>
    <n v="152298"/>
    <n v="12066"/>
    <n v="828"/>
    <n v="4"/>
    <x v="9"/>
    <x v="4"/>
    <x v="1"/>
    <s v="No"/>
    <s v="Yes"/>
    <x v="1"/>
    <n v="1779"/>
  </r>
  <r>
    <n v="87"/>
    <n v="87"/>
    <n v="55367"/>
    <n v="6340"/>
    <n v="448"/>
    <n v="1"/>
    <x v="45"/>
    <x v="1"/>
    <x v="0"/>
    <s v="No"/>
    <s v="Yes"/>
    <x v="0"/>
    <n v="815"/>
  </r>
  <r>
    <n v="88"/>
    <n v="88"/>
    <n v="11741"/>
    <n v="2271"/>
    <n v="182"/>
    <n v="4"/>
    <x v="38"/>
    <x v="4"/>
    <x v="1"/>
    <s v="No"/>
    <s v="No"/>
    <x v="1"/>
    <n v="0"/>
  </r>
  <r>
    <n v="89"/>
    <n v="89"/>
    <n v="1556"/>
    <n v="4307"/>
    <n v="352"/>
    <n v="4"/>
    <x v="12"/>
    <x v="11"/>
    <x v="0"/>
    <s v="No"/>
    <s v="Yes"/>
    <x v="2"/>
    <n v="579"/>
  </r>
  <r>
    <n v="90"/>
    <n v="90"/>
    <n v="5953"/>
    <n v="7518"/>
    <n v="543"/>
    <n v="3"/>
    <x v="46"/>
    <x v="5"/>
    <x v="1"/>
    <s v="No"/>
    <s v="No"/>
    <x v="2"/>
    <n v="1176"/>
  </r>
  <r>
    <n v="91"/>
    <n v="91"/>
    <n v="20191"/>
    <n v="5767"/>
    <n v="431"/>
    <n v="4"/>
    <x v="47"/>
    <x v="2"/>
    <x v="0"/>
    <s v="No"/>
    <s v="Yes"/>
    <x v="2"/>
    <n v="1023"/>
  </r>
  <r>
    <n v="92"/>
    <n v="92"/>
    <n v="48498"/>
    <n v="6040"/>
    <n v="456"/>
    <n v="3"/>
    <x v="25"/>
    <x v="2"/>
    <x v="0"/>
    <s v="No"/>
    <s v="Yes"/>
    <x v="0"/>
    <n v="812"/>
  </r>
  <r>
    <n v="93"/>
    <n v="93"/>
    <n v="30733"/>
    <n v="2832"/>
    <n v="249"/>
    <n v="4"/>
    <x v="48"/>
    <x v="6"/>
    <x v="0"/>
    <s v="No"/>
    <s v="No"/>
    <x v="0"/>
    <n v="0"/>
  </r>
  <r>
    <n v="94"/>
    <n v="94"/>
    <n v="16479"/>
    <n v="5435"/>
    <n v="388"/>
    <n v="2"/>
    <x v="49"/>
    <x v="2"/>
    <x v="0"/>
    <s v="No"/>
    <s v="No"/>
    <x v="2"/>
    <n v="937"/>
  </r>
  <r>
    <n v="95"/>
    <n v="95"/>
    <n v="38009"/>
    <n v="3075"/>
    <n v="245"/>
    <n v="3"/>
    <x v="42"/>
    <x v="1"/>
    <x v="1"/>
    <s v="No"/>
    <s v="No"/>
    <x v="2"/>
    <n v="0"/>
  </r>
  <r>
    <n v="96"/>
    <n v="96"/>
    <n v="14084"/>
    <n v="855"/>
    <n v="120"/>
    <n v="5"/>
    <x v="50"/>
    <x v="10"/>
    <x v="1"/>
    <s v="No"/>
    <s v="Yes"/>
    <x v="2"/>
    <n v="0"/>
  </r>
  <r>
    <n v="97"/>
    <n v="97"/>
    <n v="14312"/>
    <n v="5382"/>
    <n v="367"/>
    <n v="1"/>
    <x v="38"/>
    <x v="10"/>
    <x v="0"/>
    <s v="Yes"/>
    <s v="No"/>
    <x v="1"/>
    <n v="1380"/>
  </r>
  <r>
    <n v="98"/>
    <n v="98"/>
    <n v="26067"/>
    <n v="3388"/>
    <n v="266"/>
    <n v="4"/>
    <x v="51"/>
    <x v="10"/>
    <x v="1"/>
    <s v="No"/>
    <s v="Yes"/>
    <x v="2"/>
    <n v="155"/>
  </r>
  <r>
    <n v="99"/>
    <n v="99"/>
    <n v="36295"/>
    <n v="2963"/>
    <n v="241"/>
    <n v="2"/>
    <x v="4"/>
    <x v="8"/>
    <x v="1"/>
    <s v="Yes"/>
    <s v="No"/>
    <x v="2"/>
    <n v="375"/>
  </r>
  <r>
    <n v="100"/>
    <n v="100"/>
    <n v="83851"/>
    <n v="8494"/>
    <n v="607"/>
    <n v="5"/>
    <x v="25"/>
    <x v="14"/>
    <x v="0"/>
    <s v="No"/>
    <s v="No"/>
    <x v="0"/>
    <n v="1311"/>
  </r>
  <r>
    <n v="101"/>
    <n v="101"/>
    <n v="21153"/>
    <n v="3736"/>
    <n v="256"/>
    <n v="1"/>
    <x v="9"/>
    <x v="0"/>
    <x v="0"/>
    <s v="No"/>
    <s v="No"/>
    <x v="0"/>
    <n v="298"/>
  </r>
  <r>
    <n v="102"/>
    <n v="102"/>
    <n v="17976"/>
    <n v="2433"/>
    <n v="190"/>
    <n v="3"/>
    <x v="35"/>
    <x v="2"/>
    <x v="1"/>
    <s v="Yes"/>
    <s v="No"/>
    <x v="0"/>
    <n v="431"/>
  </r>
  <r>
    <n v="103"/>
    <n v="103"/>
    <n v="68713"/>
    <n v="7582"/>
    <n v="531"/>
    <n v="2"/>
    <x v="52"/>
    <x v="2"/>
    <x v="0"/>
    <s v="Yes"/>
    <s v="No"/>
    <x v="0"/>
    <n v="1587"/>
  </r>
  <r>
    <n v="104"/>
    <n v="104"/>
    <n v="146183"/>
    <n v="9540"/>
    <n v="682"/>
    <n v="6"/>
    <x v="8"/>
    <x v="1"/>
    <x v="0"/>
    <s v="No"/>
    <s v="No"/>
    <x v="0"/>
    <n v="1050"/>
  </r>
  <r>
    <n v="105"/>
    <n v="105"/>
    <n v="15846"/>
    <n v="4768"/>
    <n v="365"/>
    <n v="4"/>
    <x v="53"/>
    <x v="4"/>
    <x v="1"/>
    <s v="No"/>
    <s v="No"/>
    <x v="0"/>
    <n v="745"/>
  </r>
  <r>
    <n v="106"/>
    <n v="106"/>
    <n v="12031"/>
    <n v="3182"/>
    <n v="259"/>
    <n v="2"/>
    <x v="54"/>
    <x v="14"/>
    <x v="1"/>
    <s v="No"/>
    <s v="Yes"/>
    <x v="0"/>
    <n v="210"/>
  </r>
  <r>
    <n v="107"/>
    <n v="107"/>
    <n v="16819"/>
    <n v="1337"/>
    <n v="115"/>
    <n v="2"/>
    <x v="51"/>
    <x v="1"/>
    <x v="0"/>
    <s v="No"/>
    <s v="Yes"/>
    <x v="1"/>
    <n v="0"/>
  </r>
  <r>
    <n v="108"/>
    <n v="108"/>
    <n v="3911"/>
    <n v="3189"/>
    <n v="263"/>
    <n v="3"/>
    <x v="20"/>
    <x v="4"/>
    <x v="0"/>
    <s v="No"/>
    <s v="No"/>
    <x v="1"/>
    <n v="0"/>
  </r>
  <r>
    <n v="109"/>
    <n v="109"/>
    <n v="107986"/>
    <n v="6033"/>
    <n v="449"/>
    <n v="4"/>
    <x v="11"/>
    <x v="8"/>
    <x v="0"/>
    <s v="No"/>
    <s v="Yes"/>
    <x v="0"/>
    <n v="227"/>
  </r>
  <r>
    <n v="110"/>
    <n v="110"/>
    <n v="13561"/>
    <n v="3261"/>
    <n v="279"/>
    <n v="5"/>
    <x v="6"/>
    <x v="7"/>
    <x v="0"/>
    <s v="No"/>
    <s v="Yes"/>
    <x v="1"/>
    <n v="297"/>
  </r>
  <r>
    <n v="111"/>
    <n v="111"/>
    <n v="34537"/>
    <n v="3271"/>
    <n v="250"/>
    <n v="3"/>
    <x v="12"/>
    <x v="10"/>
    <x v="1"/>
    <s v="No"/>
    <s v="Yes"/>
    <x v="1"/>
    <n v="47"/>
  </r>
  <r>
    <n v="112"/>
    <n v="112"/>
    <n v="28575"/>
    <n v="2959"/>
    <n v="231"/>
    <n v="2"/>
    <x v="32"/>
    <x v="0"/>
    <x v="1"/>
    <s v="No"/>
    <s v="No"/>
    <x v="2"/>
    <n v="0"/>
  </r>
  <r>
    <n v="113"/>
    <n v="113"/>
    <n v="46007"/>
    <n v="6637"/>
    <n v="491"/>
    <n v="4"/>
    <x v="47"/>
    <x v="8"/>
    <x v="0"/>
    <s v="No"/>
    <s v="Yes"/>
    <x v="0"/>
    <n v="1046"/>
  </r>
  <r>
    <n v="114"/>
    <n v="114"/>
    <n v="69251"/>
    <n v="6386"/>
    <n v="474"/>
    <n v="4"/>
    <x v="10"/>
    <x v="4"/>
    <x v="1"/>
    <s v="No"/>
    <s v="Yes"/>
    <x v="1"/>
    <n v="768"/>
  </r>
  <r>
    <n v="115"/>
    <n v="115"/>
    <n v="16482"/>
    <n v="3326"/>
    <n v="268"/>
    <n v="4"/>
    <x v="9"/>
    <x v="1"/>
    <x v="0"/>
    <s v="No"/>
    <s v="No"/>
    <x v="0"/>
    <n v="271"/>
  </r>
  <r>
    <n v="116"/>
    <n v="116"/>
    <n v="40442"/>
    <n v="4828"/>
    <n v="369"/>
    <n v="5"/>
    <x v="36"/>
    <x v="11"/>
    <x v="1"/>
    <s v="No"/>
    <s v="No"/>
    <x v="2"/>
    <n v="510"/>
  </r>
  <r>
    <n v="117"/>
    <n v="117"/>
    <n v="35177"/>
    <n v="2117"/>
    <n v="186"/>
    <n v="3"/>
    <x v="55"/>
    <x v="2"/>
    <x v="1"/>
    <s v="No"/>
    <s v="No"/>
    <x v="0"/>
    <n v="0"/>
  </r>
  <r>
    <n v="118"/>
    <n v="118"/>
    <n v="91362"/>
    <n v="9113"/>
    <n v="626"/>
    <n v="1"/>
    <x v="25"/>
    <x v="10"/>
    <x v="0"/>
    <s v="No"/>
    <s v="Yes"/>
    <x v="1"/>
    <n v="1341"/>
  </r>
  <r>
    <n v="119"/>
    <n v="119"/>
    <n v="27039"/>
    <n v="2161"/>
    <n v="173"/>
    <n v="3"/>
    <x v="43"/>
    <x v="10"/>
    <x v="1"/>
    <s v="No"/>
    <s v="No"/>
    <x v="0"/>
    <n v="0"/>
  </r>
  <r>
    <n v="120"/>
    <n v="120"/>
    <n v="23012"/>
    <n v="1410"/>
    <n v="137"/>
    <n v="3"/>
    <x v="36"/>
    <x v="2"/>
    <x v="0"/>
    <s v="No"/>
    <s v="No"/>
    <x v="0"/>
    <n v="0"/>
  </r>
  <r>
    <n v="121"/>
    <n v="121"/>
    <n v="27241"/>
    <n v="1402"/>
    <n v="128"/>
    <n v="2"/>
    <x v="56"/>
    <x v="1"/>
    <x v="1"/>
    <s v="No"/>
    <s v="Yes"/>
    <x v="1"/>
    <n v="0"/>
  </r>
  <r>
    <n v="122"/>
    <n v="122"/>
    <n v="14808"/>
    <n v="8157"/>
    <n v="599"/>
    <n v="2"/>
    <x v="44"/>
    <x v="6"/>
    <x v="0"/>
    <s v="No"/>
    <s v="Yes"/>
    <x v="0"/>
    <n v="454"/>
  </r>
  <r>
    <n v="123"/>
    <n v="123"/>
    <n v="62602"/>
    <n v="7056"/>
    <n v="481"/>
    <n v="1"/>
    <x v="57"/>
    <x v="0"/>
    <x v="1"/>
    <s v="No"/>
    <s v="No"/>
    <x v="0"/>
    <n v="904"/>
  </r>
  <r>
    <n v="124"/>
    <n v="124"/>
    <n v="11808"/>
    <n v="1300"/>
    <n v="117"/>
    <n v="3"/>
    <x v="5"/>
    <x v="8"/>
    <x v="1"/>
    <s v="No"/>
    <s v="No"/>
    <x v="2"/>
    <n v="0"/>
  </r>
  <r>
    <n v="125"/>
    <n v="125"/>
    <n v="29564"/>
    <n v="2529"/>
    <n v="192"/>
    <n v="1"/>
    <x v="10"/>
    <x v="4"/>
    <x v="1"/>
    <s v="No"/>
    <s v="Yes"/>
    <x v="0"/>
    <n v="0"/>
  </r>
  <r>
    <n v="126"/>
    <n v="126"/>
    <n v="27578"/>
    <n v="2531"/>
    <n v="195"/>
    <n v="1"/>
    <x v="0"/>
    <x v="1"/>
    <x v="1"/>
    <s v="No"/>
    <s v="Yes"/>
    <x v="0"/>
    <n v="0"/>
  </r>
  <r>
    <n v="127"/>
    <n v="127"/>
    <n v="26427"/>
    <n v="5533"/>
    <n v="433"/>
    <n v="5"/>
    <x v="29"/>
    <x v="1"/>
    <x v="1"/>
    <s v="Yes"/>
    <s v="Yes"/>
    <x v="1"/>
    <n v="1404"/>
  </r>
  <r>
    <n v="128"/>
    <n v="128"/>
    <n v="57202"/>
    <n v="3411"/>
    <n v="259"/>
    <n v="3"/>
    <x v="20"/>
    <x v="0"/>
    <x v="1"/>
    <s v="No"/>
    <s v="No"/>
    <x v="0"/>
    <n v="0"/>
  </r>
  <r>
    <n v="129"/>
    <n v="129"/>
    <n v="123299"/>
    <n v="8376"/>
    <n v="610"/>
    <n v="2"/>
    <x v="58"/>
    <x v="10"/>
    <x v="0"/>
    <s v="Yes"/>
    <s v="No"/>
    <x v="2"/>
    <n v="1259"/>
  </r>
  <r>
    <n v="130"/>
    <n v="130"/>
    <n v="18145"/>
    <n v="3461"/>
    <n v="279"/>
    <n v="3"/>
    <x v="52"/>
    <x v="1"/>
    <x v="0"/>
    <s v="No"/>
    <s v="Yes"/>
    <x v="2"/>
    <n v="255"/>
  </r>
  <r>
    <n v="131"/>
    <n v="131"/>
    <n v="23793"/>
    <n v="3821"/>
    <n v="281"/>
    <n v="4"/>
    <x v="52"/>
    <x v="4"/>
    <x v="1"/>
    <s v="Yes"/>
    <s v="Yes"/>
    <x v="2"/>
    <n v="868"/>
  </r>
  <r>
    <n v="132"/>
    <n v="132"/>
    <n v="10726"/>
    <n v="1568"/>
    <n v="162"/>
    <n v="5"/>
    <x v="50"/>
    <x v="7"/>
    <x v="0"/>
    <s v="No"/>
    <s v="Yes"/>
    <x v="1"/>
    <n v="0"/>
  </r>
  <r>
    <n v="133"/>
    <n v="133"/>
    <n v="23283"/>
    <n v="5443"/>
    <n v="407"/>
    <n v="4"/>
    <x v="13"/>
    <x v="6"/>
    <x v="0"/>
    <s v="No"/>
    <s v="Yes"/>
    <x v="2"/>
    <n v="912"/>
  </r>
  <r>
    <n v="134"/>
    <n v="134"/>
    <n v="21455"/>
    <n v="5829"/>
    <n v="427"/>
    <n v="4"/>
    <x v="59"/>
    <x v="4"/>
    <x v="1"/>
    <s v="No"/>
    <s v="Yes"/>
    <x v="2"/>
    <n v="1018"/>
  </r>
  <r>
    <n v="135"/>
    <n v="135"/>
    <n v="34664"/>
    <n v="5835"/>
    <n v="452"/>
    <n v="3"/>
    <x v="5"/>
    <x v="1"/>
    <x v="1"/>
    <s v="No"/>
    <s v="Yes"/>
    <x v="2"/>
    <n v="835"/>
  </r>
  <r>
    <n v="136"/>
    <n v="136"/>
    <n v="44473"/>
    <n v="3500"/>
    <n v="257"/>
    <n v="3"/>
    <x v="36"/>
    <x v="2"/>
    <x v="1"/>
    <s v="No"/>
    <s v="No"/>
    <x v="2"/>
    <n v="8"/>
  </r>
  <r>
    <n v="137"/>
    <n v="137"/>
    <n v="54663"/>
    <n v="4116"/>
    <n v="314"/>
    <n v="2"/>
    <x v="35"/>
    <x v="11"/>
    <x v="1"/>
    <s v="No"/>
    <s v="No"/>
    <x v="2"/>
    <n v="75"/>
  </r>
  <r>
    <n v="138"/>
    <n v="138"/>
    <n v="36355"/>
    <n v="3613"/>
    <n v="278"/>
    <n v="4"/>
    <x v="37"/>
    <x v="5"/>
    <x v="0"/>
    <s v="No"/>
    <s v="Yes"/>
    <x v="1"/>
    <n v="187"/>
  </r>
  <r>
    <n v="139"/>
    <n v="139"/>
    <n v="21374"/>
    <n v="2073"/>
    <n v="175"/>
    <n v="2"/>
    <x v="51"/>
    <x v="0"/>
    <x v="1"/>
    <s v="No"/>
    <s v="Yes"/>
    <x v="0"/>
    <n v="0"/>
  </r>
  <r>
    <n v="140"/>
    <n v="140"/>
    <n v="107841"/>
    <n v="10384"/>
    <n v="728"/>
    <n v="3"/>
    <x v="7"/>
    <x v="9"/>
    <x v="0"/>
    <s v="No"/>
    <s v="No"/>
    <x v="2"/>
    <n v="1597"/>
  </r>
  <r>
    <n v="141"/>
    <n v="141"/>
    <n v="39831"/>
    <n v="6045"/>
    <n v="459"/>
    <n v="3"/>
    <x v="31"/>
    <x v="4"/>
    <x v="1"/>
    <s v="Yes"/>
    <s v="Yes"/>
    <x v="2"/>
    <n v="1425"/>
  </r>
  <r>
    <n v="142"/>
    <n v="142"/>
    <n v="91876"/>
    <n v="6754"/>
    <n v="483"/>
    <n v="2"/>
    <x v="45"/>
    <x v="3"/>
    <x v="0"/>
    <s v="No"/>
    <s v="Yes"/>
    <x v="0"/>
    <n v="605"/>
  </r>
  <r>
    <n v="143"/>
    <n v="143"/>
    <n v="103893"/>
    <n v="7416"/>
    <n v="549"/>
    <n v="3"/>
    <x v="57"/>
    <x v="10"/>
    <x v="0"/>
    <s v="No"/>
    <s v="No"/>
    <x v="1"/>
    <n v="669"/>
  </r>
  <r>
    <n v="144"/>
    <n v="144"/>
    <n v="19636"/>
    <n v="4896"/>
    <n v="387"/>
    <n v="3"/>
    <x v="11"/>
    <x v="3"/>
    <x v="1"/>
    <s v="No"/>
    <s v="No"/>
    <x v="2"/>
    <n v="710"/>
  </r>
  <r>
    <n v="145"/>
    <n v="145"/>
    <n v="17392"/>
    <n v="2748"/>
    <n v="228"/>
    <n v="3"/>
    <x v="31"/>
    <x v="8"/>
    <x v="0"/>
    <s v="No"/>
    <s v="Yes"/>
    <x v="0"/>
    <n v="68"/>
  </r>
  <r>
    <n v="146"/>
    <n v="146"/>
    <n v="19529"/>
    <n v="4673"/>
    <n v="341"/>
    <n v="2"/>
    <x v="48"/>
    <x v="8"/>
    <x v="0"/>
    <s v="No"/>
    <s v="No"/>
    <x v="1"/>
    <n v="642"/>
  </r>
  <r>
    <n v="147"/>
    <n v="147"/>
    <n v="17055"/>
    <n v="5110"/>
    <n v="371"/>
    <n v="3"/>
    <x v="24"/>
    <x v="1"/>
    <x v="1"/>
    <s v="No"/>
    <s v="Yes"/>
    <x v="0"/>
    <n v="805"/>
  </r>
  <r>
    <n v="148"/>
    <n v="148"/>
    <n v="23857"/>
    <n v="1501"/>
    <n v="150"/>
    <n v="3"/>
    <x v="52"/>
    <x v="2"/>
    <x v="0"/>
    <s v="No"/>
    <s v="Yes"/>
    <x v="0"/>
    <n v="0"/>
  </r>
  <r>
    <n v="149"/>
    <n v="149"/>
    <n v="15184"/>
    <n v="2420"/>
    <n v="192"/>
    <n v="2"/>
    <x v="16"/>
    <x v="0"/>
    <x v="1"/>
    <s v="No"/>
    <s v="Yes"/>
    <x v="0"/>
    <n v="0"/>
  </r>
  <r>
    <n v="150"/>
    <n v="150"/>
    <n v="13444"/>
    <n v="886"/>
    <n v="121"/>
    <n v="5"/>
    <x v="18"/>
    <x v="3"/>
    <x v="0"/>
    <s v="No"/>
    <s v="Yes"/>
    <x v="1"/>
    <n v="0"/>
  </r>
  <r>
    <n v="151"/>
    <n v="151"/>
    <n v="63931"/>
    <n v="5728"/>
    <n v="435"/>
    <n v="3"/>
    <x v="17"/>
    <x v="8"/>
    <x v="1"/>
    <s v="No"/>
    <s v="Yes"/>
    <x v="2"/>
    <n v="581"/>
  </r>
  <r>
    <n v="152"/>
    <n v="152"/>
    <n v="35864"/>
    <n v="4831"/>
    <n v="353"/>
    <n v="3"/>
    <x v="8"/>
    <x v="6"/>
    <x v="1"/>
    <s v="No"/>
    <s v="Yes"/>
    <x v="0"/>
    <n v="534"/>
  </r>
  <r>
    <n v="153"/>
    <n v="153"/>
    <n v="41419"/>
    <n v="2120"/>
    <n v="184"/>
    <n v="4"/>
    <x v="28"/>
    <x v="0"/>
    <x v="1"/>
    <s v="Yes"/>
    <s v="No"/>
    <x v="0"/>
    <n v="156"/>
  </r>
  <r>
    <n v="154"/>
    <n v="154"/>
    <n v="92112"/>
    <n v="4612"/>
    <n v="344"/>
    <n v="3"/>
    <x v="31"/>
    <x v="10"/>
    <x v="0"/>
    <s v="No"/>
    <s v="No"/>
    <x v="0"/>
    <n v="0"/>
  </r>
  <r>
    <n v="155"/>
    <n v="155"/>
    <n v="55056"/>
    <n v="3155"/>
    <n v="235"/>
    <n v="2"/>
    <x v="41"/>
    <x v="2"/>
    <x v="0"/>
    <s v="No"/>
    <s v="Yes"/>
    <x v="2"/>
    <n v="0"/>
  </r>
  <r>
    <n v="156"/>
    <n v="156"/>
    <n v="19537"/>
    <n v="1362"/>
    <n v="143"/>
    <n v="4"/>
    <x v="0"/>
    <x v="5"/>
    <x v="1"/>
    <s v="No"/>
    <s v="Yes"/>
    <x v="1"/>
    <n v="0"/>
  </r>
  <r>
    <n v="157"/>
    <n v="157"/>
    <n v="31811"/>
    <n v="4284"/>
    <n v="338"/>
    <n v="5"/>
    <x v="14"/>
    <x v="6"/>
    <x v="1"/>
    <s v="No"/>
    <s v="Yes"/>
    <x v="0"/>
    <n v="429"/>
  </r>
  <r>
    <n v="158"/>
    <n v="158"/>
    <n v="56256"/>
    <n v="5521"/>
    <n v="406"/>
    <n v="2"/>
    <x v="20"/>
    <x v="2"/>
    <x v="1"/>
    <s v="Yes"/>
    <s v="Yes"/>
    <x v="0"/>
    <n v="1020"/>
  </r>
  <r>
    <n v="159"/>
    <n v="159"/>
    <n v="42357"/>
    <n v="5550"/>
    <n v="406"/>
    <n v="2"/>
    <x v="44"/>
    <x v="4"/>
    <x v="1"/>
    <s v="No"/>
    <s v="Yes"/>
    <x v="1"/>
    <n v="653"/>
  </r>
  <r>
    <n v="160"/>
    <n v="160"/>
    <n v="53319"/>
    <n v="3000"/>
    <n v="235"/>
    <n v="3"/>
    <x v="53"/>
    <x v="6"/>
    <x v="0"/>
    <s v="No"/>
    <s v="No"/>
    <x v="1"/>
    <n v="0"/>
  </r>
  <r>
    <n v="161"/>
    <n v="161"/>
    <n v="12238"/>
    <n v="4865"/>
    <n v="381"/>
    <n v="5"/>
    <x v="56"/>
    <x v="0"/>
    <x v="1"/>
    <s v="No"/>
    <s v="No"/>
    <x v="0"/>
    <n v="836"/>
  </r>
  <r>
    <n v="162"/>
    <n v="162"/>
    <n v="31353"/>
    <n v="1705"/>
    <n v="160"/>
    <n v="3"/>
    <x v="36"/>
    <x v="8"/>
    <x v="0"/>
    <s v="No"/>
    <s v="Yes"/>
    <x v="0"/>
    <n v="0"/>
  </r>
  <r>
    <n v="163"/>
    <n v="163"/>
    <n v="63809"/>
    <n v="7530"/>
    <n v="515"/>
    <n v="1"/>
    <x v="52"/>
    <x v="4"/>
    <x v="0"/>
    <s v="No"/>
    <s v="Yes"/>
    <x v="0"/>
    <n v="1086"/>
  </r>
  <r>
    <n v="164"/>
    <n v="164"/>
    <n v="13676"/>
    <n v="2330"/>
    <n v="203"/>
    <n v="5"/>
    <x v="59"/>
    <x v="2"/>
    <x v="1"/>
    <s v="No"/>
    <s v="No"/>
    <x v="2"/>
    <n v="0"/>
  </r>
  <r>
    <n v="165"/>
    <n v="165"/>
    <n v="76782"/>
    <n v="5977"/>
    <n v="429"/>
    <n v="4"/>
    <x v="18"/>
    <x v="4"/>
    <x v="0"/>
    <s v="No"/>
    <s v="Yes"/>
    <x v="1"/>
    <n v="548"/>
  </r>
  <r>
    <n v="166"/>
    <n v="166"/>
    <n v="25383"/>
    <n v="4527"/>
    <n v="367"/>
    <n v="4"/>
    <x v="50"/>
    <x v="0"/>
    <x v="0"/>
    <s v="No"/>
    <s v="Yes"/>
    <x v="0"/>
    <n v="570"/>
  </r>
  <r>
    <n v="167"/>
    <n v="167"/>
    <n v="35691"/>
    <n v="2880"/>
    <n v="214"/>
    <n v="2"/>
    <x v="37"/>
    <x v="1"/>
    <x v="0"/>
    <s v="No"/>
    <s v="No"/>
    <x v="2"/>
    <n v="0"/>
  </r>
  <r>
    <n v="168"/>
    <n v="168"/>
    <n v="29403"/>
    <n v="2327"/>
    <n v="178"/>
    <n v="1"/>
    <x v="6"/>
    <x v="8"/>
    <x v="1"/>
    <s v="No"/>
    <s v="Yes"/>
    <x v="0"/>
    <n v="0"/>
  </r>
  <r>
    <n v="169"/>
    <n v="169"/>
    <n v="2747"/>
    <n v="2820"/>
    <n v="219"/>
    <n v="1"/>
    <x v="31"/>
    <x v="0"/>
    <x v="1"/>
    <s v="No"/>
    <s v="Yes"/>
    <x v="1"/>
    <n v="0"/>
  </r>
  <r>
    <n v="170"/>
    <n v="170"/>
    <n v="2733"/>
    <n v="6179"/>
    <n v="459"/>
    <n v="4"/>
    <x v="3"/>
    <x v="4"/>
    <x v="1"/>
    <s v="No"/>
    <s v="Yes"/>
    <x v="0"/>
    <n v="1099"/>
  </r>
  <r>
    <n v="171"/>
    <n v="171"/>
    <n v="34772"/>
    <n v="2021"/>
    <n v="167"/>
    <n v="3"/>
    <x v="12"/>
    <x v="5"/>
    <x v="0"/>
    <s v="No"/>
    <s v="No"/>
    <x v="1"/>
    <n v="0"/>
  </r>
  <r>
    <n v="172"/>
    <n v="172"/>
    <n v="36934"/>
    <n v="4270"/>
    <n v="299"/>
    <n v="1"/>
    <x v="19"/>
    <x v="5"/>
    <x v="1"/>
    <s v="No"/>
    <s v="Yes"/>
    <x v="0"/>
    <n v="283"/>
  </r>
  <r>
    <n v="173"/>
    <n v="173"/>
    <n v="76348"/>
    <n v="4697"/>
    <n v="344"/>
    <n v="4"/>
    <x v="32"/>
    <x v="14"/>
    <x v="0"/>
    <s v="No"/>
    <s v="No"/>
    <x v="1"/>
    <n v="108"/>
  </r>
  <r>
    <n v="174"/>
    <n v="174"/>
    <n v="14887"/>
    <n v="4745"/>
    <n v="339"/>
    <n v="3"/>
    <x v="54"/>
    <x v="4"/>
    <x v="0"/>
    <s v="No"/>
    <s v="Yes"/>
    <x v="2"/>
    <n v="724"/>
  </r>
  <r>
    <n v="175"/>
    <n v="175"/>
    <n v="121834"/>
    <n v="10673"/>
    <n v="750"/>
    <n v="3"/>
    <x v="27"/>
    <x v="2"/>
    <x v="0"/>
    <s v="No"/>
    <s v="No"/>
    <x v="2"/>
    <n v="1573"/>
  </r>
  <r>
    <n v="176"/>
    <n v="176"/>
    <n v="30132"/>
    <n v="2168"/>
    <n v="206"/>
    <n v="3"/>
    <x v="46"/>
    <x v="10"/>
    <x v="0"/>
    <s v="No"/>
    <s v="No"/>
    <x v="0"/>
    <n v="0"/>
  </r>
  <r>
    <n v="177"/>
    <n v="177"/>
    <n v="2405"/>
    <n v="2607"/>
    <n v="221"/>
    <n v="4"/>
    <x v="31"/>
    <x v="14"/>
    <x v="0"/>
    <s v="No"/>
    <s v="Yes"/>
    <x v="0"/>
    <n v="0"/>
  </r>
  <r>
    <n v="178"/>
    <n v="178"/>
    <n v="22379"/>
    <n v="3965"/>
    <n v="292"/>
    <n v="2"/>
    <x v="0"/>
    <x v="8"/>
    <x v="1"/>
    <s v="No"/>
    <s v="Yes"/>
    <x v="1"/>
    <n v="384"/>
  </r>
  <r>
    <n v="179"/>
    <n v="179"/>
    <n v="28316"/>
    <n v="4391"/>
    <n v="316"/>
    <n v="2"/>
    <x v="60"/>
    <x v="3"/>
    <x v="1"/>
    <s v="No"/>
    <s v="No"/>
    <x v="0"/>
    <n v="453"/>
  </r>
  <r>
    <n v="180"/>
    <n v="180"/>
    <n v="58026"/>
    <n v="7499"/>
    <n v="560"/>
    <n v="5"/>
    <x v="56"/>
    <x v="0"/>
    <x v="1"/>
    <s v="No"/>
    <s v="No"/>
    <x v="0"/>
    <n v="1237"/>
  </r>
  <r>
    <n v="181"/>
    <n v="181"/>
    <n v="10635"/>
    <n v="3584"/>
    <n v="294"/>
    <n v="5"/>
    <x v="16"/>
    <x v="2"/>
    <x v="0"/>
    <s v="No"/>
    <s v="Yes"/>
    <x v="1"/>
    <n v="423"/>
  </r>
  <r>
    <n v="182"/>
    <n v="182"/>
    <n v="46102"/>
    <n v="5180"/>
    <n v="382"/>
    <n v="3"/>
    <x v="36"/>
    <x v="4"/>
    <x v="0"/>
    <s v="No"/>
    <s v="Yes"/>
    <x v="2"/>
    <n v="516"/>
  </r>
  <r>
    <n v="183"/>
    <n v="183"/>
    <n v="58929"/>
    <n v="6420"/>
    <n v="459"/>
    <n v="2"/>
    <x v="8"/>
    <x v="5"/>
    <x v="1"/>
    <s v="No"/>
    <s v="Yes"/>
    <x v="2"/>
    <n v="789"/>
  </r>
  <r>
    <n v="184"/>
    <n v="184"/>
    <n v="80861"/>
    <n v="4090"/>
    <n v="335"/>
    <n v="3"/>
    <x v="60"/>
    <x v="1"/>
    <x v="1"/>
    <s v="No"/>
    <s v="Yes"/>
    <x v="1"/>
    <n v="0"/>
  </r>
  <r>
    <n v="185"/>
    <n v="185"/>
    <n v="158889"/>
    <n v="11589"/>
    <n v="805"/>
    <n v="1"/>
    <x v="55"/>
    <x v="10"/>
    <x v="1"/>
    <s v="No"/>
    <s v="Yes"/>
    <x v="0"/>
    <n v="1448"/>
  </r>
  <r>
    <n v="186"/>
    <n v="186"/>
    <n v="3042"/>
    <n v="4442"/>
    <n v="316"/>
    <n v="1"/>
    <x v="10"/>
    <x v="8"/>
    <x v="1"/>
    <s v="No"/>
    <s v="No"/>
    <x v="2"/>
    <n v="450"/>
  </r>
  <r>
    <n v="187"/>
    <n v="187"/>
    <n v="36472"/>
    <n v="3806"/>
    <n v="309"/>
    <n v="2"/>
    <x v="46"/>
    <x v="6"/>
    <x v="0"/>
    <s v="No"/>
    <s v="No"/>
    <x v="2"/>
    <n v="188"/>
  </r>
  <r>
    <n v="188"/>
    <n v="188"/>
    <n v="23365"/>
    <n v="2179"/>
    <n v="167"/>
    <n v="2"/>
    <x v="14"/>
    <x v="1"/>
    <x v="0"/>
    <s v="No"/>
    <s v="No"/>
    <x v="1"/>
    <n v="0"/>
  </r>
  <r>
    <n v="189"/>
    <n v="189"/>
    <n v="83869"/>
    <n v="7667"/>
    <n v="554"/>
    <n v="2"/>
    <x v="44"/>
    <x v="0"/>
    <x v="0"/>
    <s v="No"/>
    <s v="No"/>
    <x v="2"/>
    <n v="930"/>
  </r>
  <r>
    <n v="190"/>
    <n v="190"/>
    <n v="58351"/>
    <n v="4411"/>
    <n v="326"/>
    <n v="2"/>
    <x v="61"/>
    <x v="2"/>
    <x v="1"/>
    <s v="No"/>
    <s v="Yes"/>
    <x v="0"/>
    <n v="126"/>
  </r>
  <r>
    <n v="191"/>
    <n v="191"/>
    <n v="55187"/>
    <n v="5352"/>
    <n v="385"/>
    <n v="4"/>
    <x v="29"/>
    <x v="10"/>
    <x v="1"/>
    <s v="No"/>
    <s v="Yes"/>
    <x v="0"/>
    <n v="538"/>
  </r>
  <r>
    <n v="192"/>
    <n v="192"/>
    <n v="12429"/>
    <n v="9560"/>
    <n v="701"/>
    <n v="3"/>
    <x v="46"/>
    <x v="10"/>
    <x v="1"/>
    <s v="Yes"/>
    <s v="No"/>
    <x v="1"/>
    <n v="1687"/>
  </r>
  <r>
    <n v="193"/>
    <n v="193"/>
    <n v="28508"/>
    <n v="3933"/>
    <n v="287"/>
    <n v="4"/>
    <x v="52"/>
    <x v="8"/>
    <x v="0"/>
    <s v="No"/>
    <s v="Yes"/>
    <x v="1"/>
    <n v="336"/>
  </r>
  <r>
    <n v="194"/>
    <n v="194"/>
    <n v="130209"/>
    <n v="10088"/>
    <n v="730"/>
    <n v="7"/>
    <x v="62"/>
    <x v="7"/>
    <x v="1"/>
    <s v="No"/>
    <s v="Yes"/>
    <x v="0"/>
    <n v="1426"/>
  </r>
  <r>
    <n v="195"/>
    <n v="195"/>
    <n v="30406"/>
    <n v="2120"/>
    <n v="181"/>
    <n v="2"/>
    <x v="33"/>
    <x v="8"/>
    <x v="0"/>
    <s v="No"/>
    <s v="Yes"/>
    <x v="2"/>
    <n v="0"/>
  </r>
  <r>
    <n v="196"/>
    <n v="196"/>
    <n v="23883"/>
    <n v="5384"/>
    <n v="398"/>
    <n v="2"/>
    <x v="15"/>
    <x v="2"/>
    <x v="1"/>
    <s v="No"/>
    <s v="Yes"/>
    <x v="2"/>
    <n v="802"/>
  </r>
  <r>
    <n v="197"/>
    <n v="197"/>
    <n v="93039"/>
    <n v="7398"/>
    <n v="517"/>
    <n v="1"/>
    <x v="56"/>
    <x v="4"/>
    <x v="0"/>
    <s v="No"/>
    <s v="Yes"/>
    <x v="2"/>
    <n v="749"/>
  </r>
  <r>
    <n v="198"/>
    <n v="198"/>
    <n v="50699"/>
    <n v="3977"/>
    <n v="304"/>
    <n v="2"/>
    <x v="57"/>
    <x v="10"/>
    <x v="1"/>
    <s v="No"/>
    <s v="No"/>
    <x v="2"/>
    <n v="69"/>
  </r>
  <r>
    <n v="199"/>
    <n v="199"/>
    <n v="27349"/>
    <n v="2000"/>
    <n v="169"/>
    <n v="4"/>
    <x v="48"/>
    <x v="2"/>
    <x v="1"/>
    <s v="No"/>
    <s v="Yes"/>
    <x v="2"/>
    <n v="0"/>
  </r>
  <r>
    <n v="200"/>
    <n v="200"/>
    <n v="10403"/>
    <n v="4159"/>
    <n v="310"/>
    <n v="3"/>
    <x v="26"/>
    <x v="9"/>
    <x v="0"/>
    <s v="No"/>
    <s v="Yes"/>
    <x v="1"/>
    <n v="571"/>
  </r>
  <r>
    <n v="201"/>
    <n v="201"/>
    <n v="23949"/>
    <n v="5343"/>
    <n v="383"/>
    <n v="2"/>
    <x v="43"/>
    <x v="14"/>
    <x v="0"/>
    <s v="No"/>
    <s v="Yes"/>
    <x v="2"/>
    <n v="829"/>
  </r>
  <r>
    <n v="202"/>
    <n v="202"/>
    <n v="73914"/>
    <n v="7333"/>
    <n v="529"/>
    <n v="6"/>
    <x v="56"/>
    <x v="1"/>
    <x v="1"/>
    <s v="No"/>
    <s v="Yes"/>
    <x v="0"/>
    <n v="1048"/>
  </r>
  <r>
    <n v="203"/>
    <n v="203"/>
    <n v="21038"/>
    <n v="1448"/>
    <n v="145"/>
    <n v="2"/>
    <x v="54"/>
    <x v="6"/>
    <x v="1"/>
    <s v="No"/>
    <s v="Yes"/>
    <x v="0"/>
    <n v="0"/>
  </r>
  <r>
    <n v="204"/>
    <n v="204"/>
    <n v="68206"/>
    <n v="6784"/>
    <n v="499"/>
    <n v="5"/>
    <x v="43"/>
    <x v="2"/>
    <x v="1"/>
    <s v="Yes"/>
    <s v="No"/>
    <x v="2"/>
    <n v="1411"/>
  </r>
  <r>
    <n v="205"/>
    <n v="205"/>
    <n v="57337"/>
    <n v="5310"/>
    <n v="392"/>
    <n v="2"/>
    <x v="42"/>
    <x v="9"/>
    <x v="1"/>
    <s v="No"/>
    <s v="No"/>
    <x v="0"/>
    <n v="456"/>
  </r>
  <r>
    <n v="206"/>
    <n v="206"/>
    <n v="10793"/>
    <n v="3878"/>
    <n v="321"/>
    <n v="8"/>
    <x v="60"/>
    <x v="6"/>
    <x v="0"/>
    <s v="No"/>
    <s v="No"/>
    <x v="0"/>
    <n v="638"/>
  </r>
  <r>
    <n v="207"/>
    <n v="207"/>
    <n v="2345"/>
    <n v="2450"/>
    <n v="180"/>
    <n v="2"/>
    <x v="40"/>
    <x v="6"/>
    <x v="0"/>
    <s v="No"/>
    <s v="No"/>
    <x v="0"/>
    <n v="0"/>
  </r>
  <r>
    <n v="208"/>
    <n v="208"/>
    <n v="10842"/>
    <n v="4391"/>
    <n v="358"/>
    <n v="5"/>
    <x v="6"/>
    <x v="3"/>
    <x v="1"/>
    <s v="Yes"/>
    <s v="Yes"/>
    <x v="0"/>
    <n v="1216"/>
  </r>
  <r>
    <n v="209"/>
    <n v="209"/>
    <n v="51345"/>
    <n v="4327"/>
    <n v="320"/>
    <n v="3"/>
    <x v="50"/>
    <x v="1"/>
    <x v="0"/>
    <s v="No"/>
    <s v="No"/>
    <x v="2"/>
    <n v="230"/>
  </r>
  <r>
    <n v="210"/>
    <n v="210"/>
    <n v="151947"/>
    <n v="9156"/>
    <n v="642"/>
    <n v="2"/>
    <x v="63"/>
    <x v="0"/>
    <x v="1"/>
    <s v="No"/>
    <s v="Yes"/>
    <x v="2"/>
    <n v="732"/>
  </r>
  <r>
    <n v="211"/>
    <n v="211"/>
    <n v="24543"/>
    <n v="3206"/>
    <n v="243"/>
    <n v="2"/>
    <x v="55"/>
    <x v="4"/>
    <x v="1"/>
    <s v="No"/>
    <s v="Yes"/>
    <x v="0"/>
    <n v="95"/>
  </r>
  <r>
    <n v="212"/>
    <n v="212"/>
    <n v="29567"/>
    <n v="5309"/>
    <n v="397"/>
    <n v="3"/>
    <x v="23"/>
    <x v="1"/>
    <x v="0"/>
    <s v="No"/>
    <s v="No"/>
    <x v="0"/>
    <n v="799"/>
  </r>
  <r>
    <n v="213"/>
    <n v="213"/>
    <n v="39145"/>
    <n v="4351"/>
    <n v="323"/>
    <n v="2"/>
    <x v="8"/>
    <x v="6"/>
    <x v="0"/>
    <s v="No"/>
    <s v="Yes"/>
    <x v="0"/>
    <n v="308"/>
  </r>
  <r>
    <n v="214"/>
    <n v="214"/>
    <n v="39422"/>
    <n v="5245"/>
    <n v="383"/>
    <n v="2"/>
    <x v="18"/>
    <x v="7"/>
    <x v="0"/>
    <s v="No"/>
    <s v="No"/>
    <x v="2"/>
    <n v="637"/>
  </r>
  <r>
    <n v="215"/>
    <n v="215"/>
    <n v="34909"/>
    <n v="5289"/>
    <n v="410"/>
    <n v="2"/>
    <x v="55"/>
    <x v="2"/>
    <x v="1"/>
    <s v="No"/>
    <s v="Yes"/>
    <x v="0"/>
    <n v="681"/>
  </r>
  <r>
    <n v="216"/>
    <n v="216"/>
    <n v="41025"/>
    <n v="4229"/>
    <n v="337"/>
    <n v="3"/>
    <x v="33"/>
    <x v="7"/>
    <x v="1"/>
    <s v="No"/>
    <s v="Yes"/>
    <x v="0"/>
    <n v="246"/>
  </r>
  <r>
    <n v="217"/>
    <n v="217"/>
    <n v="15476"/>
    <n v="2762"/>
    <n v="215"/>
    <n v="3"/>
    <x v="32"/>
    <x v="14"/>
    <x v="0"/>
    <s v="No"/>
    <s v="No"/>
    <x v="1"/>
    <n v="52"/>
  </r>
  <r>
    <n v="218"/>
    <n v="218"/>
    <n v="12456"/>
    <n v="5395"/>
    <n v="392"/>
    <n v="3"/>
    <x v="34"/>
    <x v="8"/>
    <x v="0"/>
    <s v="No"/>
    <s v="Yes"/>
    <x v="0"/>
    <n v="955"/>
  </r>
  <r>
    <n v="219"/>
    <n v="219"/>
    <n v="10627"/>
    <n v="1647"/>
    <n v="149"/>
    <n v="2"/>
    <x v="2"/>
    <x v="3"/>
    <x v="1"/>
    <s v="Yes"/>
    <s v="Yes"/>
    <x v="1"/>
    <n v="195"/>
  </r>
  <r>
    <n v="220"/>
    <n v="220"/>
    <n v="38954"/>
    <n v="5222"/>
    <n v="370"/>
    <n v="4"/>
    <x v="64"/>
    <x v="6"/>
    <x v="1"/>
    <s v="No"/>
    <s v="No"/>
    <x v="0"/>
    <n v="653"/>
  </r>
  <r>
    <n v="221"/>
    <n v="221"/>
    <n v="44847"/>
    <n v="5765"/>
    <n v="437"/>
    <n v="3"/>
    <x v="53"/>
    <x v="6"/>
    <x v="1"/>
    <s v="Yes"/>
    <s v="No"/>
    <x v="1"/>
    <n v="1246"/>
  </r>
  <r>
    <n v="222"/>
    <n v="222"/>
    <n v="98515"/>
    <n v="8760"/>
    <n v="633"/>
    <n v="5"/>
    <x v="40"/>
    <x v="0"/>
    <x v="1"/>
    <s v="No"/>
    <s v="No"/>
    <x v="2"/>
    <n v="1230"/>
  </r>
  <r>
    <n v="223"/>
    <n v="223"/>
    <n v="33437"/>
    <n v="6207"/>
    <n v="451"/>
    <n v="4"/>
    <x v="18"/>
    <x v="5"/>
    <x v="0"/>
    <s v="Yes"/>
    <s v="No"/>
    <x v="0"/>
    <n v="1549"/>
  </r>
  <r>
    <n v="224"/>
    <n v="224"/>
    <n v="27512"/>
    <n v="4613"/>
    <n v="344"/>
    <n v="5"/>
    <x v="20"/>
    <x v="10"/>
    <x v="0"/>
    <s v="No"/>
    <s v="Yes"/>
    <x v="1"/>
    <n v="573"/>
  </r>
  <r>
    <n v="225"/>
    <n v="225"/>
    <n v="121709"/>
    <n v="7818"/>
    <n v="584"/>
    <n v="4"/>
    <x v="29"/>
    <x v="15"/>
    <x v="0"/>
    <s v="No"/>
    <s v="Yes"/>
    <x v="0"/>
    <n v="701"/>
  </r>
  <r>
    <n v="226"/>
    <n v="226"/>
    <n v="15079"/>
    <n v="5673"/>
    <n v="411"/>
    <n v="4"/>
    <x v="17"/>
    <x v="1"/>
    <x v="1"/>
    <s v="No"/>
    <s v="Yes"/>
    <x v="1"/>
    <n v="1075"/>
  </r>
  <r>
    <n v="227"/>
    <n v="227"/>
    <n v="59879"/>
    <n v="6906"/>
    <n v="527"/>
    <n v="6"/>
    <x v="40"/>
    <x v="1"/>
    <x v="1"/>
    <s v="No"/>
    <s v="No"/>
    <x v="0"/>
    <n v="1032"/>
  </r>
  <r>
    <n v="228"/>
    <n v="228"/>
    <n v="66989"/>
    <n v="5614"/>
    <n v="430"/>
    <n v="3"/>
    <x v="25"/>
    <x v="8"/>
    <x v="1"/>
    <s v="No"/>
    <s v="Yes"/>
    <x v="0"/>
    <n v="482"/>
  </r>
  <r>
    <n v="229"/>
    <n v="229"/>
    <n v="69165"/>
    <n v="4668"/>
    <n v="341"/>
    <n v="2"/>
    <x v="0"/>
    <x v="0"/>
    <x v="1"/>
    <s v="No"/>
    <s v="No"/>
    <x v="2"/>
    <n v="156"/>
  </r>
  <r>
    <n v="230"/>
    <n v="230"/>
    <n v="69943"/>
    <n v="7555"/>
    <n v="547"/>
    <n v="3"/>
    <x v="64"/>
    <x v="5"/>
    <x v="0"/>
    <s v="No"/>
    <s v="Yes"/>
    <x v="1"/>
    <n v="1058"/>
  </r>
  <r>
    <n v="231"/>
    <n v="231"/>
    <n v="33214"/>
    <n v="5137"/>
    <n v="387"/>
    <n v="3"/>
    <x v="38"/>
    <x v="5"/>
    <x v="0"/>
    <s v="No"/>
    <s v="No"/>
    <x v="2"/>
    <n v="661"/>
  </r>
  <r>
    <n v="232"/>
    <n v="232"/>
    <n v="25124"/>
    <n v="4776"/>
    <n v="378"/>
    <n v="4"/>
    <x v="60"/>
    <x v="4"/>
    <x v="0"/>
    <s v="No"/>
    <s v="Yes"/>
    <x v="0"/>
    <n v="657"/>
  </r>
  <r>
    <n v="233"/>
    <n v="233"/>
    <n v="15741"/>
    <n v="4788"/>
    <n v="360"/>
    <n v="1"/>
    <x v="62"/>
    <x v="8"/>
    <x v="0"/>
    <s v="No"/>
    <s v="Yes"/>
    <x v="1"/>
    <n v="689"/>
  </r>
  <r>
    <n v="234"/>
    <n v="234"/>
    <n v="11603"/>
    <n v="2278"/>
    <n v="187"/>
    <n v="3"/>
    <x v="2"/>
    <x v="0"/>
    <x v="0"/>
    <s v="No"/>
    <s v="Yes"/>
    <x v="0"/>
    <n v="0"/>
  </r>
  <r>
    <n v="235"/>
    <n v="235"/>
    <n v="69656"/>
    <n v="8244"/>
    <n v="579"/>
    <n v="3"/>
    <x v="9"/>
    <x v="8"/>
    <x v="0"/>
    <s v="No"/>
    <s v="Yes"/>
    <x v="2"/>
    <n v="1329"/>
  </r>
  <r>
    <n v="236"/>
    <n v="236"/>
    <n v="10503"/>
    <n v="2923"/>
    <n v="232"/>
    <n v="3"/>
    <x v="23"/>
    <x v="14"/>
    <x v="1"/>
    <s v="No"/>
    <s v="Yes"/>
    <x v="2"/>
    <n v="191"/>
  </r>
  <r>
    <n v="237"/>
    <n v="237"/>
    <n v="42529"/>
    <n v="4986"/>
    <n v="369"/>
    <n v="2"/>
    <x v="6"/>
    <x v="0"/>
    <x v="0"/>
    <s v="No"/>
    <s v="Yes"/>
    <x v="1"/>
    <n v="489"/>
  </r>
  <r>
    <n v="238"/>
    <n v="238"/>
    <n v="60579"/>
    <n v="5149"/>
    <n v="388"/>
    <n v="5"/>
    <x v="39"/>
    <x v="1"/>
    <x v="0"/>
    <s v="No"/>
    <s v="Yes"/>
    <x v="1"/>
    <n v="443"/>
  </r>
  <r>
    <n v="239"/>
    <n v="239"/>
    <n v="26532"/>
    <n v="2910"/>
    <n v="236"/>
    <n v="6"/>
    <x v="54"/>
    <x v="7"/>
    <x v="1"/>
    <s v="No"/>
    <s v="Yes"/>
    <x v="0"/>
    <n v="52"/>
  </r>
  <r>
    <n v="240"/>
    <n v="240"/>
    <n v="27952"/>
    <n v="3557"/>
    <n v="263"/>
    <n v="1"/>
    <x v="37"/>
    <x v="6"/>
    <x v="1"/>
    <s v="No"/>
    <s v="Yes"/>
    <x v="1"/>
    <n v="163"/>
  </r>
  <r>
    <n v="241"/>
    <n v="241"/>
    <n v="29705"/>
    <n v="3351"/>
    <n v="262"/>
    <n v="5"/>
    <x v="2"/>
    <x v="8"/>
    <x v="1"/>
    <s v="No"/>
    <s v="Yes"/>
    <x v="1"/>
    <n v="148"/>
  </r>
  <r>
    <n v="242"/>
    <n v="242"/>
    <n v="15602"/>
    <n v="906"/>
    <n v="103"/>
    <n v="2"/>
    <x v="3"/>
    <x v="0"/>
    <x v="0"/>
    <s v="No"/>
    <s v="Yes"/>
    <x v="2"/>
    <n v="0"/>
  </r>
  <r>
    <n v="243"/>
    <n v="243"/>
    <n v="20918"/>
    <n v="1233"/>
    <n v="128"/>
    <n v="3"/>
    <x v="25"/>
    <x v="14"/>
    <x v="1"/>
    <s v="Yes"/>
    <s v="Yes"/>
    <x v="1"/>
    <n v="16"/>
  </r>
  <r>
    <n v="244"/>
    <n v="244"/>
    <n v="58165"/>
    <n v="6617"/>
    <n v="460"/>
    <n v="1"/>
    <x v="52"/>
    <x v="4"/>
    <x v="1"/>
    <s v="No"/>
    <s v="Yes"/>
    <x v="0"/>
    <n v="856"/>
  </r>
  <r>
    <n v="245"/>
    <n v="245"/>
    <n v="22561"/>
    <n v="1787"/>
    <n v="147"/>
    <n v="4"/>
    <x v="8"/>
    <x v="1"/>
    <x v="1"/>
    <s v="No"/>
    <s v="No"/>
    <x v="0"/>
    <n v="0"/>
  </r>
  <r>
    <n v="246"/>
    <n v="246"/>
    <n v="34509"/>
    <n v="2001"/>
    <n v="189"/>
    <n v="5"/>
    <x v="59"/>
    <x v="14"/>
    <x v="1"/>
    <s v="No"/>
    <s v="Yes"/>
    <x v="2"/>
    <n v="0"/>
  </r>
  <r>
    <n v="247"/>
    <n v="247"/>
    <n v="19588"/>
    <n v="3211"/>
    <n v="265"/>
    <n v="4"/>
    <x v="38"/>
    <x v="8"/>
    <x v="1"/>
    <s v="No"/>
    <s v="No"/>
    <x v="1"/>
    <n v="199"/>
  </r>
  <r>
    <n v="248"/>
    <n v="248"/>
    <n v="36364"/>
    <n v="2220"/>
    <n v="188"/>
    <n v="3"/>
    <x v="29"/>
    <x v="7"/>
    <x v="0"/>
    <s v="No"/>
    <s v="No"/>
    <x v="0"/>
    <n v="0"/>
  </r>
  <r>
    <n v="249"/>
    <n v="249"/>
    <n v="15717"/>
    <n v="905"/>
    <n v="93"/>
    <n v="1"/>
    <x v="39"/>
    <x v="2"/>
    <x v="0"/>
    <s v="Yes"/>
    <s v="Yes"/>
    <x v="0"/>
    <n v="0"/>
  </r>
  <r>
    <n v="250"/>
    <n v="250"/>
    <n v="22574"/>
    <n v="1551"/>
    <n v="134"/>
    <n v="3"/>
    <x v="26"/>
    <x v="6"/>
    <x v="1"/>
    <s v="Yes"/>
    <s v="Yes"/>
    <x v="0"/>
    <n v="98"/>
  </r>
  <r>
    <n v="251"/>
    <n v="251"/>
    <n v="10363"/>
    <n v="2430"/>
    <n v="191"/>
    <n v="2"/>
    <x v="25"/>
    <x v="14"/>
    <x v="1"/>
    <s v="No"/>
    <s v="Yes"/>
    <x v="1"/>
    <n v="0"/>
  </r>
  <r>
    <n v="252"/>
    <n v="252"/>
    <n v="28474"/>
    <n v="3202"/>
    <n v="267"/>
    <n v="5"/>
    <x v="8"/>
    <x v="4"/>
    <x v="0"/>
    <s v="No"/>
    <s v="Yes"/>
    <x v="0"/>
    <n v="132"/>
  </r>
  <r>
    <n v="253"/>
    <n v="253"/>
    <n v="72945"/>
    <n v="8603"/>
    <n v="621"/>
    <n v="3"/>
    <x v="11"/>
    <x v="11"/>
    <x v="1"/>
    <s v="No"/>
    <s v="No"/>
    <x v="0"/>
    <n v="1355"/>
  </r>
  <r>
    <n v="254"/>
    <n v="254"/>
    <n v="85425"/>
    <n v="5182"/>
    <n v="402"/>
    <n v="6"/>
    <x v="32"/>
    <x v="4"/>
    <x v="0"/>
    <s v="No"/>
    <s v="Yes"/>
    <x v="2"/>
    <n v="218"/>
  </r>
  <r>
    <n v="255"/>
    <n v="255"/>
    <n v="36508"/>
    <n v="6386"/>
    <n v="469"/>
    <n v="4"/>
    <x v="33"/>
    <x v="15"/>
    <x v="1"/>
    <s v="No"/>
    <s v="Yes"/>
    <x v="0"/>
    <n v="1048"/>
  </r>
  <r>
    <n v="256"/>
    <n v="256"/>
    <n v="58063"/>
    <n v="4221"/>
    <n v="304"/>
    <n v="3"/>
    <x v="29"/>
    <x v="11"/>
    <x v="0"/>
    <s v="No"/>
    <s v="No"/>
    <x v="2"/>
    <n v="118"/>
  </r>
  <r>
    <n v="257"/>
    <n v="257"/>
    <n v="25936"/>
    <n v="1774"/>
    <n v="135"/>
    <n v="2"/>
    <x v="2"/>
    <x v="8"/>
    <x v="1"/>
    <s v="No"/>
    <s v="No"/>
    <x v="1"/>
    <n v="0"/>
  </r>
  <r>
    <n v="258"/>
    <n v="258"/>
    <n v="15629"/>
    <n v="2493"/>
    <n v="186"/>
    <n v="1"/>
    <x v="32"/>
    <x v="8"/>
    <x v="0"/>
    <s v="No"/>
    <s v="Yes"/>
    <x v="1"/>
    <n v="0"/>
  </r>
  <r>
    <n v="259"/>
    <n v="259"/>
    <n v="414"/>
    <n v="2561"/>
    <n v="215"/>
    <n v="2"/>
    <x v="3"/>
    <x v="8"/>
    <x v="0"/>
    <s v="No"/>
    <s v="Yes"/>
    <x v="0"/>
    <n v="0"/>
  </r>
  <r>
    <n v="260"/>
    <n v="260"/>
    <n v="33657"/>
    <n v="6196"/>
    <n v="450"/>
    <n v="6"/>
    <x v="24"/>
    <x v="5"/>
    <x v="1"/>
    <s v="No"/>
    <s v="No"/>
    <x v="0"/>
    <n v="1092"/>
  </r>
  <r>
    <n v="261"/>
    <n v="261"/>
    <n v="67937"/>
    <n v="5184"/>
    <n v="383"/>
    <n v="4"/>
    <x v="19"/>
    <x v="4"/>
    <x v="0"/>
    <s v="No"/>
    <s v="Yes"/>
    <x v="1"/>
    <n v="345"/>
  </r>
  <r>
    <n v="262"/>
    <n v="262"/>
    <n v="180379"/>
    <n v="9310"/>
    <n v="665"/>
    <n v="3"/>
    <x v="56"/>
    <x v="11"/>
    <x v="1"/>
    <s v="Yes"/>
    <s v="Yes"/>
    <x v="1"/>
    <n v="1050"/>
  </r>
  <r>
    <n v="263"/>
    <n v="263"/>
    <n v="10588"/>
    <n v="4049"/>
    <n v="296"/>
    <n v="1"/>
    <x v="8"/>
    <x v="6"/>
    <x v="1"/>
    <s v="No"/>
    <s v="Yes"/>
    <x v="0"/>
    <n v="465"/>
  </r>
  <r>
    <n v="264"/>
    <n v="264"/>
    <n v="29725"/>
    <n v="3536"/>
    <n v="270"/>
    <n v="2"/>
    <x v="46"/>
    <x v="1"/>
    <x v="1"/>
    <s v="No"/>
    <s v="No"/>
    <x v="2"/>
    <n v="133"/>
  </r>
  <r>
    <n v="265"/>
    <n v="265"/>
    <n v="27999"/>
    <n v="5107"/>
    <n v="380"/>
    <n v="1"/>
    <x v="24"/>
    <x v="3"/>
    <x v="0"/>
    <s v="No"/>
    <s v="Yes"/>
    <x v="0"/>
    <n v="651"/>
  </r>
  <r>
    <n v="266"/>
    <n v="266"/>
    <n v="40885"/>
    <n v="5013"/>
    <n v="379"/>
    <n v="3"/>
    <x v="50"/>
    <x v="6"/>
    <x v="1"/>
    <s v="No"/>
    <s v="Yes"/>
    <x v="2"/>
    <n v="549"/>
  </r>
  <r>
    <n v="267"/>
    <n v="267"/>
    <n v="8883"/>
    <n v="4952"/>
    <n v="360"/>
    <n v="4"/>
    <x v="65"/>
    <x v="2"/>
    <x v="1"/>
    <s v="No"/>
    <s v="Yes"/>
    <x v="0"/>
    <n v="15"/>
  </r>
  <r>
    <n v="268"/>
    <n v="268"/>
    <n v="29638"/>
    <n v="5833"/>
    <n v="433"/>
    <n v="3"/>
    <x v="60"/>
    <x v="1"/>
    <x v="1"/>
    <s v="No"/>
    <s v="Yes"/>
    <x v="1"/>
    <n v="942"/>
  </r>
  <r>
    <n v="269"/>
    <n v="269"/>
    <n v="25988"/>
    <n v="1349"/>
    <n v="142"/>
    <n v="4"/>
    <x v="1"/>
    <x v="4"/>
    <x v="0"/>
    <s v="No"/>
    <s v="No"/>
    <x v="0"/>
    <n v="0"/>
  </r>
  <r>
    <n v="270"/>
    <n v="270"/>
    <n v="39055"/>
    <n v="5565"/>
    <n v="410"/>
    <n v="4"/>
    <x v="22"/>
    <x v="14"/>
    <x v="1"/>
    <s v="No"/>
    <s v="Yes"/>
    <x v="0"/>
    <n v="772"/>
  </r>
  <r>
    <n v="271"/>
    <n v="271"/>
    <n v="15866"/>
    <n v="3085"/>
    <n v="217"/>
    <n v="1"/>
    <x v="62"/>
    <x v="6"/>
    <x v="0"/>
    <s v="No"/>
    <s v="No"/>
    <x v="0"/>
    <n v="136"/>
  </r>
  <r>
    <n v="272"/>
    <n v="272"/>
    <n v="44978"/>
    <n v="4866"/>
    <n v="347"/>
    <n v="1"/>
    <x v="10"/>
    <x v="3"/>
    <x v="1"/>
    <s v="No"/>
    <s v="No"/>
    <x v="0"/>
    <n v="436"/>
  </r>
  <r>
    <n v="273"/>
    <n v="273"/>
    <n v="30413"/>
    <n v="3690"/>
    <n v="299"/>
    <n v="2"/>
    <x v="23"/>
    <x v="1"/>
    <x v="1"/>
    <s v="Yes"/>
    <s v="No"/>
    <x v="1"/>
    <n v="728"/>
  </r>
  <r>
    <n v="274"/>
    <n v="274"/>
    <n v="16751"/>
    <n v="4706"/>
    <n v="353"/>
    <n v="6"/>
    <x v="22"/>
    <x v="8"/>
    <x v="0"/>
    <s v="Yes"/>
    <s v="No"/>
    <x v="1"/>
    <n v="1255"/>
  </r>
  <r>
    <n v="275"/>
    <n v="275"/>
    <n v="3055"/>
    <n v="5869"/>
    <n v="439"/>
    <n v="5"/>
    <x v="36"/>
    <x v="5"/>
    <x v="1"/>
    <s v="No"/>
    <s v="No"/>
    <x v="2"/>
    <n v="967"/>
  </r>
  <r>
    <n v="276"/>
    <n v="276"/>
    <n v="163329"/>
    <n v="8732"/>
    <n v="636"/>
    <n v="3"/>
    <x v="29"/>
    <x v="8"/>
    <x v="0"/>
    <s v="No"/>
    <s v="Yes"/>
    <x v="0"/>
    <n v="529"/>
  </r>
  <r>
    <n v="277"/>
    <n v="277"/>
    <n v="23106"/>
    <n v="3476"/>
    <n v="257"/>
    <n v="2"/>
    <x v="29"/>
    <x v="1"/>
    <x v="1"/>
    <s v="No"/>
    <s v="No"/>
    <x v="0"/>
    <n v="209"/>
  </r>
  <r>
    <n v="278"/>
    <n v="278"/>
    <n v="41532"/>
    <n v="5000"/>
    <n v="353"/>
    <n v="2"/>
    <x v="29"/>
    <x v="4"/>
    <x v="0"/>
    <s v="No"/>
    <s v="Yes"/>
    <x v="0"/>
    <n v="531"/>
  </r>
  <r>
    <n v="279"/>
    <n v="279"/>
    <n v="12804"/>
    <n v="6982"/>
    <n v="518"/>
    <n v="2"/>
    <x v="40"/>
    <x v="0"/>
    <x v="1"/>
    <s v="No"/>
    <s v="Yes"/>
    <x v="0"/>
    <n v="250"/>
  </r>
  <r>
    <n v="280"/>
    <n v="280"/>
    <n v="54319"/>
    <n v="3063"/>
    <n v="248"/>
    <n v="3"/>
    <x v="38"/>
    <x v="11"/>
    <x v="1"/>
    <s v="Yes"/>
    <s v="No"/>
    <x v="0"/>
    <n v="269"/>
  </r>
  <r>
    <n v="281"/>
    <n v="281"/>
    <n v="53401"/>
    <n v="5319"/>
    <n v="377"/>
    <n v="3"/>
    <x v="37"/>
    <x v="4"/>
    <x v="1"/>
    <s v="No"/>
    <s v="No"/>
    <x v="2"/>
    <n v="541"/>
  </r>
  <r>
    <n v="282"/>
    <n v="282"/>
    <n v="36142"/>
    <n v="1852"/>
    <n v="183"/>
    <n v="3"/>
    <x v="45"/>
    <x v="6"/>
    <x v="1"/>
    <s v="No"/>
    <s v="No"/>
    <x v="2"/>
    <n v="0"/>
  </r>
  <r>
    <n v="283"/>
    <n v="283"/>
    <n v="63534"/>
    <n v="8100"/>
    <n v="581"/>
    <n v="2"/>
    <x v="29"/>
    <x v="10"/>
    <x v="1"/>
    <s v="No"/>
    <s v="Yes"/>
    <x v="0"/>
    <n v="1298"/>
  </r>
  <r>
    <n v="284"/>
    <n v="284"/>
    <n v="49927"/>
    <n v="6396"/>
    <n v="485"/>
    <n v="3"/>
    <x v="14"/>
    <x v="10"/>
    <x v="1"/>
    <s v="No"/>
    <s v="Yes"/>
    <x v="0"/>
    <n v="890"/>
  </r>
  <r>
    <n v="285"/>
    <n v="285"/>
    <n v="14711"/>
    <n v="2047"/>
    <n v="167"/>
    <n v="2"/>
    <x v="56"/>
    <x v="15"/>
    <x v="0"/>
    <s v="No"/>
    <s v="Yes"/>
    <x v="0"/>
    <n v="0"/>
  </r>
  <r>
    <n v="286"/>
    <n v="286"/>
    <n v="18967"/>
    <n v="1626"/>
    <n v="156"/>
    <n v="2"/>
    <x v="9"/>
    <x v="0"/>
    <x v="1"/>
    <s v="No"/>
    <s v="Yes"/>
    <x v="1"/>
    <n v="0"/>
  </r>
  <r>
    <n v="287"/>
    <n v="287"/>
    <n v="18036"/>
    <n v="1552"/>
    <n v="142"/>
    <n v="2"/>
    <x v="22"/>
    <x v="1"/>
    <x v="1"/>
    <s v="No"/>
    <s v="No"/>
    <x v="0"/>
    <n v="0"/>
  </r>
  <r>
    <n v="288"/>
    <n v="288"/>
    <n v="60449"/>
    <n v="3098"/>
    <n v="272"/>
    <n v="4"/>
    <x v="16"/>
    <x v="11"/>
    <x v="0"/>
    <s v="No"/>
    <s v="Yes"/>
    <x v="0"/>
    <n v="0"/>
  </r>
  <r>
    <n v="289"/>
    <n v="289"/>
    <n v="16711"/>
    <n v="5274"/>
    <n v="387"/>
    <n v="3"/>
    <x v="47"/>
    <x v="2"/>
    <x v="1"/>
    <s v="No"/>
    <s v="Yes"/>
    <x v="1"/>
    <n v="863"/>
  </r>
  <r>
    <n v="290"/>
    <n v="290"/>
    <n v="10852"/>
    <n v="3907"/>
    <n v="296"/>
    <n v="2"/>
    <x v="10"/>
    <x v="5"/>
    <x v="0"/>
    <s v="No"/>
    <s v="No"/>
    <x v="0"/>
    <n v="485"/>
  </r>
  <r>
    <n v="291"/>
    <n v="291"/>
    <n v="2637"/>
    <n v="3235"/>
    <n v="268"/>
    <n v="5"/>
    <x v="40"/>
    <x v="0"/>
    <x v="0"/>
    <s v="No"/>
    <s v="Yes"/>
    <x v="1"/>
    <n v="159"/>
  </r>
  <r>
    <n v="292"/>
    <n v="292"/>
    <n v="24088"/>
    <n v="3665"/>
    <n v="287"/>
    <n v="4"/>
    <x v="52"/>
    <x v="6"/>
    <x v="1"/>
    <s v="No"/>
    <s v="Yes"/>
    <x v="0"/>
    <n v="309"/>
  </r>
  <r>
    <n v="293"/>
    <n v="293"/>
    <n v="51532"/>
    <n v="5096"/>
    <n v="380"/>
    <n v="2"/>
    <x v="41"/>
    <x v="1"/>
    <x v="0"/>
    <s v="No"/>
    <s v="Yes"/>
    <x v="0"/>
    <n v="481"/>
  </r>
  <r>
    <n v="294"/>
    <n v="294"/>
    <n v="140672"/>
    <n v="11200"/>
    <n v="817"/>
    <n v="7"/>
    <x v="50"/>
    <x v="5"/>
    <x v="0"/>
    <s v="No"/>
    <s v="Yes"/>
    <x v="2"/>
    <n v="1677"/>
  </r>
  <r>
    <n v="295"/>
    <n v="295"/>
    <n v="42915"/>
    <n v="2532"/>
    <n v="205"/>
    <n v="4"/>
    <x v="47"/>
    <x v="6"/>
    <x v="0"/>
    <s v="No"/>
    <s v="Yes"/>
    <x v="1"/>
    <n v="0"/>
  </r>
  <r>
    <n v="296"/>
    <n v="296"/>
    <n v="27272"/>
    <n v="1389"/>
    <n v="149"/>
    <n v="5"/>
    <x v="56"/>
    <x v="3"/>
    <x v="1"/>
    <s v="No"/>
    <s v="Yes"/>
    <x v="0"/>
    <n v="0"/>
  </r>
  <r>
    <n v="297"/>
    <n v="297"/>
    <n v="65896"/>
    <n v="5140"/>
    <n v="370"/>
    <n v="1"/>
    <x v="13"/>
    <x v="10"/>
    <x v="1"/>
    <s v="No"/>
    <s v="Yes"/>
    <x v="0"/>
    <n v="293"/>
  </r>
  <r>
    <n v="298"/>
    <n v="298"/>
    <n v="55054"/>
    <n v="4381"/>
    <n v="321"/>
    <n v="3"/>
    <x v="51"/>
    <x v="10"/>
    <x v="0"/>
    <s v="No"/>
    <s v="Yes"/>
    <x v="1"/>
    <n v="188"/>
  </r>
  <r>
    <n v="299"/>
    <n v="299"/>
    <n v="20791"/>
    <n v="2672"/>
    <n v="204"/>
    <n v="1"/>
    <x v="35"/>
    <x v="14"/>
    <x v="1"/>
    <s v="No"/>
    <s v="No"/>
    <x v="2"/>
    <n v="0"/>
  </r>
  <r>
    <n v="300"/>
    <n v="300"/>
    <n v="24919"/>
    <n v="5051"/>
    <n v="372"/>
    <n v="3"/>
    <x v="64"/>
    <x v="0"/>
    <x v="1"/>
    <s v="No"/>
    <s v="Yes"/>
    <x v="2"/>
    <n v="711"/>
  </r>
  <r>
    <n v="301"/>
    <n v="301"/>
    <n v="21786"/>
    <n v="4632"/>
    <n v="355"/>
    <n v="1"/>
    <x v="29"/>
    <x v="10"/>
    <x v="0"/>
    <s v="No"/>
    <s v="Yes"/>
    <x v="0"/>
    <n v="580"/>
  </r>
  <r>
    <n v="302"/>
    <n v="302"/>
    <n v="31335"/>
    <n v="3526"/>
    <n v="289"/>
    <n v="3"/>
    <x v="39"/>
    <x v="9"/>
    <x v="1"/>
    <s v="No"/>
    <s v="No"/>
    <x v="0"/>
    <n v="172"/>
  </r>
  <r>
    <n v="303"/>
    <n v="303"/>
    <n v="59855"/>
    <n v="4964"/>
    <n v="365"/>
    <n v="1"/>
    <x v="50"/>
    <x v="6"/>
    <x v="1"/>
    <s v="No"/>
    <s v="Yes"/>
    <x v="0"/>
    <n v="295"/>
  </r>
  <r>
    <n v="304"/>
    <n v="304"/>
    <n v="44061"/>
    <n v="4970"/>
    <n v="352"/>
    <n v="1"/>
    <x v="33"/>
    <x v="0"/>
    <x v="0"/>
    <s v="No"/>
    <s v="Yes"/>
    <x v="2"/>
    <n v="414"/>
  </r>
  <r>
    <n v="305"/>
    <n v="305"/>
    <n v="82706"/>
    <n v="7506"/>
    <n v="536"/>
    <n v="2"/>
    <x v="11"/>
    <x v="6"/>
    <x v="1"/>
    <s v="No"/>
    <s v="Yes"/>
    <x v="1"/>
    <n v="905"/>
  </r>
  <r>
    <n v="306"/>
    <n v="306"/>
    <n v="2446"/>
    <n v="1924"/>
    <n v="165"/>
    <n v="2"/>
    <x v="29"/>
    <x v="8"/>
    <x v="1"/>
    <s v="No"/>
    <s v="Yes"/>
    <x v="1"/>
    <n v="0"/>
  </r>
  <r>
    <n v="307"/>
    <n v="307"/>
    <n v="4512"/>
    <n v="3762"/>
    <n v="287"/>
    <n v="3"/>
    <x v="59"/>
    <x v="11"/>
    <x v="0"/>
    <s v="No"/>
    <s v="Yes"/>
    <x v="0"/>
    <n v="70"/>
  </r>
  <r>
    <n v="308"/>
    <n v="308"/>
    <n v="75406"/>
    <n v="3874"/>
    <n v="298"/>
    <n v="3"/>
    <x v="9"/>
    <x v="8"/>
    <x v="1"/>
    <s v="No"/>
    <s v="Yes"/>
    <x v="1"/>
    <n v="0"/>
  </r>
  <r>
    <n v="309"/>
    <n v="309"/>
    <n v="14956"/>
    <n v="4640"/>
    <n v="332"/>
    <n v="2"/>
    <x v="45"/>
    <x v="15"/>
    <x v="0"/>
    <s v="No"/>
    <s v="No"/>
    <x v="1"/>
    <n v="681"/>
  </r>
  <r>
    <n v="310"/>
    <n v="310"/>
    <n v="75257"/>
    <n v="7010"/>
    <n v="494"/>
    <n v="3"/>
    <x v="0"/>
    <x v="14"/>
    <x v="1"/>
    <s v="No"/>
    <s v="Yes"/>
    <x v="0"/>
    <n v="885"/>
  </r>
  <r>
    <n v="311"/>
    <n v="311"/>
    <n v="33694"/>
    <n v="4891"/>
    <n v="369"/>
    <n v="1"/>
    <x v="46"/>
    <x v="2"/>
    <x v="0"/>
    <s v="Yes"/>
    <s v="No"/>
    <x v="2"/>
    <n v="1036"/>
  </r>
  <r>
    <n v="312"/>
    <n v="312"/>
    <n v="23375"/>
    <n v="5429"/>
    <n v="396"/>
    <n v="3"/>
    <x v="12"/>
    <x v="1"/>
    <x v="1"/>
    <s v="No"/>
    <s v="Yes"/>
    <x v="0"/>
    <n v="844"/>
  </r>
  <r>
    <n v="313"/>
    <n v="313"/>
    <n v="27825"/>
    <n v="5227"/>
    <n v="386"/>
    <n v="6"/>
    <x v="19"/>
    <x v="0"/>
    <x v="0"/>
    <s v="No"/>
    <s v="Yes"/>
    <x v="0"/>
    <n v="823"/>
  </r>
  <r>
    <n v="314"/>
    <n v="314"/>
    <n v="92386"/>
    <n v="7685"/>
    <n v="534"/>
    <n v="2"/>
    <x v="14"/>
    <x v="14"/>
    <x v="1"/>
    <s v="No"/>
    <s v="Yes"/>
    <x v="1"/>
    <n v="843"/>
  </r>
  <r>
    <n v="315"/>
    <n v="315"/>
    <n v="11552"/>
    <n v="9272"/>
    <n v="656"/>
    <n v="2"/>
    <x v="16"/>
    <x v="8"/>
    <x v="0"/>
    <s v="No"/>
    <s v="No"/>
    <x v="2"/>
    <n v="1140"/>
  </r>
  <r>
    <n v="316"/>
    <n v="316"/>
    <n v="14479"/>
    <n v="3907"/>
    <n v="296"/>
    <n v="3"/>
    <x v="26"/>
    <x v="2"/>
    <x v="0"/>
    <s v="No"/>
    <s v="Yes"/>
    <x v="0"/>
    <n v="463"/>
  </r>
  <r>
    <n v="317"/>
    <n v="317"/>
    <n v="52179"/>
    <n v="7306"/>
    <n v="522"/>
    <n v="2"/>
    <x v="12"/>
    <x v="8"/>
    <x v="0"/>
    <s v="No"/>
    <s v="No"/>
    <x v="1"/>
    <n v="1142"/>
  </r>
  <r>
    <n v="318"/>
    <n v="318"/>
    <n v="68462"/>
    <n v="4712"/>
    <n v="340"/>
    <n v="2"/>
    <x v="2"/>
    <x v="2"/>
    <x v="0"/>
    <s v="No"/>
    <s v="Yes"/>
    <x v="0"/>
    <n v="136"/>
  </r>
  <r>
    <n v="319"/>
    <n v="319"/>
    <n v="18951"/>
    <n v="1485"/>
    <n v="129"/>
    <n v="3"/>
    <x v="1"/>
    <x v="6"/>
    <x v="1"/>
    <s v="No"/>
    <s v="No"/>
    <x v="0"/>
    <n v="0"/>
  </r>
  <r>
    <n v="320"/>
    <n v="320"/>
    <n v="2759"/>
    <n v="2586"/>
    <n v="229"/>
    <n v="5"/>
    <x v="27"/>
    <x v="2"/>
    <x v="0"/>
    <s v="No"/>
    <s v="Yes"/>
    <x v="2"/>
    <n v="0"/>
  </r>
  <r>
    <n v="321"/>
    <n v="321"/>
    <n v="16279"/>
    <n v="1160"/>
    <n v="126"/>
    <n v="3"/>
    <x v="40"/>
    <x v="6"/>
    <x v="0"/>
    <s v="Yes"/>
    <s v="Yes"/>
    <x v="2"/>
    <n v="5"/>
  </r>
  <r>
    <n v="322"/>
    <n v="322"/>
    <n v="25078"/>
    <n v="3096"/>
    <n v="236"/>
    <n v="2"/>
    <x v="30"/>
    <x v="1"/>
    <x v="1"/>
    <s v="No"/>
    <s v="Yes"/>
    <x v="0"/>
    <n v="81"/>
  </r>
  <r>
    <n v="323"/>
    <n v="323"/>
    <n v="27229"/>
    <n v="3484"/>
    <n v="282"/>
    <n v="6"/>
    <x v="48"/>
    <x v="0"/>
    <x v="0"/>
    <s v="No"/>
    <s v="No"/>
    <x v="0"/>
    <n v="265"/>
  </r>
  <r>
    <n v="324"/>
    <n v="324"/>
    <n v="182728"/>
    <n v="13913"/>
    <n v="982"/>
    <n v="4"/>
    <x v="66"/>
    <x v="10"/>
    <x v="0"/>
    <s v="No"/>
    <s v="Yes"/>
    <x v="0"/>
    <n v="1999"/>
  </r>
  <r>
    <n v="325"/>
    <n v="325"/>
    <n v="31029"/>
    <n v="2863"/>
    <n v="223"/>
    <n v="2"/>
    <x v="8"/>
    <x v="10"/>
    <x v="0"/>
    <s v="Yes"/>
    <s v="Yes"/>
    <x v="1"/>
    <n v="415"/>
  </r>
  <r>
    <n v="326"/>
    <n v="326"/>
    <n v="17765"/>
    <n v="5072"/>
    <n v="364"/>
    <n v="1"/>
    <x v="8"/>
    <x v="4"/>
    <x v="1"/>
    <s v="No"/>
    <s v="Yes"/>
    <x v="0"/>
    <n v="732"/>
  </r>
  <r>
    <n v="327"/>
    <n v="327"/>
    <n v="12548"/>
    <n v="10230"/>
    <n v="721"/>
    <n v="3"/>
    <x v="1"/>
    <x v="2"/>
    <x v="0"/>
    <s v="No"/>
    <s v="Yes"/>
    <x v="0"/>
    <n v="1361"/>
  </r>
  <r>
    <n v="328"/>
    <n v="328"/>
    <n v="49166"/>
    <n v="6662"/>
    <n v="508"/>
    <n v="3"/>
    <x v="4"/>
    <x v="8"/>
    <x v="1"/>
    <s v="No"/>
    <s v="No"/>
    <x v="1"/>
    <n v="984"/>
  </r>
  <r>
    <n v="329"/>
    <n v="329"/>
    <n v="41192"/>
    <n v="3673"/>
    <n v="297"/>
    <n v="3"/>
    <x v="27"/>
    <x v="2"/>
    <x v="1"/>
    <s v="No"/>
    <s v="Yes"/>
    <x v="0"/>
    <n v="121"/>
  </r>
  <r>
    <n v="330"/>
    <n v="330"/>
    <n v="94193"/>
    <n v="7576"/>
    <n v="527"/>
    <n v="2"/>
    <x v="18"/>
    <x v="2"/>
    <x v="1"/>
    <s v="No"/>
    <s v="Yes"/>
    <x v="0"/>
    <n v="846"/>
  </r>
  <r>
    <n v="331"/>
    <n v="331"/>
    <n v="20405"/>
    <n v="4543"/>
    <n v="329"/>
    <n v="2"/>
    <x v="20"/>
    <x v="10"/>
    <x v="0"/>
    <s v="Yes"/>
    <s v="No"/>
    <x v="1"/>
    <n v="1054"/>
  </r>
  <r>
    <n v="332"/>
    <n v="332"/>
    <n v="12581"/>
    <n v="3976"/>
    <n v="291"/>
    <n v="2"/>
    <x v="22"/>
    <x v="2"/>
    <x v="0"/>
    <s v="No"/>
    <s v="Yes"/>
    <x v="0"/>
    <n v="474"/>
  </r>
  <r>
    <n v="333"/>
    <n v="333"/>
    <n v="62328"/>
    <n v="5228"/>
    <n v="377"/>
    <n v="3"/>
    <x v="44"/>
    <x v="1"/>
    <x v="0"/>
    <s v="No"/>
    <s v="No"/>
    <x v="0"/>
    <n v="380"/>
  </r>
  <r>
    <n v="334"/>
    <n v="334"/>
    <n v="21011"/>
    <n v="3402"/>
    <n v="261"/>
    <n v="2"/>
    <x v="4"/>
    <x v="10"/>
    <x v="0"/>
    <s v="No"/>
    <s v="Yes"/>
    <x v="2"/>
    <n v="182"/>
  </r>
  <r>
    <n v="335"/>
    <n v="335"/>
    <n v="2423"/>
    <n v="4756"/>
    <n v="351"/>
    <n v="2"/>
    <x v="11"/>
    <x v="1"/>
    <x v="1"/>
    <s v="No"/>
    <s v="Yes"/>
    <x v="0"/>
    <n v="594"/>
  </r>
  <r>
    <n v="336"/>
    <n v="336"/>
    <n v="24314"/>
    <n v="3409"/>
    <n v="270"/>
    <n v="2"/>
    <x v="67"/>
    <x v="9"/>
    <x v="1"/>
    <s v="No"/>
    <s v="Yes"/>
    <x v="0"/>
    <n v="194"/>
  </r>
  <r>
    <n v="337"/>
    <n v="337"/>
    <n v="32856"/>
    <n v="5884"/>
    <n v="438"/>
    <n v="4"/>
    <x v="4"/>
    <x v="6"/>
    <x v="0"/>
    <s v="No"/>
    <s v="No"/>
    <x v="0"/>
    <n v="926"/>
  </r>
  <r>
    <n v="338"/>
    <n v="338"/>
    <n v="12414"/>
    <n v="855"/>
    <n v="119"/>
    <n v="3"/>
    <x v="31"/>
    <x v="4"/>
    <x v="0"/>
    <s v="No"/>
    <s v="Yes"/>
    <x v="2"/>
    <n v="0"/>
  </r>
  <r>
    <n v="339"/>
    <n v="339"/>
    <n v="41365"/>
    <n v="5303"/>
    <n v="377"/>
    <n v="1"/>
    <x v="42"/>
    <x v="8"/>
    <x v="0"/>
    <s v="No"/>
    <s v="No"/>
    <x v="0"/>
    <n v="606"/>
  </r>
  <r>
    <n v="340"/>
    <n v="340"/>
    <n v="149316"/>
    <n v="10278"/>
    <n v="707"/>
    <n v="1"/>
    <x v="59"/>
    <x v="2"/>
    <x v="0"/>
    <s v="No"/>
    <s v="No"/>
    <x v="2"/>
    <n v="1107"/>
  </r>
  <r>
    <n v="341"/>
    <n v="341"/>
    <n v="27794"/>
    <n v="3807"/>
    <n v="301"/>
    <n v="4"/>
    <x v="37"/>
    <x v="11"/>
    <x v="1"/>
    <s v="No"/>
    <s v="Yes"/>
    <x v="2"/>
    <n v="320"/>
  </r>
  <r>
    <n v="342"/>
    <n v="342"/>
    <n v="13234"/>
    <n v="3922"/>
    <n v="299"/>
    <n v="2"/>
    <x v="5"/>
    <x v="10"/>
    <x v="1"/>
    <s v="No"/>
    <s v="Yes"/>
    <x v="0"/>
    <n v="426"/>
  </r>
  <r>
    <n v="343"/>
    <n v="343"/>
    <n v="14595"/>
    <n v="2955"/>
    <n v="260"/>
    <n v="5"/>
    <x v="6"/>
    <x v="5"/>
    <x v="0"/>
    <s v="No"/>
    <s v="Yes"/>
    <x v="2"/>
    <n v="204"/>
  </r>
  <r>
    <n v="344"/>
    <n v="344"/>
    <n v="10735"/>
    <n v="3746"/>
    <n v="280"/>
    <n v="2"/>
    <x v="18"/>
    <x v="10"/>
    <x v="1"/>
    <s v="No"/>
    <s v="Yes"/>
    <x v="0"/>
    <n v="410"/>
  </r>
  <r>
    <n v="345"/>
    <n v="345"/>
    <n v="48218"/>
    <n v="5199"/>
    <n v="401"/>
    <n v="7"/>
    <x v="62"/>
    <x v="3"/>
    <x v="0"/>
    <s v="No"/>
    <s v="Yes"/>
    <x v="1"/>
    <n v="633"/>
  </r>
  <r>
    <n v="346"/>
    <n v="346"/>
    <n v="30012"/>
    <n v="1511"/>
    <n v="137"/>
    <n v="2"/>
    <x v="45"/>
    <x v="10"/>
    <x v="0"/>
    <s v="No"/>
    <s v="Yes"/>
    <x v="0"/>
    <n v="0"/>
  </r>
  <r>
    <n v="347"/>
    <n v="347"/>
    <n v="21551"/>
    <n v="5380"/>
    <n v="420"/>
    <n v="5"/>
    <x v="48"/>
    <x v="14"/>
    <x v="0"/>
    <s v="No"/>
    <s v="Yes"/>
    <x v="1"/>
    <n v="907"/>
  </r>
  <r>
    <n v="348"/>
    <n v="348"/>
    <n v="160231"/>
    <n v="10748"/>
    <n v="754"/>
    <n v="2"/>
    <x v="16"/>
    <x v="10"/>
    <x v="0"/>
    <s v="No"/>
    <s v="No"/>
    <x v="0"/>
    <n v="1192"/>
  </r>
  <r>
    <n v="349"/>
    <n v="349"/>
    <n v="13433"/>
    <n v="1134"/>
    <n v="112"/>
    <n v="3"/>
    <x v="35"/>
    <x v="8"/>
    <x v="0"/>
    <s v="No"/>
    <s v="Yes"/>
    <x v="0"/>
    <n v="0"/>
  </r>
  <r>
    <n v="350"/>
    <n v="350"/>
    <n v="48577"/>
    <n v="5145"/>
    <n v="389"/>
    <n v="3"/>
    <x v="2"/>
    <x v="6"/>
    <x v="1"/>
    <s v="No"/>
    <s v="Yes"/>
    <x v="1"/>
    <n v="503"/>
  </r>
  <r>
    <n v="351"/>
    <n v="351"/>
    <n v="30002"/>
    <n v="1561"/>
    <n v="155"/>
    <n v="4"/>
    <x v="35"/>
    <x v="6"/>
    <x v="1"/>
    <s v="No"/>
    <s v="Yes"/>
    <x v="0"/>
    <n v="0"/>
  </r>
  <r>
    <n v="352"/>
    <n v="352"/>
    <n v="6162"/>
    <n v="5140"/>
    <n v="374"/>
    <n v="1"/>
    <x v="2"/>
    <x v="5"/>
    <x v="0"/>
    <s v="No"/>
    <s v="Yes"/>
    <x v="0"/>
    <n v="302"/>
  </r>
  <r>
    <n v="353"/>
    <n v="353"/>
    <n v="104483"/>
    <n v="7140"/>
    <n v="507"/>
    <n v="2"/>
    <x v="9"/>
    <x v="8"/>
    <x v="0"/>
    <s v="No"/>
    <s v="Yes"/>
    <x v="2"/>
    <n v="583"/>
  </r>
  <r>
    <n v="354"/>
    <n v="354"/>
    <n v="41868"/>
    <n v="4716"/>
    <n v="342"/>
    <n v="2"/>
    <x v="25"/>
    <x v="14"/>
    <x v="0"/>
    <s v="No"/>
    <s v="No"/>
    <x v="0"/>
    <n v="425"/>
  </r>
  <r>
    <n v="355"/>
    <n v="355"/>
    <n v="12068"/>
    <n v="3873"/>
    <n v="292"/>
    <n v="1"/>
    <x v="18"/>
    <x v="14"/>
    <x v="1"/>
    <s v="No"/>
    <s v="Yes"/>
    <x v="1"/>
    <n v="413"/>
  </r>
  <r>
    <n v="356"/>
    <n v="356"/>
    <n v="180682"/>
    <n v="11966"/>
    <n v="832"/>
    <n v="2"/>
    <x v="54"/>
    <x v="11"/>
    <x v="1"/>
    <s v="No"/>
    <s v="Yes"/>
    <x v="2"/>
    <n v="1405"/>
  </r>
  <r>
    <n v="357"/>
    <n v="357"/>
    <n v="3448"/>
    <n v="6090"/>
    <n v="442"/>
    <n v="3"/>
    <x v="3"/>
    <x v="8"/>
    <x v="0"/>
    <s v="No"/>
    <s v="No"/>
    <x v="0"/>
    <n v="962"/>
  </r>
  <r>
    <n v="358"/>
    <n v="358"/>
    <n v="39609"/>
    <n v="2539"/>
    <n v="188"/>
    <n v="1"/>
    <x v="43"/>
    <x v="8"/>
    <x v="0"/>
    <s v="No"/>
    <s v="Yes"/>
    <x v="1"/>
    <n v="0"/>
  </r>
  <r>
    <n v="359"/>
    <n v="359"/>
    <n v="30111"/>
    <n v="4336"/>
    <n v="339"/>
    <n v="1"/>
    <x v="36"/>
    <x v="14"/>
    <x v="0"/>
    <s v="No"/>
    <s v="Yes"/>
    <x v="0"/>
    <n v="347"/>
  </r>
  <r>
    <n v="360"/>
    <n v="360"/>
    <n v="12335"/>
    <n v="4471"/>
    <n v="344"/>
    <n v="3"/>
    <x v="33"/>
    <x v="4"/>
    <x v="0"/>
    <s v="No"/>
    <s v="Yes"/>
    <x v="2"/>
    <n v="611"/>
  </r>
  <r>
    <n v="361"/>
    <n v="361"/>
    <n v="53566"/>
    <n v="5891"/>
    <n v="434"/>
    <n v="4"/>
    <x v="1"/>
    <x v="3"/>
    <x v="1"/>
    <s v="No"/>
    <s v="No"/>
    <x v="0"/>
    <n v="712"/>
  </r>
  <r>
    <n v="362"/>
    <n v="362"/>
    <n v="53217"/>
    <n v="4943"/>
    <n v="362"/>
    <n v="2"/>
    <x v="50"/>
    <x v="2"/>
    <x v="1"/>
    <s v="No"/>
    <s v="Yes"/>
    <x v="1"/>
    <n v="382"/>
  </r>
  <r>
    <n v="363"/>
    <n v="363"/>
    <n v="26162"/>
    <n v="5101"/>
    <n v="382"/>
    <n v="3"/>
    <x v="55"/>
    <x v="7"/>
    <x v="1"/>
    <s v="No"/>
    <s v="No"/>
    <x v="2"/>
    <n v="710"/>
  </r>
  <r>
    <n v="364"/>
    <n v="364"/>
    <n v="64173"/>
    <n v="6127"/>
    <n v="433"/>
    <n v="1"/>
    <x v="59"/>
    <x v="3"/>
    <x v="0"/>
    <s v="No"/>
    <s v="Yes"/>
    <x v="0"/>
    <n v="578"/>
  </r>
  <r>
    <n v="365"/>
    <n v="365"/>
    <n v="128669"/>
    <n v="9824"/>
    <n v="685"/>
    <n v="3"/>
    <x v="56"/>
    <x v="2"/>
    <x v="0"/>
    <s v="No"/>
    <s v="Yes"/>
    <x v="1"/>
    <n v="1243"/>
  </r>
  <r>
    <n v="366"/>
    <n v="366"/>
    <n v="113772"/>
    <n v="6442"/>
    <n v="489"/>
    <n v="4"/>
    <x v="16"/>
    <x v="1"/>
    <x v="0"/>
    <s v="Yes"/>
    <s v="Yes"/>
    <x v="0"/>
    <n v="790"/>
  </r>
  <r>
    <n v="367"/>
    <n v="367"/>
    <n v="61069"/>
    <n v="7871"/>
    <n v="564"/>
    <n v="3"/>
    <x v="52"/>
    <x v="8"/>
    <x v="0"/>
    <s v="No"/>
    <s v="Yes"/>
    <x v="0"/>
    <n v="1264"/>
  </r>
  <r>
    <n v="368"/>
    <n v="368"/>
    <n v="23793"/>
    <n v="3615"/>
    <n v="263"/>
    <n v="2"/>
    <x v="35"/>
    <x v="8"/>
    <x v="0"/>
    <s v="No"/>
    <s v="No"/>
    <x v="2"/>
    <n v="216"/>
  </r>
  <r>
    <n v="369"/>
    <n v="369"/>
    <n v="89"/>
    <n v="5759"/>
    <n v="440"/>
    <n v="3"/>
    <x v="6"/>
    <x v="15"/>
    <x v="1"/>
    <s v="No"/>
    <s v="No"/>
    <x v="0"/>
    <n v="345"/>
  </r>
  <r>
    <n v="370"/>
    <n v="370"/>
    <n v="71682"/>
    <n v="8028"/>
    <n v="599"/>
    <n v="3"/>
    <x v="12"/>
    <x v="2"/>
    <x v="0"/>
    <s v="No"/>
    <s v="Yes"/>
    <x v="0"/>
    <n v="1208"/>
  </r>
  <r>
    <n v="371"/>
    <n v="371"/>
    <n v="3561"/>
    <n v="6135"/>
    <n v="466"/>
    <n v="4"/>
    <x v="43"/>
    <x v="4"/>
    <x v="0"/>
    <s v="No"/>
    <s v="No"/>
    <x v="0"/>
    <n v="992"/>
  </r>
  <r>
    <n v="372"/>
    <n v="372"/>
    <n v="39116"/>
    <n v="2150"/>
    <n v="173"/>
    <n v="4"/>
    <x v="14"/>
    <x v="1"/>
    <x v="0"/>
    <s v="No"/>
    <s v="No"/>
    <x v="0"/>
    <n v="0"/>
  </r>
  <r>
    <n v="373"/>
    <n v="373"/>
    <n v="19782"/>
    <n v="3782"/>
    <n v="293"/>
    <n v="2"/>
    <x v="50"/>
    <x v="2"/>
    <x v="1"/>
    <s v="Yes"/>
    <s v="No"/>
    <x v="0"/>
    <n v="840"/>
  </r>
  <r>
    <n v="374"/>
    <n v="374"/>
    <n v="55412"/>
    <n v="5354"/>
    <n v="383"/>
    <n v="2"/>
    <x v="6"/>
    <x v="2"/>
    <x v="1"/>
    <s v="Yes"/>
    <s v="Yes"/>
    <x v="0"/>
    <n v="1003"/>
  </r>
  <r>
    <n v="375"/>
    <n v="375"/>
    <n v="294"/>
    <n v="4840"/>
    <n v="368"/>
    <n v="3"/>
    <x v="64"/>
    <x v="14"/>
    <x v="1"/>
    <s v="No"/>
    <s v="Yes"/>
    <x v="0"/>
    <n v="588"/>
  </r>
  <r>
    <n v="376"/>
    <n v="376"/>
    <n v="20974"/>
    <n v="5673"/>
    <n v="413"/>
    <n v="5"/>
    <x v="18"/>
    <x v="2"/>
    <x v="1"/>
    <s v="No"/>
    <s v="Yes"/>
    <x v="0"/>
    <n v="1000"/>
  </r>
  <r>
    <n v="377"/>
    <n v="377"/>
    <n v="87625"/>
    <n v="7167"/>
    <n v="515"/>
    <n v="2"/>
    <x v="50"/>
    <x v="3"/>
    <x v="1"/>
    <s v="No"/>
    <s v="No"/>
    <x v="2"/>
    <n v="767"/>
  </r>
  <r>
    <n v="378"/>
    <n v="378"/>
    <n v="28144"/>
    <n v="1567"/>
    <n v="142"/>
    <n v="3"/>
    <x v="48"/>
    <x v="3"/>
    <x v="0"/>
    <s v="No"/>
    <s v="Yes"/>
    <x v="0"/>
    <n v="0"/>
  </r>
  <r>
    <n v="379"/>
    <n v="379"/>
    <n v="19349"/>
    <n v="4941"/>
    <n v="366"/>
    <n v="1"/>
    <x v="45"/>
    <x v="7"/>
    <x v="0"/>
    <s v="No"/>
    <s v="Yes"/>
    <x v="0"/>
    <n v="717"/>
  </r>
  <r>
    <n v="380"/>
    <n v="380"/>
    <n v="53308"/>
    <n v="2860"/>
    <n v="214"/>
    <n v="1"/>
    <x v="57"/>
    <x v="3"/>
    <x v="0"/>
    <s v="No"/>
    <s v="Yes"/>
    <x v="0"/>
    <n v="0"/>
  </r>
  <r>
    <n v="381"/>
    <n v="381"/>
    <n v="115123"/>
    <n v="7760"/>
    <n v="538"/>
    <n v="3"/>
    <x v="44"/>
    <x v="8"/>
    <x v="1"/>
    <s v="No"/>
    <s v="No"/>
    <x v="2"/>
    <n v="661"/>
  </r>
  <r>
    <n v="382"/>
    <n v="382"/>
    <n v="101788"/>
    <n v="8029"/>
    <n v="574"/>
    <n v="2"/>
    <x v="57"/>
    <x v="0"/>
    <x v="0"/>
    <s v="No"/>
    <s v="Yes"/>
    <x v="0"/>
    <n v="849"/>
  </r>
  <r>
    <n v="383"/>
    <n v="383"/>
    <n v="24824"/>
    <n v="5495"/>
    <n v="409"/>
    <n v="1"/>
    <x v="45"/>
    <x v="5"/>
    <x v="0"/>
    <s v="Yes"/>
    <s v="No"/>
    <x v="0"/>
    <n v="1352"/>
  </r>
  <r>
    <n v="384"/>
    <n v="384"/>
    <n v="14292"/>
    <n v="3274"/>
    <n v="282"/>
    <n v="9"/>
    <x v="11"/>
    <x v="5"/>
    <x v="0"/>
    <s v="No"/>
    <s v="Yes"/>
    <x v="0"/>
    <n v="382"/>
  </r>
  <r>
    <n v="385"/>
    <n v="385"/>
    <n v="20088"/>
    <n v="1870"/>
    <n v="180"/>
    <n v="3"/>
    <x v="64"/>
    <x v="2"/>
    <x v="0"/>
    <s v="No"/>
    <s v="No"/>
    <x v="2"/>
    <n v="0"/>
  </r>
  <r>
    <n v="386"/>
    <n v="386"/>
    <n v="264"/>
    <n v="5640"/>
    <n v="398"/>
    <n v="3"/>
    <x v="54"/>
    <x v="1"/>
    <x v="1"/>
    <s v="No"/>
    <s v="No"/>
    <x v="1"/>
    <n v="905"/>
  </r>
  <r>
    <n v="387"/>
    <n v="387"/>
    <n v="19253"/>
    <n v="3683"/>
    <n v="287"/>
    <n v="4"/>
    <x v="12"/>
    <x v="3"/>
    <x v="0"/>
    <s v="No"/>
    <s v="No"/>
    <x v="2"/>
    <n v="371"/>
  </r>
  <r>
    <n v="388"/>
    <n v="388"/>
    <n v="16529"/>
    <n v="1357"/>
    <n v="126"/>
    <n v="3"/>
    <x v="55"/>
    <x v="5"/>
    <x v="0"/>
    <s v="No"/>
    <s v="No"/>
    <x v="1"/>
    <n v="0"/>
  </r>
  <r>
    <n v="389"/>
    <n v="389"/>
    <n v="37878"/>
    <n v="6827"/>
    <n v="482"/>
    <n v="2"/>
    <x v="59"/>
    <x v="6"/>
    <x v="1"/>
    <s v="No"/>
    <s v="No"/>
    <x v="0"/>
    <n v="1129"/>
  </r>
  <r>
    <n v="390"/>
    <n v="390"/>
    <n v="83948"/>
    <n v="7100"/>
    <n v="503"/>
    <n v="2"/>
    <x v="18"/>
    <x v="14"/>
    <x v="0"/>
    <s v="No"/>
    <s v="No"/>
    <x v="0"/>
    <n v="806"/>
  </r>
  <r>
    <n v="391"/>
    <n v="391"/>
    <n v="135118"/>
    <n v="10578"/>
    <n v="747"/>
    <n v="3"/>
    <x v="36"/>
    <x v="1"/>
    <x v="1"/>
    <s v="No"/>
    <s v="Yes"/>
    <x v="1"/>
    <n v="1393"/>
  </r>
  <r>
    <n v="392"/>
    <n v="392"/>
    <n v="73327"/>
    <n v="6555"/>
    <n v="472"/>
    <n v="2"/>
    <x v="26"/>
    <x v="1"/>
    <x v="1"/>
    <s v="No"/>
    <s v="No"/>
    <x v="0"/>
    <n v="721"/>
  </r>
  <r>
    <n v="393"/>
    <n v="393"/>
    <n v="25974"/>
    <n v="2308"/>
    <n v="196"/>
    <n v="2"/>
    <x v="28"/>
    <x v="3"/>
    <x v="0"/>
    <s v="No"/>
    <s v="No"/>
    <x v="1"/>
    <n v="0"/>
  </r>
  <r>
    <n v="394"/>
    <n v="394"/>
    <n v="17316"/>
    <n v="1335"/>
    <n v="138"/>
    <n v="2"/>
    <x v="34"/>
    <x v="6"/>
    <x v="0"/>
    <s v="No"/>
    <s v="No"/>
    <x v="2"/>
    <n v="0"/>
  </r>
  <r>
    <n v="395"/>
    <n v="395"/>
    <n v="49794"/>
    <n v="5758"/>
    <n v="410"/>
    <n v="4"/>
    <x v="43"/>
    <x v="11"/>
    <x v="0"/>
    <s v="No"/>
    <s v="No"/>
    <x v="0"/>
    <n v="734"/>
  </r>
  <r>
    <n v="396"/>
    <n v="396"/>
    <n v="12096"/>
    <n v="4100"/>
    <n v="307"/>
    <n v="3"/>
    <x v="31"/>
    <x v="6"/>
    <x v="0"/>
    <s v="No"/>
    <s v="Yes"/>
    <x v="0"/>
    <n v="560"/>
  </r>
  <r>
    <n v="397"/>
    <n v="397"/>
    <n v="13364"/>
    <n v="3838"/>
    <n v="296"/>
    <n v="5"/>
    <x v="34"/>
    <x v="10"/>
    <x v="0"/>
    <s v="No"/>
    <s v="No"/>
    <x v="2"/>
    <n v="480"/>
  </r>
  <r>
    <n v="398"/>
    <n v="398"/>
    <n v="57872"/>
    <n v="4171"/>
    <n v="321"/>
    <n v="5"/>
    <x v="56"/>
    <x v="4"/>
    <x v="1"/>
    <s v="No"/>
    <s v="Yes"/>
    <x v="0"/>
    <n v="138"/>
  </r>
  <r>
    <n v="399"/>
    <n v="399"/>
    <n v="37728"/>
    <n v="2525"/>
    <n v="192"/>
    <n v="1"/>
    <x v="18"/>
    <x v="6"/>
    <x v="0"/>
    <s v="No"/>
    <s v="Yes"/>
    <x v="0"/>
    <n v="0"/>
  </r>
  <r>
    <n v="400"/>
    <n v="400"/>
    <n v="18701"/>
    <n v="5524"/>
    <n v="415"/>
    <n v="5"/>
    <x v="11"/>
    <x v="9"/>
    <x v="1"/>
    <s v="No"/>
    <s v="No"/>
    <x v="1"/>
    <n v="9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07EC1-11AB-4FFB-B7CD-7B94489C466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03" firstHeaderRow="1" firstDataRow="3" firstDataCol="1" rowPageCount="1" colPageCount="1"/>
  <pivotFields count="13">
    <pivotField showAll="0"/>
    <pivotField showAll="0"/>
    <pivotField dataField="1" showAll="0"/>
    <pivotField showAll="0"/>
    <pivotField showAll="0"/>
    <pivotField showAll="0"/>
    <pivotField axis="axisRow" dataField="1" showAll="0">
      <items count="69">
        <item x="67"/>
        <item x="28"/>
        <item x="23"/>
        <item x="49"/>
        <item x="30"/>
        <item x="17"/>
        <item x="60"/>
        <item x="10"/>
        <item x="41"/>
        <item x="31"/>
        <item x="45"/>
        <item x="0"/>
        <item x="37"/>
        <item x="3"/>
        <item x="6"/>
        <item x="39"/>
        <item x="62"/>
        <item x="43"/>
        <item x="9"/>
        <item x="47"/>
        <item x="26"/>
        <item x="18"/>
        <item x="42"/>
        <item x="50"/>
        <item x="25"/>
        <item x="22"/>
        <item x="13"/>
        <item x="29"/>
        <item x="48"/>
        <item x="46"/>
        <item x="53"/>
        <item x="27"/>
        <item x="24"/>
        <item x="52"/>
        <item x="12"/>
        <item x="54"/>
        <item x="38"/>
        <item x="32"/>
        <item x="21"/>
        <item x="55"/>
        <item x="19"/>
        <item x="11"/>
        <item x="34"/>
        <item x="8"/>
        <item x="56"/>
        <item x="4"/>
        <item x="16"/>
        <item x="35"/>
        <item x="2"/>
        <item x="20"/>
        <item x="15"/>
        <item x="51"/>
        <item x="14"/>
        <item x="64"/>
        <item x="5"/>
        <item x="40"/>
        <item x="33"/>
        <item x="59"/>
        <item x="36"/>
        <item x="1"/>
        <item x="44"/>
        <item x="57"/>
        <item x="61"/>
        <item x="65"/>
        <item x="7"/>
        <item x="58"/>
        <item x="63"/>
        <item x="66"/>
        <item t="default"/>
      </items>
    </pivotField>
    <pivotField axis="axisRow" showAll="0">
      <items count="17">
        <item x="12"/>
        <item x="15"/>
        <item x="9"/>
        <item x="11"/>
        <item x="5"/>
        <item x="3"/>
        <item x="0"/>
        <item x="4"/>
        <item x="6"/>
        <item x="8"/>
        <item x="1"/>
        <item x="2"/>
        <item x="10"/>
        <item x="14"/>
        <item x="7"/>
        <item x="1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2">
    <field x="7"/>
    <field x="6"/>
  </rowFields>
  <rowItems count="198">
    <i>
      <x/>
    </i>
    <i r="1">
      <x v="24"/>
    </i>
    <i>
      <x v="1"/>
    </i>
    <i r="1">
      <x v="14"/>
    </i>
    <i r="1">
      <x v="56"/>
    </i>
    <i>
      <x v="2"/>
    </i>
    <i r="1">
      <x/>
    </i>
    <i r="1">
      <x v="15"/>
    </i>
    <i r="1">
      <x v="22"/>
    </i>
    <i r="1">
      <x v="34"/>
    </i>
    <i r="1">
      <x v="41"/>
    </i>
    <i r="1">
      <x v="54"/>
    </i>
    <i>
      <x v="3"/>
    </i>
    <i r="1">
      <x v="12"/>
    </i>
    <i r="1">
      <x v="35"/>
    </i>
    <i r="1">
      <x v="36"/>
    </i>
    <i r="1">
      <x v="37"/>
    </i>
    <i r="1">
      <x v="41"/>
    </i>
    <i r="1">
      <x v="44"/>
    </i>
    <i r="1">
      <x v="47"/>
    </i>
    <i r="1">
      <x v="58"/>
    </i>
    <i>
      <x v="4"/>
    </i>
    <i r="1">
      <x v="5"/>
    </i>
    <i r="1">
      <x v="11"/>
    </i>
    <i r="1">
      <x v="17"/>
    </i>
    <i r="1">
      <x v="24"/>
    </i>
    <i r="1">
      <x v="29"/>
    </i>
    <i r="1">
      <x v="32"/>
    </i>
    <i r="1">
      <x v="40"/>
    </i>
    <i r="1">
      <x v="43"/>
    </i>
    <i r="1">
      <x v="46"/>
    </i>
    <i r="1">
      <x v="58"/>
    </i>
    <i>
      <x v="5"/>
    </i>
    <i r="1">
      <x v="2"/>
    </i>
    <i r="1">
      <x v="6"/>
    </i>
    <i r="1">
      <x v="7"/>
    </i>
    <i r="1">
      <x v="14"/>
    </i>
    <i r="1">
      <x v="22"/>
    </i>
    <i r="1">
      <x v="23"/>
    </i>
    <i r="1">
      <x v="36"/>
    </i>
    <i r="1">
      <x v="41"/>
    </i>
    <i r="1">
      <x v="44"/>
    </i>
    <i r="1">
      <x v="48"/>
    </i>
    <i r="1">
      <x v="59"/>
    </i>
    <i>
      <x v="6"/>
    </i>
    <i r="1">
      <x v="1"/>
    </i>
    <i r="1">
      <x v="9"/>
    </i>
    <i r="1">
      <x v="11"/>
    </i>
    <i r="1">
      <x v="13"/>
    </i>
    <i r="1">
      <x v="18"/>
    </i>
    <i r="1">
      <x v="22"/>
    </i>
    <i r="1">
      <x v="37"/>
    </i>
    <i r="1">
      <x v="44"/>
    </i>
    <i r="1">
      <x v="46"/>
    </i>
    <i r="1">
      <x v="48"/>
    </i>
    <i r="1">
      <x v="49"/>
    </i>
    <i r="1">
      <x v="51"/>
    </i>
    <i r="1">
      <x v="53"/>
    </i>
    <i r="1">
      <x v="55"/>
    </i>
    <i r="1">
      <x v="61"/>
    </i>
    <i r="1">
      <x v="66"/>
    </i>
    <i>
      <x v="7"/>
    </i>
    <i r="1">
      <x v="7"/>
    </i>
    <i r="1">
      <x v="9"/>
    </i>
    <i r="1">
      <x v="12"/>
    </i>
    <i r="1">
      <x v="13"/>
    </i>
    <i r="1">
      <x v="14"/>
    </i>
    <i r="1">
      <x v="18"/>
    </i>
    <i r="1">
      <x v="21"/>
    </i>
    <i r="1">
      <x v="26"/>
    </i>
    <i r="1">
      <x v="27"/>
    </i>
    <i r="1">
      <x v="30"/>
    </i>
    <i r="1">
      <x v="33"/>
    </i>
    <i r="1">
      <x v="36"/>
    </i>
    <i r="1">
      <x v="39"/>
    </i>
    <i r="1">
      <x v="43"/>
    </i>
    <i r="1">
      <x v="44"/>
    </i>
    <i r="1">
      <x v="57"/>
    </i>
    <i r="1">
      <x v="58"/>
    </i>
    <i r="1">
      <x v="60"/>
    </i>
    <i>
      <x v="8"/>
    </i>
    <i r="1">
      <x v="10"/>
    </i>
    <i r="1">
      <x v="12"/>
    </i>
    <i r="1">
      <x v="15"/>
    </i>
    <i r="1">
      <x v="20"/>
    </i>
    <i r="1">
      <x v="23"/>
    </i>
    <i r="1">
      <x v="25"/>
    </i>
    <i r="1">
      <x v="30"/>
    </i>
    <i r="1">
      <x v="33"/>
    </i>
    <i r="1">
      <x v="35"/>
    </i>
    <i r="1">
      <x v="41"/>
    </i>
    <i r="1">
      <x v="43"/>
    </i>
    <i r="1">
      <x v="47"/>
    </i>
    <i r="1">
      <x v="48"/>
    </i>
    <i r="1">
      <x v="52"/>
    </i>
    <i r="1">
      <x v="53"/>
    </i>
    <i r="1">
      <x v="57"/>
    </i>
    <i r="1">
      <x v="59"/>
    </i>
    <i>
      <x v="9"/>
    </i>
    <i r="1">
      <x v="1"/>
    </i>
    <i r="1">
      <x v="2"/>
    </i>
    <i r="1">
      <x v="5"/>
    </i>
    <i r="1">
      <x v="7"/>
    </i>
    <i r="1">
      <x v="11"/>
    </i>
    <i r="1">
      <x v="14"/>
    </i>
    <i r="1">
      <x v="15"/>
    </i>
    <i r="1">
      <x v="18"/>
    </i>
    <i r="1">
      <x v="24"/>
    </i>
    <i r="1">
      <x v="27"/>
    </i>
    <i r="1">
      <x v="31"/>
    </i>
    <i r="1">
      <x v="36"/>
    </i>
    <i r="1">
      <x v="42"/>
    </i>
    <i r="1">
      <x v="45"/>
    </i>
    <i r="1">
      <x v="48"/>
    </i>
    <i r="1">
      <x v="54"/>
    </i>
    <i r="1">
      <x v="60"/>
    </i>
    <i>
      <x v="10"/>
    </i>
    <i r="1">
      <x v="2"/>
    </i>
    <i r="1">
      <x v="4"/>
    </i>
    <i r="1">
      <x v="5"/>
    </i>
    <i r="1">
      <x v="6"/>
    </i>
    <i r="1">
      <x v="7"/>
    </i>
    <i r="1">
      <x v="11"/>
    </i>
    <i r="1">
      <x v="20"/>
    </i>
    <i r="1">
      <x v="22"/>
    </i>
    <i r="1">
      <x v="25"/>
    </i>
    <i r="1">
      <x v="27"/>
    </i>
    <i r="1">
      <x v="29"/>
    </i>
    <i r="1">
      <x v="32"/>
    </i>
    <i r="1">
      <x v="34"/>
    </i>
    <i r="1">
      <x v="35"/>
    </i>
    <i r="1">
      <x v="41"/>
    </i>
    <i r="1">
      <x v="43"/>
    </i>
    <i r="1">
      <x v="44"/>
    </i>
    <i r="1">
      <x v="46"/>
    </i>
    <i r="1">
      <x v="54"/>
    </i>
    <i r="1">
      <x v="55"/>
    </i>
    <i r="1">
      <x v="56"/>
    </i>
    <i r="1">
      <x v="58"/>
    </i>
    <i r="1">
      <x v="59"/>
    </i>
    <i>
      <x v="11"/>
    </i>
    <i r="1">
      <x v="2"/>
    </i>
    <i r="1">
      <x v="14"/>
    </i>
    <i r="1">
      <x v="17"/>
    </i>
    <i r="1">
      <x v="19"/>
    </i>
    <i r="1">
      <x v="21"/>
    </i>
    <i r="1">
      <x v="23"/>
    </i>
    <i r="1">
      <x v="28"/>
    </i>
    <i r="1">
      <x v="31"/>
    </i>
    <i r="1">
      <x v="32"/>
    </i>
    <i r="1">
      <x v="39"/>
    </i>
    <i r="1">
      <x v="40"/>
    </i>
    <i r="1">
      <x v="41"/>
    </i>
    <i r="1">
      <x v="46"/>
    </i>
    <i r="1">
      <x v="47"/>
    </i>
    <i r="1">
      <x v="49"/>
    </i>
    <i r="1">
      <x v="50"/>
    </i>
    <i r="1">
      <x v="57"/>
    </i>
    <i r="1">
      <x v="58"/>
    </i>
    <i r="1">
      <x v="62"/>
    </i>
    <i r="1">
      <x v="63"/>
    </i>
    <i>
      <x v="12"/>
    </i>
    <i r="1">
      <x v="17"/>
    </i>
    <i r="1">
      <x v="21"/>
    </i>
    <i r="1">
      <x v="23"/>
    </i>
    <i r="1">
      <x v="26"/>
    </i>
    <i r="1">
      <x v="27"/>
    </i>
    <i r="1">
      <x v="29"/>
    </i>
    <i r="1">
      <x v="34"/>
    </i>
    <i r="1">
      <x v="39"/>
    </i>
    <i r="1">
      <x v="49"/>
    </i>
    <i r="1">
      <x v="50"/>
    </i>
    <i r="1">
      <x v="51"/>
    </i>
    <i r="1">
      <x v="52"/>
    </i>
    <i r="1">
      <x v="54"/>
    </i>
    <i r="1">
      <x v="58"/>
    </i>
    <i r="1">
      <x v="61"/>
    </i>
    <i>
      <x v="13"/>
    </i>
    <i r="1">
      <x v="2"/>
    </i>
    <i r="1">
      <x v="11"/>
    </i>
    <i r="1">
      <x v="21"/>
    </i>
    <i r="1">
      <x v="24"/>
    </i>
    <i r="1">
      <x v="25"/>
    </i>
    <i r="1">
      <x v="35"/>
    </i>
    <i r="1">
      <x v="47"/>
    </i>
    <i r="1">
      <x v="52"/>
    </i>
    <i r="1">
      <x v="53"/>
    </i>
    <i r="1">
      <x v="56"/>
    </i>
    <i r="1">
      <x v="57"/>
    </i>
    <i>
      <x v="14"/>
    </i>
    <i r="1">
      <x v="16"/>
    </i>
    <i r="1">
      <x v="18"/>
    </i>
    <i r="1">
      <x v="35"/>
    </i>
    <i r="1">
      <x v="39"/>
    </i>
    <i r="1">
      <x v="56"/>
    </i>
    <i>
      <x v="15"/>
    </i>
    <i r="1">
      <x v="12"/>
    </i>
    <i t="grand">
      <x/>
    </i>
  </rowItems>
  <colFields count="2">
    <field x="1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8" item="1" hier="-1"/>
  </pageFields>
  <dataFields count="2">
    <dataField name="Sum of Income" fld="2" baseField="0" baseItem="0"/>
    <dataField name="Sum of Ag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D7D28F5-C28A-4EB8-80D7-C2E1F3C99119}" autoFormatId="16" applyNumberFormats="0" applyBorderFormats="0" applyFontFormats="0" applyPatternFormats="0" applyAlignmentFormats="0" applyWidthHeightFormats="0">
  <queryTableRefresh nextId="14">
    <queryTableFields count="6">
      <queryTableField id="1" name="Column1" tableColumnId="1"/>
      <queryTableField id="2" name="ID" tableColumnId="2"/>
      <queryTableField id="3" name="Income" tableColumnId="3"/>
      <queryTableField id="5" name="Rating" tableColumnId="5"/>
      <queryTableField id="7" name="Age" tableColumnId="7"/>
      <queryTableField id="13" name="Balance" tableColumnId="13"/>
    </queryTableFields>
    <queryTableDeletedFields count="7">
      <deletedField name="Gender"/>
      <deletedField name="Student"/>
      <deletedField name="Married"/>
      <deletedField name="Ethnicity"/>
      <deletedField name="Limit"/>
      <deletedField name="Cards"/>
      <deletedField name="Educa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303361-31C4-4416-8F1C-0A83C1F0DF4C}" autoFormatId="16" applyNumberFormats="0" applyBorderFormats="0" applyFontFormats="0" applyPatternFormats="0" applyAlignmentFormats="0" applyWidthHeightFormats="0">
  <queryTableRefresh nextId="14">
    <queryTableFields count="6">
      <queryTableField id="1" name="Column1" tableColumnId="1"/>
      <queryTableField id="2" name="ID" tableColumnId="2"/>
      <queryTableField id="3" name="Income" tableColumnId="3"/>
      <queryTableField id="5" name="Rating" tableColumnId="5"/>
      <queryTableField id="7" name="Age" tableColumnId="7"/>
      <queryTableField id="13" name="Balance" tableColumnId="13"/>
    </queryTableFields>
    <queryTableDeletedFields count="7">
      <deletedField name="Gender"/>
      <deletedField name="Student"/>
      <deletedField name="Married"/>
      <deletedField name="Ethnicity"/>
      <deletedField name="Education"/>
      <deletedField name="Cards"/>
      <deletedField name="Lim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A867E7-5BDA-40E7-AE7E-8FF39A93B416}" name="Credit_ISLR__5" displayName="Credit_ISLR__5" ref="A1:F402" tableType="queryTable" totalsRowShown="0">
  <autoFilter ref="A1:F402" xr:uid="{8BA867E7-5BDA-40E7-AE7E-8FF39A93B416}"/>
  <tableColumns count="6">
    <tableColumn id="1" xr3:uid="{12BF66FB-1C50-4FCD-887A-E7C8D892CF6E}" uniqueName="1" name="Column1" queryTableFieldId="1"/>
    <tableColumn id="2" xr3:uid="{D1CFFF05-CA2A-467A-AA87-FEF5A9784EF7}" uniqueName="2" name="ID" queryTableFieldId="2"/>
    <tableColumn id="3" xr3:uid="{E6600ADD-E5CE-49AD-A140-4B9A7DF14A47}" uniqueName="3" name="Income" queryTableFieldId="3"/>
    <tableColumn id="5" xr3:uid="{02E5123D-D070-40E6-B0FC-393FAAB956BB}" uniqueName="5" name="Rating" queryTableFieldId="5"/>
    <tableColumn id="7" xr3:uid="{AAFC29AE-8A48-4826-ADE6-DC5C30EEB35B}" uniqueName="7" name="Age" queryTableFieldId="7"/>
    <tableColumn id="13" xr3:uid="{F332BD4A-F7F9-4525-9D22-260EEB522789}" uniqueName="13" name="Balance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C80C9-0214-43FF-8051-9AE84A204C24}" name="credit__2" displayName="credit__2" ref="A1:F401" tableType="queryTable" totalsRowShown="0">
  <autoFilter ref="A1:F401" xr:uid="{374C80C9-0214-43FF-8051-9AE84A204C24}">
    <filterColumn colId="5">
      <filters>
        <filter val="1000"/>
        <filter val="1003"/>
        <filter val="1018"/>
        <filter val="1020"/>
        <filter val="1023"/>
        <filter val="1032"/>
        <filter val="1036"/>
        <filter val="1046"/>
        <filter val="1048"/>
        <filter val="1050"/>
        <filter val="1054"/>
        <filter val="1058"/>
        <filter val="1075"/>
        <filter val="108"/>
        <filter val="1081"/>
        <filter val="1084"/>
        <filter val="1086"/>
        <filter val="1092"/>
        <filter val="1093"/>
        <filter val="1099"/>
        <filter val="1103"/>
        <filter val="1107"/>
        <filter val="1120"/>
        <filter val="1129"/>
        <filter val="1140"/>
        <filter val="1142"/>
        <filter val="1151"/>
        <filter val="1155"/>
        <filter val="1176"/>
        <filter val="118"/>
        <filter val="1192"/>
        <filter val="1208"/>
        <filter val="121"/>
        <filter val="1216"/>
        <filter val="1230"/>
        <filter val="1237"/>
        <filter val="1241"/>
        <filter val="1243"/>
        <filter val="1246"/>
        <filter val="1255"/>
        <filter val="1259"/>
        <filter val="126"/>
        <filter val="1264"/>
        <filter val="1298"/>
        <filter val="1311"/>
        <filter val="132"/>
        <filter val="1329"/>
        <filter val="133"/>
        <filter val="1341"/>
        <filter val="1350"/>
        <filter val="1352"/>
        <filter val="1355"/>
        <filter val="136"/>
        <filter val="1361"/>
        <filter val="138"/>
        <filter val="1380"/>
        <filter val="1388"/>
        <filter val="1393"/>
        <filter val="1404"/>
        <filter val="1405"/>
        <filter val="1407"/>
        <filter val="1411"/>
        <filter val="1425"/>
        <filter val="1426"/>
        <filter val="1448"/>
        <filter val="145"/>
        <filter val="148"/>
        <filter val="15"/>
        <filter val="1549"/>
        <filter val="155"/>
        <filter val="156"/>
        <filter val="1573"/>
        <filter val="1587"/>
        <filter val="159"/>
        <filter val="1597"/>
        <filter val="16"/>
        <filter val="162"/>
        <filter val="163"/>
        <filter val="1677"/>
        <filter val="1687"/>
        <filter val="172"/>
        <filter val="1779"/>
        <filter val="1809"/>
        <filter val="182"/>
        <filter val="187"/>
        <filter val="188"/>
        <filter val="191"/>
        <filter val="194"/>
        <filter val="195"/>
        <filter val="199"/>
        <filter val="1999"/>
        <filter val="203"/>
        <filter val="204"/>
        <filter val="209"/>
        <filter val="210"/>
        <filter val="211"/>
        <filter val="216"/>
        <filter val="218"/>
        <filter val="227"/>
        <filter val="230"/>
        <filter val="246"/>
        <filter val="250"/>
        <filter val="255"/>
        <filter val="265"/>
        <filter val="269"/>
        <filter val="271"/>
        <filter val="279"/>
        <filter val="283"/>
        <filter val="29"/>
        <filter val="293"/>
        <filter val="295"/>
        <filter val="297"/>
        <filter val="298"/>
        <filter val="302"/>
        <filter val="308"/>
        <filter val="309"/>
        <filter val="320"/>
        <filter val="331"/>
        <filter val="333"/>
        <filter val="336"/>
        <filter val="344"/>
        <filter val="345"/>
        <filter val="347"/>
        <filter val="357"/>
        <filter val="368"/>
        <filter val="371"/>
        <filter val="375"/>
        <filter val="379"/>
        <filter val="380"/>
        <filter val="382"/>
        <filter val="384"/>
        <filter val="385"/>
        <filter val="391"/>
        <filter val="410"/>
        <filter val="411"/>
        <filter val="413"/>
        <filter val="414"/>
        <filter val="415"/>
        <filter val="419"/>
        <filter val="423"/>
        <filter val="425"/>
        <filter val="426"/>
        <filter val="429"/>
        <filter val="431"/>
        <filter val="436"/>
        <filter val="443"/>
        <filter val="450"/>
        <filter val="453"/>
        <filter val="454"/>
        <filter val="456"/>
        <filter val="463"/>
        <filter val="465"/>
        <filter val="467"/>
        <filter val="47"/>
        <filter val="474"/>
        <filter val="480"/>
        <filter val="481"/>
        <filter val="482"/>
        <filter val="485"/>
        <filter val="489"/>
        <filter val="5"/>
        <filter val="50"/>
        <filter val="503"/>
        <filter val="510"/>
        <filter val="516"/>
        <filter val="52"/>
        <filter val="526"/>
        <filter val="529"/>
        <filter val="531"/>
        <filter val="532"/>
        <filter val="534"/>
        <filter val="538"/>
        <filter val="541"/>
        <filter val="548"/>
        <filter val="549"/>
        <filter val="560"/>
        <filter val="570"/>
        <filter val="571"/>
        <filter val="573"/>
        <filter val="578"/>
        <filter val="579"/>
        <filter val="580"/>
        <filter val="581"/>
        <filter val="583"/>
        <filter val="588"/>
        <filter val="594"/>
        <filter val="601"/>
        <filter val="602"/>
        <filter val="605"/>
        <filter val="606"/>
        <filter val="607"/>
        <filter val="611"/>
        <filter val="631"/>
        <filter val="633"/>
        <filter val="637"/>
        <filter val="638"/>
        <filter val="642"/>
        <filter val="651"/>
        <filter val="653"/>
        <filter val="654"/>
        <filter val="657"/>
        <filter val="661"/>
        <filter val="663"/>
        <filter val="669"/>
        <filter val="671"/>
        <filter val="68"/>
        <filter val="681"/>
        <filter val="689"/>
        <filter val="69"/>
        <filter val="70"/>
        <filter val="701"/>
        <filter val="710"/>
        <filter val="711"/>
        <filter val="712"/>
        <filter val="717"/>
        <filter val="721"/>
        <filter val="724"/>
        <filter val="728"/>
        <filter val="732"/>
        <filter val="734"/>
        <filter val="745"/>
        <filter val="749"/>
        <filter val="75"/>
        <filter val="762"/>
        <filter val="767"/>
        <filter val="768"/>
        <filter val="772"/>
        <filter val="789"/>
        <filter val="790"/>
        <filter val="797"/>
        <filter val="799"/>
        <filter val="8"/>
        <filter val="802"/>
        <filter val="805"/>
        <filter val="806"/>
        <filter val="81"/>
        <filter val="812"/>
        <filter val="815"/>
        <filter val="822"/>
        <filter val="823"/>
        <filter val="829"/>
        <filter val="835"/>
        <filter val="836"/>
        <filter val="840"/>
        <filter val="843"/>
        <filter val="844"/>
        <filter val="846"/>
        <filter val="849"/>
        <filter val="856"/>
        <filter val="863"/>
        <filter val="868"/>
        <filter val="872"/>
        <filter val="885"/>
        <filter val="889"/>
        <filter val="89"/>
        <filter val="890"/>
        <filter val="891"/>
        <filter val="902"/>
        <filter val="903"/>
        <filter val="904"/>
        <filter val="905"/>
        <filter val="907"/>
        <filter val="912"/>
        <filter val="915"/>
        <filter val="926"/>
        <filter val="930"/>
        <filter val="937"/>
        <filter val="942"/>
        <filter val="945"/>
        <filter val="95"/>
        <filter val="955"/>
        <filter val="957"/>
        <filter val="962"/>
        <filter val="964"/>
        <filter val="966"/>
        <filter val="967"/>
        <filter val="968"/>
        <filter val="976"/>
        <filter val="98"/>
        <filter val="984"/>
        <filter val="99"/>
        <filter val="992"/>
        <filter val="997"/>
      </filters>
    </filterColumn>
  </autoFilter>
  <tableColumns count="6">
    <tableColumn id="1" xr3:uid="{B8F60714-6562-49EE-9C98-F2959D860B43}" uniqueName="1" name="Column1" queryTableFieldId="1"/>
    <tableColumn id="2" xr3:uid="{65EF6441-104C-4073-A5FE-59C329D33D28}" uniqueName="2" name="ID" queryTableFieldId="2"/>
    <tableColumn id="3" xr3:uid="{C57BB3A8-3FD5-4C42-87C4-CDD00333F738}" uniqueName="3" name="Income" queryTableFieldId="3"/>
    <tableColumn id="5" xr3:uid="{8EB2692B-EE81-4581-A39A-E1F6118EE90A}" uniqueName="5" name="Rating" queryTableFieldId="5"/>
    <tableColumn id="7" xr3:uid="{EE46F05C-4316-46FD-80B8-FE9051394FBF}" uniqueName="7" name="Age" queryTableFieldId="7"/>
    <tableColumn id="13" xr3:uid="{BD6C9E00-4CD9-49B6-84DD-FBD16B2973E7}" uniqueName="13" name="Balance" queryTableField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FE77F-F0A3-480F-B112-EAD31E9574AF}" name="Table2" displayName="Table2" ref="A1:D311" totalsRowShown="0">
  <autoFilter ref="A1:D311" xr:uid="{FB3FE77F-F0A3-480F-B112-EAD31E9574AF}"/>
  <tableColumns count="4">
    <tableColumn id="1" xr3:uid="{C300B9BB-80EB-46FC-8471-6175AA7647BC}" name="Income"/>
    <tableColumn id="2" xr3:uid="{C829EC1F-23A8-48B7-82F2-3C2A262056FF}" name="Rating"/>
    <tableColumn id="3" xr3:uid="{EC0302A9-D5FD-408B-BC95-09889028C381}" name="Age"/>
    <tableColumn id="4" xr3:uid="{55E62327-319B-4D45-A82E-A250EEAE0E30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6A20-79A2-4263-9D5F-2182D96C3ED7}">
  <dimension ref="A1:I203"/>
  <sheetViews>
    <sheetView workbookViewId="0">
      <selection activeCell="K20" sqref="K20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1" bestFit="1" customWidth="1"/>
    <col min="4" max="4" width="14.5703125" bestFit="1" customWidth="1"/>
    <col min="5" max="5" width="11" bestFit="1" customWidth="1"/>
    <col min="6" max="6" width="14.5703125" bestFit="1" customWidth="1"/>
    <col min="7" max="7" width="11" bestFit="1" customWidth="1"/>
    <col min="8" max="8" width="19.5703125" bestFit="1" customWidth="1"/>
    <col min="9" max="9" width="16" bestFit="1" customWidth="1"/>
  </cols>
  <sheetData>
    <row r="1" spans="1:9" x14ac:dyDescent="0.25">
      <c r="A1" s="4" t="s">
        <v>8</v>
      </c>
      <c r="B1" t="s">
        <v>11</v>
      </c>
    </row>
    <row r="3" spans="1:9" x14ac:dyDescent="0.25">
      <c r="B3" s="4" t="s">
        <v>20</v>
      </c>
    </row>
    <row r="4" spans="1:9" x14ac:dyDescent="0.25">
      <c r="B4" t="s">
        <v>13</v>
      </c>
      <c r="D4" t="s">
        <v>12</v>
      </c>
      <c r="F4" t="s">
        <v>10</v>
      </c>
      <c r="H4" t="s">
        <v>21</v>
      </c>
      <c r="I4" t="s">
        <v>22</v>
      </c>
    </row>
    <row r="5" spans="1:9" x14ac:dyDescent="0.25">
      <c r="A5" s="4" t="s">
        <v>18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5">
        <v>5</v>
      </c>
      <c r="F6">
        <v>34142</v>
      </c>
      <c r="G6">
        <v>47</v>
      </c>
      <c r="H6">
        <v>34142</v>
      </c>
      <c r="I6">
        <v>47</v>
      </c>
    </row>
    <row r="7" spans="1:9" x14ac:dyDescent="0.25">
      <c r="A7" s="6">
        <v>47</v>
      </c>
      <c r="F7">
        <v>34142</v>
      </c>
      <c r="G7">
        <v>47</v>
      </c>
      <c r="H7">
        <v>34142</v>
      </c>
      <c r="I7">
        <v>47</v>
      </c>
    </row>
    <row r="8" spans="1:9" x14ac:dyDescent="0.25">
      <c r="A8" s="5">
        <v>6</v>
      </c>
      <c r="F8">
        <v>36597</v>
      </c>
      <c r="G8">
        <v>116</v>
      </c>
      <c r="H8">
        <v>36597</v>
      </c>
      <c r="I8">
        <v>116</v>
      </c>
    </row>
    <row r="9" spans="1:9" x14ac:dyDescent="0.25">
      <c r="A9" s="6">
        <v>37</v>
      </c>
      <c r="F9">
        <v>89</v>
      </c>
      <c r="G9">
        <v>37</v>
      </c>
      <c r="H9">
        <v>89</v>
      </c>
      <c r="I9">
        <v>37</v>
      </c>
    </row>
    <row r="10" spans="1:9" x14ac:dyDescent="0.25">
      <c r="A10" s="6">
        <v>79</v>
      </c>
      <c r="F10">
        <v>36508</v>
      </c>
      <c r="G10">
        <v>79</v>
      </c>
      <c r="H10">
        <v>36508</v>
      </c>
      <c r="I10">
        <v>79</v>
      </c>
    </row>
    <row r="11" spans="1:9" x14ac:dyDescent="0.25">
      <c r="A11" s="5">
        <v>7</v>
      </c>
      <c r="D11">
        <v>99317</v>
      </c>
      <c r="E11">
        <v>121</v>
      </c>
      <c r="F11">
        <v>143668</v>
      </c>
      <c r="G11">
        <v>183</v>
      </c>
      <c r="H11">
        <v>242985</v>
      </c>
      <c r="I11">
        <v>304</v>
      </c>
    </row>
    <row r="12" spans="1:9" x14ac:dyDescent="0.25">
      <c r="A12" s="6">
        <v>23</v>
      </c>
      <c r="F12">
        <v>24314</v>
      </c>
      <c r="G12">
        <v>23</v>
      </c>
      <c r="H12">
        <v>24314</v>
      </c>
      <c r="I12">
        <v>23</v>
      </c>
    </row>
    <row r="13" spans="1:9" x14ac:dyDescent="0.25">
      <c r="A13" s="6">
        <v>38</v>
      </c>
      <c r="F13">
        <v>31335</v>
      </c>
      <c r="G13">
        <v>38</v>
      </c>
      <c r="H13">
        <v>31335</v>
      </c>
      <c r="I13">
        <v>38</v>
      </c>
    </row>
    <row r="14" spans="1:9" x14ac:dyDescent="0.25">
      <c r="A14" s="6">
        <v>45</v>
      </c>
      <c r="F14">
        <v>57337</v>
      </c>
      <c r="G14">
        <v>45</v>
      </c>
      <c r="H14">
        <v>57337</v>
      </c>
      <c r="I14">
        <v>45</v>
      </c>
    </row>
    <row r="15" spans="1:9" x14ac:dyDescent="0.25">
      <c r="A15" s="6">
        <v>57</v>
      </c>
      <c r="D15">
        <v>80616</v>
      </c>
      <c r="E15">
        <v>57</v>
      </c>
      <c r="H15">
        <v>80616</v>
      </c>
      <c r="I15">
        <v>57</v>
      </c>
    </row>
    <row r="16" spans="1:9" x14ac:dyDescent="0.25">
      <c r="A16" s="6">
        <v>64</v>
      </c>
      <c r="D16">
        <v>18701</v>
      </c>
      <c r="E16">
        <v>64</v>
      </c>
      <c r="H16">
        <v>18701</v>
      </c>
      <c r="I16">
        <v>64</v>
      </c>
    </row>
    <row r="17" spans="1:9" x14ac:dyDescent="0.25">
      <c r="A17" s="6">
        <v>77</v>
      </c>
      <c r="F17">
        <v>30682</v>
      </c>
      <c r="G17">
        <v>77</v>
      </c>
      <c r="H17">
        <v>30682</v>
      </c>
      <c r="I17">
        <v>77</v>
      </c>
    </row>
    <row r="18" spans="1:9" x14ac:dyDescent="0.25">
      <c r="A18" s="5">
        <v>8</v>
      </c>
      <c r="B18">
        <v>303581</v>
      </c>
      <c r="C18">
        <v>244</v>
      </c>
      <c r="D18">
        <v>213295</v>
      </c>
      <c r="E18">
        <v>127</v>
      </c>
      <c r="F18">
        <v>127264</v>
      </c>
      <c r="G18">
        <v>123</v>
      </c>
      <c r="H18">
        <v>644140</v>
      </c>
      <c r="I18">
        <v>494</v>
      </c>
    </row>
    <row r="19" spans="1:9" x14ac:dyDescent="0.25">
      <c r="A19" s="6">
        <v>35</v>
      </c>
      <c r="B19">
        <v>27794</v>
      </c>
      <c r="C19">
        <v>35</v>
      </c>
      <c r="H19">
        <v>27794</v>
      </c>
      <c r="I19">
        <v>35</v>
      </c>
    </row>
    <row r="20" spans="1:9" x14ac:dyDescent="0.25">
      <c r="A20" s="6">
        <v>58</v>
      </c>
      <c r="B20">
        <v>180682</v>
      </c>
      <c r="C20">
        <v>58</v>
      </c>
      <c r="H20">
        <v>180682</v>
      </c>
      <c r="I20">
        <v>58</v>
      </c>
    </row>
    <row r="21" spans="1:9" x14ac:dyDescent="0.25">
      <c r="A21" s="6">
        <v>59</v>
      </c>
      <c r="F21">
        <v>54319</v>
      </c>
      <c r="G21">
        <v>59</v>
      </c>
      <c r="H21">
        <v>54319</v>
      </c>
      <c r="I21">
        <v>59</v>
      </c>
    </row>
    <row r="22" spans="1:9" x14ac:dyDescent="0.25">
      <c r="A22" s="6">
        <v>60</v>
      </c>
      <c r="D22">
        <v>32916</v>
      </c>
      <c r="E22">
        <v>60</v>
      </c>
      <c r="H22">
        <v>32916</v>
      </c>
      <c r="I22">
        <v>60</v>
      </c>
    </row>
    <row r="23" spans="1:9" x14ac:dyDescent="0.25">
      <c r="A23" s="6">
        <v>64</v>
      </c>
      <c r="F23">
        <v>72945</v>
      </c>
      <c r="G23">
        <v>64</v>
      </c>
      <c r="H23">
        <v>72945</v>
      </c>
      <c r="I23">
        <v>64</v>
      </c>
    </row>
    <row r="24" spans="1:9" x14ac:dyDescent="0.25">
      <c r="A24" s="6">
        <v>67</v>
      </c>
      <c r="D24">
        <v>180379</v>
      </c>
      <c r="E24">
        <v>67</v>
      </c>
      <c r="H24">
        <v>180379</v>
      </c>
      <c r="I24">
        <v>67</v>
      </c>
    </row>
    <row r="25" spans="1:9" x14ac:dyDescent="0.25">
      <c r="A25" s="6">
        <v>70</v>
      </c>
      <c r="B25">
        <v>54663</v>
      </c>
      <c r="C25">
        <v>70</v>
      </c>
      <c r="H25">
        <v>54663</v>
      </c>
      <c r="I25">
        <v>70</v>
      </c>
    </row>
    <row r="26" spans="1:9" x14ac:dyDescent="0.25">
      <c r="A26" s="6">
        <v>81</v>
      </c>
      <c r="B26">
        <v>40442</v>
      </c>
      <c r="C26">
        <v>81</v>
      </c>
      <c r="H26">
        <v>40442</v>
      </c>
      <c r="I26">
        <v>81</v>
      </c>
    </row>
    <row r="27" spans="1:9" x14ac:dyDescent="0.25">
      <c r="A27" s="5">
        <v>9</v>
      </c>
      <c r="B27">
        <v>67937</v>
      </c>
      <c r="C27">
        <v>199</v>
      </c>
      <c r="D27">
        <v>39827</v>
      </c>
      <c r="E27">
        <v>109</v>
      </c>
      <c r="F27">
        <v>127967</v>
      </c>
      <c r="G27">
        <v>227</v>
      </c>
      <c r="H27">
        <v>235731</v>
      </c>
      <c r="I27">
        <v>535</v>
      </c>
    </row>
    <row r="28" spans="1:9" x14ac:dyDescent="0.25">
      <c r="A28" s="6">
        <v>28</v>
      </c>
      <c r="D28">
        <v>4957</v>
      </c>
      <c r="E28">
        <v>28</v>
      </c>
      <c r="H28">
        <v>4957</v>
      </c>
      <c r="I28">
        <v>28</v>
      </c>
    </row>
    <row r="29" spans="1:9" x14ac:dyDescent="0.25">
      <c r="A29" s="6">
        <v>34</v>
      </c>
      <c r="D29">
        <v>19537</v>
      </c>
      <c r="E29">
        <v>34</v>
      </c>
      <c r="H29">
        <v>19537</v>
      </c>
      <c r="I29">
        <v>34</v>
      </c>
    </row>
    <row r="30" spans="1:9" x14ac:dyDescent="0.25">
      <c r="A30" s="6">
        <v>40</v>
      </c>
      <c r="F30">
        <v>27369</v>
      </c>
      <c r="G30">
        <v>40</v>
      </c>
      <c r="H30">
        <v>27369</v>
      </c>
      <c r="I30">
        <v>40</v>
      </c>
    </row>
    <row r="31" spans="1:9" x14ac:dyDescent="0.25">
      <c r="A31" s="6">
        <v>47</v>
      </c>
      <c r="D31">
        <v>15333</v>
      </c>
      <c r="E31">
        <v>47</v>
      </c>
      <c r="H31">
        <v>15333</v>
      </c>
      <c r="I31">
        <v>47</v>
      </c>
    </row>
    <row r="32" spans="1:9" x14ac:dyDescent="0.25">
      <c r="A32" s="6">
        <v>52</v>
      </c>
      <c r="B32">
        <v>5953</v>
      </c>
      <c r="C32">
        <v>52</v>
      </c>
      <c r="H32">
        <v>5953</v>
      </c>
      <c r="I32">
        <v>52</v>
      </c>
    </row>
    <row r="33" spans="1:9" x14ac:dyDescent="0.25">
      <c r="A33" s="6">
        <v>55</v>
      </c>
      <c r="F33">
        <v>33657</v>
      </c>
      <c r="G33">
        <v>55</v>
      </c>
      <c r="H33">
        <v>33657</v>
      </c>
      <c r="I33">
        <v>55</v>
      </c>
    </row>
    <row r="34" spans="1:9" x14ac:dyDescent="0.25">
      <c r="A34" s="6">
        <v>63</v>
      </c>
      <c r="F34">
        <v>36934</v>
      </c>
      <c r="G34">
        <v>63</v>
      </c>
      <c r="H34">
        <v>36934</v>
      </c>
      <c r="I34">
        <v>63</v>
      </c>
    </row>
    <row r="35" spans="1:9" x14ac:dyDescent="0.25">
      <c r="A35" s="6">
        <v>66</v>
      </c>
      <c r="B35">
        <v>58929</v>
      </c>
      <c r="C35">
        <v>66</v>
      </c>
      <c r="H35">
        <v>58929</v>
      </c>
      <c r="I35">
        <v>66</v>
      </c>
    </row>
    <row r="36" spans="1:9" x14ac:dyDescent="0.25">
      <c r="A36" s="6">
        <v>69</v>
      </c>
      <c r="F36">
        <v>30007</v>
      </c>
      <c r="G36">
        <v>69</v>
      </c>
      <c r="H36">
        <v>30007</v>
      </c>
      <c r="I36">
        <v>69</v>
      </c>
    </row>
    <row r="37" spans="1:9" x14ac:dyDescent="0.25">
      <c r="A37" s="6">
        <v>81</v>
      </c>
      <c r="B37">
        <v>3055</v>
      </c>
      <c r="C37">
        <v>81</v>
      </c>
      <c r="H37">
        <v>3055</v>
      </c>
      <c r="I37">
        <v>81</v>
      </c>
    </row>
    <row r="38" spans="1:9" x14ac:dyDescent="0.25">
      <c r="A38" s="5">
        <v>10</v>
      </c>
      <c r="B38">
        <v>107261</v>
      </c>
      <c r="C38">
        <v>110</v>
      </c>
      <c r="D38">
        <v>10627</v>
      </c>
      <c r="E38">
        <v>71</v>
      </c>
      <c r="F38">
        <v>214110</v>
      </c>
      <c r="G38">
        <v>374</v>
      </c>
      <c r="H38">
        <v>331998</v>
      </c>
      <c r="I38">
        <v>555</v>
      </c>
    </row>
    <row r="39" spans="1:9" x14ac:dyDescent="0.25">
      <c r="A39" s="6">
        <v>25</v>
      </c>
      <c r="F39">
        <v>11795</v>
      </c>
      <c r="G39">
        <v>25</v>
      </c>
      <c r="H39">
        <v>11795</v>
      </c>
      <c r="I39">
        <v>25</v>
      </c>
    </row>
    <row r="40" spans="1:9" x14ac:dyDescent="0.25">
      <c r="A40" s="6">
        <v>29</v>
      </c>
      <c r="F40">
        <v>28316</v>
      </c>
      <c r="G40">
        <v>29</v>
      </c>
      <c r="H40">
        <v>28316</v>
      </c>
      <c r="I40">
        <v>29</v>
      </c>
    </row>
    <row r="41" spans="1:9" x14ac:dyDescent="0.25">
      <c r="A41" s="6">
        <v>30</v>
      </c>
      <c r="F41">
        <v>44978</v>
      </c>
      <c r="G41">
        <v>30</v>
      </c>
      <c r="H41">
        <v>44978</v>
      </c>
      <c r="I41">
        <v>30</v>
      </c>
    </row>
    <row r="42" spans="1:9" x14ac:dyDescent="0.25">
      <c r="A42" s="6">
        <v>37</v>
      </c>
      <c r="F42">
        <v>10842</v>
      </c>
      <c r="G42">
        <v>37</v>
      </c>
      <c r="H42">
        <v>10842</v>
      </c>
      <c r="I42">
        <v>37</v>
      </c>
    </row>
    <row r="43" spans="1:9" x14ac:dyDescent="0.25">
      <c r="A43" s="6">
        <v>45</v>
      </c>
      <c r="F43">
        <v>16103</v>
      </c>
      <c r="G43">
        <v>45</v>
      </c>
      <c r="H43">
        <v>16103</v>
      </c>
      <c r="I43">
        <v>45</v>
      </c>
    </row>
    <row r="44" spans="1:9" x14ac:dyDescent="0.25">
      <c r="A44" s="6">
        <v>46</v>
      </c>
      <c r="B44">
        <v>87625</v>
      </c>
      <c r="C44">
        <v>46</v>
      </c>
      <c r="H44">
        <v>87625</v>
      </c>
      <c r="I44">
        <v>46</v>
      </c>
    </row>
    <row r="45" spans="1:9" x14ac:dyDescent="0.25">
      <c r="A45" s="6">
        <v>59</v>
      </c>
      <c r="F45">
        <v>21238</v>
      </c>
      <c r="G45">
        <v>59</v>
      </c>
      <c r="H45">
        <v>21238</v>
      </c>
      <c r="I45">
        <v>59</v>
      </c>
    </row>
    <row r="46" spans="1:9" x14ac:dyDescent="0.25">
      <c r="A46" s="6">
        <v>64</v>
      </c>
      <c r="B46">
        <v>19636</v>
      </c>
      <c r="C46">
        <v>64</v>
      </c>
      <c r="H46">
        <v>19636</v>
      </c>
      <c r="I46">
        <v>64</v>
      </c>
    </row>
    <row r="47" spans="1:9" x14ac:dyDescent="0.25">
      <c r="A47" s="6">
        <v>67</v>
      </c>
      <c r="F47">
        <v>27272</v>
      </c>
      <c r="G47">
        <v>67</v>
      </c>
      <c r="H47">
        <v>27272</v>
      </c>
      <c r="I47">
        <v>67</v>
      </c>
    </row>
    <row r="48" spans="1:9" x14ac:dyDescent="0.25">
      <c r="A48" s="6">
        <v>71</v>
      </c>
      <c r="D48">
        <v>10627</v>
      </c>
      <c r="E48">
        <v>71</v>
      </c>
      <c r="H48">
        <v>10627</v>
      </c>
      <c r="I48">
        <v>71</v>
      </c>
    </row>
    <row r="49" spans="1:9" x14ac:dyDescent="0.25">
      <c r="A49" s="6">
        <v>82</v>
      </c>
      <c r="F49">
        <v>53566</v>
      </c>
      <c r="G49">
        <v>82</v>
      </c>
      <c r="H49">
        <v>53566</v>
      </c>
      <c r="I49">
        <v>82</v>
      </c>
    </row>
    <row r="50" spans="1:9" x14ac:dyDescent="0.25">
      <c r="A50" s="5">
        <v>11</v>
      </c>
      <c r="B50">
        <v>373121</v>
      </c>
      <c r="C50">
        <v>339</v>
      </c>
      <c r="D50">
        <v>170638</v>
      </c>
      <c r="E50">
        <v>109</v>
      </c>
      <c r="F50">
        <v>454230</v>
      </c>
      <c r="G50">
        <v>651</v>
      </c>
      <c r="H50">
        <v>997989</v>
      </c>
      <c r="I50">
        <v>1099</v>
      </c>
    </row>
    <row r="51" spans="1:9" x14ac:dyDescent="0.25">
      <c r="A51" s="6">
        <v>24</v>
      </c>
      <c r="F51">
        <v>41419</v>
      </c>
      <c r="G51">
        <v>24</v>
      </c>
      <c r="H51">
        <v>41419</v>
      </c>
      <c r="I51">
        <v>24</v>
      </c>
    </row>
    <row r="52" spans="1:9" x14ac:dyDescent="0.25">
      <c r="A52" s="6">
        <v>32</v>
      </c>
      <c r="D52">
        <v>2747</v>
      </c>
      <c r="E52">
        <v>32</v>
      </c>
      <c r="H52">
        <v>2747</v>
      </c>
      <c r="I52">
        <v>32</v>
      </c>
    </row>
    <row r="53" spans="1:9" x14ac:dyDescent="0.25">
      <c r="A53" s="6">
        <v>34</v>
      </c>
      <c r="B53">
        <v>69165</v>
      </c>
      <c r="C53">
        <v>34</v>
      </c>
      <c r="H53">
        <v>69165</v>
      </c>
      <c r="I53">
        <v>34</v>
      </c>
    </row>
    <row r="54" spans="1:9" x14ac:dyDescent="0.25">
      <c r="A54" s="6">
        <v>36</v>
      </c>
      <c r="D54">
        <v>148924</v>
      </c>
      <c r="E54">
        <v>36</v>
      </c>
      <c r="H54">
        <v>148924</v>
      </c>
      <c r="I54">
        <v>36</v>
      </c>
    </row>
    <row r="55" spans="1:9" x14ac:dyDescent="0.25">
      <c r="A55" s="6">
        <v>41</v>
      </c>
      <c r="D55">
        <v>18967</v>
      </c>
      <c r="E55">
        <v>41</v>
      </c>
      <c r="H55">
        <v>18967</v>
      </c>
      <c r="I55">
        <v>41</v>
      </c>
    </row>
    <row r="56" spans="1:9" x14ac:dyDescent="0.25">
      <c r="A56" s="6">
        <v>45</v>
      </c>
      <c r="F56">
        <v>110968</v>
      </c>
      <c r="G56">
        <v>45</v>
      </c>
      <c r="H56">
        <v>110968</v>
      </c>
      <c r="I56">
        <v>45</v>
      </c>
    </row>
    <row r="57" spans="1:9" x14ac:dyDescent="0.25">
      <c r="A57" s="6">
        <v>60</v>
      </c>
      <c r="B57">
        <v>28575</v>
      </c>
      <c r="C57">
        <v>60</v>
      </c>
      <c r="H57">
        <v>28575</v>
      </c>
      <c r="I57">
        <v>60</v>
      </c>
    </row>
    <row r="58" spans="1:9" x14ac:dyDescent="0.25">
      <c r="A58" s="6">
        <v>67</v>
      </c>
      <c r="F58">
        <v>70264</v>
      </c>
      <c r="G58">
        <v>134</v>
      </c>
      <c r="H58">
        <v>70264</v>
      </c>
      <c r="I58">
        <v>134</v>
      </c>
    </row>
    <row r="59" spans="1:9" x14ac:dyDescent="0.25">
      <c r="A59" s="6">
        <v>69</v>
      </c>
      <c r="F59">
        <v>15184</v>
      </c>
      <c r="G59">
        <v>69</v>
      </c>
      <c r="H59">
        <v>15184</v>
      </c>
      <c r="I59">
        <v>69</v>
      </c>
    </row>
    <row r="60" spans="1:9" x14ac:dyDescent="0.25">
      <c r="A60" s="6">
        <v>71</v>
      </c>
      <c r="F60">
        <v>62413</v>
      </c>
      <c r="G60">
        <v>71</v>
      </c>
      <c r="H60">
        <v>62413</v>
      </c>
      <c r="I60">
        <v>71</v>
      </c>
    </row>
    <row r="61" spans="1:9" x14ac:dyDescent="0.25">
      <c r="A61" s="6">
        <v>72</v>
      </c>
      <c r="F61">
        <v>57202</v>
      </c>
      <c r="G61">
        <v>72</v>
      </c>
      <c r="H61">
        <v>57202</v>
      </c>
      <c r="I61">
        <v>72</v>
      </c>
    </row>
    <row r="62" spans="1:9" x14ac:dyDescent="0.25">
      <c r="A62" s="6">
        <v>74</v>
      </c>
      <c r="F62">
        <v>21374</v>
      </c>
      <c r="G62">
        <v>74</v>
      </c>
      <c r="H62">
        <v>21374</v>
      </c>
      <c r="I62">
        <v>74</v>
      </c>
    </row>
    <row r="63" spans="1:9" x14ac:dyDescent="0.25">
      <c r="A63" s="6">
        <v>76</v>
      </c>
      <c r="B63">
        <v>24919</v>
      </c>
      <c r="C63">
        <v>76</v>
      </c>
      <c r="H63">
        <v>24919</v>
      </c>
      <c r="I63">
        <v>76</v>
      </c>
    </row>
    <row r="64" spans="1:9" x14ac:dyDescent="0.25">
      <c r="A64" s="6">
        <v>78</v>
      </c>
      <c r="B64">
        <v>98515</v>
      </c>
      <c r="C64">
        <v>78</v>
      </c>
      <c r="F64">
        <v>12804</v>
      </c>
      <c r="G64">
        <v>78</v>
      </c>
      <c r="H64">
        <v>111319</v>
      </c>
      <c r="I64">
        <v>156</v>
      </c>
    </row>
    <row r="65" spans="1:9" x14ac:dyDescent="0.25">
      <c r="A65" s="6">
        <v>84</v>
      </c>
      <c r="F65">
        <v>62602</v>
      </c>
      <c r="G65">
        <v>84</v>
      </c>
      <c r="H65">
        <v>62602</v>
      </c>
      <c r="I65">
        <v>84</v>
      </c>
    </row>
    <row r="66" spans="1:9" x14ac:dyDescent="0.25">
      <c r="A66" s="6">
        <v>91</v>
      </c>
      <c r="B66">
        <v>151947</v>
      </c>
      <c r="C66">
        <v>91</v>
      </c>
      <c r="H66">
        <v>151947</v>
      </c>
      <c r="I66">
        <v>91</v>
      </c>
    </row>
    <row r="67" spans="1:9" x14ac:dyDescent="0.25">
      <c r="A67" s="5">
        <v>12</v>
      </c>
      <c r="B67">
        <v>159476</v>
      </c>
      <c r="C67">
        <v>240</v>
      </c>
      <c r="D67">
        <v>334428</v>
      </c>
      <c r="E67">
        <v>294</v>
      </c>
      <c r="F67">
        <v>259032</v>
      </c>
      <c r="G67">
        <v>513</v>
      </c>
      <c r="H67">
        <v>752936</v>
      </c>
      <c r="I67">
        <v>1047</v>
      </c>
    </row>
    <row r="68" spans="1:9" x14ac:dyDescent="0.25">
      <c r="A68" s="6">
        <v>30</v>
      </c>
      <c r="D68">
        <v>69251</v>
      </c>
      <c r="E68">
        <v>30</v>
      </c>
      <c r="F68">
        <v>29564</v>
      </c>
      <c r="G68">
        <v>30</v>
      </c>
      <c r="H68">
        <v>98815</v>
      </c>
      <c r="I68">
        <v>60</v>
      </c>
    </row>
    <row r="69" spans="1:9" x14ac:dyDescent="0.25">
      <c r="A69" s="6">
        <v>32</v>
      </c>
      <c r="B69">
        <v>39831</v>
      </c>
      <c r="C69">
        <v>32</v>
      </c>
      <c r="H69">
        <v>39831</v>
      </c>
      <c r="I69">
        <v>32</v>
      </c>
    </row>
    <row r="70" spans="1:9" x14ac:dyDescent="0.25">
      <c r="A70" s="6">
        <v>35</v>
      </c>
      <c r="B70">
        <v>53401</v>
      </c>
      <c r="C70">
        <v>35</v>
      </c>
      <c r="H70">
        <v>53401</v>
      </c>
      <c r="I70">
        <v>35</v>
      </c>
    </row>
    <row r="71" spans="1:9" x14ac:dyDescent="0.25">
      <c r="A71" s="6">
        <v>36</v>
      </c>
      <c r="F71">
        <v>2733</v>
      </c>
      <c r="G71">
        <v>36</v>
      </c>
      <c r="H71">
        <v>2733</v>
      </c>
      <c r="I71">
        <v>36</v>
      </c>
    </row>
    <row r="72" spans="1:9" x14ac:dyDescent="0.25">
      <c r="A72" s="6">
        <v>37</v>
      </c>
      <c r="B72">
        <v>20996</v>
      </c>
      <c r="C72">
        <v>37</v>
      </c>
      <c r="H72">
        <v>20996</v>
      </c>
      <c r="I72">
        <v>37</v>
      </c>
    </row>
    <row r="73" spans="1:9" x14ac:dyDescent="0.25">
      <c r="A73" s="6">
        <v>41</v>
      </c>
      <c r="D73">
        <v>152298</v>
      </c>
      <c r="E73">
        <v>41</v>
      </c>
      <c r="H73">
        <v>152298</v>
      </c>
      <c r="I73">
        <v>41</v>
      </c>
    </row>
    <row r="74" spans="1:9" x14ac:dyDescent="0.25">
      <c r="A74" s="6">
        <v>44</v>
      </c>
      <c r="F74">
        <v>42471</v>
      </c>
      <c r="G74">
        <v>44</v>
      </c>
      <c r="H74">
        <v>42471</v>
      </c>
      <c r="I74">
        <v>44</v>
      </c>
    </row>
    <row r="75" spans="1:9" x14ac:dyDescent="0.25">
      <c r="A75" s="6">
        <v>49</v>
      </c>
      <c r="F75">
        <v>2335</v>
      </c>
      <c r="G75">
        <v>49</v>
      </c>
      <c r="H75">
        <v>2335</v>
      </c>
      <c r="I75">
        <v>49</v>
      </c>
    </row>
    <row r="76" spans="1:9" x14ac:dyDescent="0.25">
      <c r="A76" s="6">
        <v>50</v>
      </c>
      <c r="F76">
        <v>7738</v>
      </c>
      <c r="G76">
        <v>50</v>
      </c>
      <c r="H76">
        <v>7738</v>
      </c>
      <c r="I76">
        <v>50</v>
      </c>
    </row>
    <row r="77" spans="1:9" x14ac:dyDescent="0.25">
      <c r="A77" s="6">
        <v>53</v>
      </c>
      <c r="F77">
        <v>15846</v>
      </c>
      <c r="G77">
        <v>53</v>
      </c>
      <c r="H77">
        <v>15846</v>
      </c>
      <c r="I77">
        <v>53</v>
      </c>
    </row>
    <row r="78" spans="1:9" x14ac:dyDescent="0.25">
      <c r="A78" s="6">
        <v>56</v>
      </c>
      <c r="B78">
        <v>23793</v>
      </c>
      <c r="C78">
        <v>56</v>
      </c>
      <c r="F78">
        <v>58165</v>
      </c>
      <c r="G78">
        <v>56</v>
      </c>
      <c r="H78">
        <v>81958</v>
      </c>
      <c r="I78">
        <v>112</v>
      </c>
    </row>
    <row r="79" spans="1:9" x14ac:dyDescent="0.25">
      <c r="A79" s="6">
        <v>59</v>
      </c>
      <c r="D79">
        <v>11741</v>
      </c>
      <c r="E79">
        <v>59</v>
      </c>
      <c r="H79">
        <v>11741</v>
      </c>
      <c r="I79">
        <v>59</v>
      </c>
    </row>
    <row r="80" spans="1:9" x14ac:dyDescent="0.25">
      <c r="A80" s="6">
        <v>62</v>
      </c>
      <c r="F80">
        <v>24543</v>
      </c>
      <c r="G80">
        <v>62</v>
      </c>
      <c r="H80">
        <v>24543</v>
      </c>
      <c r="I80">
        <v>62</v>
      </c>
    </row>
    <row r="81" spans="1:9" x14ac:dyDescent="0.25">
      <c r="A81" s="6">
        <v>66</v>
      </c>
      <c r="F81">
        <v>17765</v>
      </c>
      <c r="G81">
        <v>66</v>
      </c>
      <c r="H81">
        <v>17765</v>
      </c>
      <c r="I81">
        <v>66</v>
      </c>
    </row>
    <row r="82" spans="1:9" x14ac:dyDescent="0.25">
      <c r="A82" s="6">
        <v>67</v>
      </c>
      <c r="F82">
        <v>57872</v>
      </c>
      <c r="G82">
        <v>67</v>
      </c>
      <c r="H82">
        <v>57872</v>
      </c>
      <c r="I82">
        <v>67</v>
      </c>
    </row>
    <row r="83" spans="1:9" x14ac:dyDescent="0.25">
      <c r="A83" s="6">
        <v>80</v>
      </c>
      <c r="B83">
        <v>21455</v>
      </c>
      <c r="C83">
        <v>80</v>
      </c>
      <c r="H83">
        <v>21455</v>
      </c>
      <c r="I83">
        <v>80</v>
      </c>
    </row>
    <row r="84" spans="1:9" x14ac:dyDescent="0.25">
      <c r="A84" s="6">
        <v>81</v>
      </c>
      <c r="D84">
        <v>58781</v>
      </c>
      <c r="E84">
        <v>81</v>
      </c>
      <c r="H84">
        <v>58781</v>
      </c>
      <c r="I84">
        <v>81</v>
      </c>
    </row>
    <row r="85" spans="1:9" x14ac:dyDescent="0.25">
      <c r="A85" s="6">
        <v>83</v>
      </c>
      <c r="D85">
        <v>42357</v>
      </c>
      <c r="E85">
        <v>83</v>
      </c>
      <c r="H85">
        <v>42357</v>
      </c>
      <c r="I85">
        <v>83</v>
      </c>
    </row>
    <row r="86" spans="1:9" x14ac:dyDescent="0.25">
      <c r="A86" s="5">
        <v>13</v>
      </c>
      <c r="B86">
        <v>96171</v>
      </c>
      <c r="C86">
        <v>154</v>
      </c>
      <c r="D86">
        <v>362069</v>
      </c>
      <c r="E86">
        <v>327</v>
      </c>
      <c r="F86">
        <v>480909</v>
      </c>
      <c r="G86">
        <v>832</v>
      </c>
      <c r="H86">
        <v>939149</v>
      </c>
      <c r="I86">
        <v>1313</v>
      </c>
    </row>
    <row r="87" spans="1:9" x14ac:dyDescent="0.25">
      <c r="A87" s="6">
        <v>33</v>
      </c>
      <c r="B87">
        <v>36142</v>
      </c>
      <c r="C87">
        <v>33</v>
      </c>
      <c r="H87">
        <v>36142</v>
      </c>
      <c r="I87">
        <v>33</v>
      </c>
    </row>
    <row r="88" spans="1:9" x14ac:dyDescent="0.25">
      <c r="A88" s="6">
        <v>35</v>
      </c>
      <c r="D88">
        <v>27952</v>
      </c>
      <c r="E88">
        <v>35</v>
      </c>
      <c r="H88">
        <v>27952</v>
      </c>
      <c r="I88">
        <v>35</v>
      </c>
    </row>
    <row r="89" spans="1:9" x14ac:dyDescent="0.25">
      <c r="A89" s="6">
        <v>38</v>
      </c>
      <c r="D89">
        <v>113829</v>
      </c>
      <c r="E89">
        <v>38</v>
      </c>
      <c r="H89">
        <v>113829</v>
      </c>
      <c r="I89">
        <v>38</v>
      </c>
    </row>
    <row r="90" spans="1:9" x14ac:dyDescent="0.25">
      <c r="A90" s="6">
        <v>43</v>
      </c>
      <c r="F90">
        <v>22574</v>
      </c>
      <c r="G90">
        <v>43</v>
      </c>
      <c r="H90">
        <v>22574</v>
      </c>
      <c r="I90">
        <v>43</v>
      </c>
    </row>
    <row r="91" spans="1:9" x14ac:dyDescent="0.25">
      <c r="A91" s="6">
        <v>46</v>
      </c>
      <c r="B91">
        <v>40885</v>
      </c>
      <c r="C91">
        <v>46</v>
      </c>
      <c r="F91">
        <v>59855</v>
      </c>
      <c r="G91">
        <v>46</v>
      </c>
      <c r="H91">
        <v>100740</v>
      </c>
      <c r="I91">
        <v>92</v>
      </c>
    </row>
    <row r="92" spans="1:9" x14ac:dyDescent="0.25">
      <c r="A92" s="6">
        <v>48</v>
      </c>
      <c r="F92">
        <v>134181</v>
      </c>
      <c r="G92">
        <v>48</v>
      </c>
      <c r="H92">
        <v>134181</v>
      </c>
      <c r="I92">
        <v>48</v>
      </c>
    </row>
    <row r="93" spans="1:9" x14ac:dyDescent="0.25">
      <c r="A93" s="6">
        <v>53</v>
      </c>
      <c r="D93">
        <v>44847</v>
      </c>
      <c r="E93">
        <v>53</v>
      </c>
      <c r="H93">
        <v>44847</v>
      </c>
      <c r="I93">
        <v>53</v>
      </c>
    </row>
    <row r="94" spans="1:9" x14ac:dyDescent="0.25">
      <c r="A94" s="6">
        <v>56</v>
      </c>
      <c r="F94">
        <v>24088</v>
      </c>
      <c r="G94">
        <v>56</v>
      </c>
      <c r="H94">
        <v>24088</v>
      </c>
      <c r="I94">
        <v>56</v>
      </c>
    </row>
    <row r="95" spans="1:9" x14ac:dyDescent="0.25">
      <c r="A95" s="6">
        <v>58</v>
      </c>
      <c r="F95">
        <v>21038</v>
      </c>
      <c r="G95">
        <v>58</v>
      </c>
      <c r="H95">
        <v>21038</v>
      </c>
      <c r="I95">
        <v>58</v>
      </c>
    </row>
    <row r="96" spans="1:9" x14ac:dyDescent="0.25">
      <c r="A96" s="6">
        <v>64</v>
      </c>
      <c r="D96">
        <v>82706</v>
      </c>
      <c r="E96">
        <v>64</v>
      </c>
      <c r="H96">
        <v>82706</v>
      </c>
      <c r="I96">
        <v>64</v>
      </c>
    </row>
    <row r="97" spans="1:9" x14ac:dyDescent="0.25">
      <c r="A97" s="6">
        <v>66</v>
      </c>
      <c r="D97">
        <v>44158</v>
      </c>
      <c r="E97">
        <v>66</v>
      </c>
      <c r="F97">
        <v>61577</v>
      </c>
      <c r="G97">
        <v>198</v>
      </c>
      <c r="H97">
        <v>105735</v>
      </c>
      <c r="I97">
        <v>264</v>
      </c>
    </row>
    <row r="98" spans="1:9" x14ac:dyDescent="0.25">
      <c r="A98" s="6">
        <v>70</v>
      </c>
      <c r="F98">
        <v>30002</v>
      </c>
      <c r="G98">
        <v>70</v>
      </c>
      <c r="H98">
        <v>30002</v>
      </c>
      <c r="I98">
        <v>70</v>
      </c>
    </row>
    <row r="99" spans="1:9" x14ac:dyDescent="0.25">
      <c r="A99" s="6">
        <v>71</v>
      </c>
      <c r="D99">
        <v>48577</v>
      </c>
      <c r="E99">
        <v>71</v>
      </c>
      <c r="H99">
        <v>48577</v>
      </c>
      <c r="I99">
        <v>71</v>
      </c>
    </row>
    <row r="100" spans="1:9" x14ac:dyDescent="0.25">
      <c r="A100" s="6">
        <v>75</v>
      </c>
      <c r="B100">
        <v>19144</v>
      </c>
      <c r="C100">
        <v>75</v>
      </c>
      <c r="F100">
        <v>31811</v>
      </c>
      <c r="G100">
        <v>75</v>
      </c>
      <c r="H100">
        <v>50955</v>
      </c>
      <c r="I100">
        <v>150</v>
      </c>
    </row>
    <row r="101" spans="1:9" x14ac:dyDescent="0.25">
      <c r="A101" s="6">
        <v>76</v>
      </c>
      <c r="F101">
        <v>38954</v>
      </c>
      <c r="G101">
        <v>76</v>
      </c>
      <c r="H101">
        <v>38954</v>
      </c>
      <c r="I101">
        <v>76</v>
      </c>
    </row>
    <row r="102" spans="1:9" x14ac:dyDescent="0.25">
      <c r="A102" s="6">
        <v>80</v>
      </c>
      <c r="F102">
        <v>37878</v>
      </c>
      <c r="G102">
        <v>80</v>
      </c>
      <c r="H102">
        <v>37878</v>
      </c>
      <c r="I102">
        <v>80</v>
      </c>
    </row>
    <row r="103" spans="1:9" x14ac:dyDescent="0.25">
      <c r="A103" s="6">
        <v>82</v>
      </c>
      <c r="F103">
        <v>18951</v>
      </c>
      <c r="G103">
        <v>82</v>
      </c>
      <c r="H103">
        <v>18951</v>
      </c>
      <c r="I103">
        <v>82</v>
      </c>
    </row>
    <row r="104" spans="1:9" x14ac:dyDescent="0.25">
      <c r="A104" s="5">
        <v>14</v>
      </c>
      <c r="B104">
        <v>420328</v>
      </c>
      <c r="C104">
        <v>381</v>
      </c>
      <c r="D104">
        <v>263570</v>
      </c>
      <c r="E104">
        <v>443</v>
      </c>
      <c r="F104">
        <v>191902</v>
      </c>
      <c r="G104">
        <v>215</v>
      </c>
      <c r="H104">
        <v>875800</v>
      </c>
      <c r="I104">
        <v>1039</v>
      </c>
    </row>
    <row r="105" spans="1:9" x14ac:dyDescent="0.25">
      <c r="A105" s="6">
        <v>24</v>
      </c>
      <c r="D105">
        <v>36929</v>
      </c>
      <c r="E105">
        <v>24</v>
      </c>
      <c r="H105">
        <v>36929</v>
      </c>
      <c r="I105">
        <v>24</v>
      </c>
    </row>
    <row r="106" spans="1:9" x14ac:dyDescent="0.25">
      <c r="A106" s="6">
        <v>25</v>
      </c>
      <c r="D106">
        <v>2015</v>
      </c>
      <c r="E106">
        <v>25</v>
      </c>
      <c r="H106">
        <v>2015</v>
      </c>
      <c r="I106">
        <v>25</v>
      </c>
    </row>
    <row r="107" spans="1:9" x14ac:dyDescent="0.25">
      <c r="A107" s="6">
        <v>28</v>
      </c>
      <c r="B107">
        <v>63931</v>
      </c>
      <c r="C107">
        <v>28</v>
      </c>
      <c r="F107">
        <v>12</v>
      </c>
      <c r="G107">
        <v>28</v>
      </c>
      <c r="H107">
        <v>63943</v>
      </c>
      <c r="I107">
        <v>56</v>
      </c>
    </row>
    <row r="108" spans="1:9" x14ac:dyDescent="0.25">
      <c r="A108" s="6">
        <v>30</v>
      </c>
      <c r="B108">
        <v>3042</v>
      </c>
      <c r="C108">
        <v>30</v>
      </c>
      <c r="H108">
        <v>3042</v>
      </c>
      <c r="I108">
        <v>30</v>
      </c>
    </row>
    <row r="109" spans="1:9" x14ac:dyDescent="0.25">
      <c r="A109" s="6">
        <v>34</v>
      </c>
      <c r="D109">
        <v>22379</v>
      </c>
      <c r="E109">
        <v>34</v>
      </c>
      <c r="H109">
        <v>22379</v>
      </c>
      <c r="I109">
        <v>34</v>
      </c>
    </row>
    <row r="110" spans="1:9" x14ac:dyDescent="0.25">
      <c r="A110" s="6">
        <v>37</v>
      </c>
      <c r="F110">
        <v>29403</v>
      </c>
      <c r="G110">
        <v>37</v>
      </c>
      <c r="H110">
        <v>29403</v>
      </c>
      <c r="I110">
        <v>37</v>
      </c>
    </row>
    <row r="111" spans="1:9" x14ac:dyDescent="0.25">
      <c r="A111" s="6">
        <v>38</v>
      </c>
      <c r="F111">
        <v>19225</v>
      </c>
      <c r="G111">
        <v>38</v>
      </c>
      <c r="H111">
        <v>19225</v>
      </c>
      <c r="I111">
        <v>38</v>
      </c>
    </row>
    <row r="112" spans="1:9" x14ac:dyDescent="0.25">
      <c r="A112" s="6">
        <v>41</v>
      </c>
      <c r="B112">
        <v>186634</v>
      </c>
      <c r="C112">
        <v>41</v>
      </c>
      <c r="D112">
        <v>75406</v>
      </c>
      <c r="E112">
        <v>41</v>
      </c>
      <c r="H112">
        <v>262040</v>
      </c>
      <c r="I112">
        <v>82</v>
      </c>
    </row>
    <row r="113" spans="1:9" x14ac:dyDescent="0.25">
      <c r="A113" s="6">
        <v>47</v>
      </c>
      <c r="F113">
        <v>66989</v>
      </c>
      <c r="G113">
        <v>47</v>
      </c>
      <c r="H113">
        <v>66989</v>
      </c>
      <c r="I113">
        <v>47</v>
      </c>
    </row>
    <row r="114" spans="1:9" x14ac:dyDescent="0.25">
      <c r="A114" s="6">
        <v>50</v>
      </c>
      <c r="D114">
        <v>2446</v>
      </c>
      <c r="E114">
        <v>50</v>
      </c>
      <c r="H114">
        <v>2446</v>
      </c>
      <c r="I114">
        <v>50</v>
      </c>
    </row>
    <row r="115" spans="1:9" x14ac:dyDescent="0.25">
      <c r="A115" s="6">
        <v>54</v>
      </c>
      <c r="B115">
        <v>3495</v>
      </c>
      <c r="C115">
        <v>54</v>
      </c>
      <c r="H115">
        <v>3495</v>
      </c>
      <c r="I115">
        <v>54</v>
      </c>
    </row>
    <row r="116" spans="1:9" x14ac:dyDescent="0.25">
      <c r="A116" s="6">
        <v>59</v>
      </c>
      <c r="D116">
        <v>19588</v>
      </c>
      <c r="E116">
        <v>59</v>
      </c>
      <c r="H116">
        <v>19588</v>
      </c>
      <c r="I116">
        <v>59</v>
      </c>
    </row>
    <row r="117" spans="1:9" x14ac:dyDescent="0.25">
      <c r="A117" s="6">
        <v>65</v>
      </c>
      <c r="F117">
        <v>76273</v>
      </c>
      <c r="G117">
        <v>65</v>
      </c>
      <c r="H117">
        <v>76273</v>
      </c>
      <c r="I117">
        <v>65</v>
      </c>
    </row>
    <row r="118" spans="1:9" x14ac:dyDescent="0.25">
      <c r="A118" s="6">
        <v>68</v>
      </c>
      <c r="B118">
        <v>36295</v>
      </c>
      <c r="C118">
        <v>68</v>
      </c>
      <c r="D118">
        <v>49166</v>
      </c>
      <c r="E118">
        <v>68</v>
      </c>
      <c r="H118">
        <v>85461</v>
      </c>
      <c r="I118">
        <v>136</v>
      </c>
    </row>
    <row r="119" spans="1:9" x14ac:dyDescent="0.25">
      <c r="A119" s="6">
        <v>71</v>
      </c>
      <c r="D119">
        <v>55641</v>
      </c>
      <c r="E119">
        <v>142</v>
      </c>
      <c r="H119">
        <v>55641</v>
      </c>
      <c r="I119">
        <v>142</v>
      </c>
    </row>
    <row r="120" spans="1:9" x14ac:dyDescent="0.25">
      <c r="A120" s="6">
        <v>77</v>
      </c>
      <c r="B120">
        <v>11808</v>
      </c>
      <c r="C120">
        <v>77</v>
      </c>
      <c r="H120">
        <v>11808</v>
      </c>
      <c r="I120">
        <v>77</v>
      </c>
    </row>
    <row r="121" spans="1:9" x14ac:dyDescent="0.25">
      <c r="A121" s="6">
        <v>83</v>
      </c>
      <c r="B121">
        <v>115123</v>
      </c>
      <c r="C121">
        <v>83</v>
      </c>
      <c r="H121">
        <v>115123</v>
      </c>
      <c r="I121">
        <v>83</v>
      </c>
    </row>
    <row r="122" spans="1:9" x14ac:dyDescent="0.25">
      <c r="A122" s="5">
        <v>15</v>
      </c>
      <c r="B122">
        <v>154651</v>
      </c>
      <c r="C122">
        <v>310</v>
      </c>
      <c r="D122">
        <v>508498</v>
      </c>
      <c r="E122">
        <v>548</v>
      </c>
      <c r="F122">
        <v>404921</v>
      </c>
      <c r="G122">
        <v>724</v>
      </c>
      <c r="H122">
        <v>1068070</v>
      </c>
      <c r="I122">
        <v>1582</v>
      </c>
    </row>
    <row r="123" spans="1:9" x14ac:dyDescent="0.25">
      <c r="A123" s="6">
        <v>25</v>
      </c>
      <c r="D123">
        <v>30413</v>
      </c>
      <c r="E123">
        <v>25</v>
      </c>
      <c r="H123">
        <v>30413</v>
      </c>
      <c r="I123">
        <v>25</v>
      </c>
    </row>
    <row r="124" spans="1:9" x14ac:dyDescent="0.25">
      <c r="A124" s="6">
        <v>27</v>
      </c>
      <c r="F124">
        <v>25078</v>
      </c>
      <c r="G124">
        <v>27</v>
      </c>
      <c r="H124">
        <v>25078</v>
      </c>
      <c r="I124">
        <v>27</v>
      </c>
    </row>
    <row r="125" spans="1:9" x14ac:dyDescent="0.25">
      <c r="A125" s="6">
        <v>28</v>
      </c>
      <c r="D125">
        <v>15079</v>
      </c>
      <c r="E125">
        <v>28</v>
      </c>
      <c r="H125">
        <v>15079</v>
      </c>
      <c r="I125">
        <v>28</v>
      </c>
    </row>
    <row r="126" spans="1:9" x14ac:dyDescent="0.25">
      <c r="A126" s="6">
        <v>29</v>
      </c>
      <c r="D126">
        <v>110499</v>
      </c>
      <c r="E126">
        <v>58</v>
      </c>
      <c r="H126">
        <v>110499</v>
      </c>
      <c r="I126">
        <v>58</v>
      </c>
    </row>
    <row r="127" spans="1:9" x14ac:dyDescent="0.25">
      <c r="A127" s="6">
        <v>30</v>
      </c>
      <c r="D127">
        <v>20936</v>
      </c>
      <c r="E127">
        <v>30</v>
      </c>
      <c r="H127">
        <v>20936</v>
      </c>
      <c r="I127">
        <v>30</v>
      </c>
    </row>
    <row r="128" spans="1:9" x14ac:dyDescent="0.25">
      <c r="A128" s="6">
        <v>34</v>
      </c>
      <c r="F128">
        <v>27578</v>
      </c>
      <c r="G128">
        <v>34</v>
      </c>
      <c r="H128">
        <v>27578</v>
      </c>
      <c r="I128">
        <v>34</v>
      </c>
    </row>
    <row r="129" spans="1:9" x14ac:dyDescent="0.25">
      <c r="A129" s="6">
        <v>43</v>
      </c>
      <c r="F129">
        <v>73327</v>
      </c>
      <c r="G129">
        <v>43</v>
      </c>
      <c r="H129">
        <v>73327</v>
      </c>
      <c r="I129">
        <v>43</v>
      </c>
    </row>
    <row r="130" spans="1:9" x14ac:dyDescent="0.25">
      <c r="A130" s="6">
        <v>45</v>
      </c>
      <c r="B130">
        <v>38009</v>
      </c>
      <c r="C130">
        <v>45</v>
      </c>
      <c r="H130">
        <v>38009</v>
      </c>
      <c r="I130">
        <v>45</v>
      </c>
    </row>
    <row r="131" spans="1:9" x14ac:dyDescent="0.25">
      <c r="A131" s="6">
        <v>48</v>
      </c>
      <c r="F131">
        <v>18036</v>
      </c>
      <c r="G131">
        <v>48</v>
      </c>
      <c r="H131">
        <v>18036</v>
      </c>
      <c r="I131">
        <v>48</v>
      </c>
    </row>
    <row r="132" spans="1:9" x14ac:dyDescent="0.25">
      <c r="A132" s="6">
        <v>50</v>
      </c>
      <c r="D132">
        <v>26427</v>
      </c>
      <c r="E132">
        <v>50</v>
      </c>
      <c r="F132">
        <v>23106</v>
      </c>
      <c r="G132">
        <v>50</v>
      </c>
      <c r="H132">
        <v>49533</v>
      </c>
      <c r="I132">
        <v>100</v>
      </c>
    </row>
    <row r="133" spans="1:9" x14ac:dyDescent="0.25">
      <c r="A133" s="6">
        <v>52</v>
      </c>
      <c r="B133">
        <v>29725</v>
      </c>
      <c r="C133">
        <v>52</v>
      </c>
      <c r="H133">
        <v>29725</v>
      </c>
      <c r="I133">
        <v>52</v>
      </c>
    </row>
    <row r="134" spans="1:9" x14ac:dyDescent="0.25">
      <c r="A134" s="6">
        <v>55</v>
      </c>
      <c r="F134">
        <v>17055</v>
      </c>
      <c r="G134">
        <v>55</v>
      </c>
      <c r="H134">
        <v>17055</v>
      </c>
      <c r="I134">
        <v>55</v>
      </c>
    </row>
    <row r="135" spans="1:9" x14ac:dyDescent="0.25">
      <c r="A135" s="6">
        <v>57</v>
      </c>
      <c r="B135">
        <v>20089</v>
      </c>
      <c r="C135">
        <v>57</v>
      </c>
      <c r="F135">
        <v>34117</v>
      </c>
      <c r="G135">
        <v>114</v>
      </c>
      <c r="H135">
        <v>54206</v>
      </c>
      <c r="I135">
        <v>171</v>
      </c>
    </row>
    <row r="136" spans="1:9" x14ac:dyDescent="0.25">
      <c r="A136" s="6">
        <v>58</v>
      </c>
      <c r="D136">
        <v>264</v>
      </c>
      <c r="E136">
        <v>58</v>
      </c>
      <c r="H136">
        <v>264</v>
      </c>
      <c r="I136">
        <v>58</v>
      </c>
    </row>
    <row r="137" spans="1:9" x14ac:dyDescent="0.25">
      <c r="A137" s="6">
        <v>64</v>
      </c>
      <c r="F137">
        <v>2423</v>
      </c>
      <c r="G137">
        <v>64</v>
      </c>
      <c r="H137">
        <v>2423</v>
      </c>
      <c r="I137">
        <v>64</v>
      </c>
    </row>
    <row r="138" spans="1:9" x14ac:dyDescent="0.25">
      <c r="A138" s="6">
        <v>66</v>
      </c>
      <c r="F138">
        <v>22561</v>
      </c>
      <c r="G138">
        <v>66</v>
      </c>
      <c r="H138">
        <v>22561</v>
      </c>
      <c r="I138">
        <v>66</v>
      </c>
    </row>
    <row r="139" spans="1:9" x14ac:dyDescent="0.25">
      <c r="A139" s="6">
        <v>67</v>
      </c>
      <c r="D139">
        <v>27241</v>
      </c>
      <c r="E139">
        <v>67</v>
      </c>
      <c r="F139">
        <v>73914</v>
      </c>
      <c r="G139">
        <v>67</v>
      </c>
      <c r="H139">
        <v>101155</v>
      </c>
      <c r="I139">
        <v>134</v>
      </c>
    </row>
    <row r="140" spans="1:9" x14ac:dyDescent="0.25">
      <c r="A140" s="6">
        <v>69</v>
      </c>
      <c r="D140">
        <v>36496</v>
      </c>
      <c r="E140">
        <v>69</v>
      </c>
      <c r="H140">
        <v>36496</v>
      </c>
      <c r="I140">
        <v>69</v>
      </c>
    </row>
    <row r="141" spans="1:9" x14ac:dyDescent="0.25">
      <c r="A141" s="6">
        <v>77</v>
      </c>
      <c r="B141">
        <v>34664</v>
      </c>
      <c r="C141">
        <v>77</v>
      </c>
      <c r="H141">
        <v>34664</v>
      </c>
      <c r="I141">
        <v>77</v>
      </c>
    </row>
    <row r="142" spans="1:9" x14ac:dyDescent="0.25">
      <c r="A142" s="6">
        <v>78</v>
      </c>
      <c r="F142">
        <v>87726</v>
      </c>
      <c r="G142">
        <v>156</v>
      </c>
      <c r="H142">
        <v>87726</v>
      </c>
      <c r="I142">
        <v>156</v>
      </c>
    </row>
    <row r="143" spans="1:9" x14ac:dyDescent="0.25">
      <c r="A143" s="6">
        <v>79</v>
      </c>
      <c r="B143">
        <v>32164</v>
      </c>
      <c r="C143">
        <v>79</v>
      </c>
      <c r="H143">
        <v>32164</v>
      </c>
      <c r="I143">
        <v>79</v>
      </c>
    </row>
    <row r="144" spans="1:9" x14ac:dyDescent="0.25">
      <c r="A144" s="6">
        <v>81</v>
      </c>
      <c r="D144">
        <v>135118</v>
      </c>
      <c r="E144">
        <v>81</v>
      </c>
      <c r="H144">
        <v>135118</v>
      </c>
      <c r="I144">
        <v>81</v>
      </c>
    </row>
    <row r="145" spans="1:9" x14ac:dyDescent="0.25">
      <c r="A145" s="6">
        <v>82</v>
      </c>
      <c r="D145">
        <v>106025</v>
      </c>
      <c r="E145">
        <v>82</v>
      </c>
      <c r="H145">
        <v>106025</v>
      </c>
      <c r="I145">
        <v>82</v>
      </c>
    </row>
    <row r="146" spans="1:9" x14ac:dyDescent="0.25">
      <c r="A146" s="5">
        <v>16</v>
      </c>
      <c r="B146">
        <v>190183</v>
      </c>
      <c r="C146">
        <v>419</v>
      </c>
      <c r="D146">
        <v>89636</v>
      </c>
      <c r="E146">
        <v>215</v>
      </c>
      <c r="F146">
        <v>501779</v>
      </c>
      <c r="G146">
        <v>742</v>
      </c>
      <c r="H146">
        <v>781598</v>
      </c>
      <c r="I146">
        <v>1376</v>
      </c>
    </row>
    <row r="147" spans="1:9" x14ac:dyDescent="0.25">
      <c r="A147" s="6">
        <v>25</v>
      </c>
      <c r="B147">
        <v>1409</v>
      </c>
      <c r="C147">
        <v>25</v>
      </c>
      <c r="F147">
        <v>31861</v>
      </c>
      <c r="G147">
        <v>25</v>
      </c>
      <c r="H147">
        <v>33270</v>
      </c>
      <c r="I147">
        <v>50</v>
      </c>
    </row>
    <row r="148" spans="1:9" x14ac:dyDescent="0.25">
      <c r="A148" s="6">
        <v>37</v>
      </c>
      <c r="F148">
        <v>55412</v>
      </c>
      <c r="G148">
        <v>37</v>
      </c>
      <c r="H148">
        <v>55412</v>
      </c>
      <c r="I148">
        <v>37</v>
      </c>
    </row>
    <row r="149" spans="1:9" x14ac:dyDescent="0.25">
      <c r="A149" s="6">
        <v>40</v>
      </c>
      <c r="B149">
        <v>68206</v>
      </c>
      <c r="C149">
        <v>40</v>
      </c>
      <c r="H149">
        <v>68206</v>
      </c>
      <c r="I149">
        <v>40</v>
      </c>
    </row>
    <row r="150" spans="1:9" x14ac:dyDescent="0.25">
      <c r="A150" s="6">
        <v>42</v>
      </c>
      <c r="D150">
        <v>16711</v>
      </c>
      <c r="E150">
        <v>42</v>
      </c>
      <c r="H150">
        <v>16711</v>
      </c>
      <c r="I150">
        <v>42</v>
      </c>
    </row>
    <row r="151" spans="1:9" x14ac:dyDescent="0.25">
      <c r="A151" s="6">
        <v>44</v>
      </c>
      <c r="F151">
        <v>115167</v>
      </c>
      <c r="G151">
        <v>88</v>
      </c>
      <c r="H151">
        <v>115167</v>
      </c>
      <c r="I151">
        <v>88</v>
      </c>
    </row>
    <row r="152" spans="1:9" x14ac:dyDescent="0.25">
      <c r="A152" s="6">
        <v>46</v>
      </c>
      <c r="D152">
        <v>53217</v>
      </c>
      <c r="E152">
        <v>46</v>
      </c>
      <c r="F152">
        <v>19782</v>
      </c>
      <c r="G152">
        <v>46</v>
      </c>
      <c r="H152">
        <v>72999</v>
      </c>
      <c r="I152">
        <v>92</v>
      </c>
    </row>
    <row r="153" spans="1:9" x14ac:dyDescent="0.25">
      <c r="A153" s="6">
        <v>51</v>
      </c>
      <c r="B153">
        <v>27349</v>
      </c>
      <c r="C153">
        <v>51</v>
      </c>
      <c r="H153">
        <v>27349</v>
      </c>
      <c r="I153">
        <v>51</v>
      </c>
    </row>
    <row r="154" spans="1:9" x14ac:dyDescent="0.25">
      <c r="A154" s="6">
        <v>54</v>
      </c>
      <c r="F154">
        <v>41192</v>
      </c>
      <c r="G154">
        <v>54</v>
      </c>
      <c r="H154">
        <v>41192</v>
      </c>
      <c r="I154">
        <v>54</v>
      </c>
    </row>
    <row r="155" spans="1:9" x14ac:dyDescent="0.25">
      <c r="A155" s="6">
        <v>55</v>
      </c>
      <c r="F155">
        <v>26813</v>
      </c>
      <c r="G155">
        <v>55</v>
      </c>
      <c r="H155">
        <v>26813</v>
      </c>
      <c r="I155">
        <v>55</v>
      </c>
    </row>
    <row r="156" spans="1:9" x14ac:dyDescent="0.25">
      <c r="A156" s="6">
        <v>62</v>
      </c>
      <c r="F156">
        <v>70086</v>
      </c>
      <c r="G156">
        <v>124</v>
      </c>
      <c r="H156">
        <v>70086</v>
      </c>
      <c r="I156">
        <v>124</v>
      </c>
    </row>
    <row r="157" spans="1:9" x14ac:dyDescent="0.25">
      <c r="A157" s="6">
        <v>63</v>
      </c>
      <c r="D157">
        <v>177</v>
      </c>
      <c r="E157">
        <v>63</v>
      </c>
      <c r="H157">
        <v>177</v>
      </c>
      <c r="I157">
        <v>63</v>
      </c>
    </row>
    <row r="158" spans="1:9" x14ac:dyDescent="0.25">
      <c r="A158" s="6">
        <v>64</v>
      </c>
      <c r="D158">
        <v>19531</v>
      </c>
      <c r="E158">
        <v>64</v>
      </c>
      <c r="H158">
        <v>19531</v>
      </c>
      <c r="I158">
        <v>64</v>
      </c>
    </row>
    <row r="159" spans="1:9" x14ac:dyDescent="0.25">
      <c r="A159" s="6">
        <v>69</v>
      </c>
      <c r="B159">
        <v>11187</v>
      </c>
      <c r="C159">
        <v>69</v>
      </c>
      <c r="H159">
        <v>11187</v>
      </c>
      <c r="I159">
        <v>69</v>
      </c>
    </row>
    <row r="160" spans="1:9" x14ac:dyDescent="0.25">
      <c r="A160" s="6">
        <v>70</v>
      </c>
      <c r="F160">
        <v>17976</v>
      </c>
      <c r="G160">
        <v>70</v>
      </c>
      <c r="H160">
        <v>17976</v>
      </c>
      <c r="I160">
        <v>70</v>
      </c>
    </row>
    <row r="161" spans="1:9" x14ac:dyDescent="0.25">
      <c r="A161" s="6">
        <v>72</v>
      </c>
      <c r="F161">
        <v>56256</v>
      </c>
      <c r="G161">
        <v>72</v>
      </c>
      <c r="H161">
        <v>56256</v>
      </c>
      <c r="I161">
        <v>72</v>
      </c>
    </row>
    <row r="162" spans="1:9" x14ac:dyDescent="0.25">
      <c r="A162" s="6">
        <v>73</v>
      </c>
      <c r="B162">
        <v>23883</v>
      </c>
      <c r="C162">
        <v>73</v>
      </c>
      <c r="H162">
        <v>23883</v>
      </c>
      <c r="I162">
        <v>73</v>
      </c>
    </row>
    <row r="163" spans="1:9" x14ac:dyDescent="0.25">
      <c r="A163" s="6">
        <v>80</v>
      </c>
      <c r="B163">
        <v>13676</v>
      </c>
      <c r="C163">
        <v>80</v>
      </c>
      <c r="H163">
        <v>13676</v>
      </c>
      <c r="I163">
        <v>80</v>
      </c>
    </row>
    <row r="164" spans="1:9" x14ac:dyDescent="0.25">
      <c r="A164" s="6">
        <v>81</v>
      </c>
      <c r="B164">
        <v>44473</v>
      </c>
      <c r="C164">
        <v>81</v>
      </c>
      <c r="H164">
        <v>44473</v>
      </c>
      <c r="I164">
        <v>81</v>
      </c>
    </row>
    <row r="165" spans="1:9" x14ac:dyDescent="0.25">
      <c r="A165" s="6">
        <v>85</v>
      </c>
      <c r="F165">
        <v>58351</v>
      </c>
      <c r="G165">
        <v>85</v>
      </c>
      <c r="H165">
        <v>58351</v>
      </c>
      <c r="I165">
        <v>85</v>
      </c>
    </row>
    <row r="166" spans="1:9" x14ac:dyDescent="0.25">
      <c r="A166" s="6">
        <v>86</v>
      </c>
      <c r="F166">
        <v>8883</v>
      </c>
      <c r="G166">
        <v>86</v>
      </c>
      <c r="H166">
        <v>8883</v>
      </c>
      <c r="I166">
        <v>86</v>
      </c>
    </row>
    <row r="167" spans="1:9" x14ac:dyDescent="0.25">
      <c r="A167" s="5">
        <v>17</v>
      </c>
      <c r="B167">
        <v>144448</v>
      </c>
      <c r="C167">
        <v>277</v>
      </c>
      <c r="D167">
        <v>46966</v>
      </c>
      <c r="E167">
        <v>109</v>
      </c>
      <c r="F167">
        <v>533661</v>
      </c>
      <c r="G167">
        <v>600</v>
      </c>
      <c r="H167">
        <v>725075</v>
      </c>
      <c r="I167">
        <v>986</v>
      </c>
    </row>
    <row r="168" spans="1:9" x14ac:dyDescent="0.25">
      <c r="A168" s="6">
        <v>40</v>
      </c>
      <c r="F168">
        <v>27039</v>
      </c>
      <c r="G168">
        <v>40</v>
      </c>
      <c r="H168">
        <v>27039</v>
      </c>
      <c r="I168">
        <v>40</v>
      </c>
    </row>
    <row r="169" spans="1:9" x14ac:dyDescent="0.25">
      <c r="A169" s="6">
        <v>44</v>
      </c>
      <c r="F169">
        <v>10735</v>
      </c>
      <c r="G169">
        <v>44</v>
      </c>
      <c r="H169">
        <v>10735</v>
      </c>
      <c r="I169">
        <v>44</v>
      </c>
    </row>
    <row r="170" spans="1:9" x14ac:dyDescent="0.25">
      <c r="A170" s="6">
        <v>46</v>
      </c>
      <c r="B170">
        <v>14084</v>
      </c>
      <c r="C170">
        <v>46</v>
      </c>
      <c r="H170">
        <v>14084</v>
      </c>
      <c r="I170">
        <v>46</v>
      </c>
    </row>
    <row r="171" spans="1:9" x14ac:dyDescent="0.25">
      <c r="A171" s="6">
        <v>49</v>
      </c>
      <c r="F171">
        <v>65896</v>
      </c>
      <c r="G171">
        <v>49</v>
      </c>
      <c r="H171">
        <v>65896</v>
      </c>
      <c r="I171">
        <v>49</v>
      </c>
    </row>
    <row r="172" spans="1:9" x14ac:dyDescent="0.25">
      <c r="A172" s="6">
        <v>50</v>
      </c>
      <c r="F172">
        <v>118721</v>
      </c>
      <c r="G172">
        <v>100</v>
      </c>
      <c r="H172">
        <v>118721</v>
      </c>
      <c r="I172">
        <v>100</v>
      </c>
    </row>
    <row r="173" spans="1:9" x14ac:dyDescent="0.25">
      <c r="A173" s="6">
        <v>52</v>
      </c>
      <c r="D173">
        <v>12429</v>
      </c>
      <c r="E173">
        <v>52</v>
      </c>
      <c r="H173">
        <v>12429</v>
      </c>
      <c r="I173">
        <v>52</v>
      </c>
    </row>
    <row r="174" spans="1:9" x14ac:dyDescent="0.25">
      <c r="A174" s="6">
        <v>57</v>
      </c>
      <c r="D174">
        <v>34537</v>
      </c>
      <c r="E174">
        <v>57</v>
      </c>
      <c r="H174">
        <v>34537</v>
      </c>
      <c r="I174">
        <v>57</v>
      </c>
    </row>
    <row r="175" spans="1:9" x14ac:dyDescent="0.25">
      <c r="A175" s="6">
        <v>62</v>
      </c>
      <c r="F175">
        <v>158889</v>
      </c>
      <c r="G175">
        <v>62</v>
      </c>
      <c r="H175">
        <v>158889</v>
      </c>
      <c r="I175">
        <v>62</v>
      </c>
    </row>
    <row r="176" spans="1:9" x14ac:dyDescent="0.25">
      <c r="A176" s="6">
        <v>72</v>
      </c>
      <c r="F176">
        <v>37348</v>
      </c>
      <c r="G176">
        <v>72</v>
      </c>
      <c r="H176">
        <v>37348</v>
      </c>
      <c r="I176">
        <v>72</v>
      </c>
    </row>
    <row r="177" spans="1:9" x14ac:dyDescent="0.25">
      <c r="A177" s="6">
        <v>73</v>
      </c>
      <c r="B177">
        <v>53598</v>
      </c>
      <c r="C177">
        <v>73</v>
      </c>
      <c r="H177">
        <v>53598</v>
      </c>
      <c r="I177">
        <v>73</v>
      </c>
    </row>
    <row r="178" spans="1:9" x14ac:dyDescent="0.25">
      <c r="A178" s="6">
        <v>74</v>
      </c>
      <c r="B178">
        <v>26067</v>
      </c>
      <c r="C178">
        <v>74</v>
      </c>
      <c r="H178">
        <v>26067</v>
      </c>
      <c r="I178">
        <v>74</v>
      </c>
    </row>
    <row r="179" spans="1:9" x14ac:dyDescent="0.25">
      <c r="A179" s="6">
        <v>75</v>
      </c>
      <c r="F179">
        <v>49927</v>
      </c>
      <c r="G179">
        <v>75</v>
      </c>
      <c r="H179">
        <v>49927</v>
      </c>
      <c r="I179">
        <v>75</v>
      </c>
    </row>
    <row r="180" spans="1:9" x14ac:dyDescent="0.25">
      <c r="A180" s="6">
        <v>77</v>
      </c>
      <c r="F180">
        <v>13234</v>
      </c>
      <c r="G180">
        <v>77</v>
      </c>
      <c r="H180">
        <v>13234</v>
      </c>
      <c r="I180">
        <v>77</v>
      </c>
    </row>
    <row r="181" spans="1:9" x14ac:dyDescent="0.25">
      <c r="A181" s="6">
        <v>81</v>
      </c>
      <c r="F181">
        <v>51872</v>
      </c>
      <c r="G181">
        <v>81</v>
      </c>
      <c r="H181">
        <v>51872</v>
      </c>
      <c r="I181">
        <v>81</v>
      </c>
    </row>
    <row r="182" spans="1:9" x14ac:dyDescent="0.25">
      <c r="A182" s="6">
        <v>84</v>
      </c>
      <c r="B182">
        <v>50699</v>
      </c>
      <c r="C182">
        <v>84</v>
      </c>
      <c r="H182">
        <v>50699</v>
      </c>
      <c r="I182">
        <v>84</v>
      </c>
    </row>
    <row r="183" spans="1:9" x14ac:dyDescent="0.25">
      <c r="A183" s="5">
        <v>18</v>
      </c>
      <c r="B183">
        <v>65803</v>
      </c>
      <c r="C183">
        <v>175</v>
      </c>
      <c r="D183">
        <v>159245</v>
      </c>
      <c r="E183">
        <v>339</v>
      </c>
      <c r="F183">
        <v>126637</v>
      </c>
      <c r="G183">
        <v>216</v>
      </c>
      <c r="H183">
        <v>351685</v>
      </c>
      <c r="I183">
        <v>730</v>
      </c>
    </row>
    <row r="184" spans="1:9" x14ac:dyDescent="0.25">
      <c r="A184" s="6">
        <v>25</v>
      </c>
      <c r="B184">
        <v>10503</v>
      </c>
      <c r="C184">
        <v>25</v>
      </c>
      <c r="H184">
        <v>10503</v>
      </c>
      <c r="I184">
        <v>25</v>
      </c>
    </row>
    <row r="185" spans="1:9" x14ac:dyDescent="0.25">
      <c r="A185" s="6">
        <v>34</v>
      </c>
      <c r="F185">
        <v>75257</v>
      </c>
      <c r="G185">
        <v>34</v>
      </c>
      <c r="H185">
        <v>75257</v>
      </c>
      <c r="I185">
        <v>34</v>
      </c>
    </row>
    <row r="186" spans="1:9" x14ac:dyDescent="0.25">
      <c r="A186" s="6">
        <v>44</v>
      </c>
      <c r="D186">
        <v>12068</v>
      </c>
      <c r="E186">
        <v>44</v>
      </c>
      <c r="H186">
        <v>12068</v>
      </c>
      <c r="I186">
        <v>44</v>
      </c>
    </row>
    <row r="187" spans="1:9" x14ac:dyDescent="0.25">
      <c r="A187" s="6">
        <v>47</v>
      </c>
      <c r="D187">
        <v>54220</v>
      </c>
      <c r="E187">
        <v>141</v>
      </c>
      <c r="H187">
        <v>54220</v>
      </c>
      <c r="I187">
        <v>141</v>
      </c>
    </row>
    <row r="188" spans="1:9" x14ac:dyDescent="0.25">
      <c r="A188" s="6">
        <v>48</v>
      </c>
      <c r="F188">
        <v>39055</v>
      </c>
      <c r="G188">
        <v>48</v>
      </c>
      <c r="H188">
        <v>39055</v>
      </c>
      <c r="I188">
        <v>48</v>
      </c>
    </row>
    <row r="189" spans="1:9" x14ac:dyDescent="0.25">
      <c r="A189" s="6">
        <v>58</v>
      </c>
      <c r="F189">
        <v>12031</v>
      </c>
      <c r="G189">
        <v>58</v>
      </c>
      <c r="H189">
        <v>12031</v>
      </c>
      <c r="I189">
        <v>58</v>
      </c>
    </row>
    <row r="190" spans="1:9" x14ac:dyDescent="0.25">
      <c r="A190" s="6">
        <v>70</v>
      </c>
      <c r="B190">
        <v>20791</v>
      </c>
      <c r="C190">
        <v>70</v>
      </c>
      <c r="H190">
        <v>20791</v>
      </c>
      <c r="I190">
        <v>70</v>
      </c>
    </row>
    <row r="191" spans="1:9" x14ac:dyDescent="0.25">
      <c r="A191" s="6">
        <v>75</v>
      </c>
      <c r="D191">
        <v>92386</v>
      </c>
      <c r="E191">
        <v>75</v>
      </c>
      <c r="H191">
        <v>92386</v>
      </c>
      <c r="I191">
        <v>75</v>
      </c>
    </row>
    <row r="192" spans="1:9" x14ac:dyDescent="0.25">
      <c r="A192" s="6">
        <v>76</v>
      </c>
      <c r="F192">
        <v>294</v>
      </c>
      <c r="G192">
        <v>76</v>
      </c>
      <c r="H192">
        <v>294</v>
      </c>
      <c r="I192">
        <v>76</v>
      </c>
    </row>
    <row r="193" spans="1:9" x14ac:dyDescent="0.25">
      <c r="A193" s="6">
        <v>79</v>
      </c>
      <c r="D193">
        <v>571</v>
      </c>
      <c r="E193">
        <v>79</v>
      </c>
      <c r="H193">
        <v>571</v>
      </c>
      <c r="I193">
        <v>79</v>
      </c>
    </row>
    <row r="194" spans="1:9" x14ac:dyDescent="0.25">
      <c r="A194" s="6">
        <v>80</v>
      </c>
      <c r="B194">
        <v>34509</v>
      </c>
      <c r="C194">
        <v>80</v>
      </c>
      <c r="H194">
        <v>34509</v>
      </c>
      <c r="I194">
        <v>80</v>
      </c>
    </row>
    <row r="195" spans="1:9" x14ac:dyDescent="0.25">
      <c r="A195" s="5">
        <v>19</v>
      </c>
      <c r="B195">
        <v>97223</v>
      </c>
      <c r="C195">
        <v>103</v>
      </c>
      <c r="F195">
        <v>197766</v>
      </c>
      <c r="G195">
        <v>176</v>
      </c>
      <c r="H195">
        <v>294989</v>
      </c>
      <c r="I195">
        <v>279</v>
      </c>
    </row>
    <row r="196" spans="1:9" x14ac:dyDescent="0.25">
      <c r="A196" s="6">
        <v>39</v>
      </c>
      <c r="F196">
        <v>130209</v>
      </c>
      <c r="G196">
        <v>39</v>
      </c>
      <c r="H196">
        <v>130209</v>
      </c>
      <c r="I196">
        <v>39</v>
      </c>
    </row>
    <row r="197" spans="1:9" x14ac:dyDescent="0.25">
      <c r="A197" s="6">
        <v>41</v>
      </c>
      <c r="B197">
        <v>71061</v>
      </c>
      <c r="C197">
        <v>41</v>
      </c>
      <c r="H197">
        <v>71061</v>
      </c>
      <c r="I197">
        <v>41</v>
      </c>
    </row>
    <row r="198" spans="1:9" x14ac:dyDescent="0.25">
      <c r="A198" s="6">
        <v>58</v>
      </c>
      <c r="F198">
        <v>26532</v>
      </c>
      <c r="G198">
        <v>58</v>
      </c>
      <c r="H198">
        <v>26532</v>
      </c>
      <c r="I198">
        <v>58</v>
      </c>
    </row>
    <row r="199" spans="1:9" x14ac:dyDescent="0.25">
      <c r="A199" s="6">
        <v>62</v>
      </c>
      <c r="B199">
        <v>26162</v>
      </c>
      <c r="C199">
        <v>62</v>
      </c>
      <c r="H199">
        <v>26162</v>
      </c>
      <c r="I199">
        <v>62</v>
      </c>
    </row>
    <row r="200" spans="1:9" x14ac:dyDescent="0.25">
      <c r="A200" s="6">
        <v>79</v>
      </c>
      <c r="F200">
        <v>41025</v>
      </c>
      <c r="G200">
        <v>79</v>
      </c>
      <c r="H200">
        <v>41025</v>
      </c>
      <c r="I200">
        <v>79</v>
      </c>
    </row>
    <row r="201" spans="1:9" x14ac:dyDescent="0.25">
      <c r="A201" s="5">
        <v>20</v>
      </c>
      <c r="D201">
        <v>3551</v>
      </c>
      <c r="E201">
        <v>35</v>
      </c>
      <c r="H201">
        <v>3551</v>
      </c>
      <c r="I201">
        <v>35</v>
      </c>
    </row>
    <row r="202" spans="1:9" x14ac:dyDescent="0.25">
      <c r="A202" s="6">
        <v>35</v>
      </c>
      <c r="D202">
        <v>3551</v>
      </c>
      <c r="E202">
        <v>35</v>
      </c>
      <c r="H202">
        <v>3551</v>
      </c>
      <c r="I202">
        <v>35</v>
      </c>
    </row>
    <row r="203" spans="1:9" x14ac:dyDescent="0.25">
      <c r="A203" s="5" t="s">
        <v>19</v>
      </c>
      <c r="B203">
        <v>2180183</v>
      </c>
      <c r="C203">
        <v>2951</v>
      </c>
      <c r="D203">
        <v>2301667</v>
      </c>
      <c r="E203">
        <v>2847</v>
      </c>
      <c r="F203">
        <v>3834585</v>
      </c>
      <c r="G203">
        <v>5739</v>
      </c>
      <c r="H203">
        <v>8316435</v>
      </c>
      <c r="I203">
        <v>11537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F8E4-CEF9-45D2-AC2B-F3AD37B84420}">
  <dimension ref="A1:AD417"/>
  <sheetViews>
    <sheetView topLeftCell="A394" workbookViewId="0">
      <selection activeCell="G416" sqref="G416"/>
    </sheetView>
  </sheetViews>
  <sheetFormatPr defaultRowHeight="15" x14ac:dyDescent="0.25"/>
  <cols>
    <col min="1" max="1" width="11.42578125" bestFit="1" customWidth="1"/>
    <col min="2" max="2" width="5.28515625" bestFit="1" customWidth="1"/>
    <col min="3" max="3" width="10" bestFit="1" customWidth="1"/>
    <col min="4" max="4" width="7.85546875" bestFit="1" customWidth="1"/>
    <col min="5" max="5" width="8.5703125" bestFit="1" customWidth="1"/>
    <col min="6" max="6" width="8.42578125" bestFit="1" customWidth="1"/>
    <col min="7" max="7" width="12.28515625" bestFit="1" customWidth="1"/>
    <col min="8" max="8" width="15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9</v>
      </c>
      <c r="H1" t="s">
        <v>24</v>
      </c>
      <c r="R1" t="s">
        <v>24</v>
      </c>
    </row>
    <row r="2" spans="1:26" ht="15.75" thickBot="1" x14ac:dyDescent="0.3">
      <c r="A2">
        <v>1</v>
      </c>
      <c r="B2">
        <v>1</v>
      </c>
      <c r="C2">
        <v>14891</v>
      </c>
      <c r="D2">
        <v>283</v>
      </c>
      <c r="E2">
        <v>34</v>
      </c>
      <c r="F2">
        <v>333</v>
      </c>
    </row>
    <row r="3" spans="1:26" x14ac:dyDescent="0.25">
      <c r="A3">
        <v>2</v>
      </c>
      <c r="B3">
        <v>2</v>
      </c>
      <c r="C3">
        <v>106025</v>
      </c>
      <c r="D3">
        <v>483</v>
      </c>
      <c r="E3">
        <v>82</v>
      </c>
      <c r="F3">
        <v>903</v>
      </c>
      <c r="H3" s="3" t="s">
        <v>25</v>
      </c>
      <c r="I3" s="3"/>
      <c r="R3" s="3" t="s">
        <v>25</v>
      </c>
      <c r="S3" s="3"/>
    </row>
    <row r="4" spans="1:26" x14ac:dyDescent="0.25">
      <c r="A4">
        <v>3</v>
      </c>
      <c r="B4">
        <v>3</v>
      </c>
      <c r="C4">
        <v>104593</v>
      </c>
      <c r="D4">
        <v>514</v>
      </c>
      <c r="E4">
        <v>71</v>
      </c>
      <c r="F4">
        <v>580</v>
      </c>
      <c r="H4" t="s">
        <v>26</v>
      </c>
      <c r="I4" s="8">
        <v>0.99687973700168275</v>
      </c>
      <c r="R4" t="s">
        <v>26</v>
      </c>
      <c r="S4">
        <v>0.90314011504725789</v>
      </c>
    </row>
    <row r="5" spans="1:26" x14ac:dyDescent="0.25">
      <c r="A5">
        <v>4</v>
      </c>
      <c r="B5">
        <v>4</v>
      </c>
      <c r="C5">
        <v>148924</v>
      </c>
      <c r="D5">
        <v>681</v>
      </c>
      <c r="E5">
        <v>36</v>
      </c>
      <c r="F5">
        <v>964</v>
      </c>
      <c r="H5" s="9" t="s">
        <v>27</v>
      </c>
      <c r="I5" s="10">
        <v>0.9937692100445441</v>
      </c>
      <c r="R5" t="s">
        <v>27</v>
      </c>
      <c r="S5" s="10">
        <v>0.8156620674075743</v>
      </c>
    </row>
    <row r="6" spans="1:26" x14ac:dyDescent="0.25">
      <c r="A6">
        <v>5</v>
      </c>
      <c r="B6">
        <v>5</v>
      </c>
      <c r="C6">
        <v>55882</v>
      </c>
      <c r="D6">
        <v>357</v>
      </c>
      <c r="E6">
        <v>68</v>
      </c>
      <c r="F6">
        <v>331</v>
      </c>
      <c r="H6" t="s">
        <v>28</v>
      </c>
      <c r="I6">
        <v>0.99375355479339977</v>
      </c>
      <c r="R6" t="s">
        <v>28</v>
      </c>
      <c r="S6">
        <v>0.81284774782601044</v>
      </c>
    </row>
    <row r="7" spans="1:26" x14ac:dyDescent="0.25">
      <c r="A7">
        <v>6</v>
      </c>
      <c r="B7">
        <v>6</v>
      </c>
      <c r="C7">
        <v>8018</v>
      </c>
      <c r="D7">
        <v>569</v>
      </c>
      <c r="E7">
        <v>77</v>
      </c>
      <c r="F7">
        <v>1151</v>
      </c>
      <c r="H7" t="s">
        <v>16</v>
      </c>
      <c r="I7">
        <v>182.42723983753928</v>
      </c>
      <c r="R7" t="s">
        <v>16</v>
      </c>
      <c r="S7">
        <v>198.89673434376067</v>
      </c>
    </row>
    <row r="8" spans="1:26" ht="15.75" thickBot="1" x14ac:dyDescent="0.3">
      <c r="A8">
        <v>7</v>
      </c>
      <c r="B8">
        <v>7</v>
      </c>
      <c r="C8">
        <v>20996</v>
      </c>
      <c r="D8">
        <v>259</v>
      </c>
      <c r="E8">
        <v>37</v>
      </c>
      <c r="F8">
        <v>203</v>
      </c>
      <c r="H8" s="1" t="s">
        <v>29</v>
      </c>
      <c r="I8" s="1">
        <v>400</v>
      </c>
      <c r="R8" s="1" t="s">
        <v>29</v>
      </c>
      <c r="S8" s="1">
        <v>400</v>
      </c>
    </row>
    <row r="9" spans="1:26" x14ac:dyDescent="0.25">
      <c r="A9">
        <v>8</v>
      </c>
      <c r="B9">
        <v>8</v>
      </c>
      <c r="C9">
        <v>71408</v>
      </c>
      <c r="D9">
        <v>512</v>
      </c>
      <c r="E9">
        <v>87</v>
      </c>
      <c r="F9">
        <v>872</v>
      </c>
      <c r="I9" s="7"/>
    </row>
    <row r="10" spans="1:26" ht="15.75" thickBot="1" x14ac:dyDescent="0.3">
      <c r="A10">
        <v>9</v>
      </c>
      <c r="B10">
        <v>9</v>
      </c>
      <c r="C10">
        <v>15125</v>
      </c>
      <c r="D10">
        <v>266</v>
      </c>
      <c r="E10">
        <v>66</v>
      </c>
      <c r="F10">
        <v>279</v>
      </c>
      <c r="H10" t="s">
        <v>30</v>
      </c>
      <c r="R10" t="s">
        <v>30</v>
      </c>
    </row>
    <row r="11" spans="1:26" x14ac:dyDescent="0.25">
      <c r="A11">
        <v>10</v>
      </c>
      <c r="B11">
        <v>10</v>
      </c>
      <c r="C11">
        <v>71061</v>
      </c>
      <c r="D11">
        <v>491</v>
      </c>
      <c r="E11">
        <v>41</v>
      </c>
      <c r="F11">
        <v>1350</v>
      </c>
      <c r="H11" s="2"/>
      <c r="I11" s="2" t="s">
        <v>34</v>
      </c>
      <c r="J11" s="2" t="s">
        <v>35</v>
      </c>
      <c r="K11" s="2" t="s">
        <v>36</v>
      </c>
      <c r="L11" s="2" t="s">
        <v>37</v>
      </c>
      <c r="M11" s="2" t="s">
        <v>38</v>
      </c>
      <c r="R11" s="2"/>
      <c r="S11" s="2" t="s">
        <v>34</v>
      </c>
      <c r="T11" s="2" t="s">
        <v>35</v>
      </c>
      <c r="U11" s="2" t="s">
        <v>36</v>
      </c>
      <c r="V11" s="2" t="s">
        <v>37</v>
      </c>
      <c r="W11" s="2" t="s">
        <v>38</v>
      </c>
    </row>
    <row r="12" spans="1:26" x14ac:dyDescent="0.25">
      <c r="A12">
        <v>11</v>
      </c>
      <c r="B12">
        <v>11</v>
      </c>
      <c r="C12">
        <v>63095</v>
      </c>
      <c r="D12">
        <v>589</v>
      </c>
      <c r="E12">
        <v>30</v>
      </c>
      <c r="F12">
        <v>1407</v>
      </c>
      <c r="H12" t="s">
        <v>31</v>
      </c>
      <c r="I12">
        <v>1</v>
      </c>
      <c r="J12">
        <v>2112539666.2617695</v>
      </c>
      <c r="K12">
        <v>2112539666.2617695</v>
      </c>
      <c r="L12">
        <v>63478.330745429332</v>
      </c>
      <c r="M12">
        <v>0</v>
      </c>
      <c r="R12" t="s">
        <v>31</v>
      </c>
      <c r="S12">
        <v>6</v>
      </c>
      <c r="T12">
        <v>68792866.913483381</v>
      </c>
      <c r="U12">
        <v>11465477.818913897</v>
      </c>
      <c r="V12">
        <v>289.82567322875229</v>
      </c>
      <c r="W12">
        <v>6.4506436933556237E-141</v>
      </c>
    </row>
    <row r="13" spans="1:26" x14ac:dyDescent="0.25">
      <c r="A13">
        <v>12</v>
      </c>
      <c r="B13">
        <v>12</v>
      </c>
      <c r="C13">
        <v>15045</v>
      </c>
      <c r="D13">
        <v>138</v>
      </c>
      <c r="E13">
        <v>64</v>
      </c>
      <c r="F13">
        <v>0</v>
      </c>
      <c r="H13" t="s">
        <v>32</v>
      </c>
      <c r="I13">
        <v>398</v>
      </c>
      <c r="J13">
        <v>13245319.738227744</v>
      </c>
      <c r="K13">
        <v>33279.697834743078</v>
      </c>
      <c r="R13" t="s">
        <v>32</v>
      </c>
      <c r="S13">
        <v>393</v>
      </c>
      <c r="T13">
        <v>15547044.996516714</v>
      </c>
      <c r="U13">
        <v>39559.910932612504</v>
      </c>
    </row>
    <row r="14" spans="1:26" ht="15.75" thickBot="1" x14ac:dyDescent="0.3">
      <c r="A14">
        <v>13</v>
      </c>
      <c r="B14">
        <v>13</v>
      </c>
      <c r="C14">
        <v>80616</v>
      </c>
      <c r="D14">
        <v>394</v>
      </c>
      <c r="E14">
        <v>57</v>
      </c>
      <c r="F14">
        <v>204</v>
      </c>
      <c r="H14" s="1" t="s">
        <v>15</v>
      </c>
      <c r="I14" s="1">
        <v>399</v>
      </c>
      <c r="J14" s="1">
        <v>2125784985.9999974</v>
      </c>
      <c r="K14" s="1"/>
      <c r="L14" s="1"/>
      <c r="M14" s="1"/>
      <c r="R14" s="1" t="s">
        <v>15</v>
      </c>
      <c r="S14" s="1">
        <v>399</v>
      </c>
      <c r="T14" s="1">
        <v>84339911.910000101</v>
      </c>
      <c r="U14" s="1"/>
      <c r="V14" s="1"/>
      <c r="W14" s="1"/>
    </row>
    <row r="15" spans="1:26" ht="15.75" thickBot="1" x14ac:dyDescent="0.3">
      <c r="A15">
        <v>14</v>
      </c>
      <c r="B15">
        <v>14</v>
      </c>
      <c r="C15">
        <v>43682</v>
      </c>
      <c r="D15">
        <v>511</v>
      </c>
      <c r="E15">
        <v>49</v>
      </c>
      <c r="F15">
        <v>1081</v>
      </c>
    </row>
    <row r="16" spans="1:26" x14ac:dyDescent="0.25">
      <c r="A16">
        <v>15</v>
      </c>
      <c r="B16">
        <v>15</v>
      </c>
      <c r="C16">
        <v>19144</v>
      </c>
      <c r="D16">
        <v>269</v>
      </c>
      <c r="E16">
        <v>75</v>
      </c>
      <c r="F16">
        <v>148</v>
      </c>
      <c r="H16" s="2"/>
      <c r="I16" s="2" t="s">
        <v>39</v>
      </c>
      <c r="J16" s="2" t="s">
        <v>16</v>
      </c>
      <c r="K16" s="2" t="s">
        <v>40</v>
      </c>
      <c r="L16" s="12" t="s">
        <v>41</v>
      </c>
      <c r="M16" s="2" t="s">
        <v>42</v>
      </c>
      <c r="N16" s="2" t="s">
        <v>43</v>
      </c>
      <c r="O16" s="2" t="s">
        <v>44</v>
      </c>
      <c r="P16" s="2" t="s">
        <v>45</v>
      </c>
      <c r="R16" s="2"/>
      <c r="S16" s="2" t="s">
        <v>39</v>
      </c>
      <c r="T16" s="2" t="s">
        <v>16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44</v>
      </c>
      <c r="Z16" s="2" t="s">
        <v>45</v>
      </c>
    </row>
    <row r="17" spans="1:26" x14ac:dyDescent="0.25">
      <c r="A17">
        <v>16</v>
      </c>
      <c r="B17">
        <v>16</v>
      </c>
      <c r="C17">
        <v>20089</v>
      </c>
      <c r="D17">
        <v>200</v>
      </c>
      <c r="E17">
        <v>57</v>
      </c>
      <c r="F17">
        <v>0</v>
      </c>
      <c r="H17" t="s">
        <v>33</v>
      </c>
      <c r="I17" s="8">
        <v>-542.92822998690554</v>
      </c>
      <c r="J17">
        <v>22.85025670525711</v>
      </c>
      <c r="K17" s="13">
        <v>-23.760268297642153</v>
      </c>
      <c r="L17" s="14">
        <v>2.4676729186083338E-78</v>
      </c>
      <c r="M17">
        <v>-587.85051675749276</v>
      </c>
      <c r="N17">
        <v>-498.00594321631831</v>
      </c>
      <c r="O17">
        <v>-587.85051675749276</v>
      </c>
      <c r="P17">
        <v>-498.00594321631831</v>
      </c>
      <c r="R17" t="s">
        <v>33</v>
      </c>
      <c r="S17">
        <v>-375.73311155774786</v>
      </c>
      <c r="T17">
        <v>67.200775835419719</v>
      </c>
      <c r="U17">
        <v>-5.5912019896607958</v>
      </c>
      <c r="V17" s="14">
        <v>4.2269940970785005E-8</v>
      </c>
      <c r="W17">
        <v>-507.85108778651329</v>
      </c>
      <c r="X17">
        <v>-243.61513532898243</v>
      </c>
      <c r="Y17">
        <v>-507.85108778651329</v>
      </c>
      <c r="Z17">
        <v>-243.61513532898243</v>
      </c>
    </row>
    <row r="18" spans="1:26" ht="15.75" thickBot="1" x14ac:dyDescent="0.3">
      <c r="A18">
        <v>17</v>
      </c>
      <c r="B18">
        <v>17</v>
      </c>
      <c r="C18">
        <v>53598</v>
      </c>
      <c r="D18">
        <v>286</v>
      </c>
      <c r="E18">
        <v>73</v>
      </c>
      <c r="F18">
        <v>0</v>
      </c>
      <c r="H18" s="11" t="s">
        <v>4</v>
      </c>
      <c r="I18" s="10">
        <v>14.871607116658888</v>
      </c>
      <c r="J18" s="1">
        <v>5.9026244800671139E-2</v>
      </c>
      <c r="K18" s="11">
        <v>251.94906379153218</v>
      </c>
      <c r="L18" s="15">
        <v>0</v>
      </c>
      <c r="M18" s="1">
        <v>14.755564923779865</v>
      </c>
      <c r="N18" s="1">
        <v>14.987649309537911</v>
      </c>
      <c r="O18" s="1">
        <v>14.755564923779865</v>
      </c>
      <c r="P18" s="1">
        <v>14.987649309537911</v>
      </c>
      <c r="R18" t="s">
        <v>2</v>
      </c>
      <c r="S18" s="10">
        <v>-4.4405589198169611E-3</v>
      </c>
      <c r="T18">
        <v>3.9775715728675572E-4</v>
      </c>
      <c r="U18">
        <v>-11.163995011699114</v>
      </c>
      <c r="V18" s="15">
        <v>2.5280555391979979E-25</v>
      </c>
      <c r="W18">
        <v>-5.2225568952560296E-3</v>
      </c>
      <c r="X18">
        <v>-3.6585609443778927E-3</v>
      </c>
      <c r="Y18">
        <v>-5.2225568952560296E-3</v>
      </c>
      <c r="Z18">
        <v>-3.6585609443778927E-3</v>
      </c>
    </row>
    <row r="19" spans="1:26" x14ac:dyDescent="0.25">
      <c r="A19">
        <v>18</v>
      </c>
      <c r="B19">
        <v>18</v>
      </c>
      <c r="C19">
        <v>36496</v>
      </c>
      <c r="D19">
        <v>339</v>
      </c>
      <c r="E19">
        <v>69</v>
      </c>
      <c r="F19">
        <v>368</v>
      </c>
      <c r="R19" t="s">
        <v>3</v>
      </c>
      <c r="S19" s="10">
        <v>0.16706823080149485</v>
      </c>
      <c r="T19">
        <v>6.5460006983629471E-2</v>
      </c>
      <c r="U19">
        <v>2.5522183467422486</v>
      </c>
      <c r="V19" s="14">
        <v>1.1081361758070452E-2</v>
      </c>
      <c r="W19">
        <v>3.8372638539602905E-2</v>
      </c>
      <c r="X19">
        <v>0.29576382306338678</v>
      </c>
      <c r="Y19">
        <v>3.8372638539602905E-2</v>
      </c>
      <c r="Z19">
        <v>0.29576382306338678</v>
      </c>
    </row>
    <row r="20" spans="1:26" x14ac:dyDescent="0.25">
      <c r="A20">
        <v>19</v>
      </c>
      <c r="B20">
        <v>19</v>
      </c>
      <c r="C20">
        <v>4957</v>
      </c>
      <c r="D20">
        <v>448</v>
      </c>
      <c r="E20">
        <v>28</v>
      </c>
      <c r="F20">
        <v>891</v>
      </c>
      <c r="R20" t="s">
        <v>4</v>
      </c>
      <c r="S20" s="10">
        <v>0.81258722999301369</v>
      </c>
      <c r="T20">
        <v>0.97501753245527167</v>
      </c>
      <c r="U20">
        <v>0.83340781364902339</v>
      </c>
      <c r="V20" s="23">
        <v>0.40512099026388781</v>
      </c>
      <c r="W20">
        <v>-1.1043153886767392</v>
      </c>
      <c r="X20">
        <v>2.7294898486627668</v>
      </c>
      <c r="Y20">
        <v>-1.1043153886767392</v>
      </c>
      <c r="Z20">
        <v>2.7294898486627668</v>
      </c>
    </row>
    <row r="21" spans="1:26" x14ac:dyDescent="0.25">
      <c r="A21">
        <v>20</v>
      </c>
      <c r="B21">
        <v>20</v>
      </c>
      <c r="C21">
        <v>42079</v>
      </c>
      <c r="D21">
        <v>479</v>
      </c>
      <c r="E21">
        <v>44</v>
      </c>
      <c r="F21">
        <v>1048</v>
      </c>
      <c r="R21" t="s">
        <v>5</v>
      </c>
      <c r="S21" s="10">
        <v>21.201217873786078</v>
      </c>
      <c r="T21">
        <v>8.668008392547863</v>
      </c>
      <c r="U21">
        <v>2.4459157067745085</v>
      </c>
      <c r="V21" s="14">
        <v>1.4886204077873669E-2</v>
      </c>
      <c r="W21">
        <v>4.1597520198491083</v>
      </c>
      <c r="X21">
        <v>38.242683727723048</v>
      </c>
      <c r="Y21">
        <v>4.1597520198491083</v>
      </c>
      <c r="Z21">
        <v>38.242683727723048</v>
      </c>
    </row>
    <row r="22" spans="1:26" x14ac:dyDescent="0.25">
      <c r="A22">
        <v>21</v>
      </c>
      <c r="B22">
        <v>21</v>
      </c>
      <c r="C22">
        <v>177</v>
      </c>
      <c r="D22">
        <v>235</v>
      </c>
      <c r="E22">
        <v>63</v>
      </c>
      <c r="F22">
        <v>89</v>
      </c>
      <c r="R22" t="s">
        <v>6</v>
      </c>
      <c r="S22" s="10">
        <v>-1.9055856477740238</v>
      </c>
      <c r="T22">
        <v>0.58242959492005342</v>
      </c>
      <c r="U22">
        <v>-3.271787121386907</v>
      </c>
      <c r="V22" s="15">
        <v>1.1631384660903221E-3</v>
      </c>
      <c r="W22">
        <v>-3.0506530732607864</v>
      </c>
      <c r="X22">
        <v>-0.76051822228726129</v>
      </c>
      <c r="Y22">
        <v>-3.0506530732607864</v>
      </c>
      <c r="Z22">
        <v>-0.76051822228726129</v>
      </c>
    </row>
    <row r="23" spans="1:26" ht="15.75" thickBot="1" x14ac:dyDescent="0.3">
      <c r="A23">
        <v>22</v>
      </c>
      <c r="B23">
        <v>22</v>
      </c>
      <c r="C23">
        <v>37348</v>
      </c>
      <c r="D23">
        <v>458</v>
      </c>
      <c r="E23">
        <v>72</v>
      </c>
      <c r="F23">
        <v>968</v>
      </c>
      <c r="R23" s="1" t="s">
        <v>7</v>
      </c>
      <c r="S23" s="10">
        <v>2.9847184019529447</v>
      </c>
      <c r="T23" s="1">
        <v>3.1986972602661909</v>
      </c>
      <c r="U23" s="1">
        <v>0.93310437315488892</v>
      </c>
      <c r="V23" s="14">
        <v>0.3513389941099776</v>
      </c>
      <c r="W23" s="1">
        <v>-3.3039799551889653</v>
      </c>
      <c r="X23" s="1">
        <v>9.2734167590948537</v>
      </c>
      <c r="Y23" s="1">
        <v>-3.3039799551889653</v>
      </c>
      <c r="Z23" s="1">
        <v>9.2734167590948537</v>
      </c>
    </row>
    <row r="24" spans="1:26" x14ac:dyDescent="0.25">
      <c r="A24">
        <v>23</v>
      </c>
      <c r="B24">
        <v>23</v>
      </c>
      <c r="C24">
        <v>20103</v>
      </c>
      <c r="D24">
        <v>213</v>
      </c>
      <c r="E24">
        <v>61</v>
      </c>
      <c r="F24">
        <v>0</v>
      </c>
    </row>
    <row r="25" spans="1:26" x14ac:dyDescent="0.25">
      <c r="A25">
        <v>24</v>
      </c>
      <c r="B25">
        <v>24</v>
      </c>
      <c r="C25">
        <v>64027</v>
      </c>
      <c r="D25">
        <v>398</v>
      </c>
      <c r="E25">
        <v>48</v>
      </c>
      <c r="F25">
        <v>411</v>
      </c>
    </row>
    <row r="26" spans="1:26" x14ac:dyDescent="0.25">
      <c r="A26">
        <v>25</v>
      </c>
      <c r="B26">
        <v>25</v>
      </c>
      <c r="C26">
        <v>10742</v>
      </c>
      <c r="D26">
        <v>156</v>
      </c>
      <c r="E26">
        <v>57</v>
      </c>
      <c r="F26">
        <v>0</v>
      </c>
    </row>
    <row r="27" spans="1:26" x14ac:dyDescent="0.25">
      <c r="A27">
        <v>26</v>
      </c>
      <c r="B27">
        <v>26</v>
      </c>
      <c r="C27">
        <v>1409</v>
      </c>
      <c r="D27">
        <v>326</v>
      </c>
      <c r="E27">
        <v>25</v>
      </c>
      <c r="F27">
        <v>671</v>
      </c>
      <c r="R27" t="s">
        <v>46</v>
      </c>
    </row>
    <row r="28" spans="1:26" x14ac:dyDescent="0.25">
      <c r="A28">
        <v>27</v>
      </c>
      <c r="B28">
        <v>27</v>
      </c>
      <c r="C28">
        <v>42471</v>
      </c>
      <c r="D28">
        <v>289</v>
      </c>
      <c r="E28">
        <v>44</v>
      </c>
      <c r="F28">
        <v>654</v>
      </c>
      <c r="R28" t="s">
        <v>47</v>
      </c>
    </row>
    <row r="29" spans="1:26" x14ac:dyDescent="0.25">
      <c r="A29">
        <v>28</v>
      </c>
      <c r="B29">
        <v>28</v>
      </c>
      <c r="C29">
        <v>32793</v>
      </c>
      <c r="D29">
        <v>333</v>
      </c>
      <c r="E29">
        <v>44</v>
      </c>
      <c r="F29">
        <v>467</v>
      </c>
    </row>
    <row r="30" spans="1:26" x14ac:dyDescent="0.25">
      <c r="A30">
        <v>29</v>
      </c>
      <c r="B30">
        <v>29</v>
      </c>
      <c r="C30">
        <v>186634</v>
      </c>
      <c r="D30">
        <v>949</v>
      </c>
      <c r="E30">
        <v>41</v>
      </c>
      <c r="F30">
        <v>1809</v>
      </c>
    </row>
    <row r="31" spans="1:26" x14ac:dyDescent="0.25">
      <c r="A31">
        <v>30</v>
      </c>
      <c r="B31">
        <v>30</v>
      </c>
      <c r="C31">
        <v>26813</v>
      </c>
      <c r="D31">
        <v>411</v>
      </c>
      <c r="E31">
        <v>55</v>
      </c>
      <c r="F31">
        <v>915</v>
      </c>
      <c r="U31" t="s">
        <v>24</v>
      </c>
      <c r="V31" t="s">
        <v>24</v>
      </c>
    </row>
    <row r="32" spans="1:26" ht="15.75" thickBot="1" x14ac:dyDescent="0.3">
      <c r="A32">
        <v>31</v>
      </c>
      <c r="B32">
        <v>31</v>
      </c>
      <c r="C32">
        <v>34142</v>
      </c>
      <c r="D32">
        <v>413</v>
      </c>
      <c r="E32">
        <v>47</v>
      </c>
      <c r="F32">
        <v>863</v>
      </c>
    </row>
    <row r="33" spans="1:30" x14ac:dyDescent="0.25">
      <c r="A33">
        <v>32</v>
      </c>
      <c r="B33">
        <v>32</v>
      </c>
      <c r="C33">
        <v>28941</v>
      </c>
      <c r="D33">
        <v>210</v>
      </c>
      <c r="E33">
        <v>43</v>
      </c>
      <c r="F33">
        <v>0</v>
      </c>
      <c r="U33" s="3" t="s">
        <v>25</v>
      </c>
      <c r="V33" s="3" t="s">
        <v>25</v>
      </c>
      <c r="W33" s="3"/>
    </row>
    <row r="34" spans="1:30" x14ac:dyDescent="0.25">
      <c r="A34">
        <v>33</v>
      </c>
      <c r="B34">
        <v>33</v>
      </c>
      <c r="C34">
        <v>134181</v>
      </c>
      <c r="D34">
        <v>563</v>
      </c>
      <c r="E34">
        <v>48</v>
      </c>
      <c r="F34">
        <v>526</v>
      </c>
      <c r="U34" t="s">
        <v>26</v>
      </c>
      <c r="V34" t="s">
        <v>26</v>
      </c>
      <c r="W34">
        <v>0.90102593392996799</v>
      </c>
    </row>
    <row r="35" spans="1:30" x14ac:dyDescent="0.25">
      <c r="A35">
        <v>34</v>
      </c>
      <c r="B35">
        <v>34</v>
      </c>
      <c r="C35">
        <v>31367</v>
      </c>
      <c r="D35">
        <v>162</v>
      </c>
      <c r="E35">
        <v>30</v>
      </c>
      <c r="F35">
        <v>0</v>
      </c>
      <c r="U35" t="s">
        <v>27</v>
      </c>
      <c r="V35" t="s">
        <v>27</v>
      </c>
      <c r="W35">
        <v>0.81184773361437113</v>
      </c>
    </row>
    <row r="36" spans="1:30" x14ac:dyDescent="0.25">
      <c r="A36">
        <v>35</v>
      </c>
      <c r="B36">
        <v>35</v>
      </c>
      <c r="C36">
        <v>2015</v>
      </c>
      <c r="D36">
        <v>199</v>
      </c>
      <c r="E36">
        <v>25</v>
      </c>
      <c r="F36">
        <v>0</v>
      </c>
      <c r="U36" t="s">
        <v>28</v>
      </c>
      <c r="V36" t="s">
        <v>28</v>
      </c>
      <c r="W36">
        <v>0.80994239420793446</v>
      </c>
    </row>
    <row r="37" spans="1:30" x14ac:dyDescent="0.25">
      <c r="A37">
        <v>36</v>
      </c>
      <c r="B37">
        <v>36</v>
      </c>
      <c r="C37">
        <v>2335</v>
      </c>
      <c r="D37">
        <v>220</v>
      </c>
      <c r="E37">
        <v>49</v>
      </c>
      <c r="F37">
        <v>419</v>
      </c>
      <c r="U37" t="s">
        <v>16</v>
      </c>
      <c r="V37" t="s">
        <v>16</v>
      </c>
      <c r="W37">
        <v>200.43462631087922</v>
      </c>
    </row>
    <row r="38" spans="1:30" ht="15.75" thickBot="1" x14ac:dyDescent="0.3">
      <c r="A38">
        <v>37</v>
      </c>
      <c r="B38">
        <v>37</v>
      </c>
      <c r="C38">
        <v>62413</v>
      </c>
      <c r="D38">
        <v>455</v>
      </c>
      <c r="E38">
        <v>71</v>
      </c>
      <c r="F38">
        <v>762</v>
      </c>
      <c r="U38" s="1" t="s">
        <v>29</v>
      </c>
      <c r="V38" s="1" t="s">
        <v>29</v>
      </c>
      <c r="W38" s="1">
        <v>400</v>
      </c>
    </row>
    <row r="39" spans="1:30" x14ac:dyDescent="0.25">
      <c r="A39">
        <v>38</v>
      </c>
      <c r="B39">
        <v>38</v>
      </c>
      <c r="C39">
        <v>30007</v>
      </c>
      <c r="D39">
        <v>462</v>
      </c>
      <c r="E39">
        <v>69</v>
      </c>
      <c r="F39">
        <v>1093</v>
      </c>
    </row>
    <row r="40" spans="1:30" ht="15.75" thickBot="1" x14ac:dyDescent="0.3">
      <c r="A40">
        <v>39</v>
      </c>
      <c r="B40">
        <v>39</v>
      </c>
      <c r="C40">
        <v>11795</v>
      </c>
      <c r="D40">
        <v>300</v>
      </c>
      <c r="E40">
        <v>25</v>
      </c>
      <c r="F40">
        <v>531</v>
      </c>
      <c r="U40" t="s">
        <v>30</v>
      </c>
      <c r="V40" t="s">
        <v>30</v>
      </c>
    </row>
    <row r="41" spans="1:30" x14ac:dyDescent="0.25">
      <c r="A41">
        <v>40</v>
      </c>
      <c r="B41">
        <v>40</v>
      </c>
      <c r="C41">
        <v>13647</v>
      </c>
      <c r="D41">
        <v>264</v>
      </c>
      <c r="E41">
        <v>47</v>
      </c>
      <c r="F41">
        <v>344</v>
      </c>
      <c r="U41" s="2"/>
      <c r="V41" s="2"/>
      <c r="W41" s="2" t="s">
        <v>34</v>
      </c>
      <c r="X41" s="2" t="s">
        <v>35</v>
      </c>
      <c r="Y41" s="2" t="s">
        <v>36</v>
      </c>
      <c r="Z41" s="2" t="s">
        <v>37</v>
      </c>
      <c r="AA41" s="2" t="s">
        <v>38</v>
      </c>
    </row>
    <row r="42" spans="1:30" x14ac:dyDescent="0.25">
      <c r="A42">
        <v>41</v>
      </c>
      <c r="B42">
        <v>41</v>
      </c>
      <c r="C42">
        <v>3495</v>
      </c>
      <c r="D42">
        <v>253</v>
      </c>
      <c r="E42">
        <v>54</v>
      </c>
      <c r="F42">
        <v>50</v>
      </c>
      <c r="U42" t="s">
        <v>31</v>
      </c>
      <c r="V42" t="s">
        <v>31</v>
      </c>
      <c r="W42">
        <v>4</v>
      </c>
      <c r="X42">
        <v>68471166.337369293</v>
      </c>
      <c r="Y42">
        <v>17117791.584342323</v>
      </c>
      <c r="Z42">
        <v>426.0908743459205</v>
      </c>
      <c r="AA42">
        <v>8.382219270846388E-142</v>
      </c>
    </row>
    <row r="43" spans="1:30" ht="15.75" thickBot="1" x14ac:dyDescent="0.3">
      <c r="A43">
        <v>42</v>
      </c>
      <c r="B43">
        <v>42</v>
      </c>
      <c r="C43">
        <v>113659</v>
      </c>
      <c r="D43">
        <v>538</v>
      </c>
      <c r="E43">
        <v>66</v>
      </c>
      <c r="F43">
        <v>1155</v>
      </c>
      <c r="U43" t="s">
        <v>32</v>
      </c>
      <c r="V43" t="s">
        <v>32</v>
      </c>
      <c r="W43">
        <v>395</v>
      </c>
      <c r="X43">
        <v>15868745.572630811</v>
      </c>
      <c r="Y43">
        <v>40174.039424381801</v>
      </c>
    </row>
    <row r="44" spans="1:30" ht="15.75" thickBot="1" x14ac:dyDescent="0.3">
      <c r="A44">
        <v>43</v>
      </c>
      <c r="B44">
        <v>43</v>
      </c>
      <c r="C44">
        <v>44158</v>
      </c>
      <c r="D44">
        <v>351</v>
      </c>
      <c r="E44">
        <v>66</v>
      </c>
      <c r="F44">
        <v>385</v>
      </c>
      <c r="H44" s="2"/>
      <c r="I44" s="2" t="s">
        <v>3</v>
      </c>
      <c r="J44" s="2" t="s">
        <v>4</v>
      </c>
      <c r="L44" s="2"/>
      <c r="M44" s="2" t="s">
        <v>2</v>
      </c>
      <c r="N44" s="2" t="s">
        <v>3</v>
      </c>
      <c r="O44" s="2" t="s">
        <v>4</v>
      </c>
      <c r="P44" s="2" t="s">
        <v>5</v>
      </c>
      <c r="Q44" s="2" t="s">
        <v>6</v>
      </c>
      <c r="R44" s="2" t="s">
        <v>7</v>
      </c>
      <c r="S44" s="2" t="s">
        <v>9</v>
      </c>
      <c r="U44" s="1" t="s">
        <v>15</v>
      </c>
      <c r="V44" s="1" t="s">
        <v>15</v>
      </c>
      <c r="W44" s="1">
        <v>399</v>
      </c>
      <c r="X44" s="1">
        <v>84339911.910000101</v>
      </c>
      <c r="Y44" s="1"/>
      <c r="Z44" s="1"/>
      <c r="AA44" s="1"/>
    </row>
    <row r="45" spans="1:30" ht="15.75" thickBot="1" x14ac:dyDescent="0.3">
      <c r="A45">
        <v>44</v>
      </c>
      <c r="B45">
        <v>44</v>
      </c>
      <c r="C45">
        <v>36929</v>
      </c>
      <c r="D45">
        <v>445</v>
      </c>
      <c r="E45">
        <v>24</v>
      </c>
      <c r="F45">
        <v>976</v>
      </c>
      <c r="H45" t="s">
        <v>3</v>
      </c>
      <c r="I45">
        <v>1</v>
      </c>
      <c r="L45" t="s">
        <v>2</v>
      </c>
      <c r="M45" s="20">
        <v>1</v>
      </c>
      <c r="N45" s="18"/>
      <c r="O45" s="18"/>
      <c r="P45" s="18"/>
      <c r="Q45" s="18"/>
      <c r="R45" s="18"/>
      <c r="S45" s="18"/>
    </row>
    <row r="46" spans="1:30" ht="15.75" thickBot="1" x14ac:dyDescent="0.3">
      <c r="A46">
        <v>45</v>
      </c>
      <c r="B46">
        <v>45</v>
      </c>
      <c r="C46">
        <v>31861</v>
      </c>
      <c r="D46">
        <v>469</v>
      </c>
      <c r="E46">
        <v>25</v>
      </c>
      <c r="F46">
        <v>1120</v>
      </c>
      <c r="H46" s="1" t="s">
        <v>4</v>
      </c>
      <c r="I46" s="1">
        <v>0.99687973700168242</v>
      </c>
      <c r="J46" s="1">
        <v>1</v>
      </c>
      <c r="L46" t="s">
        <v>3</v>
      </c>
      <c r="M46" s="18">
        <v>0.70715222300190217</v>
      </c>
      <c r="N46" s="20">
        <v>1</v>
      </c>
      <c r="O46" s="18"/>
      <c r="P46" s="18"/>
      <c r="Q46" s="18"/>
      <c r="R46" s="18"/>
      <c r="S46" s="18"/>
      <c r="U46" s="2"/>
      <c r="W46" t="s">
        <v>39</v>
      </c>
      <c r="X46" t="s">
        <v>16</v>
      </c>
      <c r="Y46" t="s">
        <v>40</v>
      </c>
      <c r="Z46" t="s">
        <v>41</v>
      </c>
      <c r="AA46" t="s">
        <v>42</v>
      </c>
      <c r="AB46" t="s">
        <v>43</v>
      </c>
      <c r="AC46" t="s">
        <v>44</v>
      </c>
      <c r="AD46" t="s">
        <v>45</v>
      </c>
    </row>
    <row r="47" spans="1:30" x14ac:dyDescent="0.25">
      <c r="A47">
        <v>46</v>
      </c>
      <c r="B47">
        <v>46</v>
      </c>
      <c r="C47">
        <v>7738</v>
      </c>
      <c r="D47">
        <v>564</v>
      </c>
      <c r="E47">
        <v>50</v>
      </c>
      <c r="F47">
        <v>997</v>
      </c>
      <c r="L47" t="s">
        <v>4</v>
      </c>
      <c r="M47" s="18">
        <v>0.70345470442466385</v>
      </c>
      <c r="N47" s="22">
        <v>0.99687973700168242</v>
      </c>
      <c r="O47" s="20">
        <v>1</v>
      </c>
      <c r="P47" s="18"/>
      <c r="Q47" s="18"/>
      <c r="R47" s="18"/>
      <c r="S47" s="18"/>
      <c r="U47" t="s">
        <v>33</v>
      </c>
      <c r="V47" t="s">
        <v>33</v>
      </c>
      <c r="W47">
        <v>-411.86098508412624</v>
      </c>
      <c r="X47">
        <v>59.502001671752836</v>
      </c>
      <c r="Y47">
        <v>-6.9218005027156506</v>
      </c>
      <c r="Z47">
        <v>1.8116447481357148E-11</v>
      </c>
      <c r="AA47">
        <v>-528.84119837750825</v>
      </c>
      <c r="AB47">
        <v>-294.88077179074423</v>
      </c>
      <c r="AC47">
        <v>-528.84119837750825</v>
      </c>
      <c r="AD47">
        <v>-294.88077179074423</v>
      </c>
    </row>
    <row r="48" spans="1:30" x14ac:dyDescent="0.25">
      <c r="A48">
        <v>47</v>
      </c>
      <c r="B48">
        <v>47</v>
      </c>
      <c r="C48">
        <v>19531</v>
      </c>
      <c r="D48">
        <v>376</v>
      </c>
      <c r="E48">
        <v>64</v>
      </c>
      <c r="F48">
        <v>1241</v>
      </c>
      <c r="L48" t="s">
        <v>5</v>
      </c>
      <c r="M48" s="18">
        <v>-1.2206932428287411E-2</v>
      </c>
      <c r="N48" s="18">
        <v>1.0231332995559075E-2</v>
      </c>
      <c r="O48" s="18">
        <v>5.3239030348104933E-2</v>
      </c>
      <c r="P48" s="20">
        <v>1</v>
      </c>
      <c r="Q48" s="18"/>
      <c r="R48" s="18"/>
      <c r="S48" s="18"/>
      <c r="U48" t="s">
        <v>2</v>
      </c>
      <c r="V48" t="s">
        <v>2</v>
      </c>
      <c r="W48">
        <v>-4.3957935168575024E-3</v>
      </c>
      <c r="X48">
        <v>3.9850691030874198E-4</v>
      </c>
      <c r="Y48">
        <v>-11.030658197249014</v>
      </c>
      <c r="Z48">
        <v>7.608566826569483E-25</v>
      </c>
      <c r="AA48">
        <v>-5.1792532670684567E-3</v>
      </c>
      <c r="AB48">
        <v>-3.612333766646548E-3</v>
      </c>
      <c r="AC48">
        <v>-5.1792532670684567E-3</v>
      </c>
      <c r="AD48">
        <v>-3.612333766646548E-3</v>
      </c>
    </row>
    <row r="49" spans="1:30" x14ac:dyDescent="0.25">
      <c r="A49">
        <v>48</v>
      </c>
      <c r="B49">
        <v>48</v>
      </c>
      <c r="C49">
        <v>44646</v>
      </c>
      <c r="D49">
        <v>320</v>
      </c>
      <c r="E49">
        <v>49</v>
      </c>
      <c r="F49">
        <v>797</v>
      </c>
      <c r="L49" t="s">
        <v>6</v>
      </c>
      <c r="M49" s="18">
        <v>0.12325817519621964</v>
      </c>
      <c r="N49" s="18">
        <v>0.1008879215627206</v>
      </c>
      <c r="O49" s="18">
        <v>0.10316499590280001</v>
      </c>
      <c r="P49" s="18">
        <v>4.294828786415919E-2</v>
      </c>
      <c r="Q49" s="20">
        <v>1</v>
      </c>
      <c r="R49" s="18"/>
      <c r="S49" s="18"/>
      <c r="U49" t="s">
        <v>4</v>
      </c>
      <c r="V49" t="s">
        <v>4</v>
      </c>
      <c r="W49">
        <v>3.299970867240773</v>
      </c>
      <c r="X49">
        <v>9.1322828678810891E-2</v>
      </c>
      <c r="Y49">
        <v>36.135223962970016</v>
      </c>
      <c r="Z49">
        <v>2.7329746547605002E-127</v>
      </c>
      <c r="AA49">
        <v>3.1204312941632883</v>
      </c>
      <c r="AB49">
        <v>3.4795104403182577</v>
      </c>
      <c r="AC49">
        <v>3.1204312941632883</v>
      </c>
      <c r="AD49">
        <v>3.4795104403182577</v>
      </c>
    </row>
    <row r="50" spans="1:30" x14ac:dyDescent="0.25">
      <c r="A50">
        <v>49</v>
      </c>
      <c r="B50">
        <v>49</v>
      </c>
      <c r="C50">
        <v>44522</v>
      </c>
      <c r="D50">
        <v>205</v>
      </c>
      <c r="E50">
        <v>72</v>
      </c>
      <c r="F50">
        <v>0</v>
      </c>
      <c r="L50" t="s">
        <v>7</v>
      </c>
      <c r="M50" s="18">
        <v>-9.1266430550219092E-3</v>
      </c>
      <c r="N50" s="18">
        <v>-2.3548534180669732E-2</v>
      </c>
      <c r="O50" s="18">
        <v>-3.0135626967383752E-2</v>
      </c>
      <c r="P50" s="18">
        <v>-5.1084217475789617E-2</v>
      </c>
      <c r="Q50" s="18">
        <v>3.6192845743984741E-3</v>
      </c>
      <c r="R50" s="20">
        <v>1</v>
      </c>
      <c r="S50" s="18"/>
      <c r="U50" t="s">
        <v>5</v>
      </c>
      <c r="V50" t="s">
        <v>6</v>
      </c>
      <c r="W50">
        <v>-1.8910926977931435</v>
      </c>
      <c r="X50">
        <v>0.58634254227065885</v>
      </c>
      <c r="Y50">
        <v>-3.2252353555478583</v>
      </c>
      <c r="Z50">
        <v>1.3634619442667196E-3</v>
      </c>
      <c r="AA50">
        <v>-3.0438350212563088</v>
      </c>
      <c r="AB50">
        <v>-0.73835037432997819</v>
      </c>
      <c r="AC50">
        <v>-3.0438350212563088</v>
      </c>
      <c r="AD50">
        <v>-0.73835037432997819</v>
      </c>
    </row>
    <row r="51" spans="1:30" ht="15.75" thickBot="1" x14ac:dyDescent="0.3">
      <c r="A51">
        <v>50</v>
      </c>
      <c r="B51">
        <v>50</v>
      </c>
      <c r="C51">
        <v>43479</v>
      </c>
      <c r="D51">
        <v>354</v>
      </c>
      <c r="E51">
        <v>49</v>
      </c>
      <c r="F51">
        <v>902</v>
      </c>
      <c r="L51" s="1" t="s">
        <v>9</v>
      </c>
      <c r="M51" s="19">
        <v>0.4326250068248822</v>
      </c>
      <c r="N51" s="19">
        <v>0.86169726701539673</v>
      </c>
      <c r="O51" s="19">
        <v>0.86362516062149441</v>
      </c>
      <c r="P51" s="19">
        <v>8.6456347418619114E-2</v>
      </c>
      <c r="Q51" s="19">
        <v>1.8351188590736804E-3</v>
      </c>
      <c r="R51" s="19">
        <v>-8.0615764535534491E-3</v>
      </c>
      <c r="S51" s="21">
        <v>1</v>
      </c>
      <c r="U51" t="s">
        <v>6</v>
      </c>
      <c r="V51" t="s">
        <v>7</v>
      </c>
      <c r="W51">
        <v>3.3192419950709726</v>
      </c>
      <c r="X51">
        <v>3.2127303779208352</v>
      </c>
      <c r="Y51">
        <v>1.0331529897068636</v>
      </c>
      <c r="Z51">
        <v>0.30216444140504523</v>
      </c>
      <c r="AA51">
        <v>-2.9969469448671844</v>
      </c>
      <c r="AB51">
        <v>9.6354309350091292</v>
      </c>
      <c r="AC51">
        <v>-2.9969469448671844</v>
      </c>
      <c r="AD51">
        <v>9.6354309350091292</v>
      </c>
    </row>
    <row r="52" spans="1:30" ht="32.25" customHeight="1" thickBot="1" x14ac:dyDescent="0.3">
      <c r="A52">
        <v>51</v>
      </c>
      <c r="B52">
        <v>51</v>
      </c>
      <c r="C52">
        <v>36362</v>
      </c>
      <c r="D52">
        <v>376</v>
      </c>
      <c r="E52">
        <v>49</v>
      </c>
      <c r="F52">
        <v>654</v>
      </c>
      <c r="L52" s="25" t="s">
        <v>53</v>
      </c>
      <c r="M52" s="25"/>
      <c r="N52" s="25"/>
      <c r="O52" s="25"/>
      <c r="P52" s="25"/>
      <c r="Q52" s="25"/>
      <c r="R52" s="25"/>
      <c r="S52" s="25"/>
      <c r="U52" s="1" t="s">
        <v>7</v>
      </c>
    </row>
    <row r="53" spans="1:30" x14ac:dyDescent="0.25">
      <c r="A53">
        <v>52</v>
      </c>
      <c r="B53">
        <v>52</v>
      </c>
      <c r="C53">
        <v>39705</v>
      </c>
      <c r="D53">
        <v>301</v>
      </c>
      <c r="E53">
        <v>27</v>
      </c>
      <c r="F53">
        <v>211</v>
      </c>
    </row>
    <row r="54" spans="1:30" x14ac:dyDescent="0.25">
      <c r="A54">
        <v>53</v>
      </c>
      <c r="B54">
        <v>53</v>
      </c>
      <c r="C54">
        <v>44205</v>
      </c>
      <c r="D54">
        <v>394</v>
      </c>
      <c r="E54">
        <v>32</v>
      </c>
      <c r="F54">
        <v>607</v>
      </c>
      <c r="L54" t="s">
        <v>48</v>
      </c>
    </row>
    <row r="55" spans="1:30" x14ac:dyDescent="0.25">
      <c r="A55">
        <v>54</v>
      </c>
      <c r="B55">
        <v>54</v>
      </c>
      <c r="C55">
        <v>16304</v>
      </c>
      <c r="D55">
        <v>413</v>
      </c>
      <c r="E55">
        <v>66</v>
      </c>
      <c r="F55">
        <v>957</v>
      </c>
      <c r="L55" t="s">
        <v>49</v>
      </c>
    </row>
    <row r="56" spans="1:30" x14ac:dyDescent="0.25">
      <c r="A56">
        <v>55</v>
      </c>
      <c r="B56">
        <v>55</v>
      </c>
      <c r="C56">
        <v>15333</v>
      </c>
      <c r="D56">
        <v>138</v>
      </c>
      <c r="E56">
        <v>47</v>
      </c>
      <c r="F56">
        <v>0</v>
      </c>
    </row>
    <row r="57" spans="1:30" x14ac:dyDescent="0.25">
      <c r="A57">
        <v>56</v>
      </c>
      <c r="B57">
        <v>56</v>
      </c>
      <c r="C57">
        <v>32916</v>
      </c>
      <c r="D57">
        <v>154</v>
      </c>
      <c r="E57">
        <v>60</v>
      </c>
      <c r="F57">
        <v>0</v>
      </c>
      <c r="U57" t="s">
        <v>24</v>
      </c>
    </row>
    <row r="58" spans="1:30" ht="15.75" thickBot="1" x14ac:dyDescent="0.3">
      <c r="A58">
        <v>57</v>
      </c>
      <c r="B58">
        <v>57</v>
      </c>
      <c r="C58">
        <v>571</v>
      </c>
      <c r="D58">
        <v>372</v>
      </c>
      <c r="E58">
        <v>79</v>
      </c>
      <c r="F58">
        <v>379</v>
      </c>
    </row>
    <row r="59" spans="1:30" x14ac:dyDescent="0.25">
      <c r="A59">
        <v>58</v>
      </c>
      <c r="B59">
        <v>58</v>
      </c>
      <c r="C59">
        <v>76273</v>
      </c>
      <c r="D59">
        <v>367</v>
      </c>
      <c r="E59">
        <v>65</v>
      </c>
      <c r="F59">
        <v>133</v>
      </c>
      <c r="U59" s="3" t="s">
        <v>25</v>
      </c>
      <c r="V59" s="3"/>
    </row>
    <row r="60" spans="1:30" x14ac:dyDescent="0.25">
      <c r="A60">
        <v>59</v>
      </c>
      <c r="B60">
        <v>59</v>
      </c>
      <c r="C60">
        <v>10354</v>
      </c>
      <c r="D60">
        <v>281</v>
      </c>
      <c r="E60">
        <v>70</v>
      </c>
      <c r="F60">
        <v>333</v>
      </c>
      <c r="U60" t="s">
        <v>26</v>
      </c>
      <c r="V60">
        <v>0.90102593392996799</v>
      </c>
    </row>
    <row r="61" spans="1:30" x14ac:dyDescent="0.25">
      <c r="A61">
        <v>60</v>
      </c>
      <c r="B61">
        <v>60</v>
      </c>
      <c r="C61">
        <v>51872</v>
      </c>
      <c r="D61">
        <v>390</v>
      </c>
      <c r="E61">
        <v>81</v>
      </c>
      <c r="F61">
        <v>531</v>
      </c>
      <c r="U61" t="s">
        <v>27</v>
      </c>
      <c r="V61" s="24">
        <v>0.81184773361437113</v>
      </c>
    </row>
    <row r="62" spans="1:30" x14ac:dyDescent="0.25">
      <c r="A62">
        <v>61</v>
      </c>
      <c r="B62">
        <v>61</v>
      </c>
      <c r="C62">
        <v>3551</v>
      </c>
      <c r="D62">
        <v>364</v>
      </c>
      <c r="E62">
        <v>35</v>
      </c>
      <c r="F62">
        <v>631</v>
      </c>
      <c r="U62" t="s">
        <v>28</v>
      </c>
      <c r="V62">
        <v>0.80994239420793446</v>
      </c>
    </row>
    <row r="63" spans="1:30" x14ac:dyDescent="0.25">
      <c r="A63">
        <v>62</v>
      </c>
      <c r="B63">
        <v>62</v>
      </c>
      <c r="C63">
        <v>21238</v>
      </c>
      <c r="D63">
        <v>254</v>
      </c>
      <c r="E63">
        <v>59</v>
      </c>
      <c r="F63">
        <v>108</v>
      </c>
      <c r="U63" t="s">
        <v>16</v>
      </c>
      <c r="V63">
        <v>200.43462631087922</v>
      </c>
    </row>
    <row r="64" spans="1:30" ht="15.75" thickBot="1" x14ac:dyDescent="0.3">
      <c r="A64">
        <v>63</v>
      </c>
      <c r="B64">
        <v>63</v>
      </c>
      <c r="C64">
        <v>30682</v>
      </c>
      <c r="D64">
        <v>160</v>
      </c>
      <c r="E64">
        <v>77</v>
      </c>
      <c r="F64">
        <v>0</v>
      </c>
      <c r="U64" s="1" t="s">
        <v>29</v>
      </c>
      <c r="V64" s="1">
        <v>400</v>
      </c>
    </row>
    <row r="65" spans="1:29" x14ac:dyDescent="0.25">
      <c r="A65">
        <v>64</v>
      </c>
      <c r="B65">
        <v>64</v>
      </c>
      <c r="C65">
        <v>14132</v>
      </c>
      <c r="D65">
        <v>251</v>
      </c>
      <c r="E65">
        <v>75</v>
      </c>
      <c r="F65">
        <v>133</v>
      </c>
    </row>
    <row r="66" spans="1:29" ht="15.75" thickBot="1" x14ac:dyDescent="0.3">
      <c r="A66">
        <v>65</v>
      </c>
      <c r="B66">
        <v>65</v>
      </c>
      <c r="C66">
        <v>32164</v>
      </c>
      <c r="D66">
        <v>223</v>
      </c>
      <c r="E66">
        <v>79</v>
      </c>
      <c r="F66">
        <v>0</v>
      </c>
      <c r="U66" t="s">
        <v>30</v>
      </c>
    </row>
    <row r="67" spans="1:29" x14ac:dyDescent="0.25">
      <c r="A67">
        <v>66</v>
      </c>
      <c r="B67">
        <v>66</v>
      </c>
      <c r="C67">
        <v>12</v>
      </c>
      <c r="D67">
        <v>320</v>
      </c>
      <c r="E67">
        <v>28</v>
      </c>
      <c r="F67">
        <v>602</v>
      </c>
      <c r="U67" s="2"/>
      <c r="V67" s="2" t="s">
        <v>34</v>
      </c>
      <c r="W67" s="2" t="s">
        <v>35</v>
      </c>
      <c r="X67" s="2" t="s">
        <v>36</v>
      </c>
      <c r="Y67" s="2" t="s">
        <v>37</v>
      </c>
      <c r="Z67" s="2" t="s">
        <v>38</v>
      </c>
    </row>
    <row r="68" spans="1:29" x14ac:dyDescent="0.25">
      <c r="A68">
        <v>67</v>
      </c>
      <c r="B68">
        <v>67</v>
      </c>
      <c r="C68">
        <v>113829</v>
      </c>
      <c r="D68">
        <v>694</v>
      </c>
      <c r="E68">
        <v>38</v>
      </c>
      <c r="F68">
        <v>1388</v>
      </c>
      <c r="U68" t="s">
        <v>31</v>
      </c>
      <c r="V68">
        <v>4</v>
      </c>
      <c r="W68">
        <v>68471166.337369293</v>
      </c>
      <c r="X68">
        <v>17117791.584342323</v>
      </c>
      <c r="Y68">
        <v>426.0908743459205</v>
      </c>
      <c r="Z68">
        <v>8.382219270846388E-142</v>
      </c>
    </row>
    <row r="69" spans="1:29" x14ac:dyDescent="0.25">
      <c r="A69">
        <v>68</v>
      </c>
      <c r="B69">
        <v>68</v>
      </c>
      <c r="C69">
        <v>11187</v>
      </c>
      <c r="D69">
        <v>380</v>
      </c>
      <c r="E69">
        <v>69</v>
      </c>
      <c r="F69">
        <v>889</v>
      </c>
      <c r="U69" t="s">
        <v>32</v>
      </c>
      <c r="V69">
        <v>395</v>
      </c>
      <c r="W69">
        <v>15868745.572630811</v>
      </c>
      <c r="X69">
        <v>40174.039424381801</v>
      </c>
    </row>
    <row r="70" spans="1:29" ht="15.75" thickBot="1" x14ac:dyDescent="0.3">
      <c r="A70">
        <v>69</v>
      </c>
      <c r="B70">
        <v>69</v>
      </c>
      <c r="C70">
        <v>27847</v>
      </c>
      <c r="D70">
        <v>418</v>
      </c>
      <c r="E70">
        <v>78</v>
      </c>
      <c r="F70">
        <v>822</v>
      </c>
      <c r="U70" s="1" t="s">
        <v>15</v>
      </c>
      <c r="V70" s="1">
        <v>399</v>
      </c>
      <c r="W70" s="1">
        <v>84339911.910000101</v>
      </c>
      <c r="X70" s="1"/>
      <c r="Y70" s="1"/>
      <c r="Z70" s="1"/>
    </row>
    <row r="71" spans="1:29" ht="15.75" thickBot="1" x14ac:dyDescent="0.3">
      <c r="A71">
        <v>70</v>
      </c>
      <c r="B71">
        <v>70</v>
      </c>
      <c r="C71">
        <v>49502</v>
      </c>
      <c r="D71">
        <v>505</v>
      </c>
      <c r="E71">
        <v>55</v>
      </c>
      <c r="F71">
        <v>1084</v>
      </c>
    </row>
    <row r="72" spans="1:29" x14ac:dyDescent="0.25">
      <c r="A72">
        <v>71</v>
      </c>
      <c r="B72">
        <v>71</v>
      </c>
      <c r="C72">
        <v>24889</v>
      </c>
      <c r="D72">
        <v>318</v>
      </c>
      <c r="E72">
        <v>75</v>
      </c>
      <c r="F72">
        <v>357</v>
      </c>
      <c r="U72" s="2"/>
      <c r="V72" s="2" t="s">
        <v>39</v>
      </c>
      <c r="W72" s="2" t="s">
        <v>16</v>
      </c>
      <c r="X72" s="2" t="s">
        <v>40</v>
      </c>
      <c r="Y72" s="2" t="s">
        <v>41</v>
      </c>
      <c r="Z72" s="2" t="s">
        <v>42</v>
      </c>
      <c r="AA72" s="2" t="s">
        <v>43</v>
      </c>
      <c r="AB72" s="2" t="s">
        <v>44</v>
      </c>
      <c r="AC72" s="2" t="s">
        <v>45</v>
      </c>
    </row>
    <row r="73" spans="1:29" x14ac:dyDescent="0.25">
      <c r="A73">
        <v>72</v>
      </c>
      <c r="B73">
        <v>72</v>
      </c>
      <c r="C73">
        <v>58781</v>
      </c>
      <c r="D73">
        <v>538</v>
      </c>
      <c r="E73">
        <v>81</v>
      </c>
      <c r="F73">
        <v>1103</v>
      </c>
      <c r="U73" t="s">
        <v>33</v>
      </c>
      <c r="V73">
        <v>-411.86098508412624</v>
      </c>
      <c r="W73">
        <v>59.502001671752836</v>
      </c>
      <c r="X73">
        <v>-6.9218005027156506</v>
      </c>
      <c r="Y73">
        <v>1.8116447481357148E-11</v>
      </c>
      <c r="Z73">
        <v>-528.84119837750825</v>
      </c>
      <c r="AA73">
        <v>-294.88077179074423</v>
      </c>
      <c r="AB73">
        <v>-528.84119837750825</v>
      </c>
      <c r="AC73">
        <v>-294.88077179074423</v>
      </c>
    </row>
    <row r="74" spans="1:29" x14ac:dyDescent="0.25">
      <c r="A74">
        <v>73</v>
      </c>
      <c r="B74">
        <v>73</v>
      </c>
      <c r="C74">
        <v>22939</v>
      </c>
      <c r="D74">
        <v>355</v>
      </c>
      <c r="E74">
        <v>47</v>
      </c>
      <c r="F74">
        <v>663</v>
      </c>
      <c r="U74" t="s">
        <v>2</v>
      </c>
      <c r="V74">
        <v>-4.3957935168575024E-3</v>
      </c>
      <c r="W74">
        <v>3.9850691030874198E-4</v>
      </c>
      <c r="X74">
        <v>-11.030658197249014</v>
      </c>
      <c r="Y74">
        <v>7.608566826569483E-25</v>
      </c>
      <c r="Z74">
        <v>-5.1792532670684567E-3</v>
      </c>
      <c r="AA74">
        <v>-3.612333766646548E-3</v>
      </c>
      <c r="AB74">
        <v>-5.1792532670684567E-3</v>
      </c>
      <c r="AC74">
        <v>-3.612333766646548E-3</v>
      </c>
    </row>
    <row r="75" spans="1:29" x14ac:dyDescent="0.25">
      <c r="A75">
        <v>74</v>
      </c>
      <c r="B75">
        <v>74</v>
      </c>
      <c r="C75">
        <v>23989</v>
      </c>
      <c r="D75">
        <v>338</v>
      </c>
      <c r="E75">
        <v>31</v>
      </c>
      <c r="F75">
        <v>601</v>
      </c>
      <c r="U75" t="s">
        <v>4</v>
      </c>
      <c r="V75">
        <v>3.299970867240773</v>
      </c>
      <c r="W75">
        <v>9.1322828678810891E-2</v>
      </c>
      <c r="X75">
        <v>36.135223962970016</v>
      </c>
      <c r="Y75">
        <v>2.7329746547605002E-127</v>
      </c>
      <c r="Z75">
        <v>3.1204312941632883</v>
      </c>
      <c r="AA75">
        <v>3.4795104403182577</v>
      </c>
      <c r="AB75">
        <v>3.1204312941632883</v>
      </c>
      <c r="AC75">
        <v>3.4795104403182577</v>
      </c>
    </row>
    <row r="76" spans="1:29" x14ac:dyDescent="0.25">
      <c r="A76">
        <v>75</v>
      </c>
      <c r="B76">
        <v>75</v>
      </c>
      <c r="C76">
        <v>16103</v>
      </c>
      <c r="D76">
        <v>418</v>
      </c>
      <c r="E76">
        <v>45</v>
      </c>
      <c r="F76">
        <v>945</v>
      </c>
      <c r="U76" t="s">
        <v>6</v>
      </c>
      <c r="V76">
        <v>-1.8910926977931435</v>
      </c>
      <c r="W76">
        <v>0.58634254227065885</v>
      </c>
      <c r="X76">
        <v>-3.2252353555478583</v>
      </c>
      <c r="Y76">
        <v>1.3634619442667196E-3</v>
      </c>
      <c r="Z76">
        <v>-3.0438350212563088</v>
      </c>
      <c r="AA76">
        <v>-0.73835037432997819</v>
      </c>
      <c r="AB76">
        <v>-3.0438350212563088</v>
      </c>
      <c r="AC76">
        <v>-0.73835037432997819</v>
      </c>
    </row>
    <row r="77" spans="1:29" ht="15.75" thickBot="1" x14ac:dyDescent="0.3">
      <c r="A77">
        <v>76</v>
      </c>
      <c r="B77">
        <v>76</v>
      </c>
      <c r="C77">
        <v>33017</v>
      </c>
      <c r="D77">
        <v>224</v>
      </c>
      <c r="E77">
        <v>28</v>
      </c>
      <c r="F77">
        <v>29</v>
      </c>
      <c r="U77" s="1" t="s">
        <v>7</v>
      </c>
      <c r="V77" s="1">
        <v>3.3192419950709726</v>
      </c>
      <c r="W77" s="1">
        <v>3.2127303779208352</v>
      </c>
      <c r="X77" s="1">
        <v>1.0331529897068636</v>
      </c>
      <c r="Y77" s="1">
        <v>0.30216444140504523</v>
      </c>
      <c r="Z77" s="1">
        <v>-2.9969469448671844</v>
      </c>
      <c r="AA77" s="1">
        <v>9.6354309350091292</v>
      </c>
      <c r="AB77" s="1">
        <v>-2.9969469448671844</v>
      </c>
      <c r="AC77" s="1">
        <v>9.6354309350091292</v>
      </c>
    </row>
    <row r="78" spans="1:29" x14ac:dyDescent="0.25">
      <c r="A78">
        <v>77</v>
      </c>
      <c r="B78">
        <v>77</v>
      </c>
      <c r="C78">
        <v>30622</v>
      </c>
      <c r="D78">
        <v>251</v>
      </c>
      <c r="E78">
        <v>68</v>
      </c>
      <c r="F78">
        <v>532</v>
      </c>
    </row>
    <row r="79" spans="1:29" x14ac:dyDescent="0.25">
      <c r="A79">
        <v>78</v>
      </c>
      <c r="B79">
        <v>78</v>
      </c>
      <c r="C79">
        <v>20936</v>
      </c>
      <c r="D79">
        <v>253</v>
      </c>
      <c r="E79">
        <v>30</v>
      </c>
      <c r="F79">
        <v>145</v>
      </c>
    </row>
    <row r="80" spans="1:29" x14ac:dyDescent="0.25">
      <c r="A80">
        <v>79</v>
      </c>
      <c r="B80">
        <v>79</v>
      </c>
      <c r="C80">
        <v>110968</v>
      </c>
      <c r="D80">
        <v>468</v>
      </c>
      <c r="E80">
        <v>45</v>
      </c>
      <c r="F80">
        <v>391</v>
      </c>
      <c r="U80" t="s">
        <v>24</v>
      </c>
    </row>
    <row r="81" spans="1:29" ht="15.75" thickBot="1" x14ac:dyDescent="0.3">
      <c r="A81">
        <v>80</v>
      </c>
      <c r="B81">
        <v>80</v>
      </c>
      <c r="C81">
        <v>15354</v>
      </c>
      <c r="D81">
        <v>171</v>
      </c>
      <c r="E81">
        <v>65</v>
      </c>
      <c r="F81">
        <v>0</v>
      </c>
    </row>
    <row r="82" spans="1:29" x14ac:dyDescent="0.25">
      <c r="A82">
        <v>81</v>
      </c>
      <c r="B82">
        <v>81</v>
      </c>
      <c r="C82">
        <v>27369</v>
      </c>
      <c r="D82">
        <v>288</v>
      </c>
      <c r="E82">
        <v>40</v>
      </c>
      <c r="F82">
        <v>162</v>
      </c>
      <c r="U82" s="3" t="s">
        <v>25</v>
      </c>
      <c r="V82" s="3"/>
    </row>
    <row r="83" spans="1:29" x14ac:dyDescent="0.25">
      <c r="A83">
        <v>82</v>
      </c>
      <c r="B83">
        <v>82</v>
      </c>
      <c r="C83">
        <v>5348</v>
      </c>
      <c r="D83">
        <v>317</v>
      </c>
      <c r="E83">
        <v>83</v>
      </c>
      <c r="F83">
        <v>99</v>
      </c>
      <c r="U83" t="s">
        <v>26</v>
      </c>
      <c r="V83">
        <v>0.9007437434500386</v>
      </c>
    </row>
    <row r="84" spans="1:29" x14ac:dyDescent="0.25">
      <c r="A84">
        <v>83</v>
      </c>
      <c r="B84">
        <v>83</v>
      </c>
      <c r="C84">
        <v>23672</v>
      </c>
      <c r="D84">
        <v>344</v>
      </c>
      <c r="E84">
        <v>63</v>
      </c>
      <c r="F84">
        <v>503</v>
      </c>
      <c r="U84" t="s">
        <v>27</v>
      </c>
      <c r="V84" s="24">
        <v>0.81133929136438898</v>
      </c>
    </row>
    <row r="85" spans="1:29" x14ac:dyDescent="0.25">
      <c r="A85">
        <v>84</v>
      </c>
      <c r="B85">
        <v>84</v>
      </c>
      <c r="C85">
        <v>19225</v>
      </c>
      <c r="D85">
        <v>122</v>
      </c>
      <c r="E85">
        <v>38</v>
      </c>
      <c r="F85">
        <v>0</v>
      </c>
      <c r="U85" t="s">
        <v>28</v>
      </c>
      <c r="V85">
        <v>0.80991004357169494</v>
      </c>
    </row>
    <row r="86" spans="1:29" x14ac:dyDescent="0.25">
      <c r="A86">
        <v>85</v>
      </c>
      <c r="B86">
        <v>85</v>
      </c>
      <c r="C86">
        <v>4354</v>
      </c>
      <c r="D86">
        <v>232</v>
      </c>
      <c r="E86">
        <v>69</v>
      </c>
      <c r="F86">
        <v>0</v>
      </c>
      <c r="U86" t="s">
        <v>16</v>
      </c>
      <c r="V86">
        <v>200.45168406491044</v>
      </c>
    </row>
    <row r="87" spans="1:29" ht="15.75" thickBot="1" x14ac:dyDescent="0.3">
      <c r="A87">
        <v>86</v>
      </c>
      <c r="B87">
        <v>86</v>
      </c>
      <c r="C87">
        <v>152298</v>
      </c>
      <c r="D87">
        <v>828</v>
      </c>
      <c r="E87">
        <v>41</v>
      </c>
      <c r="F87">
        <v>1779</v>
      </c>
      <c r="U87" s="1" t="s">
        <v>29</v>
      </c>
      <c r="V87" s="1">
        <v>400</v>
      </c>
    </row>
    <row r="88" spans="1:29" x14ac:dyDescent="0.25">
      <c r="A88">
        <v>87</v>
      </c>
      <c r="B88">
        <v>87</v>
      </c>
      <c r="C88">
        <v>55367</v>
      </c>
      <c r="D88">
        <v>448</v>
      </c>
      <c r="E88">
        <v>33</v>
      </c>
      <c r="F88">
        <v>815</v>
      </c>
    </row>
    <row r="89" spans="1:29" ht="15.75" thickBot="1" x14ac:dyDescent="0.3">
      <c r="A89">
        <v>88</v>
      </c>
      <c r="B89">
        <v>88</v>
      </c>
      <c r="C89">
        <v>11741</v>
      </c>
      <c r="D89">
        <v>182</v>
      </c>
      <c r="E89">
        <v>59</v>
      </c>
      <c r="F89">
        <v>0</v>
      </c>
      <c r="U89" t="s">
        <v>30</v>
      </c>
    </row>
    <row r="90" spans="1:29" x14ac:dyDescent="0.25">
      <c r="A90">
        <v>89</v>
      </c>
      <c r="B90">
        <v>89</v>
      </c>
      <c r="C90">
        <v>1556</v>
      </c>
      <c r="D90">
        <v>352</v>
      </c>
      <c r="E90">
        <v>57</v>
      </c>
      <c r="F90">
        <v>579</v>
      </c>
      <c r="U90" s="2"/>
      <c r="V90" s="2" t="s">
        <v>34</v>
      </c>
      <c r="W90" s="2" t="s">
        <v>35</v>
      </c>
      <c r="X90" s="2" t="s">
        <v>36</v>
      </c>
      <c r="Y90" s="2" t="s">
        <v>37</v>
      </c>
      <c r="Z90" s="2" t="s">
        <v>38</v>
      </c>
    </row>
    <row r="91" spans="1:29" x14ac:dyDescent="0.25">
      <c r="A91">
        <v>90</v>
      </c>
      <c r="B91">
        <v>90</v>
      </c>
      <c r="C91">
        <v>5953</v>
      </c>
      <c r="D91">
        <v>543</v>
      </c>
      <c r="E91">
        <v>52</v>
      </c>
      <c r="F91">
        <v>1176</v>
      </c>
      <c r="U91" t="s">
        <v>31</v>
      </c>
      <c r="V91">
        <v>3</v>
      </c>
      <c r="W91">
        <v>68428284.362794474</v>
      </c>
      <c r="X91">
        <v>22809428.120931491</v>
      </c>
      <c r="Y91">
        <v>567.66873841734343</v>
      </c>
      <c r="Z91">
        <v>5.5130625509304082E-143</v>
      </c>
    </row>
    <row r="92" spans="1:29" x14ac:dyDescent="0.25">
      <c r="A92">
        <v>91</v>
      </c>
      <c r="B92">
        <v>91</v>
      </c>
      <c r="C92">
        <v>20191</v>
      </c>
      <c r="D92">
        <v>431</v>
      </c>
      <c r="E92">
        <v>42</v>
      </c>
      <c r="F92">
        <v>1023</v>
      </c>
      <c r="U92" t="s">
        <v>32</v>
      </c>
      <c r="V92">
        <v>396</v>
      </c>
      <c r="W92">
        <v>15911627.547205633</v>
      </c>
      <c r="X92">
        <v>40180.877644458669</v>
      </c>
    </row>
    <row r="93" spans="1:29" ht="15.75" thickBot="1" x14ac:dyDescent="0.3">
      <c r="A93">
        <v>92</v>
      </c>
      <c r="B93">
        <v>92</v>
      </c>
      <c r="C93">
        <v>48498</v>
      </c>
      <c r="D93">
        <v>456</v>
      </c>
      <c r="E93">
        <v>47</v>
      </c>
      <c r="F93">
        <v>812</v>
      </c>
      <c r="U93" s="1" t="s">
        <v>15</v>
      </c>
      <c r="V93" s="1">
        <v>399</v>
      </c>
      <c r="W93" s="1">
        <v>84339911.910000101</v>
      </c>
      <c r="X93" s="1"/>
      <c r="Y93" s="1"/>
      <c r="Z93" s="1"/>
    </row>
    <row r="94" spans="1:29" ht="15.75" thickBot="1" x14ac:dyDescent="0.3">
      <c r="A94">
        <v>93</v>
      </c>
      <c r="B94">
        <v>93</v>
      </c>
      <c r="C94">
        <v>30733</v>
      </c>
      <c r="D94">
        <v>249</v>
      </c>
      <c r="E94">
        <v>51</v>
      </c>
      <c r="F94">
        <v>0</v>
      </c>
    </row>
    <row r="95" spans="1:29" x14ac:dyDescent="0.25">
      <c r="A95">
        <v>94</v>
      </c>
      <c r="B95">
        <v>94</v>
      </c>
      <c r="C95">
        <v>16479</v>
      </c>
      <c r="D95">
        <v>388</v>
      </c>
      <c r="E95">
        <v>26</v>
      </c>
      <c r="F95">
        <v>937</v>
      </c>
      <c r="U95" s="2"/>
      <c r="V95" s="2" t="s">
        <v>39</v>
      </c>
      <c r="W95" s="2" t="s">
        <v>16</v>
      </c>
      <c r="X95" s="2" t="s">
        <v>40</v>
      </c>
      <c r="Y95" s="2" t="s">
        <v>41</v>
      </c>
      <c r="Z95" s="2" t="s">
        <v>42</v>
      </c>
      <c r="AA95" s="2" t="s">
        <v>43</v>
      </c>
      <c r="AB95" s="2" t="s">
        <v>44</v>
      </c>
      <c r="AC95" s="2" t="s">
        <v>45</v>
      </c>
    </row>
    <row r="96" spans="1:29" x14ac:dyDescent="0.25">
      <c r="A96">
        <v>95</v>
      </c>
      <c r="B96">
        <v>95</v>
      </c>
      <c r="C96">
        <v>38009</v>
      </c>
      <c r="D96">
        <v>245</v>
      </c>
      <c r="E96">
        <v>45</v>
      </c>
      <c r="F96">
        <v>0</v>
      </c>
      <c r="U96" t="s">
        <v>33</v>
      </c>
      <c r="V96">
        <v>-366.56044576080853</v>
      </c>
      <c r="W96">
        <v>40.227035203445979</v>
      </c>
      <c r="X96">
        <v>-9.1122908737109167</v>
      </c>
      <c r="Y96">
        <v>4.0687018855206583E-18</v>
      </c>
      <c r="Z96">
        <v>-445.64569509072334</v>
      </c>
      <c r="AA96">
        <v>-287.47519643089373</v>
      </c>
      <c r="AB96">
        <v>-445.64569509072334</v>
      </c>
      <c r="AC96">
        <v>-287.47519643089373</v>
      </c>
    </row>
    <row r="97" spans="1:29" x14ac:dyDescent="0.25">
      <c r="A97">
        <v>96</v>
      </c>
      <c r="B97">
        <v>96</v>
      </c>
      <c r="C97">
        <v>14084</v>
      </c>
      <c r="D97">
        <v>120</v>
      </c>
      <c r="E97">
        <v>46</v>
      </c>
      <c r="F97">
        <v>0</v>
      </c>
      <c r="U97" t="s">
        <v>2</v>
      </c>
      <c r="V97">
        <v>-4.3889790922075605E-3</v>
      </c>
      <c r="W97">
        <v>3.9848623265165871E-4</v>
      </c>
      <c r="X97">
        <v>-11.014129805694534</v>
      </c>
      <c r="Y97">
        <v>8.6109327657465714E-25</v>
      </c>
      <c r="Z97">
        <v>-5.1723921104529433E-3</v>
      </c>
      <c r="AA97">
        <v>-3.6055660739621777E-3</v>
      </c>
      <c r="AB97">
        <v>-5.1723921104529433E-3</v>
      </c>
      <c r="AC97">
        <v>-3.6055660739621777E-3</v>
      </c>
    </row>
    <row r="98" spans="1:29" x14ac:dyDescent="0.25">
      <c r="A98">
        <v>97</v>
      </c>
      <c r="B98">
        <v>97</v>
      </c>
      <c r="C98">
        <v>14312</v>
      </c>
      <c r="D98">
        <v>367</v>
      </c>
      <c r="E98">
        <v>59</v>
      </c>
      <c r="F98">
        <v>1380</v>
      </c>
      <c r="U98" t="s">
        <v>4</v>
      </c>
      <c r="V98">
        <v>3.2968110980900209</v>
      </c>
      <c r="W98">
        <v>9.1279369833104751E-2</v>
      </c>
      <c r="X98">
        <v>36.117811769712169</v>
      </c>
      <c r="Y98">
        <v>2.237240407785315E-127</v>
      </c>
      <c r="Z98">
        <v>3.1173583572797758</v>
      </c>
      <c r="AA98">
        <v>3.476263838900266</v>
      </c>
      <c r="AB98">
        <v>3.1173583572797758</v>
      </c>
      <c r="AC98">
        <v>3.476263838900266</v>
      </c>
    </row>
    <row r="99" spans="1:29" ht="15.75" thickBot="1" x14ac:dyDescent="0.3">
      <c r="A99">
        <v>98</v>
      </c>
      <c r="B99">
        <v>98</v>
      </c>
      <c r="C99">
        <v>26067</v>
      </c>
      <c r="D99">
        <v>266</v>
      </c>
      <c r="E99">
        <v>74</v>
      </c>
      <c r="F99">
        <v>155</v>
      </c>
      <c r="U99" s="1" t="s">
        <v>6</v>
      </c>
      <c r="V99" s="1">
        <v>-1.8877220491934992</v>
      </c>
      <c r="W99" s="1">
        <v>0.58638336496754606</v>
      </c>
      <c r="X99" s="1">
        <v>-3.2192626223255445</v>
      </c>
      <c r="Y99" s="1">
        <v>1.3911591228481992E-3</v>
      </c>
      <c r="Z99" s="1">
        <v>-3.0405356827818935</v>
      </c>
      <c r="AA99" s="1">
        <v>-0.73490841560510467</v>
      </c>
      <c r="AB99" s="1">
        <v>-3.0405356827818935</v>
      </c>
      <c r="AC99" s="1">
        <v>-0.73490841560510467</v>
      </c>
    </row>
    <row r="100" spans="1:29" x14ac:dyDescent="0.25">
      <c r="A100">
        <v>99</v>
      </c>
      <c r="B100">
        <v>99</v>
      </c>
      <c r="C100">
        <v>36295</v>
      </c>
      <c r="D100">
        <v>241</v>
      </c>
      <c r="E100">
        <v>68</v>
      </c>
      <c r="F100">
        <v>375</v>
      </c>
    </row>
    <row r="101" spans="1:29" x14ac:dyDescent="0.25">
      <c r="A101">
        <v>100</v>
      </c>
      <c r="B101">
        <v>100</v>
      </c>
      <c r="C101">
        <v>83851</v>
      </c>
      <c r="D101">
        <v>607</v>
      </c>
      <c r="E101">
        <v>47</v>
      </c>
      <c r="F101">
        <v>1311</v>
      </c>
    </row>
    <row r="102" spans="1:29" x14ac:dyDescent="0.25">
      <c r="A102">
        <v>101</v>
      </c>
      <c r="B102">
        <v>101</v>
      </c>
      <c r="C102">
        <v>21153</v>
      </c>
      <c r="D102">
        <v>256</v>
      </c>
      <c r="E102">
        <v>41</v>
      </c>
      <c r="F102">
        <v>298</v>
      </c>
    </row>
    <row r="103" spans="1:29" x14ac:dyDescent="0.25">
      <c r="A103">
        <v>102</v>
      </c>
      <c r="B103">
        <v>102</v>
      </c>
      <c r="C103">
        <v>17976</v>
      </c>
      <c r="D103">
        <v>190</v>
      </c>
      <c r="E103">
        <v>70</v>
      </c>
      <c r="F103">
        <v>431</v>
      </c>
    </row>
    <row r="104" spans="1:29" x14ac:dyDescent="0.25">
      <c r="A104">
        <v>103</v>
      </c>
      <c r="B104">
        <v>103</v>
      </c>
      <c r="C104">
        <v>68713</v>
      </c>
      <c r="D104">
        <v>531</v>
      </c>
      <c r="E104">
        <v>56</v>
      </c>
      <c r="F104">
        <v>1587</v>
      </c>
    </row>
    <row r="105" spans="1:29" x14ac:dyDescent="0.25">
      <c r="A105">
        <v>104</v>
      </c>
      <c r="B105">
        <v>104</v>
      </c>
      <c r="C105">
        <v>146183</v>
      </c>
      <c r="D105">
        <v>682</v>
      </c>
      <c r="E105">
        <v>66</v>
      </c>
      <c r="F105">
        <v>1050</v>
      </c>
    </row>
    <row r="106" spans="1:29" x14ac:dyDescent="0.25">
      <c r="A106">
        <v>105</v>
      </c>
      <c r="B106">
        <v>105</v>
      </c>
      <c r="C106">
        <v>15846</v>
      </c>
      <c r="D106">
        <v>365</v>
      </c>
      <c r="E106">
        <v>53</v>
      </c>
      <c r="F106">
        <v>745</v>
      </c>
    </row>
    <row r="107" spans="1:29" x14ac:dyDescent="0.25">
      <c r="A107">
        <v>106</v>
      </c>
      <c r="B107">
        <v>106</v>
      </c>
      <c r="C107">
        <v>12031</v>
      </c>
      <c r="D107">
        <v>259</v>
      </c>
      <c r="E107">
        <v>58</v>
      </c>
      <c r="F107">
        <v>210</v>
      </c>
    </row>
    <row r="108" spans="1:29" x14ac:dyDescent="0.25">
      <c r="A108">
        <v>107</v>
      </c>
      <c r="B108">
        <v>107</v>
      </c>
      <c r="C108">
        <v>16819</v>
      </c>
      <c r="D108">
        <v>115</v>
      </c>
      <c r="E108">
        <v>74</v>
      </c>
      <c r="F108">
        <v>0</v>
      </c>
    </row>
    <row r="109" spans="1:29" x14ac:dyDescent="0.25">
      <c r="A109">
        <v>108</v>
      </c>
      <c r="B109">
        <v>108</v>
      </c>
      <c r="C109">
        <v>3911</v>
      </c>
      <c r="D109">
        <v>263</v>
      </c>
      <c r="E109">
        <v>72</v>
      </c>
      <c r="F109">
        <v>0</v>
      </c>
    </row>
    <row r="110" spans="1:29" x14ac:dyDescent="0.25">
      <c r="A110">
        <v>109</v>
      </c>
      <c r="B110">
        <v>109</v>
      </c>
      <c r="C110">
        <v>107986</v>
      </c>
      <c r="D110">
        <v>449</v>
      </c>
      <c r="E110">
        <v>64</v>
      </c>
      <c r="F110">
        <v>227</v>
      </c>
    </row>
    <row r="111" spans="1:29" x14ac:dyDescent="0.25">
      <c r="A111">
        <v>110</v>
      </c>
      <c r="B111">
        <v>110</v>
      </c>
      <c r="C111">
        <v>13561</v>
      </c>
      <c r="D111">
        <v>279</v>
      </c>
      <c r="E111">
        <v>37</v>
      </c>
      <c r="F111">
        <v>297</v>
      </c>
    </row>
    <row r="112" spans="1:29" x14ac:dyDescent="0.25">
      <c r="A112">
        <v>111</v>
      </c>
      <c r="B112">
        <v>111</v>
      </c>
      <c r="C112">
        <v>34537</v>
      </c>
      <c r="D112">
        <v>250</v>
      </c>
      <c r="E112">
        <v>57</v>
      </c>
      <c r="F112">
        <v>47</v>
      </c>
    </row>
    <row r="113" spans="1:6" x14ac:dyDescent="0.25">
      <c r="A113">
        <v>112</v>
      </c>
      <c r="B113">
        <v>112</v>
      </c>
      <c r="C113">
        <v>28575</v>
      </c>
      <c r="D113">
        <v>231</v>
      </c>
      <c r="E113">
        <v>60</v>
      </c>
      <c r="F113">
        <v>0</v>
      </c>
    </row>
    <row r="114" spans="1:6" x14ac:dyDescent="0.25">
      <c r="A114">
        <v>113</v>
      </c>
      <c r="B114">
        <v>113</v>
      </c>
      <c r="C114">
        <v>46007</v>
      </c>
      <c r="D114">
        <v>491</v>
      </c>
      <c r="E114">
        <v>42</v>
      </c>
      <c r="F114">
        <v>1046</v>
      </c>
    </row>
    <row r="115" spans="1:6" x14ac:dyDescent="0.25">
      <c r="A115">
        <v>114</v>
      </c>
      <c r="B115">
        <v>114</v>
      </c>
      <c r="C115">
        <v>69251</v>
      </c>
      <c r="D115">
        <v>474</v>
      </c>
      <c r="E115">
        <v>30</v>
      </c>
      <c r="F115">
        <v>768</v>
      </c>
    </row>
    <row r="116" spans="1:6" x14ac:dyDescent="0.25">
      <c r="A116">
        <v>115</v>
      </c>
      <c r="B116">
        <v>115</v>
      </c>
      <c r="C116">
        <v>16482</v>
      </c>
      <c r="D116">
        <v>268</v>
      </c>
      <c r="E116">
        <v>41</v>
      </c>
      <c r="F116">
        <v>271</v>
      </c>
    </row>
    <row r="117" spans="1:6" x14ac:dyDescent="0.25">
      <c r="A117">
        <v>116</v>
      </c>
      <c r="B117">
        <v>116</v>
      </c>
      <c r="C117">
        <v>40442</v>
      </c>
      <c r="D117">
        <v>369</v>
      </c>
      <c r="E117">
        <v>81</v>
      </c>
      <c r="F117">
        <v>510</v>
      </c>
    </row>
    <row r="118" spans="1:6" x14ac:dyDescent="0.25">
      <c r="A118">
        <v>117</v>
      </c>
      <c r="B118">
        <v>117</v>
      </c>
      <c r="C118">
        <v>35177</v>
      </c>
      <c r="D118">
        <v>186</v>
      </c>
      <c r="E118">
        <v>62</v>
      </c>
      <c r="F118">
        <v>0</v>
      </c>
    </row>
    <row r="119" spans="1:6" x14ac:dyDescent="0.25">
      <c r="A119">
        <v>118</v>
      </c>
      <c r="B119">
        <v>118</v>
      </c>
      <c r="C119">
        <v>91362</v>
      </c>
      <c r="D119">
        <v>626</v>
      </c>
      <c r="E119">
        <v>47</v>
      </c>
      <c r="F119">
        <v>1341</v>
      </c>
    </row>
    <row r="120" spans="1:6" x14ac:dyDescent="0.25">
      <c r="A120">
        <v>119</v>
      </c>
      <c r="B120">
        <v>119</v>
      </c>
      <c r="C120">
        <v>27039</v>
      </c>
      <c r="D120">
        <v>173</v>
      </c>
      <c r="E120">
        <v>40</v>
      </c>
      <c r="F120">
        <v>0</v>
      </c>
    </row>
    <row r="121" spans="1:6" x14ac:dyDescent="0.25">
      <c r="A121">
        <v>120</v>
      </c>
      <c r="B121">
        <v>120</v>
      </c>
      <c r="C121">
        <v>23012</v>
      </c>
      <c r="D121">
        <v>137</v>
      </c>
      <c r="E121">
        <v>81</v>
      </c>
      <c r="F121">
        <v>0</v>
      </c>
    </row>
    <row r="122" spans="1:6" x14ac:dyDescent="0.25">
      <c r="A122">
        <v>121</v>
      </c>
      <c r="B122">
        <v>121</v>
      </c>
      <c r="C122">
        <v>27241</v>
      </c>
      <c r="D122">
        <v>128</v>
      </c>
      <c r="E122">
        <v>67</v>
      </c>
      <c r="F122">
        <v>0</v>
      </c>
    </row>
    <row r="123" spans="1:6" x14ac:dyDescent="0.25">
      <c r="A123">
        <v>122</v>
      </c>
      <c r="B123">
        <v>122</v>
      </c>
      <c r="C123">
        <v>14808</v>
      </c>
      <c r="D123">
        <v>599</v>
      </c>
      <c r="E123">
        <v>83</v>
      </c>
      <c r="F123">
        <v>454</v>
      </c>
    </row>
    <row r="124" spans="1:6" x14ac:dyDescent="0.25">
      <c r="A124">
        <v>123</v>
      </c>
      <c r="B124">
        <v>123</v>
      </c>
      <c r="C124">
        <v>62602</v>
      </c>
      <c r="D124">
        <v>481</v>
      </c>
      <c r="E124">
        <v>84</v>
      </c>
      <c r="F124">
        <v>904</v>
      </c>
    </row>
    <row r="125" spans="1:6" x14ac:dyDescent="0.25">
      <c r="A125">
        <v>124</v>
      </c>
      <c r="B125">
        <v>124</v>
      </c>
      <c r="C125">
        <v>11808</v>
      </c>
      <c r="D125">
        <v>117</v>
      </c>
      <c r="E125">
        <v>77</v>
      </c>
      <c r="F125">
        <v>0</v>
      </c>
    </row>
    <row r="126" spans="1:6" x14ac:dyDescent="0.25">
      <c r="A126">
        <v>125</v>
      </c>
      <c r="B126">
        <v>125</v>
      </c>
      <c r="C126">
        <v>29564</v>
      </c>
      <c r="D126">
        <v>192</v>
      </c>
      <c r="E126">
        <v>30</v>
      </c>
      <c r="F126">
        <v>0</v>
      </c>
    </row>
    <row r="127" spans="1:6" x14ac:dyDescent="0.25">
      <c r="A127">
        <v>126</v>
      </c>
      <c r="B127">
        <v>126</v>
      </c>
      <c r="C127">
        <v>27578</v>
      </c>
      <c r="D127">
        <v>195</v>
      </c>
      <c r="E127">
        <v>34</v>
      </c>
      <c r="F127">
        <v>0</v>
      </c>
    </row>
    <row r="128" spans="1:6" x14ac:dyDescent="0.25">
      <c r="A128">
        <v>127</v>
      </c>
      <c r="B128">
        <v>127</v>
      </c>
      <c r="C128">
        <v>26427</v>
      </c>
      <c r="D128">
        <v>433</v>
      </c>
      <c r="E128">
        <v>50</v>
      </c>
      <c r="F128">
        <v>1404</v>
      </c>
    </row>
    <row r="129" spans="1:6" x14ac:dyDescent="0.25">
      <c r="A129">
        <v>128</v>
      </c>
      <c r="B129">
        <v>128</v>
      </c>
      <c r="C129">
        <v>57202</v>
      </c>
      <c r="D129">
        <v>259</v>
      </c>
      <c r="E129">
        <v>72</v>
      </c>
      <c r="F129">
        <v>0</v>
      </c>
    </row>
    <row r="130" spans="1:6" x14ac:dyDescent="0.25">
      <c r="A130">
        <v>129</v>
      </c>
      <c r="B130">
        <v>129</v>
      </c>
      <c r="C130">
        <v>123299</v>
      </c>
      <c r="D130">
        <v>610</v>
      </c>
      <c r="E130">
        <v>89</v>
      </c>
      <c r="F130">
        <v>1259</v>
      </c>
    </row>
    <row r="131" spans="1:6" x14ac:dyDescent="0.25">
      <c r="A131">
        <v>130</v>
      </c>
      <c r="B131">
        <v>130</v>
      </c>
      <c r="C131">
        <v>18145</v>
      </c>
      <c r="D131">
        <v>279</v>
      </c>
      <c r="E131">
        <v>56</v>
      </c>
      <c r="F131">
        <v>255</v>
      </c>
    </row>
    <row r="132" spans="1:6" x14ac:dyDescent="0.25">
      <c r="A132">
        <v>131</v>
      </c>
      <c r="B132">
        <v>131</v>
      </c>
      <c r="C132">
        <v>23793</v>
      </c>
      <c r="D132">
        <v>281</v>
      </c>
      <c r="E132">
        <v>56</v>
      </c>
      <c r="F132">
        <v>868</v>
      </c>
    </row>
    <row r="133" spans="1:6" x14ac:dyDescent="0.25">
      <c r="A133">
        <v>132</v>
      </c>
      <c r="B133">
        <v>132</v>
      </c>
      <c r="C133">
        <v>10726</v>
      </c>
      <c r="D133">
        <v>162</v>
      </c>
      <c r="E133">
        <v>46</v>
      </c>
      <c r="F133">
        <v>0</v>
      </c>
    </row>
    <row r="134" spans="1:6" x14ac:dyDescent="0.25">
      <c r="A134">
        <v>133</v>
      </c>
      <c r="B134">
        <v>133</v>
      </c>
      <c r="C134">
        <v>23283</v>
      </c>
      <c r="D134">
        <v>407</v>
      </c>
      <c r="E134">
        <v>49</v>
      </c>
      <c r="F134">
        <v>912</v>
      </c>
    </row>
    <row r="135" spans="1:6" x14ac:dyDescent="0.25">
      <c r="A135">
        <v>134</v>
      </c>
      <c r="B135">
        <v>134</v>
      </c>
      <c r="C135">
        <v>21455</v>
      </c>
      <c r="D135">
        <v>427</v>
      </c>
      <c r="E135">
        <v>80</v>
      </c>
      <c r="F135">
        <v>1018</v>
      </c>
    </row>
    <row r="136" spans="1:6" x14ac:dyDescent="0.25">
      <c r="A136">
        <v>135</v>
      </c>
      <c r="B136">
        <v>135</v>
      </c>
      <c r="C136">
        <v>34664</v>
      </c>
      <c r="D136">
        <v>452</v>
      </c>
      <c r="E136">
        <v>77</v>
      </c>
      <c r="F136">
        <v>835</v>
      </c>
    </row>
    <row r="137" spans="1:6" x14ac:dyDescent="0.25">
      <c r="A137">
        <v>136</v>
      </c>
      <c r="B137">
        <v>136</v>
      </c>
      <c r="C137">
        <v>44473</v>
      </c>
      <c r="D137">
        <v>257</v>
      </c>
      <c r="E137">
        <v>81</v>
      </c>
      <c r="F137">
        <v>8</v>
      </c>
    </row>
    <row r="138" spans="1:6" x14ac:dyDescent="0.25">
      <c r="A138">
        <v>137</v>
      </c>
      <c r="B138">
        <v>137</v>
      </c>
      <c r="C138">
        <v>54663</v>
      </c>
      <c r="D138">
        <v>314</v>
      </c>
      <c r="E138">
        <v>70</v>
      </c>
      <c r="F138">
        <v>75</v>
      </c>
    </row>
    <row r="139" spans="1:6" x14ac:dyDescent="0.25">
      <c r="A139">
        <v>138</v>
      </c>
      <c r="B139">
        <v>138</v>
      </c>
      <c r="C139">
        <v>36355</v>
      </c>
      <c r="D139">
        <v>278</v>
      </c>
      <c r="E139">
        <v>35</v>
      </c>
      <c r="F139">
        <v>187</v>
      </c>
    </row>
    <row r="140" spans="1:6" x14ac:dyDescent="0.25">
      <c r="A140">
        <v>139</v>
      </c>
      <c r="B140">
        <v>139</v>
      </c>
      <c r="C140">
        <v>21374</v>
      </c>
      <c r="D140">
        <v>175</v>
      </c>
      <c r="E140">
        <v>74</v>
      </c>
      <c r="F140">
        <v>0</v>
      </c>
    </row>
    <row r="141" spans="1:6" x14ac:dyDescent="0.25">
      <c r="A141">
        <v>140</v>
      </c>
      <c r="B141">
        <v>140</v>
      </c>
      <c r="C141">
        <v>107841</v>
      </c>
      <c r="D141">
        <v>728</v>
      </c>
      <c r="E141">
        <v>87</v>
      </c>
      <c r="F141">
        <v>1597</v>
      </c>
    </row>
    <row r="142" spans="1:6" x14ac:dyDescent="0.25">
      <c r="A142">
        <v>141</v>
      </c>
      <c r="B142">
        <v>141</v>
      </c>
      <c r="C142">
        <v>39831</v>
      </c>
      <c r="D142">
        <v>459</v>
      </c>
      <c r="E142">
        <v>32</v>
      </c>
      <c r="F142">
        <v>1425</v>
      </c>
    </row>
    <row r="143" spans="1:6" x14ac:dyDescent="0.25">
      <c r="A143">
        <v>142</v>
      </c>
      <c r="B143">
        <v>142</v>
      </c>
      <c r="C143">
        <v>91876</v>
      </c>
      <c r="D143">
        <v>483</v>
      </c>
      <c r="E143">
        <v>33</v>
      </c>
      <c r="F143">
        <v>605</v>
      </c>
    </row>
    <row r="144" spans="1:6" x14ac:dyDescent="0.25">
      <c r="A144">
        <v>143</v>
      </c>
      <c r="B144">
        <v>143</v>
      </c>
      <c r="C144">
        <v>103893</v>
      </c>
      <c r="D144">
        <v>549</v>
      </c>
      <c r="E144">
        <v>84</v>
      </c>
      <c r="F144">
        <v>669</v>
      </c>
    </row>
    <row r="145" spans="1:6" x14ac:dyDescent="0.25">
      <c r="A145">
        <v>144</v>
      </c>
      <c r="B145">
        <v>144</v>
      </c>
      <c r="C145">
        <v>19636</v>
      </c>
      <c r="D145">
        <v>387</v>
      </c>
      <c r="E145">
        <v>64</v>
      </c>
      <c r="F145">
        <v>710</v>
      </c>
    </row>
    <row r="146" spans="1:6" x14ac:dyDescent="0.25">
      <c r="A146">
        <v>145</v>
      </c>
      <c r="B146">
        <v>145</v>
      </c>
      <c r="C146">
        <v>17392</v>
      </c>
      <c r="D146">
        <v>228</v>
      </c>
      <c r="E146">
        <v>32</v>
      </c>
      <c r="F146">
        <v>68</v>
      </c>
    </row>
    <row r="147" spans="1:6" x14ac:dyDescent="0.25">
      <c r="A147">
        <v>146</v>
      </c>
      <c r="B147">
        <v>146</v>
      </c>
      <c r="C147">
        <v>19529</v>
      </c>
      <c r="D147">
        <v>341</v>
      </c>
      <c r="E147">
        <v>51</v>
      </c>
      <c r="F147">
        <v>642</v>
      </c>
    </row>
    <row r="148" spans="1:6" x14ac:dyDescent="0.25">
      <c r="A148">
        <v>147</v>
      </c>
      <c r="B148">
        <v>147</v>
      </c>
      <c r="C148">
        <v>17055</v>
      </c>
      <c r="D148">
        <v>371</v>
      </c>
      <c r="E148">
        <v>55</v>
      </c>
      <c r="F148">
        <v>805</v>
      </c>
    </row>
    <row r="149" spans="1:6" x14ac:dyDescent="0.25">
      <c r="A149">
        <v>148</v>
      </c>
      <c r="B149">
        <v>148</v>
      </c>
      <c r="C149">
        <v>23857</v>
      </c>
      <c r="D149">
        <v>150</v>
      </c>
      <c r="E149">
        <v>56</v>
      </c>
      <c r="F149">
        <v>0</v>
      </c>
    </row>
    <row r="150" spans="1:6" x14ac:dyDescent="0.25">
      <c r="A150">
        <v>149</v>
      </c>
      <c r="B150">
        <v>149</v>
      </c>
      <c r="C150">
        <v>15184</v>
      </c>
      <c r="D150">
        <v>192</v>
      </c>
      <c r="E150">
        <v>69</v>
      </c>
      <c r="F150">
        <v>0</v>
      </c>
    </row>
    <row r="151" spans="1:6" x14ac:dyDescent="0.25">
      <c r="A151">
        <v>150</v>
      </c>
      <c r="B151">
        <v>150</v>
      </c>
      <c r="C151">
        <v>13444</v>
      </c>
      <c r="D151">
        <v>121</v>
      </c>
      <c r="E151">
        <v>44</v>
      </c>
      <c r="F151">
        <v>0</v>
      </c>
    </row>
    <row r="152" spans="1:6" x14ac:dyDescent="0.25">
      <c r="A152">
        <v>151</v>
      </c>
      <c r="B152">
        <v>151</v>
      </c>
      <c r="C152">
        <v>63931</v>
      </c>
      <c r="D152">
        <v>435</v>
      </c>
      <c r="E152">
        <v>28</v>
      </c>
      <c r="F152">
        <v>581</v>
      </c>
    </row>
    <row r="153" spans="1:6" x14ac:dyDescent="0.25">
      <c r="A153">
        <v>152</v>
      </c>
      <c r="B153">
        <v>152</v>
      </c>
      <c r="C153">
        <v>35864</v>
      </c>
      <c r="D153">
        <v>353</v>
      </c>
      <c r="E153">
        <v>66</v>
      </c>
      <c r="F153">
        <v>534</v>
      </c>
    </row>
    <row r="154" spans="1:6" x14ac:dyDescent="0.25">
      <c r="A154">
        <v>153</v>
      </c>
      <c r="B154">
        <v>153</v>
      </c>
      <c r="C154">
        <v>41419</v>
      </c>
      <c r="D154">
        <v>184</v>
      </c>
      <c r="E154">
        <v>24</v>
      </c>
      <c r="F154">
        <v>156</v>
      </c>
    </row>
    <row r="155" spans="1:6" x14ac:dyDescent="0.25">
      <c r="A155">
        <v>154</v>
      </c>
      <c r="B155">
        <v>154</v>
      </c>
      <c r="C155">
        <v>92112</v>
      </c>
      <c r="D155">
        <v>344</v>
      </c>
      <c r="E155">
        <v>32</v>
      </c>
      <c r="F155">
        <v>0</v>
      </c>
    </row>
    <row r="156" spans="1:6" x14ac:dyDescent="0.25">
      <c r="A156">
        <v>155</v>
      </c>
      <c r="B156">
        <v>155</v>
      </c>
      <c r="C156">
        <v>55056</v>
      </c>
      <c r="D156">
        <v>235</v>
      </c>
      <c r="E156">
        <v>31</v>
      </c>
      <c r="F156">
        <v>0</v>
      </c>
    </row>
    <row r="157" spans="1:6" x14ac:dyDescent="0.25">
      <c r="A157">
        <v>156</v>
      </c>
      <c r="B157">
        <v>156</v>
      </c>
      <c r="C157">
        <v>19537</v>
      </c>
      <c r="D157">
        <v>143</v>
      </c>
      <c r="E157">
        <v>34</v>
      </c>
      <c r="F157">
        <v>0</v>
      </c>
    </row>
    <row r="158" spans="1:6" x14ac:dyDescent="0.25">
      <c r="A158">
        <v>157</v>
      </c>
      <c r="B158">
        <v>157</v>
      </c>
      <c r="C158">
        <v>31811</v>
      </c>
      <c r="D158">
        <v>338</v>
      </c>
      <c r="E158">
        <v>75</v>
      </c>
      <c r="F158">
        <v>429</v>
      </c>
    </row>
    <row r="159" spans="1:6" x14ac:dyDescent="0.25">
      <c r="A159">
        <v>158</v>
      </c>
      <c r="B159">
        <v>158</v>
      </c>
      <c r="C159">
        <v>56256</v>
      </c>
      <c r="D159">
        <v>406</v>
      </c>
      <c r="E159">
        <v>72</v>
      </c>
      <c r="F159">
        <v>1020</v>
      </c>
    </row>
    <row r="160" spans="1:6" x14ac:dyDescent="0.25">
      <c r="A160">
        <v>159</v>
      </c>
      <c r="B160">
        <v>159</v>
      </c>
      <c r="C160">
        <v>42357</v>
      </c>
      <c r="D160">
        <v>406</v>
      </c>
      <c r="E160">
        <v>83</v>
      </c>
      <c r="F160">
        <v>653</v>
      </c>
    </row>
    <row r="161" spans="1:6" x14ac:dyDescent="0.25">
      <c r="A161">
        <v>160</v>
      </c>
      <c r="B161">
        <v>160</v>
      </c>
      <c r="C161">
        <v>53319</v>
      </c>
      <c r="D161">
        <v>235</v>
      </c>
      <c r="E161">
        <v>53</v>
      </c>
      <c r="F161">
        <v>0</v>
      </c>
    </row>
    <row r="162" spans="1:6" x14ac:dyDescent="0.25">
      <c r="A162">
        <v>161</v>
      </c>
      <c r="B162">
        <v>161</v>
      </c>
      <c r="C162">
        <v>12238</v>
      </c>
      <c r="D162">
        <v>381</v>
      </c>
      <c r="E162">
        <v>67</v>
      </c>
      <c r="F162">
        <v>836</v>
      </c>
    </row>
    <row r="163" spans="1:6" x14ac:dyDescent="0.25">
      <c r="A163">
        <v>162</v>
      </c>
      <c r="B163">
        <v>162</v>
      </c>
      <c r="C163">
        <v>31353</v>
      </c>
      <c r="D163">
        <v>160</v>
      </c>
      <c r="E163">
        <v>81</v>
      </c>
      <c r="F163">
        <v>0</v>
      </c>
    </row>
    <row r="164" spans="1:6" x14ac:dyDescent="0.25">
      <c r="A164">
        <v>163</v>
      </c>
      <c r="B164">
        <v>163</v>
      </c>
      <c r="C164">
        <v>63809</v>
      </c>
      <c r="D164">
        <v>515</v>
      </c>
      <c r="E164">
        <v>56</v>
      </c>
      <c r="F164">
        <v>1086</v>
      </c>
    </row>
    <row r="165" spans="1:6" x14ac:dyDescent="0.25">
      <c r="A165">
        <v>164</v>
      </c>
      <c r="B165">
        <v>164</v>
      </c>
      <c r="C165">
        <v>13676</v>
      </c>
      <c r="D165">
        <v>203</v>
      </c>
      <c r="E165">
        <v>80</v>
      </c>
      <c r="F165">
        <v>0</v>
      </c>
    </row>
    <row r="166" spans="1:6" x14ac:dyDescent="0.25">
      <c r="A166">
        <v>165</v>
      </c>
      <c r="B166">
        <v>165</v>
      </c>
      <c r="C166">
        <v>76782</v>
      </c>
      <c r="D166">
        <v>429</v>
      </c>
      <c r="E166">
        <v>44</v>
      </c>
      <c r="F166">
        <v>548</v>
      </c>
    </row>
    <row r="167" spans="1:6" x14ac:dyDescent="0.25">
      <c r="A167">
        <v>166</v>
      </c>
      <c r="B167">
        <v>166</v>
      </c>
      <c r="C167">
        <v>25383</v>
      </c>
      <c r="D167">
        <v>367</v>
      </c>
      <c r="E167">
        <v>46</v>
      </c>
      <c r="F167">
        <v>570</v>
      </c>
    </row>
    <row r="168" spans="1:6" x14ac:dyDescent="0.25">
      <c r="A168">
        <v>167</v>
      </c>
      <c r="B168">
        <v>167</v>
      </c>
      <c r="C168">
        <v>35691</v>
      </c>
      <c r="D168">
        <v>214</v>
      </c>
      <c r="E168">
        <v>35</v>
      </c>
      <c r="F168">
        <v>0</v>
      </c>
    </row>
    <row r="169" spans="1:6" x14ac:dyDescent="0.25">
      <c r="A169">
        <v>168</v>
      </c>
      <c r="B169">
        <v>168</v>
      </c>
      <c r="C169">
        <v>29403</v>
      </c>
      <c r="D169">
        <v>178</v>
      </c>
      <c r="E169">
        <v>37</v>
      </c>
      <c r="F169">
        <v>0</v>
      </c>
    </row>
    <row r="170" spans="1:6" x14ac:dyDescent="0.25">
      <c r="A170">
        <v>169</v>
      </c>
      <c r="B170">
        <v>169</v>
      </c>
      <c r="C170">
        <v>2747</v>
      </c>
      <c r="D170">
        <v>219</v>
      </c>
      <c r="E170">
        <v>32</v>
      </c>
      <c r="F170">
        <v>0</v>
      </c>
    </row>
    <row r="171" spans="1:6" x14ac:dyDescent="0.25">
      <c r="A171">
        <v>170</v>
      </c>
      <c r="B171">
        <v>170</v>
      </c>
      <c r="C171">
        <v>2733</v>
      </c>
      <c r="D171">
        <v>459</v>
      </c>
      <c r="E171">
        <v>36</v>
      </c>
      <c r="F171">
        <v>1099</v>
      </c>
    </row>
    <row r="172" spans="1:6" x14ac:dyDescent="0.25">
      <c r="A172">
        <v>171</v>
      </c>
      <c r="B172">
        <v>171</v>
      </c>
      <c r="C172">
        <v>34772</v>
      </c>
      <c r="D172">
        <v>167</v>
      </c>
      <c r="E172">
        <v>57</v>
      </c>
      <c r="F172">
        <v>0</v>
      </c>
    </row>
    <row r="173" spans="1:6" x14ac:dyDescent="0.25">
      <c r="A173">
        <v>172</v>
      </c>
      <c r="B173">
        <v>172</v>
      </c>
      <c r="C173">
        <v>36934</v>
      </c>
      <c r="D173">
        <v>299</v>
      </c>
      <c r="E173">
        <v>63</v>
      </c>
      <c r="F173">
        <v>283</v>
      </c>
    </row>
    <row r="174" spans="1:6" x14ac:dyDescent="0.25">
      <c r="A174">
        <v>173</v>
      </c>
      <c r="B174">
        <v>173</v>
      </c>
      <c r="C174">
        <v>76348</v>
      </c>
      <c r="D174">
        <v>344</v>
      </c>
      <c r="E174">
        <v>60</v>
      </c>
      <c r="F174">
        <v>108</v>
      </c>
    </row>
    <row r="175" spans="1:6" x14ac:dyDescent="0.25">
      <c r="A175">
        <v>174</v>
      </c>
      <c r="B175">
        <v>174</v>
      </c>
      <c r="C175">
        <v>14887</v>
      </c>
      <c r="D175">
        <v>339</v>
      </c>
      <c r="E175">
        <v>58</v>
      </c>
      <c r="F175">
        <v>724</v>
      </c>
    </row>
    <row r="176" spans="1:6" x14ac:dyDescent="0.25">
      <c r="A176">
        <v>175</v>
      </c>
      <c r="B176">
        <v>175</v>
      </c>
      <c r="C176">
        <v>121834</v>
      </c>
      <c r="D176">
        <v>750</v>
      </c>
      <c r="E176">
        <v>54</v>
      </c>
      <c r="F176">
        <v>1573</v>
      </c>
    </row>
    <row r="177" spans="1:6" x14ac:dyDescent="0.25">
      <c r="A177">
        <v>176</v>
      </c>
      <c r="B177">
        <v>176</v>
      </c>
      <c r="C177">
        <v>30132</v>
      </c>
      <c r="D177">
        <v>206</v>
      </c>
      <c r="E177">
        <v>52</v>
      </c>
      <c r="F177">
        <v>0</v>
      </c>
    </row>
    <row r="178" spans="1:6" x14ac:dyDescent="0.25">
      <c r="A178">
        <v>177</v>
      </c>
      <c r="B178">
        <v>177</v>
      </c>
      <c r="C178">
        <v>2405</v>
      </c>
      <c r="D178">
        <v>221</v>
      </c>
      <c r="E178">
        <v>32</v>
      </c>
      <c r="F178">
        <v>0</v>
      </c>
    </row>
    <row r="179" spans="1:6" x14ac:dyDescent="0.25">
      <c r="A179">
        <v>178</v>
      </c>
      <c r="B179">
        <v>178</v>
      </c>
      <c r="C179">
        <v>22379</v>
      </c>
      <c r="D179">
        <v>292</v>
      </c>
      <c r="E179">
        <v>34</v>
      </c>
      <c r="F179">
        <v>384</v>
      </c>
    </row>
    <row r="180" spans="1:6" x14ac:dyDescent="0.25">
      <c r="A180">
        <v>179</v>
      </c>
      <c r="B180">
        <v>179</v>
      </c>
      <c r="C180">
        <v>28316</v>
      </c>
      <c r="D180">
        <v>316</v>
      </c>
      <c r="E180">
        <v>29</v>
      </c>
      <c r="F180">
        <v>453</v>
      </c>
    </row>
    <row r="181" spans="1:6" x14ac:dyDescent="0.25">
      <c r="A181">
        <v>180</v>
      </c>
      <c r="B181">
        <v>180</v>
      </c>
      <c r="C181">
        <v>58026</v>
      </c>
      <c r="D181">
        <v>560</v>
      </c>
      <c r="E181">
        <v>67</v>
      </c>
      <c r="F181">
        <v>1237</v>
      </c>
    </row>
    <row r="182" spans="1:6" x14ac:dyDescent="0.25">
      <c r="A182">
        <v>181</v>
      </c>
      <c r="B182">
        <v>181</v>
      </c>
      <c r="C182">
        <v>10635</v>
      </c>
      <c r="D182">
        <v>294</v>
      </c>
      <c r="E182">
        <v>69</v>
      </c>
      <c r="F182">
        <v>423</v>
      </c>
    </row>
    <row r="183" spans="1:6" x14ac:dyDescent="0.25">
      <c r="A183">
        <v>182</v>
      </c>
      <c r="B183">
        <v>182</v>
      </c>
      <c r="C183">
        <v>46102</v>
      </c>
      <c r="D183">
        <v>382</v>
      </c>
      <c r="E183">
        <v>81</v>
      </c>
      <c r="F183">
        <v>516</v>
      </c>
    </row>
    <row r="184" spans="1:6" x14ac:dyDescent="0.25">
      <c r="A184">
        <v>183</v>
      </c>
      <c r="B184">
        <v>183</v>
      </c>
      <c r="C184">
        <v>58929</v>
      </c>
      <c r="D184">
        <v>459</v>
      </c>
      <c r="E184">
        <v>66</v>
      </c>
      <c r="F184">
        <v>789</v>
      </c>
    </row>
    <row r="185" spans="1:6" x14ac:dyDescent="0.25">
      <c r="A185">
        <v>184</v>
      </c>
      <c r="B185">
        <v>184</v>
      </c>
      <c r="C185">
        <v>80861</v>
      </c>
      <c r="D185">
        <v>335</v>
      </c>
      <c r="E185">
        <v>29</v>
      </c>
      <c r="F185">
        <v>0</v>
      </c>
    </row>
    <row r="186" spans="1:6" x14ac:dyDescent="0.25">
      <c r="A186">
        <v>185</v>
      </c>
      <c r="B186">
        <v>185</v>
      </c>
      <c r="C186">
        <v>158889</v>
      </c>
      <c r="D186">
        <v>805</v>
      </c>
      <c r="E186">
        <v>62</v>
      </c>
      <c r="F186">
        <v>1448</v>
      </c>
    </row>
    <row r="187" spans="1:6" x14ac:dyDescent="0.25">
      <c r="A187">
        <v>186</v>
      </c>
      <c r="B187">
        <v>186</v>
      </c>
      <c r="C187">
        <v>3042</v>
      </c>
      <c r="D187">
        <v>316</v>
      </c>
      <c r="E187">
        <v>30</v>
      </c>
      <c r="F187">
        <v>450</v>
      </c>
    </row>
    <row r="188" spans="1:6" x14ac:dyDescent="0.25">
      <c r="A188">
        <v>187</v>
      </c>
      <c r="B188">
        <v>187</v>
      </c>
      <c r="C188">
        <v>36472</v>
      </c>
      <c r="D188">
        <v>309</v>
      </c>
      <c r="E188">
        <v>52</v>
      </c>
      <c r="F188">
        <v>188</v>
      </c>
    </row>
    <row r="189" spans="1:6" x14ac:dyDescent="0.25">
      <c r="A189">
        <v>188</v>
      </c>
      <c r="B189">
        <v>188</v>
      </c>
      <c r="C189">
        <v>23365</v>
      </c>
      <c r="D189">
        <v>167</v>
      </c>
      <c r="E189">
        <v>75</v>
      </c>
      <c r="F189">
        <v>0</v>
      </c>
    </row>
    <row r="190" spans="1:6" x14ac:dyDescent="0.25">
      <c r="A190">
        <v>189</v>
      </c>
      <c r="B190">
        <v>189</v>
      </c>
      <c r="C190">
        <v>83869</v>
      </c>
      <c r="D190">
        <v>554</v>
      </c>
      <c r="E190">
        <v>83</v>
      </c>
      <c r="F190">
        <v>930</v>
      </c>
    </row>
    <row r="191" spans="1:6" x14ac:dyDescent="0.25">
      <c r="A191">
        <v>190</v>
      </c>
      <c r="B191">
        <v>190</v>
      </c>
      <c r="C191">
        <v>58351</v>
      </c>
      <c r="D191">
        <v>326</v>
      </c>
      <c r="E191">
        <v>85</v>
      </c>
      <c r="F191">
        <v>126</v>
      </c>
    </row>
    <row r="192" spans="1:6" x14ac:dyDescent="0.25">
      <c r="A192">
        <v>191</v>
      </c>
      <c r="B192">
        <v>191</v>
      </c>
      <c r="C192">
        <v>55187</v>
      </c>
      <c r="D192">
        <v>385</v>
      </c>
      <c r="E192">
        <v>50</v>
      </c>
      <c r="F192">
        <v>538</v>
      </c>
    </row>
    <row r="193" spans="1:6" x14ac:dyDescent="0.25">
      <c r="A193">
        <v>192</v>
      </c>
      <c r="B193">
        <v>192</v>
      </c>
      <c r="C193">
        <v>12429</v>
      </c>
      <c r="D193">
        <v>701</v>
      </c>
      <c r="E193">
        <v>52</v>
      </c>
      <c r="F193">
        <v>1687</v>
      </c>
    </row>
    <row r="194" spans="1:6" x14ac:dyDescent="0.25">
      <c r="A194">
        <v>193</v>
      </c>
      <c r="B194">
        <v>193</v>
      </c>
      <c r="C194">
        <v>28508</v>
      </c>
      <c r="D194">
        <v>287</v>
      </c>
      <c r="E194">
        <v>56</v>
      </c>
      <c r="F194">
        <v>336</v>
      </c>
    </row>
    <row r="195" spans="1:6" x14ac:dyDescent="0.25">
      <c r="A195">
        <v>194</v>
      </c>
      <c r="B195">
        <v>194</v>
      </c>
      <c r="C195">
        <v>130209</v>
      </c>
      <c r="D195">
        <v>730</v>
      </c>
      <c r="E195">
        <v>39</v>
      </c>
      <c r="F195">
        <v>1426</v>
      </c>
    </row>
    <row r="196" spans="1:6" x14ac:dyDescent="0.25">
      <c r="A196">
        <v>195</v>
      </c>
      <c r="B196">
        <v>195</v>
      </c>
      <c r="C196">
        <v>30406</v>
      </c>
      <c r="D196">
        <v>181</v>
      </c>
      <c r="E196">
        <v>79</v>
      </c>
      <c r="F196">
        <v>0</v>
      </c>
    </row>
    <row r="197" spans="1:6" x14ac:dyDescent="0.25">
      <c r="A197">
        <v>196</v>
      </c>
      <c r="B197">
        <v>196</v>
      </c>
      <c r="C197">
        <v>23883</v>
      </c>
      <c r="D197">
        <v>398</v>
      </c>
      <c r="E197">
        <v>73</v>
      </c>
      <c r="F197">
        <v>802</v>
      </c>
    </row>
    <row r="198" spans="1:6" x14ac:dyDescent="0.25">
      <c r="A198">
        <v>197</v>
      </c>
      <c r="B198">
        <v>197</v>
      </c>
      <c r="C198">
        <v>93039</v>
      </c>
      <c r="D198">
        <v>517</v>
      </c>
      <c r="E198">
        <v>67</v>
      </c>
      <c r="F198">
        <v>749</v>
      </c>
    </row>
    <row r="199" spans="1:6" x14ac:dyDescent="0.25">
      <c r="A199">
        <v>198</v>
      </c>
      <c r="B199">
        <v>198</v>
      </c>
      <c r="C199">
        <v>50699</v>
      </c>
      <c r="D199">
        <v>304</v>
      </c>
      <c r="E199">
        <v>84</v>
      </c>
      <c r="F199">
        <v>69</v>
      </c>
    </row>
    <row r="200" spans="1:6" x14ac:dyDescent="0.25">
      <c r="A200">
        <v>199</v>
      </c>
      <c r="B200">
        <v>199</v>
      </c>
      <c r="C200">
        <v>27349</v>
      </c>
      <c r="D200">
        <v>169</v>
      </c>
      <c r="E200">
        <v>51</v>
      </c>
      <c r="F200">
        <v>0</v>
      </c>
    </row>
    <row r="201" spans="1:6" x14ac:dyDescent="0.25">
      <c r="A201">
        <v>200</v>
      </c>
      <c r="B201">
        <v>200</v>
      </c>
      <c r="C201">
        <v>10403</v>
      </c>
      <c r="D201">
        <v>310</v>
      </c>
      <c r="E201">
        <v>43</v>
      </c>
      <c r="F201">
        <v>571</v>
      </c>
    </row>
    <row r="202" spans="1:6" x14ac:dyDescent="0.25">
      <c r="A202">
        <v>201</v>
      </c>
      <c r="B202">
        <v>201</v>
      </c>
      <c r="C202">
        <v>23949</v>
      </c>
      <c r="D202">
        <v>383</v>
      </c>
      <c r="E202">
        <v>40</v>
      </c>
      <c r="F202">
        <v>829</v>
      </c>
    </row>
    <row r="203" spans="1:6" x14ac:dyDescent="0.25">
      <c r="A203">
        <v>202</v>
      </c>
      <c r="B203">
        <v>202</v>
      </c>
      <c r="C203">
        <v>73914</v>
      </c>
      <c r="D203">
        <v>529</v>
      </c>
      <c r="E203">
        <v>67</v>
      </c>
      <c r="F203">
        <v>1048</v>
      </c>
    </row>
    <row r="204" spans="1:6" x14ac:dyDescent="0.25">
      <c r="A204">
        <v>203</v>
      </c>
      <c r="B204">
        <v>203</v>
      </c>
      <c r="C204">
        <v>21038</v>
      </c>
      <c r="D204">
        <v>145</v>
      </c>
      <c r="E204">
        <v>58</v>
      </c>
      <c r="F204">
        <v>0</v>
      </c>
    </row>
    <row r="205" spans="1:6" x14ac:dyDescent="0.25">
      <c r="A205">
        <v>204</v>
      </c>
      <c r="B205">
        <v>204</v>
      </c>
      <c r="C205">
        <v>68206</v>
      </c>
      <c r="D205">
        <v>499</v>
      </c>
      <c r="E205">
        <v>40</v>
      </c>
      <c r="F205">
        <v>1411</v>
      </c>
    </row>
    <row r="206" spans="1:6" x14ac:dyDescent="0.25">
      <c r="A206">
        <v>205</v>
      </c>
      <c r="B206">
        <v>205</v>
      </c>
      <c r="C206">
        <v>57337</v>
      </c>
      <c r="D206">
        <v>392</v>
      </c>
      <c r="E206">
        <v>45</v>
      </c>
      <c r="F206">
        <v>456</v>
      </c>
    </row>
    <row r="207" spans="1:6" x14ac:dyDescent="0.25">
      <c r="A207">
        <v>206</v>
      </c>
      <c r="B207">
        <v>206</v>
      </c>
      <c r="C207">
        <v>10793</v>
      </c>
      <c r="D207">
        <v>321</v>
      </c>
      <c r="E207">
        <v>29</v>
      </c>
      <c r="F207">
        <v>638</v>
      </c>
    </row>
    <row r="208" spans="1:6" x14ac:dyDescent="0.25">
      <c r="A208">
        <v>207</v>
      </c>
      <c r="B208">
        <v>207</v>
      </c>
      <c r="C208">
        <v>2345</v>
      </c>
      <c r="D208">
        <v>180</v>
      </c>
      <c r="E208">
        <v>78</v>
      </c>
      <c r="F208">
        <v>0</v>
      </c>
    </row>
    <row r="209" spans="1:6" x14ac:dyDescent="0.25">
      <c r="A209">
        <v>208</v>
      </c>
      <c r="B209">
        <v>208</v>
      </c>
      <c r="C209">
        <v>10842</v>
      </c>
      <c r="D209">
        <v>358</v>
      </c>
      <c r="E209">
        <v>37</v>
      </c>
      <c r="F209">
        <v>1216</v>
      </c>
    </row>
    <row r="210" spans="1:6" x14ac:dyDescent="0.25">
      <c r="A210">
        <v>209</v>
      </c>
      <c r="B210">
        <v>209</v>
      </c>
      <c r="C210">
        <v>51345</v>
      </c>
      <c r="D210">
        <v>320</v>
      </c>
      <c r="E210">
        <v>46</v>
      </c>
      <c r="F210">
        <v>230</v>
      </c>
    </row>
    <row r="211" spans="1:6" x14ac:dyDescent="0.25">
      <c r="A211">
        <v>210</v>
      </c>
      <c r="B211">
        <v>210</v>
      </c>
      <c r="C211">
        <v>151947</v>
      </c>
      <c r="D211">
        <v>642</v>
      </c>
      <c r="E211">
        <v>91</v>
      </c>
      <c r="F211">
        <v>732</v>
      </c>
    </row>
    <row r="212" spans="1:6" x14ac:dyDescent="0.25">
      <c r="A212">
        <v>211</v>
      </c>
      <c r="B212">
        <v>211</v>
      </c>
      <c r="C212">
        <v>24543</v>
      </c>
      <c r="D212">
        <v>243</v>
      </c>
      <c r="E212">
        <v>62</v>
      </c>
      <c r="F212">
        <v>95</v>
      </c>
    </row>
    <row r="213" spans="1:6" x14ac:dyDescent="0.25">
      <c r="A213">
        <v>212</v>
      </c>
      <c r="B213">
        <v>212</v>
      </c>
      <c r="C213">
        <v>29567</v>
      </c>
      <c r="D213">
        <v>397</v>
      </c>
      <c r="E213">
        <v>25</v>
      </c>
      <c r="F213">
        <v>799</v>
      </c>
    </row>
    <row r="214" spans="1:6" x14ac:dyDescent="0.25">
      <c r="A214">
        <v>213</v>
      </c>
      <c r="B214">
        <v>213</v>
      </c>
      <c r="C214">
        <v>39145</v>
      </c>
      <c r="D214">
        <v>323</v>
      </c>
      <c r="E214">
        <v>66</v>
      </c>
      <c r="F214">
        <v>308</v>
      </c>
    </row>
    <row r="215" spans="1:6" x14ac:dyDescent="0.25">
      <c r="A215">
        <v>214</v>
      </c>
      <c r="B215">
        <v>214</v>
      </c>
      <c r="C215">
        <v>39422</v>
      </c>
      <c r="D215">
        <v>383</v>
      </c>
      <c r="E215">
        <v>44</v>
      </c>
      <c r="F215">
        <v>637</v>
      </c>
    </row>
    <row r="216" spans="1:6" x14ac:dyDescent="0.25">
      <c r="A216">
        <v>215</v>
      </c>
      <c r="B216">
        <v>215</v>
      </c>
      <c r="C216">
        <v>34909</v>
      </c>
      <c r="D216">
        <v>410</v>
      </c>
      <c r="E216">
        <v>62</v>
      </c>
      <c r="F216">
        <v>681</v>
      </c>
    </row>
    <row r="217" spans="1:6" x14ac:dyDescent="0.25">
      <c r="A217">
        <v>216</v>
      </c>
      <c r="B217">
        <v>216</v>
      </c>
      <c r="C217">
        <v>41025</v>
      </c>
      <c r="D217">
        <v>337</v>
      </c>
      <c r="E217">
        <v>79</v>
      </c>
      <c r="F217">
        <v>246</v>
      </c>
    </row>
    <row r="218" spans="1:6" x14ac:dyDescent="0.25">
      <c r="A218">
        <v>217</v>
      </c>
      <c r="B218">
        <v>217</v>
      </c>
      <c r="C218">
        <v>15476</v>
      </c>
      <c r="D218">
        <v>215</v>
      </c>
      <c r="E218">
        <v>60</v>
      </c>
      <c r="F218">
        <v>52</v>
      </c>
    </row>
    <row r="219" spans="1:6" x14ac:dyDescent="0.25">
      <c r="A219">
        <v>218</v>
      </c>
      <c r="B219">
        <v>218</v>
      </c>
      <c r="C219">
        <v>12456</v>
      </c>
      <c r="D219">
        <v>392</v>
      </c>
      <c r="E219">
        <v>65</v>
      </c>
      <c r="F219">
        <v>955</v>
      </c>
    </row>
    <row r="220" spans="1:6" x14ac:dyDescent="0.25">
      <c r="A220">
        <v>219</v>
      </c>
      <c r="B220">
        <v>219</v>
      </c>
      <c r="C220">
        <v>10627</v>
      </c>
      <c r="D220">
        <v>149</v>
      </c>
      <c r="E220">
        <v>71</v>
      </c>
      <c r="F220">
        <v>195</v>
      </c>
    </row>
    <row r="221" spans="1:6" x14ac:dyDescent="0.25">
      <c r="A221">
        <v>220</v>
      </c>
      <c r="B221">
        <v>220</v>
      </c>
      <c r="C221">
        <v>38954</v>
      </c>
      <c r="D221">
        <v>370</v>
      </c>
      <c r="E221">
        <v>76</v>
      </c>
      <c r="F221">
        <v>653</v>
      </c>
    </row>
    <row r="222" spans="1:6" x14ac:dyDescent="0.25">
      <c r="A222">
        <v>221</v>
      </c>
      <c r="B222">
        <v>221</v>
      </c>
      <c r="C222">
        <v>44847</v>
      </c>
      <c r="D222">
        <v>437</v>
      </c>
      <c r="E222">
        <v>53</v>
      </c>
      <c r="F222">
        <v>1246</v>
      </c>
    </row>
    <row r="223" spans="1:6" x14ac:dyDescent="0.25">
      <c r="A223">
        <v>222</v>
      </c>
      <c r="B223">
        <v>222</v>
      </c>
      <c r="C223">
        <v>98515</v>
      </c>
      <c r="D223">
        <v>633</v>
      </c>
      <c r="E223">
        <v>78</v>
      </c>
      <c r="F223">
        <v>1230</v>
      </c>
    </row>
    <row r="224" spans="1:6" x14ac:dyDescent="0.25">
      <c r="A224">
        <v>223</v>
      </c>
      <c r="B224">
        <v>223</v>
      </c>
      <c r="C224">
        <v>33437</v>
      </c>
      <c r="D224">
        <v>451</v>
      </c>
      <c r="E224">
        <v>44</v>
      </c>
      <c r="F224">
        <v>1549</v>
      </c>
    </row>
    <row r="225" spans="1:6" x14ac:dyDescent="0.25">
      <c r="A225">
        <v>224</v>
      </c>
      <c r="B225">
        <v>224</v>
      </c>
      <c r="C225">
        <v>27512</v>
      </c>
      <c r="D225">
        <v>344</v>
      </c>
      <c r="E225">
        <v>72</v>
      </c>
      <c r="F225">
        <v>573</v>
      </c>
    </row>
    <row r="226" spans="1:6" x14ac:dyDescent="0.25">
      <c r="A226">
        <v>225</v>
      </c>
      <c r="B226">
        <v>225</v>
      </c>
      <c r="C226">
        <v>121709</v>
      </c>
      <c r="D226">
        <v>584</v>
      </c>
      <c r="E226">
        <v>50</v>
      </c>
      <c r="F226">
        <v>701</v>
      </c>
    </row>
    <row r="227" spans="1:6" x14ac:dyDescent="0.25">
      <c r="A227">
        <v>226</v>
      </c>
      <c r="B227">
        <v>226</v>
      </c>
      <c r="C227">
        <v>15079</v>
      </c>
      <c r="D227">
        <v>411</v>
      </c>
      <c r="E227">
        <v>28</v>
      </c>
      <c r="F227">
        <v>1075</v>
      </c>
    </row>
    <row r="228" spans="1:6" x14ac:dyDescent="0.25">
      <c r="A228">
        <v>227</v>
      </c>
      <c r="B228">
        <v>227</v>
      </c>
      <c r="C228">
        <v>59879</v>
      </c>
      <c r="D228">
        <v>527</v>
      </c>
      <c r="E228">
        <v>78</v>
      </c>
      <c r="F228">
        <v>1032</v>
      </c>
    </row>
    <row r="229" spans="1:6" x14ac:dyDescent="0.25">
      <c r="A229">
        <v>228</v>
      </c>
      <c r="B229">
        <v>228</v>
      </c>
      <c r="C229">
        <v>66989</v>
      </c>
      <c r="D229">
        <v>430</v>
      </c>
      <c r="E229">
        <v>47</v>
      </c>
      <c r="F229">
        <v>482</v>
      </c>
    </row>
    <row r="230" spans="1:6" x14ac:dyDescent="0.25">
      <c r="A230">
        <v>229</v>
      </c>
      <c r="B230">
        <v>229</v>
      </c>
      <c r="C230">
        <v>69165</v>
      </c>
      <c r="D230">
        <v>341</v>
      </c>
      <c r="E230">
        <v>34</v>
      </c>
      <c r="F230">
        <v>156</v>
      </c>
    </row>
    <row r="231" spans="1:6" x14ac:dyDescent="0.25">
      <c r="A231">
        <v>230</v>
      </c>
      <c r="B231">
        <v>230</v>
      </c>
      <c r="C231">
        <v>69943</v>
      </c>
      <c r="D231">
        <v>547</v>
      </c>
      <c r="E231">
        <v>76</v>
      </c>
      <c r="F231">
        <v>1058</v>
      </c>
    </row>
    <row r="232" spans="1:6" x14ac:dyDescent="0.25">
      <c r="A232">
        <v>231</v>
      </c>
      <c r="B232">
        <v>231</v>
      </c>
      <c r="C232">
        <v>33214</v>
      </c>
      <c r="D232">
        <v>387</v>
      </c>
      <c r="E232">
        <v>59</v>
      </c>
      <c r="F232">
        <v>661</v>
      </c>
    </row>
    <row r="233" spans="1:6" x14ac:dyDescent="0.25">
      <c r="A233">
        <v>232</v>
      </c>
      <c r="B233">
        <v>232</v>
      </c>
      <c r="C233">
        <v>25124</v>
      </c>
      <c r="D233">
        <v>378</v>
      </c>
      <c r="E233">
        <v>29</v>
      </c>
      <c r="F233">
        <v>657</v>
      </c>
    </row>
    <row r="234" spans="1:6" x14ac:dyDescent="0.25">
      <c r="A234">
        <v>233</v>
      </c>
      <c r="B234">
        <v>233</v>
      </c>
      <c r="C234">
        <v>15741</v>
      </c>
      <c r="D234">
        <v>360</v>
      </c>
      <c r="E234">
        <v>39</v>
      </c>
      <c r="F234">
        <v>689</v>
      </c>
    </row>
    <row r="235" spans="1:6" x14ac:dyDescent="0.25">
      <c r="A235">
        <v>234</v>
      </c>
      <c r="B235">
        <v>234</v>
      </c>
      <c r="C235">
        <v>11603</v>
      </c>
      <c r="D235">
        <v>187</v>
      </c>
      <c r="E235">
        <v>71</v>
      </c>
      <c r="F235">
        <v>0</v>
      </c>
    </row>
    <row r="236" spans="1:6" x14ac:dyDescent="0.25">
      <c r="A236">
        <v>235</v>
      </c>
      <c r="B236">
        <v>235</v>
      </c>
      <c r="C236">
        <v>69656</v>
      </c>
      <c r="D236">
        <v>579</v>
      </c>
      <c r="E236">
        <v>41</v>
      </c>
      <c r="F236">
        <v>1329</v>
      </c>
    </row>
    <row r="237" spans="1:6" x14ac:dyDescent="0.25">
      <c r="A237">
        <v>236</v>
      </c>
      <c r="B237">
        <v>236</v>
      </c>
      <c r="C237">
        <v>10503</v>
      </c>
      <c r="D237">
        <v>232</v>
      </c>
      <c r="E237">
        <v>25</v>
      </c>
      <c r="F237">
        <v>191</v>
      </c>
    </row>
    <row r="238" spans="1:6" x14ac:dyDescent="0.25">
      <c r="A238">
        <v>237</v>
      </c>
      <c r="B238">
        <v>237</v>
      </c>
      <c r="C238">
        <v>42529</v>
      </c>
      <c r="D238">
        <v>369</v>
      </c>
      <c r="E238">
        <v>37</v>
      </c>
      <c r="F238">
        <v>489</v>
      </c>
    </row>
    <row r="239" spans="1:6" x14ac:dyDescent="0.25">
      <c r="A239">
        <v>238</v>
      </c>
      <c r="B239">
        <v>238</v>
      </c>
      <c r="C239">
        <v>60579</v>
      </c>
      <c r="D239">
        <v>388</v>
      </c>
      <c r="E239">
        <v>38</v>
      </c>
      <c r="F239">
        <v>443</v>
      </c>
    </row>
    <row r="240" spans="1:6" x14ac:dyDescent="0.25">
      <c r="A240">
        <v>239</v>
      </c>
      <c r="B240">
        <v>239</v>
      </c>
      <c r="C240">
        <v>26532</v>
      </c>
      <c r="D240">
        <v>236</v>
      </c>
      <c r="E240">
        <v>58</v>
      </c>
      <c r="F240">
        <v>52</v>
      </c>
    </row>
    <row r="241" spans="1:6" x14ac:dyDescent="0.25">
      <c r="A241">
        <v>240</v>
      </c>
      <c r="B241">
        <v>240</v>
      </c>
      <c r="C241">
        <v>27952</v>
      </c>
      <c r="D241">
        <v>263</v>
      </c>
      <c r="E241">
        <v>35</v>
      </c>
      <c r="F241">
        <v>163</v>
      </c>
    </row>
    <row r="242" spans="1:6" x14ac:dyDescent="0.25">
      <c r="A242">
        <v>241</v>
      </c>
      <c r="B242">
        <v>241</v>
      </c>
      <c r="C242">
        <v>29705</v>
      </c>
      <c r="D242">
        <v>262</v>
      </c>
      <c r="E242">
        <v>71</v>
      </c>
      <c r="F242">
        <v>148</v>
      </c>
    </row>
    <row r="243" spans="1:6" x14ac:dyDescent="0.25">
      <c r="A243">
        <v>242</v>
      </c>
      <c r="B243">
        <v>242</v>
      </c>
      <c r="C243">
        <v>15602</v>
      </c>
      <c r="D243">
        <v>103</v>
      </c>
      <c r="E243">
        <v>36</v>
      </c>
      <c r="F243">
        <v>0</v>
      </c>
    </row>
    <row r="244" spans="1:6" x14ac:dyDescent="0.25">
      <c r="A244">
        <v>243</v>
      </c>
      <c r="B244">
        <v>243</v>
      </c>
      <c r="C244">
        <v>20918</v>
      </c>
      <c r="D244">
        <v>128</v>
      </c>
      <c r="E244">
        <v>47</v>
      </c>
      <c r="F244">
        <v>16</v>
      </c>
    </row>
    <row r="245" spans="1:6" x14ac:dyDescent="0.25">
      <c r="A245">
        <v>244</v>
      </c>
      <c r="B245">
        <v>244</v>
      </c>
      <c r="C245">
        <v>58165</v>
      </c>
      <c r="D245">
        <v>460</v>
      </c>
      <c r="E245">
        <v>56</v>
      </c>
      <c r="F245">
        <v>856</v>
      </c>
    </row>
    <row r="246" spans="1:6" x14ac:dyDescent="0.25">
      <c r="A246">
        <v>245</v>
      </c>
      <c r="B246">
        <v>245</v>
      </c>
      <c r="C246">
        <v>22561</v>
      </c>
      <c r="D246">
        <v>147</v>
      </c>
      <c r="E246">
        <v>66</v>
      </c>
      <c r="F246">
        <v>0</v>
      </c>
    </row>
    <row r="247" spans="1:6" x14ac:dyDescent="0.25">
      <c r="A247">
        <v>246</v>
      </c>
      <c r="B247">
        <v>246</v>
      </c>
      <c r="C247">
        <v>34509</v>
      </c>
      <c r="D247">
        <v>189</v>
      </c>
      <c r="E247">
        <v>80</v>
      </c>
      <c r="F247">
        <v>0</v>
      </c>
    </row>
    <row r="248" spans="1:6" x14ac:dyDescent="0.25">
      <c r="A248">
        <v>247</v>
      </c>
      <c r="B248">
        <v>247</v>
      </c>
      <c r="C248">
        <v>19588</v>
      </c>
      <c r="D248">
        <v>265</v>
      </c>
      <c r="E248">
        <v>59</v>
      </c>
      <c r="F248">
        <v>199</v>
      </c>
    </row>
    <row r="249" spans="1:6" x14ac:dyDescent="0.25">
      <c r="A249">
        <v>248</v>
      </c>
      <c r="B249">
        <v>248</v>
      </c>
      <c r="C249">
        <v>36364</v>
      </c>
      <c r="D249">
        <v>188</v>
      </c>
      <c r="E249">
        <v>50</v>
      </c>
      <c r="F249">
        <v>0</v>
      </c>
    </row>
    <row r="250" spans="1:6" x14ac:dyDescent="0.25">
      <c r="A250">
        <v>249</v>
      </c>
      <c r="B250">
        <v>249</v>
      </c>
      <c r="C250">
        <v>15717</v>
      </c>
      <c r="D250">
        <v>93</v>
      </c>
      <c r="E250">
        <v>38</v>
      </c>
      <c r="F250">
        <v>0</v>
      </c>
    </row>
    <row r="251" spans="1:6" x14ac:dyDescent="0.25">
      <c r="A251">
        <v>250</v>
      </c>
      <c r="B251">
        <v>250</v>
      </c>
      <c r="C251">
        <v>22574</v>
      </c>
      <c r="D251">
        <v>134</v>
      </c>
      <c r="E251">
        <v>43</v>
      </c>
      <c r="F251">
        <v>98</v>
      </c>
    </row>
    <row r="252" spans="1:6" x14ac:dyDescent="0.25">
      <c r="A252">
        <v>251</v>
      </c>
      <c r="B252">
        <v>251</v>
      </c>
      <c r="C252">
        <v>10363</v>
      </c>
      <c r="D252">
        <v>191</v>
      </c>
      <c r="E252">
        <v>47</v>
      </c>
      <c r="F252">
        <v>0</v>
      </c>
    </row>
    <row r="253" spans="1:6" x14ac:dyDescent="0.25">
      <c r="A253">
        <v>252</v>
      </c>
      <c r="B253">
        <v>252</v>
      </c>
      <c r="C253">
        <v>28474</v>
      </c>
      <c r="D253">
        <v>267</v>
      </c>
      <c r="E253">
        <v>66</v>
      </c>
      <c r="F253">
        <v>132</v>
      </c>
    </row>
    <row r="254" spans="1:6" x14ac:dyDescent="0.25">
      <c r="A254">
        <v>253</v>
      </c>
      <c r="B254">
        <v>253</v>
      </c>
      <c r="C254">
        <v>72945</v>
      </c>
      <c r="D254">
        <v>621</v>
      </c>
      <c r="E254">
        <v>64</v>
      </c>
      <c r="F254">
        <v>1355</v>
      </c>
    </row>
    <row r="255" spans="1:6" x14ac:dyDescent="0.25">
      <c r="A255">
        <v>254</v>
      </c>
      <c r="B255">
        <v>254</v>
      </c>
      <c r="C255">
        <v>85425</v>
      </c>
      <c r="D255">
        <v>402</v>
      </c>
      <c r="E255">
        <v>60</v>
      </c>
      <c r="F255">
        <v>218</v>
      </c>
    </row>
    <row r="256" spans="1:6" x14ac:dyDescent="0.25">
      <c r="A256">
        <v>255</v>
      </c>
      <c r="B256">
        <v>255</v>
      </c>
      <c r="C256">
        <v>36508</v>
      </c>
      <c r="D256">
        <v>469</v>
      </c>
      <c r="E256">
        <v>79</v>
      </c>
      <c r="F256">
        <v>1048</v>
      </c>
    </row>
    <row r="257" spans="1:6" x14ac:dyDescent="0.25">
      <c r="A257">
        <v>256</v>
      </c>
      <c r="B257">
        <v>256</v>
      </c>
      <c r="C257">
        <v>58063</v>
      </c>
      <c r="D257">
        <v>304</v>
      </c>
      <c r="E257">
        <v>50</v>
      </c>
      <c r="F257">
        <v>118</v>
      </c>
    </row>
    <row r="258" spans="1:6" x14ac:dyDescent="0.25">
      <c r="A258">
        <v>257</v>
      </c>
      <c r="B258">
        <v>257</v>
      </c>
      <c r="C258">
        <v>25936</v>
      </c>
      <c r="D258">
        <v>135</v>
      </c>
      <c r="E258">
        <v>71</v>
      </c>
      <c r="F258">
        <v>0</v>
      </c>
    </row>
    <row r="259" spans="1:6" x14ac:dyDescent="0.25">
      <c r="A259">
        <v>258</v>
      </c>
      <c r="B259">
        <v>258</v>
      </c>
      <c r="C259">
        <v>15629</v>
      </c>
      <c r="D259">
        <v>186</v>
      </c>
      <c r="E259">
        <v>60</v>
      </c>
      <c r="F259">
        <v>0</v>
      </c>
    </row>
    <row r="260" spans="1:6" x14ac:dyDescent="0.25">
      <c r="A260">
        <v>259</v>
      </c>
      <c r="B260">
        <v>259</v>
      </c>
      <c r="C260">
        <v>414</v>
      </c>
      <c r="D260">
        <v>215</v>
      </c>
      <c r="E260">
        <v>36</v>
      </c>
      <c r="F260">
        <v>0</v>
      </c>
    </row>
    <row r="261" spans="1:6" x14ac:dyDescent="0.25">
      <c r="A261">
        <v>260</v>
      </c>
      <c r="B261">
        <v>260</v>
      </c>
      <c r="C261">
        <v>33657</v>
      </c>
      <c r="D261">
        <v>450</v>
      </c>
      <c r="E261">
        <v>55</v>
      </c>
      <c r="F261">
        <v>1092</v>
      </c>
    </row>
    <row r="262" spans="1:6" x14ac:dyDescent="0.25">
      <c r="A262">
        <v>261</v>
      </c>
      <c r="B262">
        <v>261</v>
      </c>
      <c r="C262">
        <v>67937</v>
      </c>
      <c r="D262">
        <v>383</v>
      </c>
      <c r="E262">
        <v>63</v>
      </c>
      <c r="F262">
        <v>345</v>
      </c>
    </row>
    <row r="263" spans="1:6" x14ac:dyDescent="0.25">
      <c r="A263">
        <v>262</v>
      </c>
      <c r="B263">
        <v>262</v>
      </c>
      <c r="C263">
        <v>180379</v>
      </c>
      <c r="D263">
        <v>665</v>
      </c>
      <c r="E263">
        <v>67</v>
      </c>
      <c r="F263">
        <v>1050</v>
      </c>
    </row>
    <row r="264" spans="1:6" x14ac:dyDescent="0.25">
      <c r="A264">
        <v>263</v>
      </c>
      <c r="B264">
        <v>263</v>
      </c>
      <c r="C264">
        <v>10588</v>
      </c>
      <c r="D264">
        <v>296</v>
      </c>
      <c r="E264">
        <v>66</v>
      </c>
      <c r="F264">
        <v>465</v>
      </c>
    </row>
    <row r="265" spans="1:6" x14ac:dyDescent="0.25">
      <c r="A265">
        <v>264</v>
      </c>
      <c r="B265">
        <v>264</v>
      </c>
      <c r="C265">
        <v>29725</v>
      </c>
      <c r="D265">
        <v>270</v>
      </c>
      <c r="E265">
        <v>52</v>
      </c>
      <c r="F265">
        <v>133</v>
      </c>
    </row>
    <row r="266" spans="1:6" x14ac:dyDescent="0.25">
      <c r="A266">
        <v>265</v>
      </c>
      <c r="B266">
        <v>265</v>
      </c>
      <c r="C266">
        <v>27999</v>
      </c>
      <c r="D266">
        <v>380</v>
      </c>
      <c r="E266">
        <v>55</v>
      </c>
      <c r="F266">
        <v>651</v>
      </c>
    </row>
    <row r="267" spans="1:6" x14ac:dyDescent="0.25">
      <c r="A267">
        <v>266</v>
      </c>
      <c r="B267">
        <v>266</v>
      </c>
      <c r="C267">
        <v>40885</v>
      </c>
      <c r="D267">
        <v>379</v>
      </c>
      <c r="E267">
        <v>46</v>
      </c>
      <c r="F267">
        <v>549</v>
      </c>
    </row>
    <row r="268" spans="1:6" x14ac:dyDescent="0.25">
      <c r="A268">
        <v>267</v>
      </c>
      <c r="B268">
        <v>267</v>
      </c>
      <c r="C268">
        <v>8883</v>
      </c>
      <c r="D268">
        <v>360</v>
      </c>
      <c r="E268">
        <v>86</v>
      </c>
      <c r="F268">
        <v>15</v>
      </c>
    </row>
    <row r="269" spans="1:6" x14ac:dyDescent="0.25">
      <c r="A269">
        <v>268</v>
      </c>
      <c r="B269">
        <v>268</v>
      </c>
      <c r="C269">
        <v>29638</v>
      </c>
      <c r="D269">
        <v>433</v>
      </c>
      <c r="E269">
        <v>29</v>
      </c>
      <c r="F269">
        <v>942</v>
      </c>
    </row>
    <row r="270" spans="1:6" x14ac:dyDescent="0.25">
      <c r="A270">
        <v>269</v>
      </c>
      <c r="B270">
        <v>269</v>
      </c>
      <c r="C270">
        <v>25988</v>
      </c>
      <c r="D270">
        <v>142</v>
      </c>
      <c r="E270">
        <v>82</v>
      </c>
      <c r="F270">
        <v>0</v>
      </c>
    </row>
    <row r="271" spans="1:6" x14ac:dyDescent="0.25">
      <c r="A271">
        <v>270</v>
      </c>
      <c r="B271">
        <v>270</v>
      </c>
      <c r="C271">
        <v>39055</v>
      </c>
      <c r="D271">
        <v>410</v>
      </c>
      <c r="E271">
        <v>48</v>
      </c>
      <c r="F271">
        <v>772</v>
      </c>
    </row>
    <row r="272" spans="1:6" x14ac:dyDescent="0.25">
      <c r="A272">
        <v>271</v>
      </c>
      <c r="B272">
        <v>271</v>
      </c>
      <c r="C272">
        <v>15866</v>
      </c>
      <c r="D272">
        <v>217</v>
      </c>
      <c r="E272">
        <v>39</v>
      </c>
      <c r="F272">
        <v>136</v>
      </c>
    </row>
    <row r="273" spans="1:6" x14ac:dyDescent="0.25">
      <c r="A273">
        <v>272</v>
      </c>
      <c r="B273">
        <v>272</v>
      </c>
      <c r="C273">
        <v>44978</v>
      </c>
      <c r="D273">
        <v>347</v>
      </c>
      <c r="E273">
        <v>30</v>
      </c>
      <c r="F273">
        <v>436</v>
      </c>
    </row>
    <row r="274" spans="1:6" x14ac:dyDescent="0.25">
      <c r="A274">
        <v>273</v>
      </c>
      <c r="B274">
        <v>273</v>
      </c>
      <c r="C274">
        <v>30413</v>
      </c>
      <c r="D274">
        <v>299</v>
      </c>
      <c r="E274">
        <v>25</v>
      </c>
      <c r="F274">
        <v>728</v>
      </c>
    </row>
    <row r="275" spans="1:6" x14ac:dyDescent="0.25">
      <c r="A275">
        <v>274</v>
      </c>
      <c r="B275">
        <v>274</v>
      </c>
      <c r="C275">
        <v>16751</v>
      </c>
      <c r="D275">
        <v>353</v>
      </c>
      <c r="E275">
        <v>48</v>
      </c>
      <c r="F275">
        <v>1255</v>
      </c>
    </row>
    <row r="276" spans="1:6" x14ac:dyDescent="0.25">
      <c r="A276">
        <v>275</v>
      </c>
      <c r="B276">
        <v>275</v>
      </c>
      <c r="C276">
        <v>3055</v>
      </c>
      <c r="D276">
        <v>439</v>
      </c>
      <c r="E276">
        <v>81</v>
      </c>
      <c r="F276">
        <v>967</v>
      </c>
    </row>
    <row r="277" spans="1:6" x14ac:dyDescent="0.25">
      <c r="A277">
        <v>276</v>
      </c>
      <c r="B277">
        <v>276</v>
      </c>
      <c r="C277">
        <v>163329</v>
      </c>
      <c r="D277">
        <v>636</v>
      </c>
      <c r="E277">
        <v>50</v>
      </c>
      <c r="F277">
        <v>529</v>
      </c>
    </row>
    <row r="278" spans="1:6" x14ac:dyDescent="0.25">
      <c r="A278">
        <v>277</v>
      </c>
      <c r="B278">
        <v>277</v>
      </c>
      <c r="C278">
        <v>23106</v>
      </c>
      <c r="D278">
        <v>257</v>
      </c>
      <c r="E278">
        <v>50</v>
      </c>
      <c r="F278">
        <v>209</v>
      </c>
    </row>
    <row r="279" spans="1:6" x14ac:dyDescent="0.25">
      <c r="A279">
        <v>278</v>
      </c>
      <c r="B279">
        <v>278</v>
      </c>
      <c r="C279">
        <v>41532</v>
      </c>
      <c r="D279">
        <v>353</v>
      </c>
      <c r="E279">
        <v>50</v>
      </c>
      <c r="F279">
        <v>531</v>
      </c>
    </row>
    <row r="280" spans="1:6" x14ac:dyDescent="0.25">
      <c r="A280">
        <v>279</v>
      </c>
      <c r="B280">
        <v>279</v>
      </c>
      <c r="C280">
        <v>12804</v>
      </c>
      <c r="D280">
        <v>518</v>
      </c>
      <c r="E280">
        <v>78</v>
      </c>
      <c r="F280">
        <v>250</v>
      </c>
    </row>
    <row r="281" spans="1:6" x14ac:dyDescent="0.25">
      <c r="A281">
        <v>280</v>
      </c>
      <c r="B281">
        <v>280</v>
      </c>
      <c r="C281">
        <v>54319</v>
      </c>
      <c r="D281">
        <v>248</v>
      </c>
      <c r="E281">
        <v>59</v>
      </c>
      <c r="F281">
        <v>269</v>
      </c>
    </row>
    <row r="282" spans="1:6" x14ac:dyDescent="0.25">
      <c r="A282">
        <v>281</v>
      </c>
      <c r="B282">
        <v>281</v>
      </c>
      <c r="C282">
        <v>53401</v>
      </c>
      <c r="D282">
        <v>377</v>
      </c>
      <c r="E282">
        <v>35</v>
      </c>
      <c r="F282">
        <v>541</v>
      </c>
    </row>
    <row r="283" spans="1:6" x14ac:dyDescent="0.25">
      <c r="A283">
        <v>282</v>
      </c>
      <c r="B283">
        <v>282</v>
      </c>
      <c r="C283">
        <v>36142</v>
      </c>
      <c r="D283">
        <v>183</v>
      </c>
      <c r="E283">
        <v>33</v>
      </c>
      <c r="F283">
        <v>0</v>
      </c>
    </row>
    <row r="284" spans="1:6" x14ac:dyDescent="0.25">
      <c r="A284">
        <v>283</v>
      </c>
      <c r="B284">
        <v>283</v>
      </c>
      <c r="C284">
        <v>63534</v>
      </c>
      <c r="D284">
        <v>581</v>
      </c>
      <c r="E284">
        <v>50</v>
      </c>
      <c r="F284">
        <v>1298</v>
      </c>
    </row>
    <row r="285" spans="1:6" x14ac:dyDescent="0.25">
      <c r="A285">
        <v>284</v>
      </c>
      <c r="B285">
        <v>284</v>
      </c>
      <c r="C285">
        <v>49927</v>
      </c>
      <c r="D285">
        <v>485</v>
      </c>
      <c r="E285">
        <v>75</v>
      </c>
      <c r="F285">
        <v>890</v>
      </c>
    </row>
    <row r="286" spans="1:6" x14ac:dyDescent="0.25">
      <c r="A286">
        <v>285</v>
      </c>
      <c r="B286">
        <v>285</v>
      </c>
      <c r="C286">
        <v>14711</v>
      </c>
      <c r="D286">
        <v>167</v>
      </c>
      <c r="E286">
        <v>67</v>
      </c>
      <c r="F286">
        <v>0</v>
      </c>
    </row>
    <row r="287" spans="1:6" x14ac:dyDescent="0.25">
      <c r="A287">
        <v>286</v>
      </c>
      <c r="B287">
        <v>286</v>
      </c>
      <c r="C287">
        <v>18967</v>
      </c>
      <c r="D287">
        <v>156</v>
      </c>
      <c r="E287">
        <v>41</v>
      </c>
      <c r="F287">
        <v>0</v>
      </c>
    </row>
    <row r="288" spans="1:6" x14ac:dyDescent="0.25">
      <c r="A288">
        <v>287</v>
      </c>
      <c r="B288">
        <v>287</v>
      </c>
      <c r="C288">
        <v>18036</v>
      </c>
      <c r="D288">
        <v>142</v>
      </c>
      <c r="E288">
        <v>48</v>
      </c>
      <c r="F288">
        <v>0</v>
      </c>
    </row>
    <row r="289" spans="1:6" x14ac:dyDescent="0.25">
      <c r="A289">
        <v>288</v>
      </c>
      <c r="B289">
        <v>288</v>
      </c>
      <c r="C289">
        <v>60449</v>
      </c>
      <c r="D289">
        <v>272</v>
      </c>
      <c r="E289">
        <v>69</v>
      </c>
      <c r="F289">
        <v>0</v>
      </c>
    </row>
    <row r="290" spans="1:6" x14ac:dyDescent="0.25">
      <c r="A290">
        <v>289</v>
      </c>
      <c r="B290">
        <v>289</v>
      </c>
      <c r="C290">
        <v>16711</v>
      </c>
      <c r="D290">
        <v>387</v>
      </c>
      <c r="E290">
        <v>42</v>
      </c>
      <c r="F290">
        <v>863</v>
      </c>
    </row>
    <row r="291" spans="1:6" x14ac:dyDescent="0.25">
      <c r="A291">
        <v>290</v>
      </c>
      <c r="B291">
        <v>290</v>
      </c>
      <c r="C291">
        <v>10852</v>
      </c>
      <c r="D291">
        <v>296</v>
      </c>
      <c r="E291">
        <v>30</v>
      </c>
      <c r="F291">
        <v>485</v>
      </c>
    </row>
    <row r="292" spans="1:6" x14ac:dyDescent="0.25">
      <c r="A292">
        <v>291</v>
      </c>
      <c r="B292">
        <v>291</v>
      </c>
      <c r="C292">
        <v>2637</v>
      </c>
      <c r="D292">
        <v>268</v>
      </c>
      <c r="E292">
        <v>78</v>
      </c>
      <c r="F292">
        <v>159</v>
      </c>
    </row>
    <row r="293" spans="1:6" x14ac:dyDescent="0.25">
      <c r="A293">
        <v>292</v>
      </c>
      <c r="B293">
        <v>292</v>
      </c>
      <c r="C293">
        <v>24088</v>
      </c>
      <c r="D293">
        <v>287</v>
      </c>
      <c r="E293">
        <v>56</v>
      </c>
      <c r="F293">
        <v>309</v>
      </c>
    </row>
    <row r="294" spans="1:6" x14ac:dyDescent="0.25">
      <c r="A294">
        <v>293</v>
      </c>
      <c r="B294">
        <v>293</v>
      </c>
      <c r="C294">
        <v>51532</v>
      </c>
      <c r="D294">
        <v>380</v>
      </c>
      <c r="E294">
        <v>31</v>
      </c>
      <c r="F294">
        <v>481</v>
      </c>
    </row>
    <row r="295" spans="1:6" x14ac:dyDescent="0.25">
      <c r="A295">
        <v>294</v>
      </c>
      <c r="B295">
        <v>294</v>
      </c>
      <c r="C295">
        <v>140672</v>
      </c>
      <c r="D295">
        <v>817</v>
      </c>
      <c r="E295">
        <v>46</v>
      </c>
      <c r="F295">
        <v>1677</v>
      </c>
    </row>
    <row r="296" spans="1:6" x14ac:dyDescent="0.25">
      <c r="A296">
        <v>295</v>
      </c>
      <c r="B296">
        <v>295</v>
      </c>
      <c r="C296">
        <v>42915</v>
      </c>
      <c r="D296">
        <v>205</v>
      </c>
      <c r="E296">
        <v>42</v>
      </c>
      <c r="F296">
        <v>0</v>
      </c>
    </row>
    <row r="297" spans="1:6" x14ac:dyDescent="0.25">
      <c r="A297">
        <v>296</v>
      </c>
      <c r="B297">
        <v>296</v>
      </c>
      <c r="C297">
        <v>27272</v>
      </c>
      <c r="D297">
        <v>149</v>
      </c>
      <c r="E297">
        <v>67</v>
      </c>
      <c r="F297">
        <v>0</v>
      </c>
    </row>
    <row r="298" spans="1:6" x14ac:dyDescent="0.25">
      <c r="A298">
        <v>297</v>
      </c>
      <c r="B298">
        <v>297</v>
      </c>
      <c r="C298">
        <v>65896</v>
      </c>
      <c r="D298">
        <v>370</v>
      </c>
      <c r="E298">
        <v>49</v>
      </c>
      <c r="F298">
        <v>293</v>
      </c>
    </row>
    <row r="299" spans="1:6" x14ac:dyDescent="0.25">
      <c r="A299">
        <v>298</v>
      </c>
      <c r="B299">
        <v>298</v>
      </c>
      <c r="C299">
        <v>55054</v>
      </c>
      <c r="D299">
        <v>321</v>
      </c>
      <c r="E299">
        <v>74</v>
      </c>
      <c r="F299">
        <v>188</v>
      </c>
    </row>
    <row r="300" spans="1:6" x14ac:dyDescent="0.25">
      <c r="A300">
        <v>299</v>
      </c>
      <c r="B300">
        <v>299</v>
      </c>
      <c r="C300">
        <v>20791</v>
      </c>
      <c r="D300">
        <v>204</v>
      </c>
      <c r="E300">
        <v>70</v>
      </c>
      <c r="F300">
        <v>0</v>
      </c>
    </row>
    <row r="301" spans="1:6" x14ac:dyDescent="0.25">
      <c r="A301">
        <v>300</v>
      </c>
      <c r="B301">
        <v>300</v>
      </c>
      <c r="C301">
        <v>24919</v>
      </c>
      <c r="D301">
        <v>372</v>
      </c>
      <c r="E301">
        <v>76</v>
      </c>
      <c r="F301">
        <v>711</v>
      </c>
    </row>
    <row r="302" spans="1:6" x14ac:dyDescent="0.25">
      <c r="A302">
        <v>301</v>
      </c>
      <c r="B302">
        <v>301</v>
      </c>
      <c r="C302">
        <v>21786</v>
      </c>
      <c r="D302">
        <v>355</v>
      </c>
      <c r="E302">
        <v>50</v>
      </c>
      <c r="F302">
        <v>580</v>
      </c>
    </row>
    <row r="303" spans="1:6" x14ac:dyDescent="0.25">
      <c r="A303">
        <v>302</v>
      </c>
      <c r="B303">
        <v>302</v>
      </c>
      <c r="C303">
        <v>31335</v>
      </c>
      <c r="D303">
        <v>289</v>
      </c>
      <c r="E303">
        <v>38</v>
      </c>
      <c r="F303">
        <v>172</v>
      </c>
    </row>
    <row r="304" spans="1:6" x14ac:dyDescent="0.25">
      <c r="A304">
        <v>303</v>
      </c>
      <c r="B304">
        <v>303</v>
      </c>
      <c r="C304">
        <v>59855</v>
      </c>
      <c r="D304">
        <v>365</v>
      </c>
      <c r="E304">
        <v>46</v>
      </c>
      <c r="F304">
        <v>295</v>
      </c>
    </row>
    <row r="305" spans="1:6" x14ac:dyDescent="0.25">
      <c r="A305">
        <v>304</v>
      </c>
      <c r="B305">
        <v>304</v>
      </c>
      <c r="C305">
        <v>44061</v>
      </c>
      <c r="D305">
        <v>352</v>
      </c>
      <c r="E305">
        <v>79</v>
      </c>
      <c r="F305">
        <v>414</v>
      </c>
    </row>
    <row r="306" spans="1:6" x14ac:dyDescent="0.25">
      <c r="A306">
        <v>305</v>
      </c>
      <c r="B306">
        <v>305</v>
      </c>
      <c r="C306">
        <v>82706</v>
      </c>
      <c r="D306">
        <v>536</v>
      </c>
      <c r="E306">
        <v>64</v>
      </c>
      <c r="F306">
        <v>905</v>
      </c>
    </row>
    <row r="307" spans="1:6" x14ac:dyDescent="0.25">
      <c r="A307">
        <v>306</v>
      </c>
      <c r="B307">
        <v>306</v>
      </c>
      <c r="C307">
        <v>2446</v>
      </c>
      <c r="D307">
        <v>165</v>
      </c>
      <c r="E307">
        <v>50</v>
      </c>
      <c r="F307">
        <v>0</v>
      </c>
    </row>
    <row r="308" spans="1:6" x14ac:dyDescent="0.25">
      <c r="A308">
        <v>307</v>
      </c>
      <c r="B308">
        <v>307</v>
      </c>
      <c r="C308">
        <v>4512</v>
      </c>
      <c r="D308">
        <v>287</v>
      </c>
      <c r="E308">
        <v>80</v>
      </c>
      <c r="F308">
        <v>70</v>
      </c>
    </row>
    <row r="309" spans="1:6" x14ac:dyDescent="0.25">
      <c r="A309">
        <v>308</v>
      </c>
      <c r="B309">
        <v>308</v>
      </c>
      <c r="C309">
        <v>75406</v>
      </c>
      <c r="D309">
        <v>298</v>
      </c>
      <c r="E309">
        <v>41</v>
      </c>
      <c r="F309">
        <v>0</v>
      </c>
    </row>
    <row r="310" spans="1:6" x14ac:dyDescent="0.25">
      <c r="A310">
        <v>309</v>
      </c>
      <c r="B310">
        <v>309</v>
      </c>
      <c r="C310">
        <v>14956</v>
      </c>
      <c r="D310">
        <v>332</v>
      </c>
      <c r="E310">
        <v>33</v>
      </c>
      <c r="F310">
        <v>681</v>
      </c>
    </row>
    <row r="311" spans="1:6" x14ac:dyDescent="0.25">
      <c r="A311">
        <v>310</v>
      </c>
      <c r="B311">
        <v>310</v>
      </c>
      <c r="C311">
        <v>75257</v>
      </c>
      <c r="D311">
        <v>494</v>
      </c>
      <c r="E311">
        <v>34</v>
      </c>
      <c r="F311">
        <v>885</v>
      </c>
    </row>
    <row r="312" spans="1:6" x14ac:dyDescent="0.25">
      <c r="A312">
        <v>311</v>
      </c>
      <c r="B312">
        <v>311</v>
      </c>
      <c r="C312">
        <v>33694</v>
      </c>
      <c r="D312">
        <v>369</v>
      </c>
      <c r="E312">
        <v>52</v>
      </c>
      <c r="F312">
        <v>1036</v>
      </c>
    </row>
    <row r="313" spans="1:6" x14ac:dyDescent="0.25">
      <c r="A313">
        <v>312</v>
      </c>
      <c r="B313">
        <v>312</v>
      </c>
      <c r="C313">
        <v>23375</v>
      </c>
      <c r="D313">
        <v>396</v>
      </c>
      <c r="E313">
        <v>57</v>
      </c>
      <c r="F313">
        <v>844</v>
      </c>
    </row>
    <row r="314" spans="1:6" x14ac:dyDescent="0.25">
      <c r="A314">
        <v>313</v>
      </c>
      <c r="B314">
        <v>313</v>
      </c>
      <c r="C314">
        <v>27825</v>
      </c>
      <c r="D314">
        <v>386</v>
      </c>
      <c r="E314">
        <v>63</v>
      </c>
      <c r="F314">
        <v>823</v>
      </c>
    </row>
    <row r="315" spans="1:6" x14ac:dyDescent="0.25">
      <c r="A315">
        <v>314</v>
      </c>
      <c r="B315">
        <v>314</v>
      </c>
      <c r="C315">
        <v>92386</v>
      </c>
      <c r="D315">
        <v>534</v>
      </c>
      <c r="E315">
        <v>75</v>
      </c>
      <c r="F315">
        <v>843</v>
      </c>
    </row>
    <row r="316" spans="1:6" x14ac:dyDescent="0.25">
      <c r="A316">
        <v>315</v>
      </c>
      <c r="B316">
        <v>315</v>
      </c>
      <c r="C316">
        <v>11552</v>
      </c>
      <c r="D316">
        <v>656</v>
      </c>
      <c r="E316">
        <v>69</v>
      </c>
      <c r="F316">
        <v>1140</v>
      </c>
    </row>
    <row r="317" spans="1:6" x14ac:dyDescent="0.25">
      <c r="A317">
        <v>316</v>
      </c>
      <c r="B317">
        <v>316</v>
      </c>
      <c r="C317">
        <v>14479</v>
      </c>
      <c r="D317">
        <v>296</v>
      </c>
      <c r="E317">
        <v>43</v>
      </c>
      <c r="F317">
        <v>463</v>
      </c>
    </row>
    <row r="318" spans="1:6" x14ac:dyDescent="0.25">
      <c r="A318">
        <v>317</v>
      </c>
      <c r="B318">
        <v>317</v>
      </c>
      <c r="C318">
        <v>52179</v>
      </c>
      <c r="D318">
        <v>522</v>
      </c>
      <c r="E318">
        <v>57</v>
      </c>
      <c r="F318">
        <v>1142</v>
      </c>
    </row>
    <row r="319" spans="1:6" x14ac:dyDescent="0.25">
      <c r="A319">
        <v>318</v>
      </c>
      <c r="B319">
        <v>318</v>
      </c>
      <c r="C319">
        <v>68462</v>
      </c>
      <c r="D319">
        <v>340</v>
      </c>
      <c r="E319">
        <v>71</v>
      </c>
      <c r="F319">
        <v>136</v>
      </c>
    </row>
    <row r="320" spans="1:6" x14ac:dyDescent="0.25">
      <c r="A320">
        <v>319</v>
      </c>
      <c r="B320">
        <v>319</v>
      </c>
      <c r="C320">
        <v>18951</v>
      </c>
      <c r="D320">
        <v>129</v>
      </c>
      <c r="E320">
        <v>82</v>
      </c>
      <c r="F320">
        <v>0</v>
      </c>
    </row>
    <row r="321" spans="1:6" x14ac:dyDescent="0.25">
      <c r="A321">
        <v>320</v>
      </c>
      <c r="B321">
        <v>320</v>
      </c>
      <c r="C321">
        <v>2759</v>
      </c>
      <c r="D321">
        <v>229</v>
      </c>
      <c r="E321">
        <v>54</v>
      </c>
      <c r="F321">
        <v>0</v>
      </c>
    </row>
    <row r="322" spans="1:6" x14ac:dyDescent="0.25">
      <c r="A322">
        <v>321</v>
      </c>
      <c r="B322">
        <v>321</v>
      </c>
      <c r="C322">
        <v>16279</v>
      </c>
      <c r="D322">
        <v>126</v>
      </c>
      <c r="E322">
        <v>78</v>
      </c>
      <c r="F322">
        <v>5</v>
      </c>
    </row>
    <row r="323" spans="1:6" x14ac:dyDescent="0.25">
      <c r="A323">
        <v>322</v>
      </c>
      <c r="B323">
        <v>322</v>
      </c>
      <c r="C323">
        <v>25078</v>
      </c>
      <c r="D323">
        <v>236</v>
      </c>
      <c r="E323">
        <v>27</v>
      </c>
      <c r="F323">
        <v>81</v>
      </c>
    </row>
    <row r="324" spans="1:6" x14ac:dyDescent="0.25">
      <c r="A324">
        <v>323</v>
      </c>
      <c r="B324">
        <v>323</v>
      </c>
      <c r="C324">
        <v>27229</v>
      </c>
      <c r="D324">
        <v>282</v>
      </c>
      <c r="E324">
        <v>51</v>
      </c>
      <c r="F324">
        <v>265</v>
      </c>
    </row>
    <row r="325" spans="1:6" x14ac:dyDescent="0.25">
      <c r="A325">
        <v>324</v>
      </c>
      <c r="B325">
        <v>324</v>
      </c>
      <c r="C325">
        <v>182728</v>
      </c>
      <c r="D325">
        <v>982</v>
      </c>
      <c r="E325">
        <v>98</v>
      </c>
      <c r="F325">
        <v>1999</v>
      </c>
    </row>
    <row r="326" spans="1:6" x14ac:dyDescent="0.25">
      <c r="A326">
        <v>325</v>
      </c>
      <c r="B326">
        <v>325</v>
      </c>
      <c r="C326">
        <v>31029</v>
      </c>
      <c r="D326">
        <v>223</v>
      </c>
      <c r="E326">
        <v>66</v>
      </c>
      <c r="F326">
        <v>415</v>
      </c>
    </row>
    <row r="327" spans="1:6" x14ac:dyDescent="0.25">
      <c r="A327">
        <v>326</v>
      </c>
      <c r="B327">
        <v>326</v>
      </c>
      <c r="C327">
        <v>17765</v>
      </c>
      <c r="D327">
        <v>364</v>
      </c>
      <c r="E327">
        <v>66</v>
      </c>
      <c r="F327">
        <v>732</v>
      </c>
    </row>
    <row r="328" spans="1:6" x14ac:dyDescent="0.25">
      <c r="A328">
        <v>327</v>
      </c>
      <c r="B328">
        <v>327</v>
      </c>
      <c r="C328">
        <v>12548</v>
      </c>
      <c r="D328">
        <v>721</v>
      </c>
      <c r="E328">
        <v>82</v>
      </c>
      <c r="F328">
        <v>1361</v>
      </c>
    </row>
    <row r="329" spans="1:6" x14ac:dyDescent="0.25">
      <c r="A329">
        <v>328</v>
      </c>
      <c r="B329">
        <v>328</v>
      </c>
      <c r="C329">
        <v>49166</v>
      </c>
      <c r="D329">
        <v>508</v>
      </c>
      <c r="E329">
        <v>68</v>
      </c>
      <c r="F329">
        <v>984</v>
      </c>
    </row>
    <row r="330" spans="1:6" x14ac:dyDescent="0.25">
      <c r="A330">
        <v>329</v>
      </c>
      <c r="B330">
        <v>329</v>
      </c>
      <c r="C330">
        <v>41192</v>
      </c>
      <c r="D330">
        <v>297</v>
      </c>
      <c r="E330">
        <v>54</v>
      </c>
      <c r="F330">
        <v>121</v>
      </c>
    </row>
    <row r="331" spans="1:6" x14ac:dyDescent="0.25">
      <c r="A331">
        <v>330</v>
      </c>
      <c r="B331">
        <v>330</v>
      </c>
      <c r="C331">
        <v>94193</v>
      </c>
      <c r="D331">
        <v>527</v>
      </c>
      <c r="E331">
        <v>44</v>
      </c>
      <c r="F331">
        <v>846</v>
      </c>
    </row>
    <row r="332" spans="1:6" x14ac:dyDescent="0.25">
      <c r="A332">
        <v>331</v>
      </c>
      <c r="B332">
        <v>331</v>
      </c>
      <c r="C332">
        <v>20405</v>
      </c>
      <c r="D332">
        <v>329</v>
      </c>
      <c r="E332">
        <v>72</v>
      </c>
      <c r="F332">
        <v>1054</v>
      </c>
    </row>
    <row r="333" spans="1:6" x14ac:dyDescent="0.25">
      <c r="A333">
        <v>332</v>
      </c>
      <c r="B333">
        <v>332</v>
      </c>
      <c r="C333">
        <v>12581</v>
      </c>
      <c r="D333">
        <v>291</v>
      </c>
      <c r="E333">
        <v>48</v>
      </c>
      <c r="F333">
        <v>474</v>
      </c>
    </row>
    <row r="334" spans="1:6" x14ac:dyDescent="0.25">
      <c r="A334">
        <v>333</v>
      </c>
      <c r="B334">
        <v>333</v>
      </c>
      <c r="C334">
        <v>62328</v>
      </c>
      <c r="D334">
        <v>377</v>
      </c>
      <c r="E334">
        <v>83</v>
      </c>
      <c r="F334">
        <v>380</v>
      </c>
    </row>
    <row r="335" spans="1:6" x14ac:dyDescent="0.25">
      <c r="A335">
        <v>334</v>
      </c>
      <c r="B335">
        <v>334</v>
      </c>
      <c r="C335">
        <v>21011</v>
      </c>
      <c r="D335">
        <v>261</v>
      </c>
      <c r="E335">
        <v>68</v>
      </c>
      <c r="F335">
        <v>182</v>
      </c>
    </row>
    <row r="336" spans="1:6" x14ac:dyDescent="0.25">
      <c r="A336">
        <v>335</v>
      </c>
      <c r="B336">
        <v>335</v>
      </c>
      <c r="C336">
        <v>2423</v>
      </c>
      <c r="D336">
        <v>351</v>
      </c>
      <c r="E336">
        <v>64</v>
      </c>
      <c r="F336">
        <v>594</v>
      </c>
    </row>
    <row r="337" spans="1:6" x14ac:dyDescent="0.25">
      <c r="A337">
        <v>336</v>
      </c>
      <c r="B337">
        <v>336</v>
      </c>
      <c r="C337">
        <v>24314</v>
      </c>
      <c r="D337">
        <v>270</v>
      </c>
      <c r="E337">
        <v>23</v>
      </c>
      <c r="F337">
        <v>194</v>
      </c>
    </row>
    <row r="338" spans="1:6" x14ac:dyDescent="0.25">
      <c r="A338">
        <v>337</v>
      </c>
      <c r="B338">
        <v>337</v>
      </c>
      <c r="C338">
        <v>32856</v>
      </c>
      <c r="D338">
        <v>438</v>
      </c>
      <c r="E338">
        <v>68</v>
      </c>
      <c r="F338">
        <v>926</v>
      </c>
    </row>
    <row r="339" spans="1:6" x14ac:dyDescent="0.25">
      <c r="A339">
        <v>338</v>
      </c>
      <c r="B339">
        <v>338</v>
      </c>
      <c r="C339">
        <v>12414</v>
      </c>
      <c r="D339">
        <v>119</v>
      </c>
      <c r="E339">
        <v>32</v>
      </c>
      <c r="F339">
        <v>0</v>
      </c>
    </row>
    <row r="340" spans="1:6" x14ac:dyDescent="0.25">
      <c r="A340">
        <v>339</v>
      </c>
      <c r="B340">
        <v>339</v>
      </c>
      <c r="C340">
        <v>41365</v>
      </c>
      <c r="D340">
        <v>377</v>
      </c>
      <c r="E340">
        <v>45</v>
      </c>
      <c r="F340">
        <v>606</v>
      </c>
    </row>
    <row r="341" spans="1:6" x14ac:dyDescent="0.25">
      <c r="A341">
        <v>340</v>
      </c>
      <c r="B341">
        <v>340</v>
      </c>
      <c r="C341">
        <v>149316</v>
      </c>
      <c r="D341">
        <v>707</v>
      </c>
      <c r="E341">
        <v>80</v>
      </c>
      <c r="F341">
        <v>1107</v>
      </c>
    </row>
    <row r="342" spans="1:6" x14ac:dyDescent="0.25">
      <c r="A342">
        <v>341</v>
      </c>
      <c r="B342">
        <v>341</v>
      </c>
      <c r="C342">
        <v>27794</v>
      </c>
      <c r="D342">
        <v>301</v>
      </c>
      <c r="E342">
        <v>35</v>
      </c>
      <c r="F342">
        <v>320</v>
      </c>
    </row>
    <row r="343" spans="1:6" x14ac:dyDescent="0.25">
      <c r="A343">
        <v>342</v>
      </c>
      <c r="B343">
        <v>342</v>
      </c>
      <c r="C343">
        <v>13234</v>
      </c>
      <c r="D343">
        <v>299</v>
      </c>
      <c r="E343">
        <v>77</v>
      </c>
      <c r="F343">
        <v>426</v>
      </c>
    </row>
    <row r="344" spans="1:6" x14ac:dyDescent="0.25">
      <c r="A344">
        <v>343</v>
      </c>
      <c r="B344">
        <v>343</v>
      </c>
      <c r="C344">
        <v>14595</v>
      </c>
      <c r="D344">
        <v>260</v>
      </c>
      <c r="E344">
        <v>37</v>
      </c>
      <c r="F344">
        <v>204</v>
      </c>
    </row>
    <row r="345" spans="1:6" x14ac:dyDescent="0.25">
      <c r="A345">
        <v>344</v>
      </c>
      <c r="B345">
        <v>344</v>
      </c>
      <c r="C345">
        <v>10735</v>
      </c>
      <c r="D345">
        <v>280</v>
      </c>
      <c r="E345">
        <v>44</v>
      </c>
      <c r="F345">
        <v>410</v>
      </c>
    </row>
    <row r="346" spans="1:6" x14ac:dyDescent="0.25">
      <c r="A346">
        <v>345</v>
      </c>
      <c r="B346">
        <v>345</v>
      </c>
      <c r="C346">
        <v>48218</v>
      </c>
      <c r="D346">
        <v>401</v>
      </c>
      <c r="E346">
        <v>39</v>
      </c>
      <c r="F346">
        <v>633</v>
      </c>
    </row>
    <row r="347" spans="1:6" x14ac:dyDescent="0.25">
      <c r="A347">
        <v>346</v>
      </c>
      <c r="B347">
        <v>346</v>
      </c>
      <c r="C347">
        <v>30012</v>
      </c>
      <c r="D347">
        <v>137</v>
      </c>
      <c r="E347">
        <v>33</v>
      </c>
      <c r="F347">
        <v>0</v>
      </c>
    </row>
    <row r="348" spans="1:6" x14ac:dyDescent="0.25">
      <c r="A348">
        <v>347</v>
      </c>
      <c r="B348">
        <v>347</v>
      </c>
      <c r="C348">
        <v>21551</v>
      </c>
      <c r="D348">
        <v>420</v>
      </c>
      <c r="E348">
        <v>51</v>
      </c>
      <c r="F348">
        <v>907</v>
      </c>
    </row>
    <row r="349" spans="1:6" x14ac:dyDescent="0.25">
      <c r="A349">
        <v>348</v>
      </c>
      <c r="B349">
        <v>348</v>
      </c>
      <c r="C349">
        <v>160231</v>
      </c>
      <c r="D349">
        <v>754</v>
      </c>
      <c r="E349">
        <v>69</v>
      </c>
      <c r="F349">
        <v>1192</v>
      </c>
    </row>
    <row r="350" spans="1:6" x14ac:dyDescent="0.25">
      <c r="A350">
        <v>349</v>
      </c>
      <c r="B350">
        <v>349</v>
      </c>
      <c r="C350">
        <v>13433</v>
      </c>
      <c r="D350">
        <v>112</v>
      </c>
      <c r="E350">
        <v>70</v>
      </c>
      <c r="F350">
        <v>0</v>
      </c>
    </row>
    <row r="351" spans="1:6" x14ac:dyDescent="0.25">
      <c r="A351">
        <v>350</v>
      </c>
      <c r="B351">
        <v>350</v>
      </c>
      <c r="C351">
        <v>48577</v>
      </c>
      <c r="D351">
        <v>389</v>
      </c>
      <c r="E351">
        <v>71</v>
      </c>
      <c r="F351">
        <v>503</v>
      </c>
    </row>
    <row r="352" spans="1:6" x14ac:dyDescent="0.25">
      <c r="A352">
        <v>351</v>
      </c>
      <c r="B352">
        <v>351</v>
      </c>
      <c r="C352">
        <v>30002</v>
      </c>
      <c r="D352">
        <v>155</v>
      </c>
      <c r="E352">
        <v>70</v>
      </c>
      <c r="F352">
        <v>0</v>
      </c>
    </row>
    <row r="353" spans="1:6" x14ac:dyDescent="0.25">
      <c r="A353">
        <v>352</v>
      </c>
      <c r="B353">
        <v>352</v>
      </c>
      <c r="C353">
        <v>6162</v>
      </c>
      <c r="D353">
        <v>374</v>
      </c>
      <c r="E353">
        <v>71</v>
      </c>
      <c r="F353">
        <v>302</v>
      </c>
    </row>
    <row r="354" spans="1:6" x14ac:dyDescent="0.25">
      <c r="A354">
        <v>353</v>
      </c>
      <c r="B354">
        <v>353</v>
      </c>
      <c r="C354">
        <v>104483</v>
      </c>
      <c r="D354">
        <v>507</v>
      </c>
      <c r="E354">
        <v>41</v>
      </c>
      <c r="F354">
        <v>583</v>
      </c>
    </row>
    <row r="355" spans="1:6" x14ac:dyDescent="0.25">
      <c r="A355">
        <v>354</v>
      </c>
      <c r="B355">
        <v>354</v>
      </c>
      <c r="C355">
        <v>41868</v>
      </c>
      <c r="D355">
        <v>342</v>
      </c>
      <c r="E355">
        <v>47</v>
      </c>
      <c r="F355">
        <v>425</v>
      </c>
    </row>
    <row r="356" spans="1:6" x14ac:dyDescent="0.25">
      <c r="A356">
        <v>355</v>
      </c>
      <c r="B356">
        <v>355</v>
      </c>
      <c r="C356">
        <v>12068</v>
      </c>
      <c r="D356">
        <v>292</v>
      </c>
      <c r="E356">
        <v>44</v>
      </c>
      <c r="F356">
        <v>413</v>
      </c>
    </row>
    <row r="357" spans="1:6" x14ac:dyDescent="0.25">
      <c r="A357">
        <v>356</v>
      </c>
      <c r="B357">
        <v>356</v>
      </c>
      <c r="C357">
        <v>180682</v>
      </c>
      <c r="D357">
        <v>832</v>
      </c>
      <c r="E357">
        <v>58</v>
      </c>
      <c r="F357">
        <v>1405</v>
      </c>
    </row>
    <row r="358" spans="1:6" x14ac:dyDescent="0.25">
      <c r="A358">
        <v>357</v>
      </c>
      <c r="B358">
        <v>357</v>
      </c>
      <c r="C358">
        <v>3448</v>
      </c>
      <c r="D358">
        <v>442</v>
      </c>
      <c r="E358">
        <v>36</v>
      </c>
      <c r="F358">
        <v>962</v>
      </c>
    </row>
    <row r="359" spans="1:6" x14ac:dyDescent="0.25">
      <c r="A359">
        <v>358</v>
      </c>
      <c r="B359">
        <v>358</v>
      </c>
      <c r="C359">
        <v>39609</v>
      </c>
      <c r="D359">
        <v>188</v>
      </c>
      <c r="E359">
        <v>40</v>
      </c>
      <c r="F359">
        <v>0</v>
      </c>
    </row>
    <row r="360" spans="1:6" x14ac:dyDescent="0.25">
      <c r="A360">
        <v>359</v>
      </c>
      <c r="B360">
        <v>359</v>
      </c>
      <c r="C360">
        <v>30111</v>
      </c>
      <c r="D360">
        <v>339</v>
      </c>
      <c r="E360">
        <v>81</v>
      </c>
      <c r="F360">
        <v>347</v>
      </c>
    </row>
    <row r="361" spans="1:6" x14ac:dyDescent="0.25">
      <c r="A361">
        <v>360</v>
      </c>
      <c r="B361">
        <v>360</v>
      </c>
      <c r="C361">
        <v>12335</v>
      </c>
      <c r="D361">
        <v>344</v>
      </c>
      <c r="E361">
        <v>79</v>
      </c>
      <c r="F361">
        <v>611</v>
      </c>
    </row>
    <row r="362" spans="1:6" x14ac:dyDescent="0.25">
      <c r="A362">
        <v>361</v>
      </c>
      <c r="B362">
        <v>361</v>
      </c>
      <c r="C362">
        <v>53566</v>
      </c>
      <c r="D362">
        <v>434</v>
      </c>
      <c r="E362">
        <v>82</v>
      </c>
      <c r="F362">
        <v>712</v>
      </c>
    </row>
    <row r="363" spans="1:6" x14ac:dyDescent="0.25">
      <c r="A363">
        <v>362</v>
      </c>
      <c r="B363">
        <v>362</v>
      </c>
      <c r="C363">
        <v>53217</v>
      </c>
      <c r="D363">
        <v>362</v>
      </c>
      <c r="E363">
        <v>46</v>
      </c>
      <c r="F363">
        <v>382</v>
      </c>
    </row>
    <row r="364" spans="1:6" x14ac:dyDescent="0.25">
      <c r="A364">
        <v>363</v>
      </c>
      <c r="B364">
        <v>363</v>
      </c>
      <c r="C364">
        <v>26162</v>
      </c>
      <c r="D364">
        <v>382</v>
      </c>
      <c r="E364">
        <v>62</v>
      </c>
      <c r="F364">
        <v>710</v>
      </c>
    </row>
    <row r="365" spans="1:6" x14ac:dyDescent="0.25">
      <c r="A365">
        <v>364</v>
      </c>
      <c r="B365">
        <v>364</v>
      </c>
      <c r="C365">
        <v>64173</v>
      </c>
      <c r="D365">
        <v>433</v>
      </c>
      <c r="E365">
        <v>80</v>
      </c>
      <c r="F365">
        <v>578</v>
      </c>
    </row>
    <row r="366" spans="1:6" x14ac:dyDescent="0.25">
      <c r="A366">
        <v>365</v>
      </c>
      <c r="B366">
        <v>365</v>
      </c>
      <c r="C366">
        <v>128669</v>
      </c>
      <c r="D366">
        <v>685</v>
      </c>
      <c r="E366">
        <v>67</v>
      </c>
      <c r="F366">
        <v>1243</v>
      </c>
    </row>
    <row r="367" spans="1:6" x14ac:dyDescent="0.25">
      <c r="A367">
        <v>366</v>
      </c>
      <c r="B367">
        <v>366</v>
      </c>
      <c r="C367">
        <v>113772</v>
      </c>
      <c r="D367">
        <v>489</v>
      </c>
      <c r="E367">
        <v>69</v>
      </c>
      <c r="F367">
        <v>790</v>
      </c>
    </row>
    <row r="368" spans="1:6" x14ac:dyDescent="0.25">
      <c r="A368">
        <v>367</v>
      </c>
      <c r="B368">
        <v>367</v>
      </c>
      <c r="C368">
        <v>61069</v>
      </c>
      <c r="D368">
        <v>564</v>
      </c>
      <c r="E368">
        <v>56</v>
      </c>
      <c r="F368">
        <v>1264</v>
      </c>
    </row>
    <row r="369" spans="1:6" x14ac:dyDescent="0.25">
      <c r="A369">
        <v>368</v>
      </c>
      <c r="B369">
        <v>368</v>
      </c>
      <c r="C369">
        <v>23793</v>
      </c>
      <c r="D369">
        <v>263</v>
      </c>
      <c r="E369">
        <v>70</v>
      </c>
      <c r="F369">
        <v>216</v>
      </c>
    </row>
    <row r="370" spans="1:6" x14ac:dyDescent="0.25">
      <c r="A370">
        <v>369</v>
      </c>
      <c r="B370">
        <v>369</v>
      </c>
      <c r="C370">
        <v>89</v>
      </c>
      <c r="D370">
        <v>440</v>
      </c>
      <c r="E370">
        <v>37</v>
      </c>
      <c r="F370">
        <v>345</v>
      </c>
    </row>
    <row r="371" spans="1:6" x14ac:dyDescent="0.25">
      <c r="A371">
        <v>370</v>
      </c>
      <c r="B371">
        <v>370</v>
      </c>
      <c r="C371">
        <v>71682</v>
      </c>
      <c r="D371">
        <v>599</v>
      </c>
      <c r="E371">
        <v>57</v>
      </c>
      <c r="F371">
        <v>1208</v>
      </c>
    </row>
    <row r="372" spans="1:6" x14ac:dyDescent="0.25">
      <c r="A372">
        <v>371</v>
      </c>
      <c r="B372">
        <v>371</v>
      </c>
      <c r="C372">
        <v>3561</v>
      </c>
      <c r="D372">
        <v>466</v>
      </c>
      <c r="E372">
        <v>40</v>
      </c>
      <c r="F372">
        <v>992</v>
      </c>
    </row>
    <row r="373" spans="1:6" x14ac:dyDescent="0.25">
      <c r="A373">
        <v>372</v>
      </c>
      <c r="B373">
        <v>372</v>
      </c>
      <c r="C373">
        <v>39116</v>
      </c>
      <c r="D373">
        <v>173</v>
      </c>
      <c r="E373">
        <v>75</v>
      </c>
      <c r="F373">
        <v>0</v>
      </c>
    </row>
    <row r="374" spans="1:6" x14ac:dyDescent="0.25">
      <c r="A374">
        <v>373</v>
      </c>
      <c r="B374">
        <v>373</v>
      </c>
      <c r="C374">
        <v>19782</v>
      </c>
      <c r="D374">
        <v>293</v>
      </c>
      <c r="E374">
        <v>46</v>
      </c>
      <c r="F374">
        <v>840</v>
      </c>
    </row>
    <row r="375" spans="1:6" x14ac:dyDescent="0.25">
      <c r="A375">
        <v>374</v>
      </c>
      <c r="B375">
        <v>374</v>
      </c>
      <c r="C375">
        <v>55412</v>
      </c>
      <c r="D375">
        <v>383</v>
      </c>
      <c r="E375">
        <v>37</v>
      </c>
      <c r="F375">
        <v>1003</v>
      </c>
    </row>
    <row r="376" spans="1:6" x14ac:dyDescent="0.25">
      <c r="A376">
        <v>375</v>
      </c>
      <c r="B376">
        <v>375</v>
      </c>
      <c r="C376">
        <v>294</v>
      </c>
      <c r="D376">
        <v>368</v>
      </c>
      <c r="E376">
        <v>76</v>
      </c>
      <c r="F376">
        <v>588</v>
      </c>
    </row>
    <row r="377" spans="1:6" x14ac:dyDescent="0.25">
      <c r="A377">
        <v>376</v>
      </c>
      <c r="B377">
        <v>376</v>
      </c>
      <c r="C377">
        <v>20974</v>
      </c>
      <c r="D377">
        <v>413</v>
      </c>
      <c r="E377">
        <v>44</v>
      </c>
      <c r="F377">
        <v>1000</v>
      </c>
    </row>
    <row r="378" spans="1:6" x14ac:dyDescent="0.25">
      <c r="A378">
        <v>377</v>
      </c>
      <c r="B378">
        <v>377</v>
      </c>
      <c r="C378">
        <v>87625</v>
      </c>
      <c r="D378">
        <v>515</v>
      </c>
      <c r="E378">
        <v>46</v>
      </c>
      <c r="F378">
        <v>767</v>
      </c>
    </row>
    <row r="379" spans="1:6" x14ac:dyDescent="0.25">
      <c r="A379">
        <v>378</v>
      </c>
      <c r="B379">
        <v>378</v>
      </c>
      <c r="C379">
        <v>28144</v>
      </c>
      <c r="D379">
        <v>142</v>
      </c>
      <c r="E379">
        <v>51</v>
      </c>
      <c r="F379">
        <v>0</v>
      </c>
    </row>
    <row r="380" spans="1:6" x14ac:dyDescent="0.25">
      <c r="A380">
        <v>379</v>
      </c>
      <c r="B380">
        <v>379</v>
      </c>
      <c r="C380">
        <v>19349</v>
      </c>
      <c r="D380">
        <v>366</v>
      </c>
      <c r="E380">
        <v>33</v>
      </c>
      <c r="F380">
        <v>717</v>
      </c>
    </row>
    <row r="381" spans="1:6" x14ac:dyDescent="0.25">
      <c r="A381">
        <v>380</v>
      </c>
      <c r="B381">
        <v>380</v>
      </c>
      <c r="C381">
        <v>53308</v>
      </c>
      <c r="D381">
        <v>214</v>
      </c>
      <c r="E381">
        <v>84</v>
      </c>
      <c r="F381">
        <v>0</v>
      </c>
    </row>
    <row r="382" spans="1:6" x14ac:dyDescent="0.25">
      <c r="A382">
        <v>381</v>
      </c>
      <c r="B382">
        <v>381</v>
      </c>
      <c r="C382">
        <v>115123</v>
      </c>
      <c r="D382">
        <v>538</v>
      </c>
      <c r="E382">
        <v>83</v>
      </c>
      <c r="F382">
        <v>661</v>
      </c>
    </row>
    <row r="383" spans="1:6" x14ac:dyDescent="0.25">
      <c r="A383">
        <v>382</v>
      </c>
      <c r="B383">
        <v>382</v>
      </c>
      <c r="C383">
        <v>101788</v>
      </c>
      <c r="D383">
        <v>574</v>
      </c>
      <c r="E383">
        <v>84</v>
      </c>
      <c r="F383">
        <v>849</v>
      </c>
    </row>
    <row r="384" spans="1:6" x14ac:dyDescent="0.25">
      <c r="A384">
        <v>383</v>
      </c>
      <c r="B384">
        <v>383</v>
      </c>
      <c r="C384">
        <v>24824</v>
      </c>
      <c r="D384">
        <v>409</v>
      </c>
      <c r="E384">
        <v>33</v>
      </c>
      <c r="F384">
        <v>1352</v>
      </c>
    </row>
    <row r="385" spans="1:6" x14ac:dyDescent="0.25">
      <c r="A385">
        <v>384</v>
      </c>
      <c r="B385">
        <v>384</v>
      </c>
      <c r="C385">
        <v>14292</v>
      </c>
      <c r="D385">
        <v>282</v>
      </c>
      <c r="E385">
        <v>64</v>
      </c>
      <c r="F385">
        <v>382</v>
      </c>
    </row>
    <row r="386" spans="1:6" x14ac:dyDescent="0.25">
      <c r="A386">
        <v>385</v>
      </c>
      <c r="B386">
        <v>385</v>
      </c>
      <c r="C386">
        <v>20088</v>
      </c>
      <c r="D386">
        <v>180</v>
      </c>
      <c r="E386">
        <v>76</v>
      </c>
      <c r="F386">
        <v>0</v>
      </c>
    </row>
    <row r="387" spans="1:6" x14ac:dyDescent="0.25">
      <c r="A387">
        <v>386</v>
      </c>
      <c r="B387">
        <v>386</v>
      </c>
      <c r="C387">
        <v>264</v>
      </c>
      <c r="D387">
        <v>398</v>
      </c>
      <c r="E387">
        <v>58</v>
      </c>
      <c r="F387">
        <v>905</v>
      </c>
    </row>
    <row r="388" spans="1:6" x14ac:dyDescent="0.25">
      <c r="A388">
        <v>387</v>
      </c>
      <c r="B388">
        <v>387</v>
      </c>
      <c r="C388">
        <v>19253</v>
      </c>
      <c r="D388">
        <v>287</v>
      </c>
      <c r="E388">
        <v>57</v>
      </c>
      <c r="F388">
        <v>371</v>
      </c>
    </row>
    <row r="389" spans="1:6" x14ac:dyDescent="0.25">
      <c r="A389">
        <v>388</v>
      </c>
      <c r="B389">
        <v>388</v>
      </c>
      <c r="C389">
        <v>16529</v>
      </c>
      <c r="D389">
        <v>126</v>
      </c>
      <c r="E389">
        <v>62</v>
      </c>
      <c r="F389">
        <v>0</v>
      </c>
    </row>
    <row r="390" spans="1:6" x14ac:dyDescent="0.25">
      <c r="A390">
        <v>389</v>
      </c>
      <c r="B390">
        <v>389</v>
      </c>
      <c r="C390">
        <v>37878</v>
      </c>
      <c r="D390">
        <v>482</v>
      </c>
      <c r="E390">
        <v>80</v>
      </c>
      <c r="F390">
        <v>1129</v>
      </c>
    </row>
    <row r="391" spans="1:6" x14ac:dyDescent="0.25">
      <c r="A391">
        <v>390</v>
      </c>
      <c r="B391">
        <v>390</v>
      </c>
      <c r="C391">
        <v>83948</v>
      </c>
      <c r="D391">
        <v>503</v>
      </c>
      <c r="E391">
        <v>44</v>
      </c>
      <c r="F391">
        <v>806</v>
      </c>
    </row>
    <row r="392" spans="1:6" x14ac:dyDescent="0.25">
      <c r="A392">
        <v>391</v>
      </c>
      <c r="B392">
        <v>391</v>
      </c>
      <c r="C392">
        <v>135118</v>
      </c>
      <c r="D392">
        <v>747</v>
      </c>
      <c r="E392">
        <v>81</v>
      </c>
      <c r="F392">
        <v>1393</v>
      </c>
    </row>
    <row r="393" spans="1:6" x14ac:dyDescent="0.25">
      <c r="A393">
        <v>392</v>
      </c>
      <c r="B393">
        <v>392</v>
      </c>
      <c r="C393">
        <v>73327</v>
      </c>
      <c r="D393">
        <v>472</v>
      </c>
      <c r="E393">
        <v>43</v>
      </c>
      <c r="F393">
        <v>721</v>
      </c>
    </row>
    <row r="394" spans="1:6" x14ac:dyDescent="0.25">
      <c r="A394">
        <v>393</v>
      </c>
      <c r="B394">
        <v>393</v>
      </c>
      <c r="C394">
        <v>25974</v>
      </c>
      <c r="D394">
        <v>196</v>
      </c>
      <c r="E394">
        <v>24</v>
      </c>
      <c r="F394">
        <v>0</v>
      </c>
    </row>
    <row r="395" spans="1:6" x14ac:dyDescent="0.25">
      <c r="A395">
        <v>394</v>
      </c>
      <c r="B395">
        <v>394</v>
      </c>
      <c r="C395">
        <v>17316</v>
      </c>
      <c r="D395">
        <v>138</v>
      </c>
      <c r="E395">
        <v>65</v>
      </c>
      <c r="F395">
        <v>0</v>
      </c>
    </row>
    <row r="396" spans="1:6" x14ac:dyDescent="0.25">
      <c r="A396">
        <v>395</v>
      </c>
      <c r="B396">
        <v>395</v>
      </c>
      <c r="C396">
        <v>49794</v>
      </c>
      <c r="D396">
        <v>410</v>
      </c>
      <c r="E396">
        <v>40</v>
      </c>
      <c r="F396">
        <v>734</v>
      </c>
    </row>
    <row r="397" spans="1:6" x14ac:dyDescent="0.25">
      <c r="A397">
        <v>396</v>
      </c>
      <c r="B397">
        <v>396</v>
      </c>
      <c r="C397">
        <v>12096</v>
      </c>
      <c r="D397">
        <v>307</v>
      </c>
      <c r="E397">
        <v>32</v>
      </c>
      <c r="F397">
        <v>560</v>
      </c>
    </row>
    <row r="398" spans="1:6" x14ac:dyDescent="0.25">
      <c r="A398">
        <v>397</v>
      </c>
      <c r="B398">
        <v>397</v>
      </c>
      <c r="C398">
        <v>13364</v>
      </c>
      <c r="D398">
        <v>296</v>
      </c>
      <c r="E398">
        <v>65</v>
      </c>
      <c r="F398">
        <v>480</v>
      </c>
    </row>
    <row r="399" spans="1:6" x14ac:dyDescent="0.25">
      <c r="A399">
        <v>398</v>
      </c>
      <c r="B399">
        <v>398</v>
      </c>
      <c r="C399">
        <v>57872</v>
      </c>
      <c r="D399">
        <v>321</v>
      </c>
      <c r="E399">
        <v>67</v>
      </c>
      <c r="F399">
        <v>138</v>
      </c>
    </row>
    <row r="400" spans="1:6" x14ac:dyDescent="0.25">
      <c r="A400">
        <v>399</v>
      </c>
      <c r="B400">
        <v>399</v>
      </c>
      <c r="C400">
        <v>37728</v>
      </c>
      <c r="D400">
        <v>192</v>
      </c>
      <c r="E400">
        <v>44</v>
      </c>
      <c r="F400">
        <v>0</v>
      </c>
    </row>
    <row r="401" spans="1:9" ht="15.75" thickBot="1" x14ac:dyDescent="0.3">
      <c r="A401">
        <v>400</v>
      </c>
      <c r="B401">
        <v>400</v>
      </c>
      <c r="C401">
        <v>18701</v>
      </c>
      <c r="D401">
        <v>415</v>
      </c>
      <c r="E401">
        <v>64</v>
      </c>
      <c r="F401">
        <v>966</v>
      </c>
    </row>
    <row r="402" spans="1:9" ht="15.75" thickBot="1" x14ac:dyDescent="0.3">
      <c r="A402" s="16">
        <v>401</v>
      </c>
      <c r="B402" s="16">
        <v>401</v>
      </c>
      <c r="C402" s="16">
        <v>32000</v>
      </c>
      <c r="D402" s="16">
        <v>200</v>
      </c>
      <c r="E402" s="16">
        <v>45</v>
      </c>
      <c r="F402" s="17" cm="1">
        <f t="array" ref="F402">$V$96 + SUMPRODUCT(Credit_ISLR__5[[#This Row],[Income]:[Age]], TRANSPOSE($V$97:$V$99))</f>
        <v>67.406950692846237</v>
      </c>
      <c r="G402" t="s">
        <v>14</v>
      </c>
      <c r="H402" t="s">
        <v>50</v>
      </c>
      <c r="I402" t="s">
        <v>51</v>
      </c>
    </row>
    <row r="403" spans="1:9" x14ac:dyDescent="0.25">
      <c r="H403" t="s">
        <v>14</v>
      </c>
    </row>
    <row r="404" spans="1:9" x14ac:dyDescent="0.25">
      <c r="H404" t="s">
        <v>52</v>
      </c>
    </row>
    <row r="416" spans="1:9" x14ac:dyDescent="0.25">
      <c r="F416" t="s">
        <v>54</v>
      </c>
      <c r="G416">
        <f>67.407 - _xlfn.T.INV.2T(0.05,396)*200.4517*SQRT(1+1/400)</f>
        <v>-327.16784721780829</v>
      </c>
    </row>
    <row r="417" spans="6:7" x14ac:dyDescent="0.25">
      <c r="F417" t="s">
        <v>55</v>
      </c>
      <c r="G417">
        <f>67.407 + _xlfn.T.INV.2T(0.05,396)*200.4517*SQRT(1+1/400)</f>
        <v>461.98184721780825</v>
      </c>
    </row>
  </sheetData>
  <mergeCells count="1">
    <mergeCell ref="L52:S5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9DE2-3BDB-40DF-8673-815ACBFF1786}">
  <dimension ref="A1:Q404"/>
  <sheetViews>
    <sheetView workbookViewId="0">
      <selection activeCell="J25" sqref="J25"/>
    </sheetView>
  </sheetViews>
  <sheetFormatPr defaultRowHeight="15" x14ac:dyDescent="0.25"/>
  <cols>
    <col min="1" max="1" width="11.42578125" bestFit="1" customWidth="1"/>
    <col min="2" max="2" width="5.28515625" bestFit="1" customWidth="1"/>
    <col min="3" max="3" width="10" bestFit="1" customWidth="1"/>
    <col min="4" max="4" width="9" bestFit="1" customWidth="1"/>
    <col min="5" max="5" width="6.5703125" bestFit="1" customWidth="1"/>
    <col min="6" max="6" width="10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9</v>
      </c>
    </row>
    <row r="2" spans="1:14" x14ac:dyDescent="0.25">
      <c r="A2">
        <v>1</v>
      </c>
      <c r="B2">
        <v>1</v>
      </c>
      <c r="C2">
        <v>14891</v>
      </c>
      <c r="D2">
        <v>283</v>
      </c>
      <c r="E2">
        <v>34</v>
      </c>
      <c r="F2">
        <v>333</v>
      </c>
    </row>
    <row r="3" spans="1:14" x14ac:dyDescent="0.25">
      <c r="A3">
        <v>2</v>
      </c>
      <c r="B3">
        <v>2</v>
      </c>
      <c r="C3">
        <v>106025</v>
      </c>
      <c r="D3">
        <v>483</v>
      </c>
      <c r="E3">
        <v>82</v>
      </c>
      <c r="F3">
        <v>903</v>
      </c>
    </row>
    <row r="4" spans="1:14" x14ac:dyDescent="0.25">
      <c r="A4">
        <v>3</v>
      </c>
      <c r="B4">
        <v>3</v>
      </c>
      <c r="C4">
        <v>104593</v>
      </c>
      <c r="D4">
        <v>514</v>
      </c>
      <c r="E4">
        <v>71</v>
      </c>
      <c r="F4">
        <v>580</v>
      </c>
    </row>
    <row r="5" spans="1:14" ht="15.75" thickBot="1" x14ac:dyDescent="0.3">
      <c r="A5">
        <v>4</v>
      </c>
      <c r="B5">
        <v>4</v>
      </c>
      <c r="C5">
        <v>148924</v>
      </c>
      <c r="D5">
        <v>681</v>
      </c>
      <c r="E5">
        <v>36</v>
      </c>
      <c r="F5">
        <v>964</v>
      </c>
    </row>
    <row r="6" spans="1:14" x14ac:dyDescent="0.25">
      <c r="A6">
        <v>5</v>
      </c>
      <c r="B6">
        <v>5</v>
      </c>
      <c r="C6">
        <v>55882</v>
      </c>
      <c r="D6">
        <v>357</v>
      </c>
      <c r="E6">
        <v>68</v>
      </c>
      <c r="F6">
        <v>331</v>
      </c>
      <c r="I6" s="29"/>
      <c r="J6" s="29"/>
    </row>
    <row r="7" spans="1:14" x14ac:dyDescent="0.25">
      <c r="A7">
        <v>6</v>
      </c>
      <c r="B7">
        <v>6</v>
      </c>
      <c r="C7">
        <v>8018</v>
      </c>
      <c r="D7">
        <v>569</v>
      </c>
      <c r="E7">
        <v>77</v>
      </c>
      <c r="F7">
        <v>1151</v>
      </c>
      <c r="I7" s="26"/>
      <c r="J7" s="26"/>
    </row>
    <row r="8" spans="1:14" x14ac:dyDescent="0.25">
      <c r="A8">
        <v>7</v>
      </c>
      <c r="B8">
        <v>7</v>
      </c>
      <c r="C8">
        <v>20996</v>
      </c>
      <c r="D8">
        <v>259</v>
      </c>
      <c r="E8">
        <v>37</v>
      </c>
      <c r="F8">
        <v>203</v>
      </c>
      <c r="I8" s="26"/>
      <c r="J8" s="26"/>
    </row>
    <row r="9" spans="1:14" x14ac:dyDescent="0.25">
      <c r="A9">
        <v>8</v>
      </c>
      <c r="B9">
        <v>8</v>
      </c>
      <c r="C9">
        <v>71408</v>
      </c>
      <c r="D9">
        <v>512</v>
      </c>
      <c r="E9">
        <v>87</v>
      </c>
      <c r="F9">
        <v>872</v>
      </c>
      <c r="I9" s="26"/>
      <c r="J9" s="26"/>
    </row>
    <row r="10" spans="1:14" x14ac:dyDescent="0.25">
      <c r="A10">
        <v>9</v>
      </c>
      <c r="B10">
        <v>9</v>
      </c>
      <c r="C10">
        <v>15125</v>
      </c>
      <c r="D10">
        <v>266</v>
      </c>
      <c r="E10">
        <v>66</v>
      </c>
      <c r="F10">
        <v>279</v>
      </c>
      <c r="I10" s="26"/>
      <c r="J10" s="26"/>
    </row>
    <row r="11" spans="1:14" ht="15.75" thickBot="1" x14ac:dyDescent="0.3">
      <c r="A11">
        <v>10</v>
      </c>
      <c r="B11">
        <v>10</v>
      </c>
      <c r="C11">
        <v>71061</v>
      </c>
      <c r="D11">
        <v>491</v>
      </c>
      <c r="E11">
        <v>41</v>
      </c>
      <c r="F11">
        <v>1350</v>
      </c>
      <c r="I11" s="27"/>
      <c r="J11" s="27"/>
    </row>
    <row r="12" spans="1:14" ht="15.75" thickBot="1" x14ac:dyDescent="0.3">
      <c r="A12">
        <v>11</v>
      </c>
      <c r="B12">
        <v>11</v>
      </c>
      <c r="C12">
        <v>63095</v>
      </c>
      <c r="D12">
        <v>589</v>
      </c>
      <c r="E12">
        <v>30</v>
      </c>
      <c r="F12">
        <v>1407</v>
      </c>
    </row>
    <row r="13" spans="1:14" hidden="1" x14ac:dyDescent="0.25">
      <c r="A13">
        <v>12</v>
      </c>
      <c r="B13">
        <v>12</v>
      </c>
      <c r="C13">
        <v>15045</v>
      </c>
      <c r="D13">
        <v>138</v>
      </c>
      <c r="E13">
        <v>64</v>
      </c>
      <c r="F13">
        <v>0</v>
      </c>
    </row>
    <row r="14" spans="1:14" x14ac:dyDescent="0.25">
      <c r="A14">
        <v>13</v>
      </c>
      <c r="B14">
        <v>13</v>
      </c>
      <c r="C14">
        <v>80616</v>
      </c>
      <c r="D14">
        <v>394</v>
      </c>
      <c r="E14">
        <v>57</v>
      </c>
      <c r="F14">
        <v>204</v>
      </c>
      <c r="I14" s="28"/>
      <c r="J14" s="28"/>
      <c r="K14" s="28"/>
      <c r="L14" s="28"/>
      <c r="M14" s="28"/>
      <c r="N14" s="28"/>
    </row>
    <row r="15" spans="1:14" x14ac:dyDescent="0.25">
      <c r="A15">
        <v>14</v>
      </c>
      <c r="B15">
        <v>14</v>
      </c>
      <c r="C15">
        <v>43682</v>
      </c>
      <c r="D15">
        <v>511</v>
      </c>
      <c r="E15">
        <v>49</v>
      </c>
      <c r="F15">
        <v>1081</v>
      </c>
      <c r="I15" s="26"/>
      <c r="J15" s="26"/>
      <c r="K15" s="26"/>
      <c r="L15" s="26"/>
      <c r="M15" s="26"/>
      <c r="N15" s="26"/>
    </row>
    <row r="16" spans="1:14" ht="15.75" thickBot="1" x14ac:dyDescent="0.3">
      <c r="A16">
        <v>15</v>
      </c>
      <c r="B16">
        <v>15</v>
      </c>
      <c r="C16">
        <v>19144</v>
      </c>
      <c r="D16">
        <v>269</v>
      </c>
      <c r="E16">
        <v>75</v>
      </c>
      <c r="F16">
        <v>148</v>
      </c>
      <c r="I16" s="26"/>
      <c r="J16" s="26"/>
      <c r="K16" s="26"/>
      <c r="L16" s="26"/>
      <c r="M16" s="26"/>
      <c r="N16" s="26"/>
    </row>
    <row r="17" spans="1:17" ht="15.75" hidden="1" thickBot="1" x14ac:dyDescent="0.3">
      <c r="A17">
        <v>16</v>
      </c>
      <c r="B17">
        <v>16</v>
      </c>
      <c r="C17">
        <v>20089</v>
      </c>
      <c r="D17">
        <v>200</v>
      </c>
      <c r="E17">
        <v>57</v>
      </c>
      <c r="F17">
        <v>0</v>
      </c>
      <c r="I17" s="27"/>
      <c r="J17" s="27"/>
      <c r="K17" s="27"/>
      <c r="L17" s="27"/>
      <c r="M17" s="27"/>
      <c r="N17" s="27"/>
    </row>
    <row r="18" spans="1:17" hidden="1" x14ac:dyDescent="0.25">
      <c r="A18">
        <v>17</v>
      </c>
      <c r="B18">
        <v>17</v>
      </c>
      <c r="C18">
        <v>53598</v>
      </c>
      <c r="D18">
        <v>286</v>
      </c>
      <c r="E18">
        <v>73</v>
      </c>
      <c r="F18">
        <v>0</v>
      </c>
    </row>
    <row r="19" spans="1:17" x14ac:dyDescent="0.25">
      <c r="A19">
        <v>18</v>
      </c>
      <c r="B19">
        <v>18</v>
      </c>
      <c r="C19">
        <v>36496</v>
      </c>
      <c r="D19">
        <v>339</v>
      </c>
      <c r="E19">
        <v>69</v>
      </c>
      <c r="F19">
        <v>368</v>
      </c>
      <c r="I19" s="28"/>
      <c r="J19" s="28"/>
      <c r="K19" s="28"/>
      <c r="L19" s="28"/>
      <c r="M19" s="28"/>
      <c r="N19" s="28"/>
      <c r="O19" s="28"/>
      <c r="P19" s="28"/>
      <c r="Q19" s="28"/>
    </row>
    <row r="20" spans="1:17" x14ac:dyDescent="0.25">
      <c r="A20">
        <v>19</v>
      </c>
      <c r="B20">
        <v>19</v>
      </c>
      <c r="C20">
        <v>4957</v>
      </c>
      <c r="D20">
        <v>448</v>
      </c>
      <c r="E20">
        <v>28</v>
      </c>
      <c r="F20">
        <v>891</v>
      </c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25">
      <c r="A21">
        <v>20</v>
      </c>
      <c r="B21">
        <v>20</v>
      </c>
      <c r="C21">
        <v>42079</v>
      </c>
      <c r="D21">
        <v>479</v>
      </c>
      <c r="E21">
        <v>44</v>
      </c>
      <c r="F21">
        <v>1048</v>
      </c>
      <c r="I21" s="26"/>
      <c r="J21" s="26"/>
      <c r="K21" s="26"/>
      <c r="L21" s="26"/>
      <c r="M21" s="26"/>
      <c r="N21" s="26"/>
      <c r="O21" s="26"/>
      <c r="P21" s="26"/>
      <c r="Q21" s="26"/>
    </row>
    <row r="22" spans="1:17" x14ac:dyDescent="0.25">
      <c r="A22">
        <v>21</v>
      </c>
      <c r="B22">
        <v>21</v>
      </c>
      <c r="C22">
        <v>177</v>
      </c>
      <c r="D22">
        <v>235</v>
      </c>
      <c r="E22">
        <v>63</v>
      </c>
      <c r="F22">
        <v>89</v>
      </c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5.75" thickBot="1" x14ac:dyDescent="0.3">
      <c r="A23">
        <v>22</v>
      </c>
      <c r="B23">
        <v>22</v>
      </c>
      <c r="C23">
        <v>37348</v>
      </c>
      <c r="D23">
        <v>458</v>
      </c>
      <c r="E23">
        <v>72</v>
      </c>
      <c r="F23">
        <v>968</v>
      </c>
      <c r="I23" s="27"/>
      <c r="J23" s="27"/>
      <c r="K23" s="27"/>
      <c r="L23" s="27"/>
      <c r="M23" s="27"/>
      <c r="N23" s="27"/>
      <c r="O23" s="27"/>
      <c r="P23" s="27"/>
      <c r="Q23" s="27"/>
    </row>
    <row r="24" spans="1:17" hidden="1" x14ac:dyDescent="0.25">
      <c r="A24">
        <v>23</v>
      </c>
      <c r="B24">
        <v>23</v>
      </c>
      <c r="C24">
        <v>20103</v>
      </c>
      <c r="D24">
        <v>213</v>
      </c>
      <c r="E24">
        <v>61</v>
      </c>
      <c r="F24">
        <v>0</v>
      </c>
    </row>
    <row r="25" spans="1:17" x14ac:dyDescent="0.25">
      <c r="A25">
        <v>24</v>
      </c>
      <c r="B25">
        <v>24</v>
      </c>
      <c r="C25">
        <v>64027</v>
      </c>
      <c r="D25">
        <v>398</v>
      </c>
      <c r="E25">
        <v>48</v>
      </c>
      <c r="F25">
        <v>411</v>
      </c>
    </row>
    <row r="26" spans="1:17" hidden="1" x14ac:dyDescent="0.25">
      <c r="A26">
        <v>25</v>
      </c>
      <c r="B26">
        <v>25</v>
      </c>
      <c r="C26">
        <v>10742</v>
      </c>
      <c r="D26">
        <v>156</v>
      </c>
      <c r="E26">
        <v>57</v>
      </c>
      <c r="F26">
        <v>0</v>
      </c>
    </row>
    <row r="27" spans="1:17" x14ac:dyDescent="0.25">
      <c r="A27">
        <v>26</v>
      </c>
      <c r="B27">
        <v>26</v>
      </c>
      <c r="C27">
        <v>1409</v>
      </c>
      <c r="D27">
        <v>326</v>
      </c>
      <c r="E27">
        <v>25</v>
      </c>
      <c r="F27">
        <v>671</v>
      </c>
    </row>
    <row r="28" spans="1:17" x14ac:dyDescent="0.25">
      <c r="A28">
        <v>27</v>
      </c>
      <c r="B28">
        <v>27</v>
      </c>
      <c r="C28">
        <v>42471</v>
      </c>
      <c r="D28">
        <v>289</v>
      </c>
      <c r="E28">
        <v>44</v>
      </c>
      <c r="F28">
        <v>654</v>
      </c>
    </row>
    <row r="29" spans="1:17" x14ac:dyDescent="0.25">
      <c r="A29">
        <v>28</v>
      </c>
      <c r="B29">
        <v>28</v>
      </c>
      <c r="C29">
        <v>32793</v>
      </c>
      <c r="D29">
        <v>333</v>
      </c>
      <c r="E29">
        <v>44</v>
      </c>
      <c r="F29">
        <v>467</v>
      </c>
    </row>
    <row r="30" spans="1:17" x14ac:dyDescent="0.25">
      <c r="A30">
        <v>29</v>
      </c>
      <c r="B30">
        <v>29</v>
      </c>
      <c r="C30">
        <v>186634</v>
      </c>
      <c r="D30">
        <v>949</v>
      </c>
      <c r="E30">
        <v>41</v>
      </c>
      <c r="F30">
        <v>1809</v>
      </c>
    </row>
    <row r="31" spans="1:17" x14ac:dyDescent="0.25">
      <c r="A31">
        <v>30</v>
      </c>
      <c r="B31">
        <v>30</v>
      </c>
      <c r="C31">
        <v>26813</v>
      </c>
      <c r="D31">
        <v>411</v>
      </c>
      <c r="E31">
        <v>55</v>
      </c>
      <c r="F31">
        <v>915</v>
      </c>
    </row>
    <row r="32" spans="1:17" x14ac:dyDescent="0.25">
      <c r="A32">
        <v>31</v>
      </c>
      <c r="B32">
        <v>31</v>
      </c>
      <c r="C32">
        <v>34142</v>
      </c>
      <c r="D32">
        <v>413</v>
      </c>
      <c r="E32">
        <v>47</v>
      </c>
      <c r="F32">
        <v>863</v>
      </c>
    </row>
    <row r="33" spans="1:6" hidden="1" x14ac:dyDescent="0.25">
      <c r="A33">
        <v>32</v>
      </c>
      <c r="B33">
        <v>32</v>
      </c>
      <c r="C33">
        <v>28941</v>
      </c>
      <c r="D33">
        <v>210</v>
      </c>
      <c r="E33">
        <v>43</v>
      </c>
      <c r="F33">
        <v>0</v>
      </c>
    </row>
    <row r="34" spans="1:6" x14ac:dyDescent="0.25">
      <c r="A34">
        <v>33</v>
      </c>
      <c r="B34">
        <v>33</v>
      </c>
      <c r="C34">
        <v>134181</v>
      </c>
      <c r="D34">
        <v>563</v>
      </c>
      <c r="E34">
        <v>48</v>
      </c>
      <c r="F34">
        <v>526</v>
      </c>
    </row>
    <row r="35" spans="1:6" hidden="1" x14ac:dyDescent="0.25">
      <c r="A35">
        <v>34</v>
      </c>
      <c r="B35">
        <v>34</v>
      </c>
      <c r="C35">
        <v>31367</v>
      </c>
      <c r="D35">
        <v>162</v>
      </c>
      <c r="E35">
        <v>30</v>
      </c>
      <c r="F35">
        <v>0</v>
      </c>
    </row>
    <row r="36" spans="1:6" hidden="1" x14ac:dyDescent="0.25">
      <c r="A36">
        <v>35</v>
      </c>
      <c r="B36">
        <v>35</v>
      </c>
      <c r="C36">
        <v>2015</v>
      </c>
      <c r="D36">
        <v>199</v>
      </c>
      <c r="E36">
        <v>25</v>
      </c>
      <c r="F36">
        <v>0</v>
      </c>
    </row>
    <row r="37" spans="1:6" x14ac:dyDescent="0.25">
      <c r="A37">
        <v>36</v>
      </c>
      <c r="B37">
        <v>36</v>
      </c>
      <c r="C37">
        <v>2335</v>
      </c>
      <c r="D37">
        <v>220</v>
      </c>
      <c r="E37">
        <v>49</v>
      </c>
      <c r="F37">
        <v>419</v>
      </c>
    </row>
    <row r="38" spans="1:6" x14ac:dyDescent="0.25">
      <c r="A38">
        <v>37</v>
      </c>
      <c r="B38">
        <v>37</v>
      </c>
      <c r="C38">
        <v>62413</v>
      </c>
      <c r="D38">
        <v>455</v>
      </c>
      <c r="E38">
        <v>71</v>
      </c>
      <c r="F38">
        <v>762</v>
      </c>
    </row>
    <row r="39" spans="1:6" x14ac:dyDescent="0.25">
      <c r="A39">
        <v>38</v>
      </c>
      <c r="B39">
        <v>38</v>
      </c>
      <c r="C39">
        <v>30007</v>
      </c>
      <c r="D39">
        <v>462</v>
      </c>
      <c r="E39">
        <v>69</v>
      </c>
      <c r="F39">
        <v>1093</v>
      </c>
    </row>
    <row r="40" spans="1:6" x14ac:dyDescent="0.25">
      <c r="A40">
        <v>39</v>
      </c>
      <c r="B40">
        <v>39</v>
      </c>
      <c r="C40">
        <v>11795</v>
      </c>
      <c r="D40">
        <v>300</v>
      </c>
      <c r="E40">
        <v>25</v>
      </c>
      <c r="F40">
        <v>531</v>
      </c>
    </row>
    <row r="41" spans="1:6" x14ac:dyDescent="0.25">
      <c r="A41">
        <v>40</v>
      </c>
      <c r="B41">
        <v>40</v>
      </c>
      <c r="C41">
        <v>13647</v>
      </c>
      <c r="D41">
        <v>264</v>
      </c>
      <c r="E41">
        <v>47</v>
      </c>
      <c r="F41">
        <v>344</v>
      </c>
    </row>
    <row r="42" spans="1:6" x14ac:dyDescent="0.25">
      <c r="A42">
        <v>41</v>
      </c>
      <c r="B42">
        <v>41</v>
      </c>
      <c r="C42">
        <v>3495</v>
      </c>
      <c r="D42">
        <v>253</v>
      </c>
      <c r="E42">
        <v>54</v>
      </c>
      <c r="F42">
        <v>50</v>
      </c>
    </row>
    <row r="43" spans="1:6" x14ac:dyDescent="0.25">
      <c r="A43">
        <v>42</v>
      </c>
      <c r="B43">
        <v>42</v>
      </c>
      <c r="C43">
        <v>113659</v>
      </c>
      <c r="D43">
        <v>538</v>
      </c>
      <c r="E43">
        <v>66</v>
      </c>
      <c r="F43">
        <v>1155</v>
      </c>
    </row>
    <row r="44" spans="1:6" x14ac:dyDescent="0.25">
      <c r="A44">
        <v>43</v>
      </c>
      <c r="B44">
        <v>43</v>
      </c>
      <c r="C44">
        <v>44158</v>
      </c>
      <c r="D44">
        <v>351</v>
      </c>
      <c r="E44">
        <v>66</v>
      </c>
      <c r="F44">
        <v>385</v>
      </c>
    </row>
    <row r="45" spans="1:6" x14ac:dyDescent="0.25">
      <c r="A45">
        <v>44</v>
      </c>
      <c r="B45">
        <v>44</v>
      </c>
      <c r="C45">
        <v>36929</v>
      </c>
      <c r="D45">
        <v>445</v>
      </c>
      <c r="E45">
        <v>24</v>
      </c>
      <c r="F45">
        <v>976</v>
      </c>
    </row>
    <row r="46" spans="1:6" x14ac:dyDescent="0.25">
      <c r="A46">
        <v>45</v>
      </c>
      <c r="B46">
        <v>45</v>
      </c>
      <c r="C46">
        <v>31861</v>
      </c>
      <c r="D46">
        <v>469</v>
      </c>
      <c r="E46">
        <v>25</v>
      </c>
      <c r="F46">
        <v>1120</v>
      </c>
    </row>
    <row r="47" spans="1:6" x14ac:dyDescent="0.25">
      <c r="A47">
        <v>46</v>
      </c>
      <c r="B47">
        <v>46</v>
      </c>
      <c r="C47">
        <v>7738</v>
      </c>
      <c r="D47">
        <v>564</v>
      </c>
      <c r="E47">
        <v>50</v>
      </c>
      <c r="F47">
        <v>997</v>
      </c>
    </row>
    <row r="48" spans="1:6" x14ac:dyDescent="0.25">
      <c r="A48">
        <v>47</v>
      </c>
      <c r="B48">
        <v>47</v>
      </c>
      <c r="C48">
        <v>19531</v>
      </c>
      <c r="D48">
        <v>376</v>
      </c>
      <c r="E48">
        <v>64</v>
      </c>
      <c r="F48">
        <v>1241</v>
      </c>
    </row>
    <row r="49" spans="1:6" x14ac:dyDescent="0.25">
      <c r="A49">
        <v>48</v>
      </c>
      <c r="B49">
        <v>48</v>
      </c>
      <c r="C49">
        <v>44646</v>
      </c>
      <c r="D49">
        <v>320</v>
      </c>
      <c r="E49">
        <v>49</v>
      </c>
      <c r="F49">
        <v>797</v>
      </c>
    </row>
    <row r="50" spans="1:6" hidden="1" x14ac:dyDescent="0.25">
      <c r="A50">
        <v>49</v>
      </c>
      <c r="B50">
        <v>49</v>
      </c>
      <c r="C50">
        <v>44522</v>
      </c>
      <c r="D50">
        <v>205</v>
      </c>
      <c r="E50">
        <v>72</v>
      </c>
      <c r="F50">
        <v>0</v>
      </c>
    </row>
    <row r="51" spans="1:6" x14ac:dyDescent="0.25">
      <c r="A51">
        <v>50</v>
      </c>
      <c r="B51">
        <v>50</v>
      </c>
      <c r="C51">
        <v>43479</v>
      </c>
      <c r="D51">
        <v>354</v>
      </c>
      <c r="E51">
        <v>49</v>
      </c>
      <c r="F51">
        <v>902</v>
      </c>
    </row>
    <row r="52" spans="1:6" x14ac:dyDescent="0.25">
      <c r="A52">
        <v>51</v>
      </c>
      <c r="B52">
        <v>51</v>
      </c>
      <c r="C52">
        <v>36362</v>
      </c>
      <c r="D52">
        <v>376</v>
      </c>
      <c r="E52">
        <v>49</v>
      </c>
      <c r="F52">
        <v>654</v>
      </c>
    </row>
    <row r="53" spans="1:6" x14ac:dyDescent="0.25">
      <c r="A53">
        <v>52</v>
      </c>
      <c r="B53">
        <v>52</v>
      </c>
      <c r="C53">
        <v>39705</v>
      </c>
      <c r="D53">
        <v>301</v>
      </c>
      <c r="E53">
        <v>27</v>
      </c>
      <c r="F53">
        <v>211</v>
      </c>
    </row>
    <row r="54" spans="1:6" x14ac:dyDescent="0.25">
      <c r="A54">
        <v>53</v>
      </c>
      <c r="B54">
        <v>53</v>
      </c>
      <c r="C54">
        <v>44205</v>
      </c>
      <c r="D54">
        <v>394</v>
      </c>
      <c r="E54">
        <v>32</v>
      </c>
      <c r="F54">
        <v>607</v>
      </c>
    </row>
    <row r="55" spans="1:6" x14ac:dyDescent="0.25">
      <c r="A55">
        <v>54</v>
      </c>
      <c r="B55">
        <v>54</v>
      </c>
      <c r="C55">
        <v>16304</v>
      </c>
      <c r="D55">
        <v>413</v>
      </c>
      <c r="E55">
        <v>66</v>
      </c>
      <c r="F55">
        <v>957</v>
      </c>
    </row>
    <row r="56" spans="1:6" hidden="1" x14ac:dyDescent="0.25">
      <c r="A56">
        <v>55</v>
      </c>
      <c r="B56">
        <v>55</v>
      </c>
      <c r="C56">
        <v>15333</v>
      </c>
      <c r="D56">
        <v>138</v>
      </c>
      <c r="E56">
        <v>47</v>
      </c>
      <c r="F56">
        <v>0</v>
      </c>
    </row>
    <row r="57" spans="1:6" hidden="1" x14ac:dyDescent="0.25">
      <c r="A57">
        <v>56</v>
      </c>
      <c r="B57">
        <v>56</v>
      </c>
      <c r="C57">
        <v>32916</v>
      </c>
      <c r="D57">
        <v>154</v>
      </c>
      <c r="E57">
        <v>60</v>
      </c>
      <c r="F57">
        <v>0</v>
      </c>
    </row>
    <row r="58" spans="1:6" x14ac:dyDescent="0.25">
      <c r="A58">
        <v>57</v>
      </c>
      <c r="B58">
        <v>57</v>
      </c>
      <c r="C58">
        <v>571</v>
      </c>
      <c r="D58">
        <v>372</v>
      </c>
      <c r="E58">
        <v>79</v>
      </c>
      <c r="F58">
        <v>379</v>
      </c>
    </row>
    <row r="59" spans="1:6" x14ac:dyDescent="0.25">
      <c r="A59">
        <v>58</v>
      </c>
      <c r="B59">
        <v>58</v>
      </c>
      <c r="C59">
        <v>76273</v>
      </c>
      <c r="D59">
        <v>367</v>
      </c>
      <c r="E59">
        <v>65</v>
      </c>
      <c r="F59">
        <v>133</v>
      </c>
    </row>
    <row r="60" spans="1:6" x14ac:dyDescent="0.25">
      <c r="A60">
        <v>59</v>
      </c>
      <c r="B60">
        <v>59</v>
      </c>
      <c r="C60">
        <v>10354</v>
      </c>
      <c r="D60">
        <v>281</v>
      </c>
      <c r="E60">
        <v>70</v>
      </c>
      <c r="F60">
        <v>333</v>
      </c>
    </row>
    <row r="61" spans="1:6" x14ac:dyDescent="0.25">
      <c r="A61">
        <v>60</v>
      </c>
      <c r="B61">
        <v>60</v>
      </c>
      <c r="C61">
        <v>51872</v>
      </c>
      <c r="D61">
        <v>390</v>
      </c>
      <c r="E61">
        <v>81</v>
      </c>
      <c r="F61">
        <v>531</v>
      </c>
    </row>
    <row r="62" spans="1:6" x14ac:dyDescent="0.25">
      <c r="A62">
        <v>61</v>
      </c>
      <c r="B62">
        <v>61</v>
      </c>
      <c r="C62">
        <v>3551</v>
      </c>
      <c r="D62">
        <v>364</v>
      </c>
      <c r="E62">
        <v>35</v>
      </c>
      <c r="F62">
        <v>631</v>
      </c>
    </row>
    <row r="63" spans="1:6" x14ac:dyDescent="0.25">
      <c r="A63">
        <v>62</v>
      </c>
      <c r="B63">
        <v>62</v>
      </c>
      <c r="C63">
        <v>21238</v>
      </c>
      <c r="D63">
        <v>254</v>
      </c>
      <c r="E63">
        <v>59</v>
      </c>
      <c r="F63">
        <v>108</v>
      </c>
    </row>
    <row r="64" spans="1:6" hidden="1" x14ac:dyDescent="0.25">
      <c r="A64">
        <v>63</v>
      </c>
      <c r="B64">
        <v>63</v>
      </c>
      <c r="C64">
        <v>30682</v>
      </c>
      <c r="D64">
        <v>160</v>
      </c>
      <c r="E64">
        <v>77</v>
      </c>
      <c r="F64">
        <v>0</v>
      </c>
    </row>
    <row r="65" spans="1:6" x14ac:dyDescent="0.25">
      <c r="A65">
        <v>64</v>
      </c>
      <c r="B65">
        <v>64</v>
      </c>
      <c r="C65">
        <v>14132</v>
      </c>
      <c r="D65">
        <v>251</v>
      </c>
      <c r="E65">
        <v>75</v>
      </c>
      <c r="F65">
        <v>133</v>
      </c>
    </row>
    <row r="66" spans="1:6" hidden="1" x14ac:dyDescent="0.25">
      <c r="A66">
        <v>65</v>
      </c>
      <c r="B66">
        <v>65</v>
      </c>
      <c r="C66">
        <v>32164</v>
      </c>
      <c r="D66">
        <v>223</v>
      </c>
      <c r="E66">
        <v>79</v>
      </c>
      <c r="F66">
        <v>0</v>
      </c>
    </row>
    <row r="67" spans="1:6" x14ac:dyDescent="0.25">
      <c r="A67">
        <v>66</v>
      </c>
      <c r="B67">
        <v>66</v>
      </c>
      <c r="C67">
        <v>12</v>
      </c>
      <c r="D67">
        <v>320</v>
      </c>
      <c r="E67">
        <v>28</v>
      </c>
      <c r="F67">
        <v>602</v>
      </c>
    </row>
    <row r="68" spans="1:6" x14ac:dyDescent="0.25">
      <c r="A68">
        <v>67</v>
      </c>
      <c r="B68">
        <v>67</v>
      </c>
      <c r="C68">
        <v>113829</v>
      </c>
      <c r="D68">
        <v>694</v>
      </c>
      <c r="E68">
        <v>38</v>
      </c>
      <c r="F68">
        <v>1388</v>
      </c>
    </row>
    <row r="69" spans="1:6" x14ac:dyDescent="0.25">
      <c r="A69">
        <v>68</v>
      </c>
      <c r="B69">
        <v>68</v>
      </c>
      <c r="C69">
        <v>11187</v>
      </c>
      <c r="D69">
        <v>380</v>
      </c>
      <c r="E69">
        <v>69</v>
      </c>
      <c r="F69">
        <v>889</v>
      </c>
    </row>
    <row r="70" spans="1:6" x14ac:dyDescent="0.25">
      <c r="A70">
        <v>69</v>
      </c>
      <c r="B70">
        <v>69</v>
      </c>
      <c r="C70">
        <v>27847</v>
      </c>
      <c r="D70">
        <v>418</v>
      </c>
      <c r="E70">
        <v>78</v>
      </c>
      <c r="F70">
        <v>822</v>
      </c>
    </row>
    <row r="71" spans="1:6" x14ac:dyDescent="0.25">
      <c r="A71">
        <v>70</v>
      </c>
      <c r="B71">
        <v>70</v>
      </c>
      <c r="C71">
        <v>49502</v>
      </c>
      <c r="D71">
        <v>505</v>
      </c>
      <c r="E71">
        <v>55</v>
      </c>
      <c r="F71">
        <v>1084</v>
      </c>
    </row>
    <row r="72" spans="1:6" x14ac:dyDescent="0.25">
      <c r="A72">
        <v>71</v>
      </c>
      <c r="B72">
        <v>71</v>
      </c>
      <c r="C72">
        <v>24889</v>
      </c>
      <c r="D72">
        <v>318</v>
      </c>
      <c r="E72">
        <v>75</v>
      </c>
      <c r="F72">
        <v>357</v>
      </c>
    </row>
    <row r="73" spans="1:6" x14ac:dyDescent="0.25">
      <c r="A73">
        <v>72</v>
      </c>
      <c r="B73">
        <v>72</v>
      </c>
      <c r="C73">
        <v>58781</v>
      </c>
      <c r="D73">
        <v>538</v>
      </c>
      <c r="E73">
        <v>81</v>
      </c>
      <c r="F73">
        <v>1103</v>
      </c>
    </row>
    <row r="74" spans="1:6" x14ac:dyDescent="0.25">
      <c r="A74">
        <v>73</v>
      </c>
      <c r="B74">
        <v>73</v>
      </c>
      <c r="C74">
        <v>22939</v>
      </c>
      <c r="D74">
        <v>355</v>
      </c>
      <c r="E74">
        <v>47</v>
      </c>
      <c r="F74">
        <v>663</v>
      </c>
    </row>
    <row r="75" spans="1:6" x14ac:dyDescent="0.25">
      <c r="A75">
        <v>74</v>
      </c>
      <c r="B75">
        <v>74</v>
      </c>
      <c r="C75">
        <v>23989</v>
      </c>
      <c r="D75">
        <v>338</v>
      </c>
      <c r="E75">
        <v>31</v>
      </c>
      <c r="F75">
        <v>601</v>
      </c>
    </row>
    <row r="76" spans="1:6" x14ac:dyDescent="0.25">
      <c r="A76">
        <v>75</v>
      </c>
      <c r="B76">
        <v>75</v>
      </c>
      <c r="C76">
        <v>16103</v>
      </c>
      <c r="D76">
        <v>418</v>
      </c>
      <c r="E76">
        <v>45</v>
      </c>
      <c r="F76">
        <v>945</v>
      </c>
    </row>
    <row r="77" spans="1:6" x14ac:dyDescent="0.25">
      <c r="A77">
        <v>76</v>
      </c>
      <c r="B77">
        <v>76</v>
      </c>
      <c r="C77">
        <v>33017</v>
      </c>
      <c r="D77">
        <v>224</v>
      </c>
      <c r="E77">
        <v>28</v>
      </c>
      <c r="F77">
        <v>29</v>
      </c>
    </row>
    <row r="78" spans="1:6" x14ac:dyDescent="0.25">
      <c r="A78">
        <v>77</v>
      </c>
      <c r="B78">
        <v>77</v>
      </c>
      <c r="C78">
        <v>30622</v>
      </c>
      <c r="D78">
        <v>251</v>
      </c>
      <c r="E78">
        <v>68</v>
      </c>
      <c r="F78">
        <v>532</v>
      </c>
    </row>
    <row r="79" spans="1:6" x14ac:dyDescent="0.25">
      <c r="A79">
        <v>78</v>
      </c>
      <c r="B79">
        <v>78</v>
      </c>
      <c r="C79">
        <v>20936</v>
      </c>
      <c r="D79">
        <v>253</v>
      </c>
      <c r="E79">
        <v>30</v>
      </c>
      <c r="F79">
        <v>145</v>
      </c>
    </row>
    <row r="80" spans="1:6" x14ac:dyDescent="0.25">
      <c r="A80">
        <v>79</v>
      </c>
      <c r="B80">
        <v>79</v>
      </c>
      <c r="C80">
        <v>110968</v>
      </c>
      <c r="D80">
        <v>468</v>
      </c>
      <c r="E80">
        <v>45</v>
      </c>
      <c r="F80">
        <v>391</v>
      </c>
    </row>
    <row r="81" spans="1:6" hidden="1" x14ac:dyDescent="0.25">
      <c r="A81">
        <v>80</v>
      </c>
      <c r="B81">
        <v>80</v>
      </c>
      <c r="C81">
        <v>15354</v>
      </c>
      <c r="D81">
        <v>171</v>
      </c>
      <c r="E81">
        <v>65</v>
      </c>
      <c r="F81">
        <v>0</v>
      </c>
    </row>
    <row r="82" spans="1:6" x14ac:dyDescent="0.25">
      <c r="A82">
        <v>81</v>
      </c>
      <c r="B82">
        <v>81</v>
      </c>
      <c r="C82">
        <v>27369</v>
      </c>
      <c r="D82">
        <v>288</v>
      </c>
      <c r="E82">
        <v>40</v>
      </c>
      <c r="F82">
        <v>162</v>
      </c>
    </row>
    <row r="83" spans="1:6" x14ac:dyDescent="0.25">
      <c r="A83">
        <v>82</v>
      </c>
      <c r="B83">
        <v>82</v>
      </c>
      <c r="C83">
        <v>5348</v>
      </c>
      <c r="D83">
        <v>317</v>
      </c>
      <c r="E83">
        <v>83</v>
      </c>
      <c r="F83">
        <v>99</v>
      </c>
    </row>
    <row r="84" spans="1:6" x14ac:dyDescent="0.25">
      <c r="A84">
        <v>83</v>
      </c>
      <c r="B84">
        <v>83</v>
      </c>
      <c r="C84">
        <v>23672</v>
      </c>
      <c r="D84">
        <v>344</v>
      </c>
      <c r="E84">
        <v>63</v>
      </c>
      <c r="F84">
        <v>503</v>
      </c>
    </row>
    <row r="85" spans="1:6" hidden="1" x14ac:dyDescent="0.25">
      <c r="A85">
        <v>84</v>
      </c>
      <c r="B85">
        <v>84</v>
      </c>
      <c r="C85">
        <v>19225</v>
      </c>
      <c r="D85">
        <v>122</v>
      </c>
      <c r="E85">
        <v>38</v>
      </c>
      <c r="F85">
        <v>0</v>
      </c>
    </row>
    <row r="86" spans="1:6" hidden="1" x14ac:dyDescent="0.25">
      <c r="A86">
        <v>85</v>
      </c>
      <c r="B86">
        <v>85</v>
      </c>
      <c r="C86">
        <v>4354</v>
      </c>
      <c r="D86">
        <v>232</v>
      </c>
      <c r="E86">
        <v>69</v>
      </c>
      <c r="F86">
        <v>0</v>
      </c>
    </row>
    <row r="87" spans="1:6" x14ac:dyDescent="0.25">
      <c r="A87">
        <v>86</v>
      </c>
      <c r="B87">
        <v>86</v>
      </c>
      <c r="C87">
        <v>152298</v>
      </c>
      <c r="D87">
        <v>828</v>
      </c>
      <c r="E87">
        <v>41</v>
      </c>
      <c r="F87">
        <v>1779</v>
      </c>
    </row>
    <row r="88" spans="1:6" x14ac:dyDescent="0.25">
      <c r="A88">
        <v>87</v>
      </c>
      <c r="B88">
        <v>87</v>
      </c>
      <c r="C88">
        <v>55367</v>
      </c>
      <c r="D88">
        <v>448</v>
      </c>
      <c r="E88">
        <v>33</v>
      </c>
      <c r="F88">
        <v>815</v>
      </c>
    </row>
    <row r="89" spans="1:6" hidden="1" x14ac:dyDescent="0.25">
      <c r="A89">
        <v>88</v>
      </c>
      <c r="B89">
        <v>88</v>
      </c>
      <c r="C89">
        <v>11741</v>
      </c>
      <c r="D89">
        <v>182</v>
      </c>
      <c r="E89">
        <v>59</v>
      </c>
      <c r="F89">
        <v>0</v>
      </c>
    </row>
    <row r="90" spans="1:6" x14ac:dyDescent="0.25">
      <c r="A90">
        <v>89</v>
      </c>
      <c r="B90">
        <v>89</v>
      </c>
      <c r="C90">
        <v>1556</v>
      </c>
      <c r="D90">
        <v>352</v>
      </c>
      <c r="E90">
        <v>57</v>
      </c>
      <c r="F90">
        <v>579</v>
      </c>
    </row>
    <row r="91" spans="1:6" x14ac:dyDescent="0.25">
      <c r="A91">
        <v>90</v>
      </c>
      <c r="B91">
        <v>90</v>
      </c>
      <c r="C91">
        <v>5953</v>
      </c>
      <c r="D91">
        <v>543</v>
      </c>
      <c r="E91">
        <v>52</v>
      </c>
      <c r="F91">
        <v>1176</v>
      </c>
    </row>
    <row r="92" spans="1:6" x14ac:dyDescent="0.25">
      <c r="A92">
        <v>91</v>
      </c>
      <c r="B92">
        <v>91</v>
      </c>
      <c r="C92">
        <v>20191</v>
      </c>
      <c r="D92">
        <v>431</v>
      </c>
      <c r="E92">
        <v>42</v>
      </c>
      <c r="F92">
        <v>1023</v>
      </c>
    </row>
    <row r="93" spans="1:6" x14ac:dyDescent="0.25">
      <c r="A93">
        <v>92</v>
      </c>
      <c r="B93">
        <v>92</v>
      </c>
      <c r="C93">
        <v>48498</v>
      </c>
      <c r="D93">
        <v>456</v>
      </c>
      <c r="E93">
        <v>47</v>
      </c>
      <c r="F93">
        <v>812</v>
      </c>
    </row>
    <row r="94" spans="1:6" hidden="1" x14ac:dyDescent="0.25">
      <c r="A94">
        <v>93</v>
      </c>
      <c r="B94">
        <v>93</v>
      </c>
      <c r="C94">
        <v>30733</v>
      </c>
      <c r="D94">
        <v>249</v>
      </c>
      <c r="E94">
        <v>51</v>
      </c>
      <c r="F94">
        <v>0</v>
      </c>
    </row>
    <row r="95" spans="1:6" x14ac:dyDescent="0.25">
      <c r="A95">
        <v>94</v>
      </c>
      <c r="B95">
        <v>94</v>
      </c>
      <c r="C95">
        <v>16479</v>
      </c>
      <c r="D95">
        <v>388</v>
      </c>
      <c r="E95">
        <v>26</v>
      </c>
      <c r="F95">
        <v>937</v>
      </c>
    </row>
    <row r="96" spans="1:6" hidden="1" x14ac:dyDescent="0.25">
      <c r="A96">
        <v>95</v>
      </c>
      <c r="B96">
        <v>95</v>
      </c>
      <c r="C96">
        <v>38009</v>
      </c>
      <c r="D96">
        <v>245</v>
      </c>
      <c r="E96">
        <v>45</v>
      </c>
      <c r="F96">
        <v>0</v>
      </c>
    </row>
    <row r="97" spans="1:6" hidden="1" x14ac:dyDescent="0.25">
      <c r="A97">
        <v>96</v>
      </c>
      <c r="B97">
        <v>96</v>
      </c>
      <c r="C97">
        <v>14084</v>
      </c>
      <c r="D97">
        <v>120</v>
      </c>
      <c r="E97">
        <v>46</v>
      </c>
      <c r="F97">
        <v>0</v>
      </c>
    </row>
    <row r="98" spans="1:6" x14ac:dyDescent="0.25">
      <c r="A98">
        <v>97</v>
      </c>
      <c r="B98">
        <v>97</v>
      </c>
      <c r="C98">
        <v>14312</v>
      </c>
      <c r="D98">
        <v>367</v>
      </c>
      <c r="E98">
        <v>59</v>
      </c>
      <c r="F98">
        <v>1380</v>
      </c>
    </row>
    <row r="99" spans="1:6" x14ac:dyDescent="0.25">
      <c r="A99">
        <v>98</v>
      </c>
      <c r="B99">
        <v>98</v>
      </c>
      <c r="C99">
        <v>26067</v>
      </c>
      <c r="D99">
        <v>266</v>
      </c>
      <c r="E99">
        <v>74</v>
      </c>
      <c r="F99">
        <v>155</v>
      </c>
    </row>
    <row r="100" spans="1:6" x14ac:dyDescent="0.25">
      <c r="A100">
        <v>99</v>
      </c>
      <c r="B100">
        <v>99</v>
      </c>
      <c r="C100">
        <v>36295</v>
      </c>
      <c r="D100">
        <v>241</v>
      </c>
      <c r="E100">
        <v>68</v>
      </c>
      <c r="F100">
        <v>375</v>
      </c>
    </row>
    <row r="101" spans="1:6" x14ac:dyDescent="0.25">
      <c r="A101">
        <v>100</v>
      </c>
      <c r="B101">
        <v>100</v>
      </c>
      <c r="C101">
        <v>83851</v>
      </c>
      <c r="D101">
        <v>607</v>
      </c>
      <c r="E101">
        <v>47</v>
      </c>
      <c r="F101">
        <v>1311</v>
      </c>
    </row>
    <row r="102" spans="1:6" x14ac:dyDescent="0.25">
      <c r="A102">
        <v>101</v>
      </c>
      <c r="B102">
        <v>101</v>
      </c>
      <c r="C102">
        <v>21153</v>
      </c>
      <c r="D102">
        <v>256</v>
      </c>
      <c r="E102">
        <v>41</v>
      </c>
      <c r="F102">
        <v>298</v>
      </c>
    </row>
    <row r="103" spans="1:6" x14ac:dyDescent="0.25">
      <c r="A103">
        <v>102</v>
      </c>
      <c r="B103">
        <v>102</v>
      </c>
      <c r="C103">
        <v>17976</v>
      </c>
      <c r="D103">
        <v>190</v>
      </c>
      <c r="E103">
        <v>70</v>
      </c>
      <c r="F103">
        <v>431</v>
      </c>
    </row>
    <row r="104" spans="1:6" x14ac:dyDescent="0.25">
      <c r="A104">
        <v>103</v>
      </c>
      <c r="B104">
        <v>103</v>
      </c>
      <c r="C104">
        <v>68713</v>
      </c>
      <c r="D104">
        <v>531</v>
      </c>
      <c r="E104">
        <v>56</v>
      </c>
      <c r="F104">
        <v>1587</v>
      </c>
    </row>
    <row r="105" spans="1:6" x14ac:dyDescent="0.25">
      <c r="A105">
        <v>104</v>
      </c>
      <c r="B105">
        <v>104</v>
      </c>
      <c r="C105">
        <v>146183</v>
      </c>
      <c r="D105">
        <v>682</v>
      </c>
      <c r="E105">
        <v>66</v>
      </c>
      <c r="F105">
        <v>1050</v>
      </c>
    </row>
    <row r="106" spans="1:6" x14ac:dyDescent="0.25">
      <c r="A106">
        <v>105</v>
      </c>
      <c r="B106">
        <v>105</v>
      </c>
      <c r="C106">
        <v>15846</v>
      </c>
      <c r="D106">
        <v>365</v>
      </c>
      <c r="E106">
        <v>53</v>
      </c>
      <c r="F106">
        <v>745</v>
      </c>
    </row>
    <row r="107" spans="1:6" x14ac:dyDescent="0.25">
      <c r="A107">
        <v>106</v>
      </c>
      <c r="B107">
        <v>106</v>
      </c>
      <c r="C107">
        <v>12031</v>
      </c>
      <c r="D107">
        <v>259</v>
      </c>
      <c r="E107">
        <v>58</v>
      </c>
      <c r="F107">
        <v>210</v>
      </c>
    </row>
    <row r="108" spans="1:6" hidden="1" x14ac:dyDescent="0.25">
      <c r="A108">
        <v>107</v>
      </c>
      <c r="B108">
        <v>107</v>
      </c>
      <c r="C108">
        <v>16819</v>
      </c>
      <c r="D108">
        <v>115</v>
      </c>
      <c r="E108">
        <v>74</v>
      </c>
      <c r="F108">
        <v>0</v>
      </c>
    </row>
    <row r="109" spans="1:6" hidden="1" x14ac:dyDescent="0.25">
      <c r="A109">
        <v>108</v>
      </c>
      <c r="B109">
        <v>108</v>
      </c>
      <c r="C109">
        <v>3911</v>
      </c>
      <c r="D109">
        <v>263</v>
      </c>
      <c r="E109">
        <v>72</v>
      </c>
      <c r="F109">
        <v>0</v>
      </c>
    </row>
    <row r="110" spans="1:6" x14ac:dyDescent="0.25">
      <c r="A110">
        <v>109</v>
      </c>
      <c r="B110">
        <v>109</v>
      </c>
      <c r="C110">
        <v>107986</v>
      </c>
      <c r="D110">
        <v>449</v>
      </c>
      <c r="E110">
        <v>64</v>
      </c>
      <c r="F110">
        <v>227</v>
      </c>
    </row>
    <row r="111" spans="1:6" x14ac:dyDescent="0.25">
      <c r="A111">
        <v>110</v>
      </c>
      <c r="B111">
        <v>110</v>
      </c>
      <c r="C111">
        <v>13561</v>
      </c>
      <c r="D111">
        <v>279</v>
      </c>
      <c r="E111">
        <v>37</v>
      </c>
      <c r="F111">
        <v>297</v>
      </c>
    </row>
    <row r="112" spans="1:6" x14ac:dyDescent="0.25">
      <c r="A112">
        <v>111</v>
      </c>
      <c r="B112">
        <v>111</v>
      </c>
      <c r="C112">
        <v>34537</v>
      </c>
      <c r="D112">
        <v>250</v>
      </c>
      <c r="E112">
        <v>57</v>
      </c>
      <c r="F112">
        <v>47</v>
      </c>
    </row>
    <row r="113" spans="1:6" hidden="1" x14ac:dyDescent="0.25">
      <c r="A113">
        <v>112</v>
      </c>
      <c r="B113">
        <v>112</v>
      </c>
      <c r="C113">
        <v>28575</v>
      </c>
      <c r="D113">
        <v>231</v>
      </c>
      <c r="E113">
        <v>60</v>
      </c>
      <c r="F113">
        <v>0</v>
      </c>
    </row>
    <row r="114" spans="1:6" x14ac:dyDescent="0.25">
      <c r="A114">
        <v>113</v>
      </c>
      <c r="B114">
        <v>113</v>
      </c>
      <c r="C114">
        <v>46007</v>
      </c>
      <c r="D114">
        <v>491</v>
      </c>
      <c r="E114">
        <v>42</v>
      </c>
      <c r="F114">
        <v>1046</v>
      </c>
    </row>
    <row r="115" spans="1:6" x14ac:dyDescent="0.25">
      <c r="A115">
        <v>114</v>
      </c>
      <c r="B115">
        <v>114</v>
      </c>
      <c r="C115">
        <v>69251</v>
      </c>
      <c r="D115">
        <v>474</v>
      </c>
      <c r="E115">
        <v>30</v>
      </c>
      <c r="F115">
        <v>768</v>
      </c>
    </row>
    <row r="116" spans="1:6" x14ac:dyDescent="0.25">
      <c r="A116">
        <v>115</v>
      </c>
      <c r="B116">
        <v>115</v>
      </c>
      <c r="C116">
        <v>16482</v>
      </c>
      <c r="D116">
        <v>268</v>
      </c>
      <c r="E116">
        <v>41</v>
      </c>
      <c r="F116">
        <v>271</v>
      </c>
    </row>
    <row r="117" spans="1:6" x14ac:dyDescent="0.25">
      <c r="A117">
        <v>116</v>
      </c>
      <c r="B117">
        <v>116</v>
      </c>
      <c r="C117">
        <v>40442</v>
      </c>
      <c r="D117">
        <v>369</v>
      </c>
      <c r="E117">
        <v>81</v>
      </c>
      <c r="F117">
        <v>510</v>
      </c>
    </row>
    <row r="118" spans="1:6" hidden="1" x14ac:dyDescent="0.25">
      <c r="A118">
        <v>117</v>
      </c>
      <c r="B118">
        <v>117</v>
      </c>
      <c r="C118">
        <v>35177</v>
      </c>
      <c r="D118">
        <v>186</v>
      </c>
      <c r="E118">
        <v>62</v>
      </c>
      <c r="F118">
        <v>0</v>
      </c>
    </row>
    <row r="119" spans="1:6" x14ac:dyDescent="0.25">
      <c r="A119">
        <v>118</v>
      </c>
      <c r="B119">
        <v>118</v>
      </c>
      <c r="C119">
        <v>91362</v>
      </c>
      <c r="D119">
        <v>626</v>
      </c>
      <c r="E119">
        <v>47</v>
      </c>
      <c r="F119">
        <v>1341</v>
      </c>
    </row>
    <row r="120" spans="1:6" hidden="1" x14ac:dyDescent="0.25">
      <c r="A120">
        <v>119</v>
      </c>
      <c r="B120">
        <v>119</v>
      </c>
      <c r="C120">
        <v>27039</v>
      </c>
      <c r="D120">
        <v>173</v>
      </c>
      <c r="E120">
        <v>40</v>
      </c>
      <c r="F120">
        <v>0</v>
      </c>
    </row>
    <row r="121" spans="1:6" hidden="1" x14ac:dyDescent="0.25">
      <c r="A121">
        <v>120</v>
      </c>
      <c r="B121">
        <v>120</v>
      </c>
      <c r="C121">
        <v>23012</v>
      </c>
      <c r="D121">
        <v>137</v>
      </c>
      <c r="E121">
        <v>81</v>
      </c>
      <c r="F121">
        <v>0</v>
      </c>
    </row>
    <row r="122" spans="1:6" hidden="1" x14ac:dyDescent="0.25">
      <c r="A122">
        <v>121</v>
      </c>
      <c r="B122">
        <v>121</v>
      </c>
      <c r="C122">
        <v>27241</v>
      </c>
      <c r="D122">
        <v>128</v>
      </c>
      <c r="E122">
        <v>67</v>
      </c>
      <c r="F122">
        <v>0</v>
      </c>
    </row>
    <row r="123" spans="1:6" x14ac:dyDescent="0.25">
      <c r="A123">
        <v>122</v>
      </c>
      <c r="B123">
        <v>122</v>
      </c>
      <c r="C123">
        <v>14808</v>
      </c>
      <c r="D123">
        <v>599</v>
      </c>
      <c r="E123">
        <v>83</v>
      </c>
      <c r="F123">
        <v>454</v>
      </c>
    </row>
    <row r="124" spans="1:6" x14ac:dyDescent="0.25">
      <c r="A124">
        <v>123</v>
      </c>
      <c r="B124">
        <v>123</v>
      </c>
      <c r="C124">
        <v>62602</v>
      </c>
      <c r="D124">
        <v>481</v>
      </c>
      <c r="E124">
        <v>84</v>
      </c>
      <c r="F124">
        <v>904</v>
      </c>
    </row>
    <row r="125" spans="1:6" hidden="1" x14ac:dyDescent="0.25">
      <c r="A125">
        <v>124</v>
      </c>
      <c r="B125">
        <v>124</v>
      </c>
      <c r="C125">
        <v>11808</v>
      </c>
      <c r="D125">
        <v>117</v>
      </c>
      <c r="E125">
        <v>77</v>
      </c>
      <c r="F125">
        <v>0</v>
      </c>
    </row>
    <row r="126" spans="1:6" hidden="1" x14ac:dyDescent="0.25">
      <c r="A126">
        <v>125</v>
      </c>
      <c r="B126">
        <v>125</v>
      </c>
      <c r="C126">
        <v>29564</v>
      </c>
      <c r="D126">
        <v>192</v>
      </c>
      <c r="E126">
        <v>30</v>
      </c>
      <c r="F126">
        <v>0</v>
      </c>
    </row>
    <row r="127" spans="1:6" hidden="1" x14ac:dyDescent="0.25">
      <c r="A127">
        <v>126</v>
      </c>
      <c r="B127">
        <v>126</v>
      </c>
      <c r="C127">
        <v>27578</v>
      </c>
      <c r="D127">
        <v>195</v>
      </c>
      <c r="E127">
        <v>34</v>
      </c>
      <c r="F127">
        <v>0</v>
      </c>
    </row>
    <row r="128" spans="1:6" x14ac:dyDescent="0.25">
      <c r="A128">
        <v>127</v>
      </c>
      <c r="B128">
        <v>127</v>
      </c>
      <c r="C128">
        <v>26427</v>
      </c>
      <c r="D128">
        <v>433</v>
      </c>
      <c r="E128">
        <v>50</v>
      </c>
      <c r="F128">
        <v>1404</v>
      </c>
    </row>
    <row r="129" spans="1:6" hidden="1" x14ac:dyDescent="0.25">
      <c r="A129">
        <v>128</v>
      </c>
      <c r="B129">
        <v>128</v>
      </c>
      <c r="C129">
        <v>57202</v>
      </c>
      <c r="D129">
        <v>259</v>
      </c>
      <c r="E129">
        <v>72</v>
      </c>
      <c r="F129">
        <v>0</v>
      </c>
    </row>
    <row r="130" spans="1:6" x14ac:dyDescent="0.25">
      <c r="A130">
        <v>129</v>
      </c>
      <c r="B130">
        <v>129</v>
      </c>
      <c r="C130">
        <v>123299</v>
      </c>
      <c r="D130">
        <v>610</v>
      </c>
      <c r="E130">
        <v>89</v>
      </c>
      <c r="F130">
        <v>1259</v>
      </c>
    </row>
    <row r="131" spans="1:6" x14ac:dyDescent="0.25">
      <c r="A131">
        <v>130</v>
      </c>
      <c r="B131">
        <v>130</v>
      </c>
      <c r="C131">
        <v>18145</v>
      </c>
      <c r="D131">
        <v>279</v>
      </c>
      <c r="E131">
        <v>56</v>
      </c>
      <c r="F131">
        <v>255</v>
      </c>
    </row>
    <row r="132" spans="1:6" x14ac:dyDescent="0.25">
      <c r="A132">
        <v>131</v>
      </c>
      <c r="B132">
        <v>131</v>
      </c>
      <c r="C132">
        <v>23793</v>
      </c>
      <c r="D132">
        <v>281</v>
      </c>
      <c r="E132">
        <v>56</v>
      </c>
      <c r="F132">
        <v>868</v>
      </c>
    </row>
    <row r="133" spans="1:6" hidden="1" x14ac:dyDescent="0.25">
      <c r="A133">
        <v>132</v>
      </c>
      <c r="B133">
        <v>132</v>
      </c>
      <c r="C133">
        <v>10726</v>
      </c>
      <c r="D133">
        <v>162</v>
      </c>
      <c r="E133">
        <v>46</v>
      </c>
      <c r="F133">
        <v>0</v>
      </c>
    </row>
    <row r="134" spans="1:6" x14ac:dyDescent="0.25">
      <c r="A134">
        <v>133</v>
      </c>
      <c r="B134">
        <v>133</v>
      </c>
      <c r="C134">
        <v>23283</v>
      </c>
      <c r="D134">
        <v>407</v>
      </c>
      <c r="E134">
        <v>49</v>
      </c>
      <c r="F134">
        <v>912</v>
      </c>
    </row>
    <row r="135" spans="1:6" x14ac:dyDescent="0.25">
      <c r="A135">
        <v>134</v>
      </c>
      <c r="B135">
        <v>134</v>
      </c>
      <c r="C135">
        <v>21455</v>
      </c>
      <c r="D135">
        <v>427</v>
      </c>
      <c r="E135">
        <v>80</v>
      </c>
      <c r="F135">
        <v>1018</v>
      </c>
    </row>
    <row r="136" spans="1:6" x14ac:dyDescent="0.25">
      <c r="A136">
        <v>135</v>
      </c>
      <c r="B136">
        <v>135</v>
      </c>
      <c r="C136">
        <v>34664</v>
      </c>
      <c r="D136">
        <v>452</v>
      </c>
      <c r="E136">
        <v>77</v>
      </c>
      <c r="F136">
        <v>835</v>
      </c>
    </row>
    <row r="137" spans="1:6" x14ac:dyDescent="0.25">
      <c r="A137">
        <v>136</v>
      </c>
      <c r="B137">
        <v>136</v>
      </c>
      <c r="C137">
        <v>44473</v>
      </c>
      <c r="D137">
        <v>257</v>
      </c>
      <c r="E137">
        <v>81</v>
      </c>
      <c r="F137">
        <v>8</v>
      </c>
    </row>
    <row r="138" spans="1:6" x14ac:dyDescent="0.25">
      <c r="A138">
        <v>137</v>
      </c>
      <c r="B138">
        <v>137</v>
      </c>
      <c r="C138">
        <v>54663</v>
      </c>
      <c r="D138">
        <v>314</v>
      </c>
      <c r="E138">
        <v>70</v>
      </c>
      <c r="F138">
        <v>75</v>
      </c>
    </row>
    <row r="139" spans="1:6" x14ac:dyDescent="0.25">
      <c r="A139">
        <v>138</v>
      </c>
      <c r="B139">
        <v>138</v>
      </c>
      <c r="C139">
        <v>36355</v>
      </c>
      <c r="D139">
        <v>278</v>
      </c>
      <c r="E139">
        <v>35</v>
      </c>
      <c r="F139">
        <v>187</v>
      </c>
    </row>
    <row r="140" spans="1:6" hidden="1" x14ac:dyDescent="0.25">
      <c r="A140">
        <v>139</v>
      </c>
      <c r="B140">
        <v>139</v>
      </c>
      <c r="C140">
        <v>21374</v>
      </c>
      <c r="D140">
        <v>175</v>
      </c>
      <c r="E140">
        <v>74</v>
      </c>
      <c r="F140">
        <v>0</v>
      </c>
    </row>
    <row r="141" spans="1:6" x14ac:dyDescent="0.25">
      <c r="A141">
        <v>140</v>
      </c>
      <c r="B141">
        <v>140</v>
      </c>
      <c r="C141">
        <v>107841</v>
      </c>
      <c r="D141">
        <v>728</v>
      </c>
      <c r="E141">
        <v>87</v>
      </c>
      <c r="F141">
        <v>1597</v>
      </c>
    </row>
    <row r="142" spans="1:6" x14ac:dyDescent="0.25">
      <c r="A142">
        <v>141</v>
      </c>
      <c r="B142">
        <v>141</v>
      </c>
      <c r="C142">
        <v>39831</v>
      </c>
      <c r="D142">
        <v>459</v>
      </c>
      <c r="E142">
        <v>32</v>
      </c>
      <c r="F142">
        <v>1425</v>
      </c>
    </row>
    <row r="143" spans="1:6" x14ac:dyDescent="0.25">
      <c r="A143">
        <v>142</v>
      </c>
      <c r="B143">
        <v>142</v>
      </c>
      <c r="C143">
        <v>91876</v>
      </c>
      <c r="D143">
        <v>483</v>
      </c>
      <c r="E143">
        <v>33</v>
      </c>
      <c r="F143">
        <v>605</v>
      </c>
    </row>
    <row r="144" spans="1:6" x14ac:dyDescent="0.25">
      <c r="A144">
        <v>143</v>
      </c>
      <c r="B144">
        <v>143</v>
      </c>
      <c r="C144">
        <v>103893</v>
      </c>
      <c r="D144">
        <v>549</v>
      </c>
      <c r="E144">
        <v>84</v>
      </c>
      <c r="F144">
        <v>669</v>
      </c>
    </row>
    <row r="145" spans="1:6" x14ac:dyDescent="0.25">
      <c r="A145">
        <v>144</v>
      </c>
      <c r="B145">
        <v>144</v>
      </c>
      <c r="C145">
        <v>19636</v>
      </c>
      <c r="D145">
        <v>387</v>
      </c>
      <c r="E145">
        <v>64</v>
      </c>
      <c r="F145">
        <v>710</v>
      </c>
    </row>
    <row r="146" spans="1:6" x14ac:dyDescent="0.25">
      <c r="A146">
        <v>145</v>
      </c>
      <c r="B146">
        <v>145</v>
      </c>
      <c r="C146">
        <v>17392</v>
      </c>
      <c r="D146">
        <v>228</v>
      </c>
      <c r="E146">
        <v>32</v>
      </c>
      <c r="F146">
        <v>68</v>
      </c>
    </row>
    <row r="147" spans="1:6" x14ac:dyDescent="0.25">
      <c r="A147">
        <v>146</v>
      </c>
      <c r="B147">
        <v>146</v>
      </c>
      <c r="C147">
        <v>19529</v>
      </c>
      <c r="D147">
        <v>341</v>
      </c>
      <c r="E147">
        <v>51</v>
      </c>
      <c r="F147">
        <v>642</v>
      </c>
    </row>
    <row r="148" spans="1:6" x14ac:dyDescent="0.25">
      <c r="A148">
        <v>147</v>
      </c>
      <c r="B148">
        <v>147</v>
      </c>
      <c r="C148">
        <v>17055</v>
      </c>
      <c r="D148">
        <v>371</v>
      </c>
      <c r="E148">
        <v>55</v>
      </c>
      <c r="F148">
        <v>805</v>
      </c>
    </row>
    <row r="149" spans="1:6" hidden="1" x14ac:dyDescent="0.25">
      <c r="A149">
        <v>148</v>
      </c>
      <c r="B149">
        <v>148</v>
      </c>
      <c r="C149">
        <v>23857</v>
      </c>
      <c r="D149">
        <v>150</v>
      </c>
      <c r="E149">
        <v>56</v>
      </c>
      <c r="F149">
        <v>0</v>
      </c>
    </row>
    <row r="150" spans="1:6" hidden="1" x14ac:dyDescent="0.25">
      <c r="A150">
        <v>149</v>
      </c>
      <c r="B150">
        <v>149</v>
      </c>
      <c r="C150">
        <v>15184</v>
      </c>
      <c r="D150">
        <v>192</v>
      </c>
      <c r="E150">
        <v>69</v>
      </c>
      <c r="F150">
        <v>0</v>
      </c>
    </row>
    <row r="151" spans="1:6" hidden="1" x14ac:dyDescent="0.25">
      <c r="A151">
        <v>150</v>
      </c>
      <c r="B151">
        <v>150</v>
      </c>
      <c r="C151">
        <v>13444</v>
      </c>
      <c r="D151">
        <v>121</v>
      </c>
      <c r="E151">
        <v>44</v>
      </c>
      <c r="F151">
        <v>0</v>
      </c>
    </row>
    <row r="152" spans="1:6" x14ac:dyDescent="0.25">
      <c r="A152">
        <v>151</v>
      </c>
      <c r="B152">
        <v>151</v>
      </c>
      <c r="C152">
        <v>63931</v>
      </c>
      <c r="D152">
        <v>435</v>
      </c>
      <c r="E152">
        <v>28</v>
      </c>
      <c r="F152">
        <v>581</v>
      </c>
    </row>
    <row r="153" spans="1:6" x14ac:dyDescent="0.25">
      <c r="A153">
        <v>152</v>
      </c>
      <c r="B153">
        <v>152</v>
      </c>
      <c r="C153">
        <v>35864</v>
      </c>
      <c r="D153">
        <v>353</v>
      </c>
      <c r="E153">
        <v>66</v>
      </c>
      <c r="F153">
        <v>534</v>
      </c>
    </row>
    <row r="154" spans="1:6" x14ac:dyDescent="0.25">
      <c r="A154">
        <v>153</v>
      </c>
      <c r="B154">
        <v>153</v>
      </c>
      <c r="C154">
        <v>41419</v>
      </c>
      <c r="D154">
        <v>184</v>
      </c>
      <c r="E154">
        <v>24</v>
      </c>
      <c r="F154">
        <v>156</v>
      </c>
    </row>
    <row r="155" spans="1:6" hidden="1" x14ac:dyDescent="0.25">
      <c r="A155">
        <v>154</v>
      </c>
      <c r="B155">
        <v>154</v>
      </c>
      <c r="C155">
        <v>92112</v>
      </c>
      <c r="D155">
        <v>344</v>
      </c>
      <c r="E155">
        <v>32</v>
      </c>
      <c r="F155">
        <v>0</v>
      </c>
    </row>
    <row r="156" spans="1:6" hidden="1" x14ac:dyDescent="0.25">
      <c r="A156">
        <v>155</v>
      </c>
      <c r="B156">
        <v>155</v>
      </c>
      <c r="C156">
        <v>55056</v>
      </c>
      <c r="D156">
        <v>235</v>
      </c>
      <c r="E156">
        <v>31</v>
      </c>
      <c r="F156">
        <v>0</v>
      </c>
    </row>
    <row r="157" spans="1:6" hidden="1" x14ac:dyDescent="0.25">
      <c r="A157">
        <v>156</v>
      </c>
      <c r="B157">
        <v>156</v>
      </c>
      <c r="C157">
        <v>19537</v>
      </c>
      <c r="D157">
        <v>143</v>
      </c>
      <c r="E157">
        <v>34</v>
      </c>
      <c r="F157">
        <v>0</v>
      </c>
    </row>
    <row r="158" spans="1:6" x14ac:dyDescent="0.25">
      <c r="A158">
        <v>157</v>
      </c>
      <c r="B158">
        <v>157</v>
      </c>
      <c r="C158">
        <v>31811</v>
      </c>
      <c r="D158">
        <v>338</v>
      </c>
      <c r="E158">
        <v>75</v>
      </c>
      <c r="F158">
        <v>429</v>
      </c>
    </row>
    <row r="159" spans="1:6" x14ac:dyDescent="0.25">
      <c r="A159">
        <v>158</v>
      </c>
      <c r="B159">
        <v>158</v>
      </c>
      <c r="C159">
        <v>56256</v>
      </c>
      <c r="D159">
        <v>406</v>
      </c>
      <c r="E159">
        <v>72</v>
      </c>
      <c r="F159">
        <v>1020</v>
      </c>
    </row>
    <row r="160" spans="1:6" x14ac:dyDescent="0.25">
      <c r="A160">
        <v>159</v>
      </c>
      <c r="B160">
        <v>159</v>
      </c>
      <c r="C160">
        <v>42357</v>
      </c>
      <c r="D160">
        <v>406</v>
      </c>
      <c r="E160">
        <v>83</v>
      </c>
      <c r="F160">
        <v>653</v>
      </c>
    </row>
    <row r="161" spans="1:6" hidden="1" x14ac:dyDescent="0.25">
      <c r="A161">
        <v>160</v>
      </c>
      <c r="B161">
        <v>160</v>
      </c>
      <c r="C161">
        <v>53319</v>
      </c>
      <c r="D161">
        <v>235</v>
      </c>
      <c r="E161">
        <v>53</v>
      </c>
      <c r="F161">
        <v>0</v>
      </c>
    </row>
    <row r="162" spans="1:6" x14ac:dyDescent="0.25">
      <c r="A162">
        <v>161</v>
      </c>
      <c r="B162">
        <v>161</v>
      </c>
      <c r="C162">
        <v>12238</v>
      </c>
      <c r="D162">
        <v>381</v>
      </c>
      <c r="E162">
        <v>67</v>
      </c>
      <c r="F162">
        <v>836</v>
      </c>
    </row>
    <row r="163" spans="1:6" hidden="1" x14ac:dyDescent="0.25">
      <c r="A163">
        <v>162</v>
      </c>
      <c r="B163">
        <v>162</v>
      </c>
      <c r="C163">
        <v>31353</v>
      </c>
      <c r="D163">
        <v>160</v>
      </c>
      <c r="E163">
        <v>81</v>
      </c>
      <c r="F163">
        <v>0</v>
      </c>
    </row>
    <row r="164" spans="1:6" x14ac:dyDescent="0.25">
      <c r="A164">
        <v>163</v>
      </c>
      <c r="B164">
        <v>163</v>
      </c>
      <c r="C164">
        <v>63809</v>
      </c>
      <c r="D164">
        <v>515</v>
      </c>
      <c r="E164">
        <v>56</v>
      </c>
      <c r="F164">
        <v>1086</v>
      </c>
    </row>
    <row r="165" spans="1:6" hidden="1" x14ac:dyDescent="0.25">
      <c r="A165">
        <v>164</v>
      </c>
      <c r="B165">
        <v>164</v>
      </c>
      <c r="C165">
        <v>13676</v>
      </c>
      <c r="D165">
        <v>203</v>
      </c>
      <c r="E165">
        <v>80</v>
      </c>
      <c r="F165">
        <v>0</v>
      </c>
    </row>
    <row r="166" spans="1:6" x14ac:dyDescent="0.25">
      <c r="A166">
        <v>165</v>
      </c>
      <c r="B166">
        <v>165</v>
      </c>
      <c r="C166">
        <v>76782</v>
      </c>
      <c r="D166">
        <v>429</v>
      </c>
      <c r="E166">
        <v>44</v>
      </c>
      <c r="F166">
        <v>548</v>
      </c>
    </row>
    <row r="167" spans="1:6" x14ac:dyDescent="0.25">
      <c r="A167">
        <v>166</v>
      </c>
      <c r="B167">
        <v>166</v>
      </c>
      <c r="C167">
        <v>25383</v>
      </c>
      <c r="D167">
        <v>367</v>
      </c>
      <c r="E167">
        <v>46</v>
      </c>
      <c r="F167">
        <v>570</v>
      </c>
    </row>
    <row r="168" spans="1:6" hidden="1" x14ac:dyDescent="0.25">
      <c r="A168">
        <v>167</v>
      </c>
      <c r="B168">
        <v>167</v>
      </c>
      <c r="C168">
        <v>35691</v>
      </c>
      <c r="D168">
        <v>214</v>
      </c>
      <c r="E168">
        <v>35</v>
      </c>
      <c r="F168">
        <v>0</v>
      </c>
    </row>
    <row r="169" spans="1:6" hidden="1" x14ac:dyDescent="0.25">
      <c r="A169">
        <v>168</v>
      </c>
      <c r="B169">
        <v>168</v>
      </c>
      <c r="C169">
        <v>29403</v>
      </c>
      <c r="D169">
        <v>178</v>
      </c>
      <c r="E169">
        <v>37</v>
      </c>
      <c r="F169">
        <v>0</v>
      </c>
    </row>
    <row r="170" spans="1:6" hidden="1" x14ac:dyDescent="0.25">
      <c r="A170">
        <v>169</v>
      </c>
      <c r="B170">
        <v>169</v>
      </c>
      <c r="C170">
        <v>2747</v>
      </c>
      <c r="D170">
        <v>219</v>
      </c>
      <c r="E170">
        <v>32</v>
      </c>
      <c r="F170">
        <v>0</v>
      </c>
    </row>
    <row r="171" spans="1:6" x14ac:dyDescent="0.25">
      <c r="A171">
        <v>170</v>
      </c>
      <c r="B171">
        <v>170</v>
      </c>
      <c r="C171">
        <v>2733</v>
      </c>
      <c r="D171">
        <v>459</v>
      </c>
      <c r="E171">
        <v>36</v>
      </c>
      <c r="F171">
        <v>1099</v>
      </c>
    </row>
    <row r="172" spans="1:6" hidden="1" x14ac:dyDescent="0.25">
      <c r="A172">
        <v>171</v>
      </c>
      <c r="B172">
        <v>171</v>
      </c>
      <c r="C172">
        <v>34772</v>
      </c>
      <c r="D172">
        <v>167</v>
      </c>
      <c r="E172">
        <v>57</v>
      </c>
      <c r="F172">
        <v>0</v>
      </c>
    </row>
    <row r="173" spans="1:6" x14ac:dyDescent="0.25">
      <c r="A173">
        <v>172</v>
      </c>
      <c r="B173">
        <v>172</v>
      </c>
      <c r="C173">
        <v>36934</v>
      </c>
      <c r="D173">
        <v>299</v>
      </c>
      <c r="E173">
        <v>63</v>
      </c>
      <c r="F173">
        <v>283</v>
      </c>
    </row>
    <row r="174" spans="1:6" x14ac:dyDescent="0.25">
      <c r="A174">
        <v>173</v>
      </c>
      <c r="B174">
        <v>173</v>
      </c>
      <c r="C174">
        <v>76348</v>
      </c>
      <c r="D174">
        <v>344</v>
      </c>
      <c r="E174">
        <v>60</v>
      </c>
      <c r="F174">
        <v>108</v>
      </c>
    </row>
    <row r="175" spans="1:6" x14ac:dyDescent="0.25">
      <c r="A175">
        <v>174</v>
      </c>
      <c r="B175">
        <v>174</v>
      </c>
      <c r="C175">
        <v>14887</v>
      </c>
      <c r="D175">
        <v>339</v>
      </c>
      <c r="E175">
        <v>58</v>
      </c>
      <c r="F175">
        <v>724</v>
      </c>
    </row>
    <row r="176" spans="1:6" x14ac:dyDescent="0.25">
      <c r="A176">
        <v>175</v>
      </c>
      <c r="B176">
        <v>175</v>
      </c>
      <c r="C176">
        <v>121834</v>
      </c>
      <c r="D176">
        <v>750</v>
      </c>
      <c r="E176">
        <v>54</v>
      </c>
      <c r="F176">
        <v>1573</v>
      </c>
    </row>
    <row r="177" spans="1:6" hidden="1" x14ac:dyDescent="0.25">
      <c r="A177">
        <v>176</v>
      </c>
      <c r="B177">
        <v>176</v>
      </c>
      <c r="C177">
        <v>30132</v>
      </c>
      <c r="D177">
        <v>206</v>
      </c>
      <c r="E177">
        <v>52</v>
      </c>
      <c r="F177">
        <v>0</v>
      </c>
    </row>
    <row r="178" spans="1:6" hidden="1" x14ac:dyDescent="0.25">
      <c r="A178">
        <v>177</v>
      </c>
      <c r="B178">
        <v>177</v>
      </c>
      <c r="C178">
        <v>2405</v>
      </c>
      <c r="D178">
        <v>221</v>
      </c>
      <c r="E178">
        <v>32</v>
      </c>
      <c r="F178">
        <v>0</v>
      </c>
    </row>
    <row r="179" spans="1:6" x14ac:dyDescent="0.25">
      <c r="A179">
        <v>178</v>
      </c>
      <c r="B179">
        <v>178</v>
      </c>
      <c r="C179">
        <v>22379</v>
      </c>
      <c r="D179">
        <v>292</v>
      </c>
      <c r="E179">
        <v>34</v>
      </c>
      <c r="F179">
        <v>384</v>
      </c>
    </row>
    <row r="180" spans="1:6" x14ac:dyDescent="0.25">
      <c r="A180">
        <v>179</v>
      </c>
      <c r="B180">
        <v>179</v>
      </c>
      <c r="C180">
        <v>28316</v>
      </c>
      <c r="D180">
        <v>316</v>
      </c>
      <c r="E180">
        <v>29</v>
      </c>
      <c r="F180">
        <v>453</v>
      </c>
    </row>
    <row r="181" spans="1:6" x14ac:dyDescent="0.25">
      <c r="A181">
        <v>180</v>
      </c>
      <c r="B181">
        <v>180</v>
      </c>
      <c r="C181">
        <v>58026</v>
      </c>
      <c r="D181">
        <v>560</v>
      </c>
      <c r="E181">
        <v>67</v>
      </c>
      <c r="F181">
        <v>1237</v>
      </c>
    </row>
    <row r="182" spans="1:6" x14ac:dyDescent="0.25">
      <c r="A182">
        <v>181</v>
      </c>
      <c r="B182">
        <v>181</v>
      </c>
      <c r="C182">
        <v>10635</v>
      </c>
      <c r="D182">
        <v>294</v>
      </c>
      <c r="E182">
        <v>69</v>
      </c>
      <c r="F182">
        <v>423</v>
      </c>
    </row>
    <row r="183" spans="1:6" x14ac:dyDescent="0.25">
      <c r="A183">
        <v>182</v>
      </c>
      <c r="B183">
        <v>182</v>
      </c>
      <c r="C183">
        <v>46102</v>
      </c>
      <c r="D183">
        <v>382</v>
      </c>
      <c r="E183">
        <v>81</v>
      </c>
      <c r="F183">
        <v>516</v>
      </c>
    </row>
    <row r="184" spans="1:6" x14ac:dyDescent="0.25">
      <c r="A184">
        <v>183</v>
      </c>
      <c r="B184">
        <v>183</v>
      </c>
      <c r="C184">
        <v>58929</v>
      </c>
      <c r="D184">
        <v>459</v>
      </c>
      <c r="E184">
        <v>66</v>
      </c>
      <c r="F184">
        <v>789</v>
      </c>
    </row>
    <row r="185" spans="1:6" hidden="1" x14ac:dyDescent="0.25">
      <c r="A185">
        <v>184</v>
      </c>
      <c r="B185">
        <v>184</v>
      </c>
      <c r="C185">
        <v>80861</v>
      </c>
      <c r="D185">
        <v>335</v>
      </c>
      <c r="E185">
        <v>29</v>
      </c>
      <c r="F185">
        <v>0</v>
      </c>
    </row>
    <row r="186" spans="1:6" x14ac:dyDescent="0.25">
      <c r="A186">
        <v>185</v>
      </c>
      <c r="B186">
        <v>185</v>
      </c>
      <c r="C186">
        <v>158889</v>
      </c>
      <c r="D186">
        <v>805</v>
      </c>
      <c r="E186">
        <v>62</v>
      </c>
      <c r="F186">
        <v>1448</v>
      </c>
    </row>
    <row r="187" spans="1:6" x14ac:dyDescent="0.25">
      <c r="A187">
        <v>186</v>
      </c>
      <c r="B187">
        <v>186</v>
      </c>
      <c r="C187">
        <v>3042</v>
      </c>
      <c r="D187">
        <v>316</v>
      </c>
      <c r="E187">
        <v>30</v>
      </c>
      <c r="F187">
        <v>450</v>
      </c>
    </row>
    <row r="188" spans="1:6" x14ac:dyDescent="0.25">
      <c r="A188">
        <v>187</v>
      </c>
      <c r="B188">
        <v>187</v>
      </c>
      <c r="C188">
        <v>36472</v>
      </c>
      <c r="D188">
        <v>309</v>
      </c>
      <c r="E188">
        <v>52</v>
      </c>
      <c r="F188">
        <v>188</v>
      </c>
    </row>
    <row r="189" spans="1:6" hidden="1" x14ac:dyDescent="0.25">
      <c r="A189">
        <v>188</v>
      </c>
      <c r="B189">
        <v>188</v>
      </c>
      <c r="C189">
        <v>23365</v>
      </c>
      <c r="D189">
        <v>167</v>
      </c>
      <c r="E189">
        <v>75</v>
      </c>
      <c r="F189">
        <v>0</v>
      </c>
    </row>
    <row r="190" spans="1:6" x14ac:dyDescent="0.25">
      <c r="A190">
        <v>189</v>
      </c>
      <c r="B190">
        <v>189</v>
      </c>
      <c r="C190">
        <v>83869</v>
      </c>
      <c r="D190">
        <v>554</v>
      </c>
      <c r="E190">
        <v>83</v>
      </c>
      <c r="F190">
        <v>930</v>
      </c>
    </row>
    <row r="191" spans="1:6" x14ac:dyDescent="0.25">
      <c r="A191">
        <v>190</v>
      </c>
      <c r="B191">
        <v>190</v>
      </c>
      <c r="C191">
        <v>58351</v>
      </c>
      <c r="D191">
        <v>326</v>
      </c>
      <c r="E191">
        <v>85</v>
      </c>
      <c r="F191">
        <v>126</v>
      </c>
    </row>
    <row r="192" spans="1:6" x14ac:dyDescent="0.25">
      <c r="A192">
        <v>191</v>
      </c>
      <c r="B192">
        <v>191</v>
      </c>
      <c r="C192">
        <v>55187</v>
      </c>
      <c r="D192">
        <v>385</v>
      </c>
      <c r="E192">
        <v>50</v>
      </c>
      <c r="F192">
        <v>538</v>
      </c>
    </row>
    <row r="193" spans="1:6" x14ac:dyDescent="0.25">
      <c r="A193">
        <v>192</v>
      </c>
      <c r="B193">
        <v>192</v>
      </c>
      <c r="C193">
        <v>12429</v>
      </c>
      <c r="D193">
        <v>701</v>
      </c>
      <c r="E193">
        <v>52</v>
      </c>
      <c r="F193">
        <v>1687</v>
      </c>
    </row>
    <row r="194" spans="1:6" x14ac:dyDescent="0.25">
      <c r="A194">
        <v>193</v>
      </c>
      <c r="B194">
        <v>193</v>
      </c>
      <c r="C194">
        <v>28508</v>
      </c>
      <c r="D194">
        <v>287</v>
      </c>
      <c r="E194">
        <v>56</v>
      </c>
      <c r="F194">
        <v>336</v>
      </c>
    </row>
    <row r="195" spans="1:6" x14ac:dyDescent="0.25">
      <c r="A195">
        <v>194</v>
      </c>
      <c r="B195">
        <v>194</v>
      </c>
      <c r="C195">
        <v>130209</v>
      </c>
      <c r="D195">
        <v>730</v>
      </c>
      <c r="E195">
        <v>39</v>
      </c>
      <c r="F195">
        <v>1426</v>
      </c>
    </row>
    <row r="196" spans="1:6" hidden="1" x14ac:dyDescent="0.25">
      <c r="A196">
        <v>195</v>
      </c>
      <c r="B196">
        <v>195</v>
      </c>
      <c r="C196">
        <v>30406</v>
      </c>
      <c r="D196">
        <v>181</v>
      </c>
      <c r="E196">
        <v>79</v>
      </c>
      <c r="F196">
        <v>0</v>
      </c>
    </row>
    <row r="197" spans="1:6" x14ac:dyDescent="0.25">
      <c r="A197">
        <v>196</v>
      </c>
      <c r="B197">
        <v>196</v>
      </c>
      <c r="C197">
        <v>23883</v>
      </c>
      <c r="D197">
        <v>398</v>
      </c>
      <c r="E197">
        <v>73</v>
      </c>
      <c r="F197">
        <v>802</v>
      </c>
    </row>
    <row r="198" spans="1:6" x14ac:dyDescent="0.25">
      <c r="A198">
        <v>197</v>
      </c>
      <c r="B198">
        <v>197</v>
      </c>
      <c r="C198">
        <v>93039</v>
      </c>
      <c r="D198">
        <v>517</v>
      </c>
      <c r="E198">
        <v>67</v>
      </c>
      <c r="F198">
        <v>749</v>
      </c>
    </row>
    <row r="199" spans="1:6" x14ac:dyDescent="0.25">
      <c r="A199">
        <v>198</v>
      </c>
      <c r="B199">
        <v>198</v>
      </c>
      <c r="C199">
        <v>50699</v>
      </c>
      <c r="D199">
        <v>304</v>
      </c>
      <c r="E199">
        <v>84</v>
      </c>
      <c r="F199">
        <v>69</v>
      </c>
    </row>
    <row r="200" spans="1:6" hidden="1" x14ac:dyDescent="0.25">
      <c r="A200">
        <v>199</v>
      </c>
      <c r="B200">
        <v>199</v>
      </c>
      <c r="C200">
        <v>27349</v>
      </c>
      <c r="D200">
        <v>169</v>
      </c>
      <c r="E200">
        <v>51</v>
      </c>
      <c r="F200">
        <v>0</v>
      </c>
    </row>
    <row r="201" spans="1:6" x14ac:dyDescent="0.25">
      <c r="A201">
        <v>200</v>
      </c>
      <c r="B201">
        <v>200</v>
      </c>
      <c r="C201">
        <v>10403</v>
      </c>
      <c r="D201">
        <v>310</v>
      </c>
      <c r="E201">
        <v>43</v>
      </c>
      <c r="F201">
        <v>571</v>
      </c>
    </row>
    <row r="202" spans="1:6" x14ac:dyDescent="0.25">
      <c r="A202">
        <v>201</v>
      </c>
      <c r="B202">
        <v>201</v>
      </c>
      <c r="C202">
        <v>23949</v>
      </c>
      <c r="D202">
        <v>383</v>
      </c>
      <c r="E202">
        <v>40</v>
      </c>
      <c r="F202">
        <v>829</v>
      </c>
    </row>
    <row r="203" spans="1:6" x14ac:dyDescent="0.25">
      <c r="A203">
        <v>202</v>
      </c>
      <c r="B203">
        <v>202</v>
      </c>
      <c r="C203">
        <v>73914</v>
      </c>
      <c r="D203">
        <v>529</v>
      </c>
      <c r="E203">
        <v>67</v>
      </c>
      <c r="F203">
        <v>1048</v>
      </c>
    </row>
    <row r="204" spans="1:6" hidden="1" x14ac:dyDescent="0.25">
      <c r="A204">
        <v>203</v>
      </c>
      <c r="B204">
        <v>203</v>
      </c>
      <c r="C204">
        <v>21038</v>
      </c>
      <c r="D204">
        <v>145</v>
      </c>
      <c r="E204">
        <v>58</v>
      </c>
      <c r="F204">
        <v>0</v>
      </c>
    </row>
    <row r="205" spans="1:6" x14ac:dyDescent="0.25">
      <c r="A205">
        <v>204</v>
      </c>
      <c r="B205">
        <v>204</v>
      </c>
      <c r="C205">
        <v>68206</v>
      </c>
      <c r="D205">
        <v>499</v>
      </c>
      <c r="E205">
        <v>40</v>
      </c>
      <c r="F205">
        <v>1411</v>
      </c>
    </row>
    <row r="206" spans="1:6" x14ac:dyDescent="0.25">
      <c r="A206">
        <v>205</v>
      </c>
      <c r="B206">
        <v>205</v>
      </c>
      <c r="C206">
        <v>57337</v>
      </c>
      <c r="D206">
        <v>392</v>
      </c>
      <c r="E206">
        <v>45</v>
      </c>
      <c r="F206">
        <v>456</v>
      </c>
    </row>
    <row r="207" spans="1:6" x14ac:dyDescent="0.25">
      <c r="A207">
        <v>206</v>
      </c>
      <c r="B207">
        <v>206</v>
      </c>
      <c r="C207">
        <v>10793</v>
      </c>
      <c r="D207">
        <v>321</v>
      </c>
      <c r="E207">
        <v>29</v>
      </c>
      <c r="F207">
        <v>638</v>
      </c>
    </row>
    <row r="208" spans="1:6" hidden="1" x14ac:dyDescent="0.25">
      <c r="A208">
        <v>207</v>
      </c>
      <c r="B208">
        <v>207</v>
      </c>
      <c r="C208">
        <v>2345</v>
      </c>
      <c r="D208">
        <v>180</v>
      </c>
      <c r="E208">
        <v>78</v>
      </c>
      <c r="F208">
        <v>0</v>
      </c>
    </row>
    <row r="209" spans="1:6" x14ac:dyDescent="0.25">
      <c r="A209">
        <v>208</v>
      </c>
      <c r="B209">
        <v>208</v>
      </c>
      <c r="C209">
        <v>10842</v>
      </c>
      <c r="D209">
        <v>358</v>
      </c>
      <c r="E209">
        <v>37</v>
      </c>
      <c r="F209">
        <v>1216</v>
      </c>
    </row>
    <row r="210" spans="1:6" x14ac:dyDescent="0.25">
      <c r="A210">
        <v>209</v>
      </c>
      <c r="B210">
        <v>209</v>
      </c>
      <c r="C210">
        <v>51345</v>
      </c>
      <c r="D210">
        <v>320</v>
      </c>
      <c r="E210">
        <v>46</v>
      </c>
      <c r="F210">
        <v>230</v>
      </c>
    </row>
    <row r="211" spans="1:6" x14ac:dyDescent="0.25">
      <c r="A211">
        <v>210</v>
      </c>
      <c r="B211">
        <v>210</v>
      </c>
      <c r="C211">
        <v>151947</v>
      </c>
      <c r="D211">
        <v>642</v>
      </c>
      <c r="E211">
        <v>91</v>
      </c>
      <c r="F211">
        <v>732</v>
      </c>
    </row>
    <row r="212" spans="1:6" x14ac:dyDescent="0.25">
      <c r="A212">
        <v>211</v>
      </c>
      <c r="B212">
        <v>211</v>
      </c>
      <c r="C212">
        <v>24543</v>
      </c>
      <c r="D212">
        <v>243</v>
      </c>
      <c r="E212">
        <v>62</v>
      </c>
      <c r="F212">
        <v>95</v>
      </c>
    </row>
    <row r="213" spans="1:6" x14ac:dyDescent="0.25">
      <c r="A213">
        <v>212</v>
      </c>
      <c r="B213">
        <v>212</v>
      </c>
      <c r="C213">
        <v>29567</v>
      </c>
      <c r="D213">
        <v>397</v>
      </c>
      <c r="E213">
        <v>25</v>
      </c>
      <c r="F213">
        <v>799</v>
      </c>
    </row>
    <row r="214" spans="1:6" x14ac:dyDescent="0.25">
      <c r="A214">
        <v>213</v>
      </c>
      <c r="B214">
        <v>213</v>
      </c>
      <c r="C214">
        <v>39145</v>
      </c>
      <c r="D214">
        <v>323</v>
      </c>
      <c r="E214">
        <v>66</v>
      </c>
      <c r="F214">
        <v>308</v>
      </c>
    </row>
    <row r="215" spans="1:6" x14ac:dyDescent="0.25">
      <c r="A215">
        <v>214</v>
      </c>
      <c r="B215">
        <v>214</v>
      </c>
      <c r="C215">
        <v>39422</v>
      </c>
      <c r="D215">
        <v>383</v>
      </c>
      <c r="E215">
        <v>44</v>
      </c>
      <c r="F215">
        <v>637</v>
      </c>
    </row>
    <row r="216" spans="1:6" x14ac:dyDescent="0.25">
      <c r="A216">
        <v>215</v>
      </c>
      <c r="B216">
        <v>215</v>
      </c>
      <c r="C216">
        <v>34909</v>
      </c>
      <c r="D216">
        <v>410</v>
      </c>
      <c r="E216">
        <v>62</v>
      </c>
      <c r="F216">
        <v>681</v>
      </c>
    </row>
    <row r="217" spans="1:6" x14ac:dyDescent="0.25">
      <c r="A217">
        <v>216</v>
      </c>
      <c r="B217">
        <v>216</v>
      </c>
      <c r="C217">
        <v>41025</v>
      </c>
      <c r="D217">
        <v>337</v>
      </c>
      <c r="E217">
        <v>79</v>
      </c>
      <c r="F217">
        <v>246</v>
      </c>
    </row>
    <row r="218" spans="1:6" x14ac:dyDescent="0.25">
      <c r="A218">
        <v>217</v>
      </c>
      <c r="B218">
        <v>217</v>
      </c>
      <c r="C218">
        <v>15476</v>
      </c>
      <c r="D218">
        <v>215</v>
      </c>
      <c r="E218">
        <v>60</v>
      </c>
      <c r="F218">
        <v>52</v>
      </c>
    </row>
    <row r="219" spans="1:6" x14ac:dyDescent="0.25">
      <c r="A219">
        <v>218</v>
      </c>
      <c r="B219">
        <v>218</v>
      </c>
      <c r="C219">
        <v>12456</v>
      </c>
      <c r="D219">
        <v>392</v>
      </c>
      <c r="E219">
        <v>65</v>
      </c>
      <c r="F219">
        <v>955</v>
      </c>
    </row>
    <row r="220" spans="1:6" x14ac:dyDescent="0.25">
      <c r="A220">
        <v>219</v>
      </c>
      <c r="B220">
        <v>219</v>
      </c>
      <c r="C220">
        <v>10627</v>
      </c>
      <c r="D220">
        <v>149</v>
      </c>
      <c r="E220">
        <v>71</v>
      </c>
      <c r="F220">
        <v>195</v>
      </c>
    </row>
    <row r="221" spans="1:6" x14ac:dyDescent="0.25">
      <c r="A221">
        <v>220</v>
      </c>
      <c r="B221">
        <v>220</v>
      </c>
      <c r="C221">
        <v>38954</v>
      </c>
      <c r="D221">
        <v>370</v>
      </c>
      <c r="E221">
        <v>76</v>
      </c>
      <c r="F221">
        <v>653</v>
      </c>
    </row>
    <row r="222" spans="1:6" x14ac:dyDescent="0.25">
      <c r="A222">
        <v>221</v>
      </c>
      <c r="B222">
        <v>221</v>
      </c>
      <c r="C222">
        <v>44847</v>
      </c>
      <c r="D222">
        <v>437</v>
      </c>
      <c r="E222">
        <v>53</v>
      </c>
      <c r="F222">
        <v>1246</v>
      </c>
    </row>
    <row r="223" spans="1:6" x14ac:dyDescent="0.25">
      <c r="A223">
        <v>222</v>
      </c>
      <c r="B223">
        <v>222</v>
      </c>
      <c r="C223">
        <v>98515</v>
      </c>
      <c r="D223">
        <v>633</v>
      </c>
      <c r="E223">
        <v>78</v>
      </c>
      <c r="F223">
        <v>1230</v>
      </c>
    </row>
    <row r="224" spans="1:6" x14ac:dyDescent="0.25">
      <c r="A224">
        <v>223</v>
      </c>
      <c r="B224">
        <v>223</v>
      </c>
      <c r="C224">
        <v>33437</v>
      </c>
      <c r="D224">
        <v>451</v>
      </c>
      <c r="E224">
        <v>44</v>
      </c>
      <c r="F224">
        <v>1549</v>
      </c>
    </row>
    <row r="225" spans="1:6" x14ac:dyDescent="0.25">
      <c r="A225">
        <v>224</v>
      </c>
      <c r="B225">
        <v>224</v>
      </c>
      <c r="C225">
        <v>27512</v>
      </c>
      <c r="D225">
        <v>344</v>
      </c>
      <c r="E225">
        <v>72</v>
      </c>
      <c r="F225">
        <v>573</v>
      </c>
    </row>
    <row r="226" spans="1:6" x14ac:dyDescent="0.25">
      <c r="A226">
        <v>225</v>
      </c>
      <c r="B226">
        <v>225</v>
      </c>
      <c r="C226">
        <v>121709</v>
      </c>
      <c r="D226">
        <v>584</v>
      </c>
      <c r="E226">
        <v>50</v>
      </c>
      <c r="F226">
        <v>701</v>
      </c>
    </row>
    <row r="227" spans="1:6" x14ac:dyDescent="0.25">
      <c r="A227">
        <v>226</v>
      </c>
      <c r="B227">
        <v>226</v>
      </c>
      <c r="C227">
        <v>15079</v>
      </c>
      <c r="D227">
        <v>411</v>
      </c>
      <c r="E227">
        <v>28</v>
      </c>
      <c r="F227">
        <v>1075</v>
      </c>
    </row>
    <row r="228" spans="1:6" x14ac:dyDescent="0.25">
      <c r="A228">
        <v>227</v>
      </c>
      <c r="B228">
        <v>227</v>
      </c>
      <c r="C228">
        <v>59879</v>
      </c>
      <c r="D228">
        <v>527</v>
      </c>
      <c r="E228">
        <v>78</v>
      </c>
      <c r="F228">
        <v>1032</v>
      </c>
    </row>
    <row r="229" spans="1:6" x14ac:dyDescent="0.25">
      <c r="A229">
        <v>228</v>
      </c>
      <c r="B229">
        <v>228</v>
      </c>
      <c r="C229">
        <v>66989</v>
      </c>
      <c r="D229">
        <v>430</v>
      </c>
      <c r="E229">
        <v>47</v>
      </c>
      <c r="F229">
        <v>482</v>
      </c>
    </row>
    <row r="230" spans="1:6" x14ac:dyDescent="0.25">
      <c r="A230">
        <v>229</v>
      </c>
      <c r="B230">
        <v>229</v>
      </c>
      <c r="C230">
        <v>69165</v>
      </c>
      <c r="D230">
        <v>341</v>
      </c>
      <c r="E230">
        <v>34</v>
      </c>
      <c r="F230">
        <v>156</v>
      </c>
    </row>
    <row r="231" spans="1:6" x14ac:dyDescent="0.25">
      <c r="A231">
        <v>230</v>
      </c>
      <c r="B231">
        <v>230</v>
      </c>
      <c r="C231">
        <v>69943</v>
      </c>
      <c r="D231">
        <v>547</v>
      </c>
      <c r="E231">
        <v>76</v>
      </c>
      <c r="F231">
        <v>1058</v>
      </c>
    </row>
    <row r="232" spans="1:6" x14ac:dyDescent="0.25">
      <c r="A232">
        <v>231</v>
      </c>
      <c r="B232">
        <v>231</v>
      </c>
      <c r="C232">
        <v>33214</v>
      </c>
      <c r="D232">
        <v>387</v>
      </c>
      <c r="E232">
        <v>59</v>
      </c>
      <c r="F232">
        <v>661</v>
      </c>
    </row>
    <row r="233" spans="1:6" x14ac:dyDescent="0.25">
      <c r="A233">
        <v>232</v>
      </c>
      <c r="B233">
        <v>232</v>
      </c>
      <c r="C233">
        <v>25124</v>
      </c>
      <c r="D233">
        <v>378</v>
      </c>
      <c r="E233">
        <v>29</v>
      </c>
      <c r="F233">
        <v>657</v>
      </c>
    </row>
    <row r="234" spans="1:6" x14ac:dyDescent="0.25">
      <c r="A234">
        <v>233</v>
      </c>
      <c r="B234">
        <v>233</v>
      </c>
      <c r="C234">
        <v>15741</v>
      </c>
      <c r="D234">
        <v>360</v>
      </c>
      <c r="E234">
        <v>39</v>
      </c>
      <c r="F234">
        <v>689</v>
      </c>
    </row>
    <row r="235" spans="1:6" hidden="1" x14ac:dyDescent="0.25">
      <c r="A235">
        <v>234</v>
      </c>
      <c r="B235">
        <v>234</v>
      </c>
      <c r="C235">
        <v>11603</v>
      </c>
      <c r="D235">
        <v>187</v>
      </c>
      <c r="E235">
        <v>71</v>
      </c>
      <c r="F235">
        <v>0</v>
      </c>
    </row>
    <row r="236" spans="1:6" x14ac:dyDescent="0.25">
      <c r="A236">
        <v>235</v>
      </c>
      <c r="B236">
        <v>235</v>
      </c>
      <c r="C236">
        <v>69656</v>
      </c>
      <c r="D236">
        <v>579</v>
      </c>
      <c r="E236">
        <v>41</v>
      </c>
      <c r="F236">
        <v>1329</v>
      </c>
    </row>
    <row r="237" spans="1:6" x14ac:dyDescent="0.25">
      <c r="A237">
        <v>236</v>
      </c>
      <c r="B237">
        <v>236</v>
      </c>
      <c r="C237">
        <v>10503</v>
      </c>
      <c r="D237">
        <v>232</v>
      </c>
      <c r="E237">
        <v>25</v>
      </c>
      <c r="F237">
        <v>191</v>
      </c>
    </row>
    <row r="238" spans="1:6" x14ac:dyDescent="0.25">
      <c r="A238">
        <v>237</v>
      </c>
      <c r="B238">
        <v>237</v>
      </c>
      <c r="C238">
        <v>42529</v>
      </c>
      <c r="D238">
        <v>369</v>
      </c>
      <c r="E238">
        <v>37</v>
      </c>
      <c r="F238">
        <v>489</v>
      </c>
    </row>
    <row r="239" spans="1:6" x14ac:dyDescent="0.25">
      <c r="A239">
        <v>238</v>
      </c>
      <c r="B239">
        <v>238</v>
      </c>
      <c r="C239">
        <v>60579</v>
      </c>
      <c r="D239">
        <v>388</v>
      </c>
      <c r="E239">
        <v>38</v>
      </c>
      <c r="F239">
        <v>443</v>
      </c>
    </row>
    <row r="240" spans="1:6" x14ac:dyDescent="0.25">
      <c r="A240">
        <v>239</v>
      </c>
      <c r="B240">
        <v>239</v>
      </c>
      <c r="C240">
        <v>26532</v>
      </c>
      <c r="D240">
        <v>236</v>
      </c>
      <c r="E240">
        <v>58</v>
      </c>
      <c r="F240">
        <v>52</v>
      </c>
    </row>
    <row r="241" spans="1:6" x14ac:dyDescent="0.25">
      <c r="A241">
        <v>240</v>
      </c>
      <c r="B241">
        <v>240</v>
      </c>
      <c r="C241">
        <v>27952</v>
      </c>
      <c r="D241">
        <v>263</v>
      </c>
      <c r="E241">
        <v>35</v>
      </c>
      <c r="F241">
        <v>163</v>
      </c>
    </row>
    <row r="242" spans="1:6" x14ac:dyDescent="0.25">
      <c r="A242">
        <v>241</v>
      </c>
      <c r="B242">
        <v>241</v>
      </c>
      <c r="C242">
        <v>29705</v>
      </c>
      <c r="D242">
        <v>262</v>
      </c>
      <c r="E242">
        <v>71</v>
      </c>
      <c r="F242">
        <v>148</v>
      </c>
    </row>
    <row r="243" spans="1:6" hidden="1" x14ac:dyDescent="0.25">
      <c r="A243">
        <v>242</v>
      </c>
      <c r="B243">
        <v>242</v>
      </c>
      <c r="C243">
        <v>15602</v>
      </c>
      <c r="D243">
        <v>103</v>
      </c>
      <c r="E243">
        <v>36</v>
      </c>
      <c r="F243">
        <v>0</v>
      </c>
    </row>
    <row r="244" spans="1:6" x14ac:dyDescent="0.25">
      <c r="A244">
        <v>243</v>
      </c>
      <c r="B244">
        <v>243</v>
      </c>
      <c r="C244">
        <v>20918</v>
      </c>
      <c r="D244">
        <v>128</v>
      </c>
      <c r="E244">
        <v>47</v>
      </c>
      <c r="F244">
        <v>16</v>
      </c>
    </row>
    <row r="245" spans="1:6" x14ac:dyDescent="0.25">
      <c r="A245">
        <v>244</v>
      </c>
      <c r="B245">
        <v>244</v>
      </c>
      <c r="C245">
        <v>58165</v>
      </c>
      <c r="D245">
        <v>460</v>
      </c>
      <c r="E245">
        <v>56</v>
      </c>
      <c r="F245">
        <v>856</v>
      </c>
    </row>
    <row r="246" spans="1:6" hidden="1" x14ac:dyDescent="0.25">
      <c r="A246">
        <v>245</v>
      </c>
      <c r="B246">
        <v>245</v>
      </c>
      <c r="C246">
        <v>22561</v>
      </c>
      <c r="D246">
        <v>147</v>
      </c>
      <c r="E246">
        <v>66</v>
      </c>
      <c r="F246">
        <v>0</v>
      </c>
    </row>
    <row r="247" spans="1:6" hidden="1" x14ac:dyDescent="0.25">
      <c r="A247">
        <v>246</v>
      </c>
      <c r="B247">
        <v>246</v>
      </c>
      <c r="C247">
        <v>34509</v>
      </c>
      <c r="D247">
        <v>189</v>
      </c>
      <c r="E247">
        <v>80</v>
      </c>
      <c r="F247">
        <v>0</v>
      </c>
    </row>
    <row r="248" spans="1:6" x14ac:dyDescent="0.25">
      <c r="A248">
        <v>247</v>
      </c>
      <c r="B248">
        <v>247</v>
      </c>
      <c r="C248">
        <v>19588</v>
      </c>
      <c r="D248">
        <v>265</v>
      </c>
      <c r="E248">
        <v>59</v>
      </c>
      <c r="F248">
        <v>199</v>
      </c>
    </row>
    <row r="249" spans="1:6" hidden="1" x14ac:dyDescent="0.25">
      <c r="A249">
        <v>248</v>
      </c>
      <c r="B249">
        <v>248</v>
      </c>
      <c r="C249">
        <v>36364</v>
      </c>
      <c r="D249">
        <v>188</v>
      </c>
      <c r="E249">
        <v>50</v>
      </c>
      <c r="F249">
        <v>0</v>
      </c>
    </row>
    <row r="250" spans="1:6" hidden="1" x14ac:dyDescent="0.25">
      <c r="A250">
        <v>249</v>
      </c>
      <c r="B250">
        <v>249</v>
      </c>
      <c r="C250">
        <v>15717</v>
      </c>
      <c r="D250">
        <v>93</v>
      </c>
      <c r="E250">
        <v>38</v>
      </c>
      <c r="F250">
        <v>0</v>
      </c>
    </row>
    <row r="251" spans="1:6" x14ac:dyDescent="0.25">
      <c r="A251">
        <v>250</v>
      </c>
      <c r="B251">
        <v>250</v>
      </c>
      <c r="C251">
        <v>22574</v>
      </c>
      <c r="D251">
        <v>134</v>
      </c>
      <c r="E251">
        <v>43</v>
      </c>
      <c r="F251">
        <v>98</v>
      </c>
    </row>
    <row r="252" spans="1:6" hidden="1" x14ac:dyDescent="0.25">
      <c r="A252">
        <v>251</v>
      </c>
      <c r="B252">
        <v>251</v>
      </c>
      <c r="C252">
        <v>10363</v>
      </c>
      <c r="D252">
        <v>191</v>
      </c>
      <c r="E252">
        <v>47</v>
      </c>
      <c r="F252">
        <v>0</v>
      </c>
    </row>
    <row r="253" spans="1:6" x14ac:dyDescent="0.25">
      <c r="A253">
        <v>252</v>
      </c>
      <c r="B253">
        <v>252</v>
      </c>
      <c r="C253">
        <v>28474</v>
      </c>
      <c r="D253">
        <v>267</v>
      </c>
      <c r="E253">
        <v>66</v>
      </c>
      <c r="F253">
        <v>132</v>
      </c>
    </row>
    <row r="254" spans="1:6" x14ac:dyDescent="0.25">
      <c r="A254">
        <v>253</v>
      </c>
      <c r="B254">
        <v>253</v>
      </c>
      <c r="C254">
        <v>72945</v>
      </c>
      <c r="D254">
        <v>621</v>
      </c>
      <c r="E254">
        <v>64</v>
      </c>
      <c r="F254">
        <v>1355</v>
      </c>
    </row>
    <row r="255" spans="1:6" x14ac:dyDescent="0.25">
      <c r="A255">
        <v>254</v>
      </c>
      <c r="B255">
        <v>254</v>
      </c>
      <c r="C255">
        <v>85425</v>
      </c>
      <c r="D255">
        <v>402</v>
      </c>
      <c r="E255">
        <v>60</v>
      </c>
      <c r="F255">
        <v>218</v>
      </c>
    </row>
    <row r="256" spans="1:6" x14ac:dyDescent="0.25">
      <c r="A256">
        <v>255</v>
      </c>
      <c r="B256">
        <v>255</v>
      </c>
      <c r="C256">
        <v>36508</v>
      </c>
      <c r="D256">
        <v>469</v>
      </c>
      <c r="E256">
        <v>79</v>
      </c>
      <c r="F256">
        <v>1048</v>
      </c>
    </row>
    <row r="257" spans="1:6" x14ac:dyDescent="0.25">
      <c r="A257">
        <v>256</v>
      </c>
      <c r="B257">
        <v>256</v>
      </c>
      <c r="C257">
        <v>58063</v>
      </c>
      <c r="D257">
        <v>304</v>
      </c>
      <c r="E257">
        <v>50</v>
      </c>
      <c r="F257">
        <v>118</v>
      </c>
    </row>
    <row r="258" spans="1:6" hidden="1" x14ac:dyDescent="0.25">
      <c r="A258">
        <v>257</v>
      </c>
      <c r="B258">
        <v>257</v>
      </c>
      <c r="C258">
        <v>25936</v>
      </c>
      <c r="D258">
        <v>135</v>
      </c>
      <c r="E258">
        <v>71</v>
      </c>
      <c r="F258">
        <v>0</v>
      </c>
    </row>
    <row r="259" spans="1:6" hidden="1" x14ac:dyDescent="0.25">
      <c r="A259">
        <v>258</v>
      </c>
      <c r="B259">
        <v>258</v>
      </c>
      <c r="C259">
        <v>15629</v>
      </c>
      <c r="D259">
        <v>186</v>
      </c>
      <c r="E259">
        <v>60</v>
      </c>
      <c r="F259">
        <v>0</v>
      </c>
    </row>
    <row r="260" spans="1:6" hidden="1" x14ac:dyDescent="0.25">
      <c r="A260">
        <v>259</v>
      </c>
      <c r="B260">
        <v>259</v>
      </c>
      <c r="C260">
        <v>414</v>
      </c>
      <c r="D260">
        <v>215</v>
      </c>
      <c r="E260">
        <v>36</v>
      </c>
      <c r="F260">
        <v>0</v>
      </c>
    </row>
    <row r="261" spans="1:6" x14ac:dyDescent="0.25">
      <c r="A261">
        <v>260</v>
      </c>
      <c r="B261">
        <v>260</v>
      </c>
      <c r="C261">
        <v>33657</v>
      </c>
      <c r="D261">
        <v>450</v>
      </c>
      <c r="E261">
        <v>55</v>
      </c>
      <c r="F261">
        <v>1092</v>
      </c>
    </row>
    <row r="262" spans="1:6" x14ac:dyDescent="0.25">
      <c r="A262">
        <v>261</v>
      </c>
      <c r="B262">
        <v>261</v>
      </c>
      <c r="C262">
        <v>67937</v>
      </c>
      <c r="D262">
        <v>383</v>
      </c>
      <c r="E262">
        <v>63</v>
      </c>
      <c r="F262">
        <v>345</v>
      </c>
    </row>
    <row r="263" spans="1:6" x14ac:dyDescent="0.25">
      <c r="A263">
        <v>262</v>
      </c>
      <c r="B263">
        <v>262</v>
      </c>
      <c r="C263">
        <v>180379</v>
      </c>
      <c r="D263">
        <v>665</v>
      </c>
      <c r="E263">
        <v>67</v>
      </c>
      <c r="F263">
        <v>1050</v>
      </c>
    </row>
    <row r="264" spans="1:6" x14ac:dyDescent="0.25">
      <c r="A264">
        <v>263</v>
      </c>
      <c r="B264">
        <v>263</v>
      </c>
      <c r="C264">
        <v>10588</v>
      </c>
      <c r="D264">
        <v>296</v>
      </c>
      <c r="E264">
        <v>66</v>
      </c>
      <c r="F264">
        <v>465</v>
      </c>
    </row>
    <row r="265" spans="1:6" x14ac:dyDescent="0.25">
      <c r="A265">
        <v>264</v>
      </c>
      <c r="B265">
        <v>264</v>
      </c>
      <c r="C265">
        <v>29725</v>
      </c>
      <c r="D265">
        <v>270</v>
      </c>
      <c r="E265">
        <v>52</v>
      </c>
      <c r="F265">
        <v>133</v>
      </c>
    </row>
    <row r="266" spans="1:6" x14ac:dyDescent="0.25">
      <c r="A266">
        <v>265</v>
      </c>
      <c r="B266">
        <v>265</v>
      </c>
      <c r="C266">
        <v>27999</v>
      </c>
      <c r="D266">
        <v>380</v>
      </c>
      <c r="E266">
        <v>55</v>
      </c>
      <c r="F266">
        <v>651</v>
      </c>
    </row>
    <row r="267" spans="1:6" x14ac:dyDescent="0.25">
      <c r="A267">
        <v>266</v>
      </c>
      <c r="B267">
        <v>266</v>
      </c>
      <c r="C267">
        <v>40885</v>
      </c>
      <c r="D267">
        <v>379</v>
      </c>
      <c r="E267">
        <v>46</v>
      </c>
      <c r="F267">
        <v>549</v>
      </c>
    </row>
    <row r="268" spans="1:6" x14ac:dyDescent="0.25">
      <c r="A268">
        <v>267</v>
      </c>
      <c r="B268">
        <v>267</v>
      </c>
      <c r="C268">
        <v>8883</v>
      </c>
      <c r="D268">
        <v>360</v>
      </c>
      <c r="E268">
        <v>86</v>
      </c>
      <c r="F268">
        <v>15</v>
      </c>
    </row>
    <row r="269" spans="1:6" x14ac:dyDescent="0.25">
      <c r="A269">
        <v>268</v>
      </c>
      <c r="B269">
        <v>268</v>
      </c>
      <c r="C269">
        <v>29638</v>
      </c>
      <c r="D269">
        <v>433</v>
      </c>
      <c r="E269">
        <v>29</v>
      </c>
      <c r="F269">
        <v>942</v>
      </c>
    </row>
    <row r="270" spans="1:6" hidden="1" x14ac:dyDescent="0.25">
      <c r="A270">
        <v>269</v>
      </c>
      <c r="B270">
        <v>269</v>
      </c>
      <c r="C270">
        <v>25988</v>
      </c>
      <c r="D270">
        <v>142</v>
      </c>
      <c r="E270">
        <v>82</v>
      </c>
      <c r="F270">
        <v>0</v>
      </c>
    </row>
    <row r="271" spans="1:6" x14ac:dyDescent="0.25">
      <c r="A271">
        <v>270</v>
      </c>
      <c r="B271">
        <v>270</v>
      </c>
      <c r="C271">
        <v>39055</v>
      </c>
      <c r="D271">
        <v>410</v>
      </c>
      <c r="E271">
        <v>48</v>
      </c>
      <c r="F271">
        <v>772</v>
      </c>
    </row>
    <row r="272" spans="1:6" x14ac:dyDescent="0.25">
      <c r="A272">
        <v>271</v>
      </c>
      <c r="B272">
        <v>271</v>
      </c>
      <c r="C272">
        <v>15866</v>
      </c>
      <c r="D272">
        <v>217</v>
      </c>
      <c r="E272">
        <v>39</v>
      </c>
      <c r="F272">
        <v>136</v>
      </c>
    </row>
    <row r="273" spans="1:6" x14ac:dyDescent="0.25">
      <c r="A273">
        <v>272</v>
      </c>
      <c r="B273">
        <v>272</v>
      </c>
      <c r="C273">
        <v>44978</v>
      </c>
      <c r="D273">
        <v>347</v>
      </c>
      <c r="E273">
        <v>30</v>
      </c>
      <c r="F273">
        <v>436</v>
      </c>
    </row>
    <row r="274" spans="1:6" x14ac:dyDescent="0.25">
      <c r="A274">
        <v>273</v>
      </c>
      <c r="B274">
        <v>273</v>
      </c>
      <c r="C274">
        <v>30413</v>
      </c>
      <c r="D274">
        <v>299</v>
      </c>
      <c r="E274">
        <v>25</v>
      </c>
      <c r="F274">
        <v>728</v>
      </c>
    </row>
    <row r="275" spans="1:6" x14ac:dyDescent="0.25">
      <c r="A275">
        <v>274</v>
      </c>
      <c r="B275">
        <v>274</v>
      </c>
      <c r="C275">
        <v>16751</v>
      </c>
      <c r="D275">
        <v>353</v>
      </c>
      <c r="E275">
        <v>48</v>
      </c>
      <c r="F275">
        <v>1255</v>
      </c>
    </row>
    <row r="276" spans="1:6" x14ac:dyDescent="0.25">
      <c r="A276">
        <v>275</v>
      </c>
      <c r="B276">
        <v>275</v>
      </c>
      <c r="C276">
        <v>3055</v>
      </c>
      <c r="D276">
        <v>439</v>
      </c>
      <c r="E276">
        <v>81</v>
      </c>
      <c r="F276">
        <v>967</v>
      </c>
    </row>
    <row r="277" spans="1:6" x14ac:dyDescent="0.25">
      <c r="A277">
        <v>276</v>
      </c>
      <c r="B277">
        <v>276</v>
      </c>
      <c r="C277">
        <v>163329</v>
      </c>
      <c r="D277">
        <v>636</v>
      </c>
      <c r="E277">
        <v>50</v>
      </c>
      <c r="F277">
        <v>529</v>
      </c>
    </row>
    <row r="278" spans="1:6" x14ac:dyDescent="0.25">
      <c r="A278">
        <v>277</v>
      </c>
      <c r="B278">
        <v>277</v>
      </c>
      <c r="C278">
        <v>23106</v>
      </c>
      <c r="D278">
        <v>257</v>
      </c>
      <c r="E278">
        <v>50</v>
      </c>
      <c r="F278">
        <v>209</v>
      </c>
    </row>
    <row r="279" spans="1:6" x14ac:dyDescent="0.25">
      <c r="A279">
        <v>278</v>
      </c>
      <c r="B279">
        <v>278</v>
      </c>
      <c r="C279">
        <v>41532</v>
      </c>
      <c r="D279">
        <v>353</v>
      </c>
      <c r="E279">
        <v>50</v>
      </c>
      <c r="F279">
        <v>531</v>
      </c>
    </row>
    <row r="280" spans="1:6" x14ac:dyDescent="0.25">
      <c r="A280">
        <v>279</v>
      </c>
      <c r="B280">
        <v>279</v>
      </c>
      <c r="C280">
        <v>12804</v>
      </c>
      <c r="D280">
        <v>518</v>
      </c>
      <c r="E280">
        <v>78</v>
      </c>
      <c r="F280">
        <v>250</v>
      </c>
    </row>
    <row r="281" spans="1:6" x14ac:dyDescent="0.25">
      <c r="A281">
        <v>280</v>
      </c>
      <c r="B281">
        <v>280</v>
      </c>
      <c r="C281">
        <v>54319</v>
      </c>
      <c r="D281">
        <v>248</v>
      </c>
      <c r="E281">
        <v>59</v>
      </c>
      <c r="F281">
        <v>269</v>
      </c>
    </row>
    <row r="282" spans="1:6" x14ac:dyDescent="0.25">
      <c r="A282">
        <v>281</v>
      </c>
      <c r="B282">
        <v>281</v>
      </c>
      <c r="C282">
        <v>53401</v>
      </c>
      <c r="D282">
        <v>377</v>
      </c>
      <c r="E282">
        <v>35</v>
      </c>
      <c r="F282">
        <v>541</v>
      </c>
    </row>
    <row r="283" spans="1:6" hidden="1" x14ac:dyDescent="0.25">
      <c r="A283">
        <v>282</v>
      </c>
      <c r="B283">
        <v>282</v>
      </c>
      <c r="C283">
        <v>36142</v>
      </c>
      <c r="D283">
        <v>183</v>
      </c>
      <c r="E283">
        <v>33</v>
      </c>
      <c r="F283">
        <v>0</v>
      </c>
    </row>
    <row r="284" spans="1:6" x14ac:dyDescent="0.25">
      <c r="A284">
        <v>283</v>
      </c>
      <c r="B284">
        <v>283</v>
      </c>
      <c r="C284">
        <v>63534</v>
      </c>
      <c r="D284">
        <v>581</v>
      </c>
      <c r="E284">
        <v>50</v>
      </c>
      <c r="F284">
        <v>1298</v>
      </c>
    </row>
    <row r="285" spans="1:6" x14ac:dyDescent="0.25">
      <c r="A285">
        <v>284</v>
      </c>
      <c r="B285">
        <v>284</v>
      </c>
      <c r="C285">
        <v>49927</v>
      </c>
      <c r="D285">
        <v>485</v>
      </c>
      <c r="E285">
        <v>75</v>
      </c>
      <c r="F285">
        <v>890</v>
      </c>
    </row>
    <row r="286" spans="1:6" hidden="1" x14ac:dyDescent="0.25">
      <c r="A286">
        <v>285</v>
      </c>
      <c r="B286">
        <v>285</v>
      </c>
      <c r="C286">
        <v>14711</v>
      </c>
      <c r="D286">
        <v>167</v>
      </c>
      <c r="E286">
        <v>67</v>
      </c>
      <c r="F286">
        <v>0</v>
      </c>
    </row>
    <row r="287" spans="1:6" hidden="1" x14ac:dyDescent="0.25">
      <c r="A287">
        <v>286</v>
      </c>
      <c r="B287">
        <v>286</v>
      </c>
      <c r="C287">
        <v>18967</v>
      </c>
      <c r="D287">
        <v>156</v>
      </c>
      <c r="E287">
        <v>41</v>
      </c>
      <c r="F287">
        <v>0</v>
      </c>
    </row>
    <row r="288" spans="1:6" hidden="1" x14ac:dyDescent="0.25">
      <c r="A288">
        <v>287</v>
      </c>
      <c r="B288">
        <v>287</v>
      </c>
      <c r="C288">
        <v>18036</v>
      </c>
      <c r="D288">
        <v>142</v>
      </c>
      <c r="E288">
        <v>48</v>
      </c>
      <c r="F288">
        <v>0</v>
      </c>
    </row>
    <row r="289" spans="1:6" hidden="1" x14ac:dyDescent="0.25">
      <c r="A289">
        <v>288</v>
      </c>
      <c r="B289">
        <v>288</v>
      </c>
      <c r="C289">
        <v>60449</v>
      </c>
      <c r="D289">
        <v>272</v>
      </c>
      <c r="E289">
        <v>69</v>
      </c>
      <c r="F289">
        <v>0</v>
      </c>
    </row>
    <row r="290" spans="1:6" x14ac:dyDescent="0.25">
      <c r="A290">
        <v>289</v>
      </c>
      <c r="B290">
        <v>289</v>
      </c>
      <c r="C290">
        <v>16711</v>
      </c>
      <c r="D290">
        <v>387</v>
      </c>
      <c r="E290">
        <v>42</v>
      </c>
      <c r="F290">
        <v>863</v>
      </c>
    </row>
    <row r="291" spans="1:6" x14ac:dyDescent="0.25">
      <c r="A291">
        <v>290</v>
      </c>
      <c r="B291">
        <v>290</v>
      </c>
      <c r="C291">
        <v>10852</v>
      </c>
      <c r="D291">
        <v>296</v>
      </c>
      <c r="E291">
        <v>30</v>
      </c>
      <c r="F291">
        <v>485</v>
      </c>
    </row>
    <row r="292" spans="1:6" x14ac:dyDescent="0.25">
      <c r="A292">
        <v>291</v>
      </c>
      <c r="B292">
        <v>291</v>
      </c>
      <c r="C292">
        <v>2637</v>
      </c>
      <c r="D292">
        <v>268</v>
      </c>
      <c r="E292">
        <v>78</v>
      </c>
      <c r="F292">
        <v>159</v>
      </c>
    </row>
    <row r="293" spans="1:6" x14ac:dyDescent="0.25">
      <c r="A293">
        <v>292</v>
      </c>
      <c r="B293">
        <v>292</v>
      </c>
      <c r="C293">
        <v>24088</v>
      </c>
      <c r="D293">
        <v>287</v>
      </c>
      <c r="E293">
        <v>56</v>
      </c>
      <c r="F293">
        <v>309</v>
      </c>
    </row>
    <row r="294" spans="1:6" x14ac:dyDescent="0.25">
      <c r="A294">
        <v>293</v>
      </c>
      <c r="B294">
        <v>293</v>
      </c>
      <c r="C294">
        <v>51532</v>
      </c>
      <c r="D294">
        <v>380</v>
      </c>
      <c r="E294">
        <v>31</v>
      </c>
      <c r="F294">
        <v>481</v>
      </c>
    </row>
    <row r="295" spans="1:6" x14ac:dyDescent="0.25">
      <c r="A295">
        <v>294</v>
      </c>
      <c r="B295">
        <v>294</v>
      </c>
      <c r="C295">
        <v>140672</v>
      </c>
      <c r="D295">
        <v>817</v>
      </c>
      <c r="E295">
        <v>46</v>
      </c>
      <c r="F295">
        <v>1677</v>
      </c>
    </row>
    <row r="296" spans="1:6" hidden="1" x14ac:dyDescent="0.25">
      <c r="A296">
        <v>295</v>
      </c>
      <c r="B296">
        <v>295</v>
      </c>
      <c r="C296">
        <v>42915</v>
      </c>
      <c r="D296">
        <v>205</v>
      </c>
      <c r="E296">
        <v>42</v>
      </c>
      <c r="F296">
        <v>0</v>
      </c>
    </row>
    <row r="297" spans="1:6" hidden="1" x14ac:dyDescent="0.25">
      <c r="A297">
        <v>296</v>
      </c>
      <c r="B297">
        <v>296</v>
      </c>
      <c r="C297">
        <v>27272</v>
      </c>
      <c r="D297">
        <v>149</v>
      </c>
      <c r="E297">
        <v>67</v>
      </c>
      <c r="F297">
        <v>0</v>
      </c>
    </row>
    <row r="298" spans="1:6" x14ac:dyDescent="0.25">
      <c r="A298">
        <v>297</v>
      </c>
      <c r="B298">
        <v>297</v>
      </c>
      <c r="C298">
        <v>65896</v>
      </c>
      <c r="D298">
        <v>370</v>
      </c>
      <c r="E298">
        <v>49</v>
      </c>
      <c r="F298">
        <v>293</v>
      </c>
    </row>
    <row r="299" spans="1:6" x14ac:dyDescent="0.25">
      <c r="A299">
        <v>298</v>
      </c>
      <c r="B299">
        <v>298</v>
      </c>
      <c r="C299">
        <v>55054</v>
      </c>
      <c r="D299">
        <v>321</v>
      </c>
      <c r="E299">
        <v>74</v>
      </c>
      <c r="F299">
        <v>188</v>
      </c>
    </row>
    <row r="300" spans="1:6" hidden="1" x14ac:dyDescent="0.25">
      <c r="A300">
        <v>299</v>
      </c>
      <c r="B300">
        <v>299</v>
      </c>
      <c r="C300">
        <v>20791</v>
      </c>
      <c r="D300">
        <v>204</v>
      </c>
      <c r="E300">
        <v>70</v>
      </c>
      <c r="F300">
        <v>0</v>
      </c>
    </row>
    <row r="301" spans="1:6" x14ac:dyDescent="0.25">
      <c r="A301">
        <v>300</v>
      </c>
      <c r="B301">
        <v>300</v>
      </c>
      <c r="C301">
        <v>24919</v>
      </c>
      <c r="D301">
        <v>372</v>
      </c>
      <c r="E301">
        <v>76</v>
      </c>
      <c r="F301">
        <v>711</v>
      </c>
    </row>
    <row r="302" spans="1:6" x14ac:dyDescent="0.25">
      <c r="A302">
        <v>301</v>
      </c>
      <c r="B302">
        <v>301</v>
      </c>
      <c r="C302">
        <v>21786</v>
      </c>
      <c r="D302">
        <v>355</v>
      </c>
      <c r="E302">
        <v>50</v>
      </c>
      <c r="F302">
        <v>580</v>
      </c>
    </row>
    <row r="303" spans="1:6" x14ac:dyDescent="0.25">
      <c r="A303">
        <v>302</v>
      </c>
      <c r="B303">
        <v>302</v>
      </c>
      <c r="C303">
        <v>31335</v>
      </c>
      <c r="D303">
        <v>289</v>
      </c>
      <c r="E303">
        <v>38</v>
      </c>
      <c r="F303">
        <v>172</v>
      </c>
    </row>
    <row r="304" spans="1:6" x14ac:dyDescent="0.25">
      <c r="A304">
        <v>303</v>
      </c>
      <c r="B304">
        <v>303</v>
      </c>
      <c r="C304">
        <v>59855</v>
      </c>
      <c r="D304">
        <v>365</v>
      </c>
      <c r="E304">
        <v>46</v>
      </c>
      <c r="F304">
        <v>295</v>
      </c>
    </row>
    <row r="305" spans="1:6" x14ac:dyDescent="0.25">
      <c r="A305">
        <v>304</v>
      </c>
      <c r="B305">
        <v>304</v>
      </c>
      <c r="C305">
        <v>44061</v>
      </c>
      <c r="D305">
        <v>352</v>
      </c>
      <c r="E305">
        <v>79</v>
      </c>
      <c r="F305">
        <v>414</v>
      </c>
    </row>
    <row r="306" spans="1:6" x14ac:dyDescent="0.25">
      <c r="A306">
        <v>305</v>
      </c>
      <c r="B306">
        <v>305</v>
      </c>
      <c r="C306">
        <v>82706</v>
      </c>
      <c r="D306">
        <v>536</v>
      </c>
      <c r="E306">
        <v>64</v>
      </c>
      <c r="F306">
        <v>905</v>
      </c>
    </row>
    <row r="307" spans="1:6" hidden="1" x14ac:dyDescent="0.25">
      <c r="A307">
        <v>306</v>
      </c>
      <c r="B307">
        <v>306</v>
      </c>
      <c r="C307">
        <v>2446</v>
      </c>
      <c r="D307">
        <v>165</v>
      </c>
      <c r="E307">
        <v>50</v>
      </c>
      <c r="F307">
        <v>0</v>
      </c>
    </row>
    <row r="308" spans="1:6" x14ac:dyDescent="0.25">
      <c r="A308">
        <v>307</v>
      </c>
      <c r="B308">
        <v>307</v>
      </c>
      <c r="C308">
        <v>4512</v>
      </c>
      <c r="D308">
        <v>287</v>
      </c>
      <c r="E308">
        <v>80</v>
      </c>
      <c r="F308">
        <v>70</v>
      </c>
    </row>
    <row r="309" spans="1:6" hidden="1" x14ac:dyDescent="0.25">
      <c r="A309">
        <v>308</v>
      </c>
      <c r="B309">
        <v>308</v>
      </c>
      <c r="C309">
        <v>75406</v>
      </c>
      <c r="D309">
        <v>298</v>
      </c>
      <c r="E309">
        <v>41</v>
      </c>
      <c r="F309">
        <v>0</v>
      </c>
    </row>
    <row r="310" spans="1:6" x14ac:dyDescent="0.25">
      <c r="A310">
        <v>309</v>
      </c>
      <c r="B310">
        <v>309</v>
      </c>
      <c r="C310">
        <v>14956</v>
      </c>
      <c r="D310">
        <v>332</v>
      </c>
      <c r="E310">
        <v>33</v>
      </c>
      <c r="F310">
        <v>681</v>
      </c>
    </row>
    <row r="311" spans="1:6" x14ac:dyDescent="0.25">
      <c r="A311">
        <v>310</v>
      </c>
      <c r="B311">
        <v>310</v>
      </c>
      <c r="C311">
        <v>75257</v>
      </c>
      <c r="D311">
        <v>494</v>
      </c>
      <c r="E311">
        <v>34</v>
      </c>
      <c r="F311">
        <v>885</v>
      </c>
    </row>
    <row r="312" spans="1:6" x14ac:dyDescent="0.25">
      <c r="A312">
        <v>311</v>
      </c>
      <c r="B312">
        <v>311</v>
      </c>
      <c r="C312">
        <v>33694</v>
      </c>
      <c r="D312">
        <v>369</v>
      </c>
      <c r="E312">
        <v>52</v>
      </c>
      <c r="F312">
        <v>1036</v>
      </c>
    </row>
    <row r="313" spans="1:6" x14ac:dyDescent="0.25">
      <c r="A313">
        <v>312</v>
      </c>
      <c r="B313">
        <v>312</v>
      </c>
      <c r="C313">
        <v>23375</v>
      </c>
      <c r="D313">
        <v>396</v>
      </c>
      <c r="E313">
        <v>57</v>
      </c>
      <c r="F313">
        <v>844</v>
      </c>
    </row>
    <row r="314" spans="1:6" x14ac:dyDescent="0.25">
      <c r="A314">
        <v>313</v>
      </c>
      <c r="B314">
        <v>313</v>
      </c>
      <c r="C314">
        <v>27825</v>
      </c>
      <c r="D314">
        <v>386</v>
      </c>
      <c r="E314">
        <v>63</v>
      </c>
      <c r="F314">
        <v>823</v>
      </c>
    </row>
    <row r="315" spans="1:6" x14ac:dyDescent="0.25">
      <c r="A315">
        <v>314</v>
      </c>
      <c r="B315">
        <v>314</v>
      </c>
      <c r="C315">
        <v>92386</v>
      </c>
      <c r="D315">
        <v>534</v>
      </c>
      <c r="E315">
        <v>75</v>
      </c>
      <c r="F315">
        <v>843</v>
      </c>
    </row>
    <row r="316" spans="1:6" x14ac:dyDescent="0.25">
      <c r="A316">
        <v>315</v>
      </c>
      <c r="B316">
        <v>315</v>
      </c>
      <c r="C316">
        <v>11552</v>
      </c>
      <c r="D316">
        <v>656</v>
      </c>
      <c r="E316">
        <v>69</v>
      </c>
      <c r="F316">
        <v>1140</v>
      </c>
    </row>
    <row r="317" spans="1:6" x14ac:dyDescent="0.25">
      <c r="A317">
        <v>316</v>
      </c>
      <c r="B317">
        <v>316</v>
      </c>
      <c r="C317">
        <v>14479</v>
      </c>
      <c r="D317">
        <v>296</v>
      </c>
      <c r="E317">
        <v>43</v>
      </c>
      <c r="F317">
        <v>463</v>
      </c>
    </row>
    <row r="318" spans="1:6" x14ac:dyDescent="0.25">
      <c r="A318">
        <v>317</v>
      </c>
      <c r="B318">
        <v>317</v>
      </c>
      <c r="C318">
        <v>52179</v>
      </c>
      <c r="D318">
        <v>522</v>
      </c>
      <c r="E318">
        <v>57</v>
      </c>
      <c r="F318">
        <v>1142</v>
      </c>
    </row>
    <row r="319" spans="1:6" x14ac:dyDescent="0.25">
      <c r="A319">
        <v>318</v>
      </c>
      <c r="B319">
        <v>318</v>
      </c>
      <c r="C319">
        <v>68462</v>
      </c>
      <c r="D319">
        <v>340</v>
      </c>
      <c r="E319">
        <v>71</v>
      </c>
      <c r="F319">
        <v>136</v>
      </c>
    </row>
    <row r="320" spans="1:6" hidden="1" x14ac:dyDescent="0.25">
      <c r="A320">
        <v>319</v>
      </c>
      <c r="B320">
        <v>319</v>
      </c>
      <c r="C320">
        <v>18951</v>
      </c>
      <c r="D320">
        <v>129</v>
      </c>
      <c r="E320">
        <v>82</v>
      </c>
      <c r="F320">
        <v>0</v>
      </c>
    </row>
    <row r="321" spans="1:6" hidden="1" x14ac:dyDescent="0.25">
      <c r="A321">
        <v>320</v>
      </c>
      <c r="B321">
        <v>320</v>
      </c>
      <c r="C321">
        <v>2759</v>
      </c>
      <c r="D321">
        <v>229</v>
      </c>
      <c r="E321">
        <v>54</v>
      </c>
      <c r="F321">
        <v>0</v>
      </c>
    </row>
    <row r="322" spans="1:6" x14ac:dyDescent="0.25">
      <c r="A322">
        <v>321</v>
      </c>
      <c r="B322">
        <v>321</v>
      </c>
      <c r="C322">
        <v>16279</v>
      </c>
      <c r="D322">
        <v>126</v>
      </c>
      <c r="E322">
        <v>78</v>
      </c>
      <c r="F322">
        <v>5</v>
      </c>
    </row>
    <row r="323" spans="1:6" x14ac:dyDescent="0.25">
      <c r="A323">
        <v>322</v>
      </c>
      <c r="B323">
        <v>322</v>
      </c>
      <c r="C323">
        <v>25078</v>
      </c>
      <c r="D323">
        <v>236</v>
      </c>
      <c r="E323">
        <v>27</v>
      </c>
      <c r="F323">
        <v>81</v>
      </c>
    </row>
    <row r="324" spans="1:6" x14ac:dyDescent="0.25">
      <c r="A324">
        <v>323</v>
      </c>
      <c r="B324">
        <v>323</v>
      </c>
      <c r="C324">
        <v>27229</v>
      </c>
      <c r="D324">
        <v>282</v>
      </c>
      <c r="E324">
        <v>51</v>
      </c>
      <c r="F324">
        <v>265</v>
      </c>
    </row>
    <row r="325" spans="1:6" x14ac:dyDescent="0.25">
      <c r="A325">
        <v>324</v>
      </c>
      <c r="B325">
        <v>324</v>
      </c>
      <c r="C325">
        <v>182728</v>
      </c>
      <c r="D325">
        <v>982</v>
      </c>
      <c r="E325">
        <v>98</v>
      </c>
      <c r="F325">
        <v>1999</v>
      </c>
    </row>
    <row r="326" spans="1:6" x14ac:dyDescent="0.25">
      <c r="A326">
        <v>325</v>
      </c>
      <c r="B326">
        <v>325</v>
      </c>
      <c r="C326">
        <v>31029</v>
      </c>
      <c r="D326">
        <v>223</v>
      </c>
      <c r="E326">
        <v>66</v>
      </c>
      <c r="F326">
        <v>415</v>
      </c>
    </row>
    <row r="327" spans="1:6" x14ac:dyDescent="0.25">
      <c r="A327">
        <v>326</v>
      </c>
      <c r="B327">
        <v>326</v>
      </c>
      <c r="C327">
        <v>17765</v>
      </c>
      <c r="D327">
        <v>364</v>
      </c>
      <c r="E327">
        <v>66</v>
      </c>
      <c r="F327">
        <v>732</v>
      </c>
    </row>
    <row r="328" spans="1:6" x14ac:dyDescent="0.25">
      <c r="A328">
        <v>327</v>
      </c>
      <c r="B328">
        <v>327</v>
      </c>
      <c r="C328">
        <v>12548</v>
      </c>
      <c r="D328">
        <v>721</v>
      </c>
      <c r="E328">
        <v>82</v>
      </c>
      <c r="F328">
        <v>1361</v>
      </c>
    </row>
    <row r="329" spans="1:6" x14ac:dyDescent="0.25">
      <c r="A329">
        <v>328</v>
      </c>
      <c r="B329">
        <v>328</v>
      </c>
      <c r="C329">
        <v>49166</v>
      </c>
      <c r="D329">
        <v>508</v>
      </c>
      <c r="E329">
        <v>68</v>
      </c>
      <c r="F329">
        <v>984</v>
      </c>
    </row>
    <row r="330" spans="1:6" x14ac:dyDescent="0.25">
      <c r="A330">
        <v>329</v>
      </c>
      <c r="B330">
        <v>329</v>
      </c>
      <c r="C330">
        <v>41192</v>
      </c>
      <c r="D330">
        <v>297</v>
      </c>
      <c r="E330">
        <v>54</v>
      </c>
      <c r="F330">
        <v>121</v>
      </c>
    </row>
    <row r="331" spans="1:6" x14ac:dyDescent="0.25">
      <c r="A331">
        <v>330</v>
      </c>
      <c r="B331">
        <v>330</v>
      </c>
      <c r="C331">
        <v>94193</v>
      </c>
      <c r="D331">
        <v>527</v>
      </c>
      <c r="E331">
        <v>44</v>
      </c>
      <c r="F331">
        <v>846</v>
      </c>
    </row>
    <row r="332" spans="1:6" x14ac:dyDescent="0.25">
      <c r="A332">
        <v>331</v>
      </c>
      <c r="B332">
        <v>331</v>
      </c>
      <c r="C332">
        <v>20405</v>
      </c>
      <c r="D332">
        <v>329</v>
      </c>
      <c r="E332">
        <v>72</v>
      </c>
      <c r="F332">
        <v>1054</v>
      </c>
    </row>
    <row r="333" spans="1:6" x14ac:dyDescent="0.25">
      <c r="A333">
        <v>332</v>
      </c>
      <c r="B333">
        <v>332</v>
      </c>
      <c r="C333">
        <v>12581</v>
      </c>
      <c r="D333">
        <v>291</v>
      </c>
      <c r="E333">
        <v>48</v>
      </c>
      <c r="F333">
        <v>474</v>
      </c>
    </row>
    <row r="334" spans="1:6" x14ac:dyDescent="0.25">
      <c r="A334">
        <v>333</v>
      </c>
      <c r="B334">
        <v>333</v>
      </c>
      <c r="C334">
        <v>62328</v>
      </c>
      <c r="D334">
        <v>377</v>
      </c>
      <c r="E334">
        <v>83</v>
      </c>
      <c r="F334">
        <v>380</v>
      </c>
    </row>
    <row r="335" spans="1:6" x14ac:dyDescent="0.25">
      <c r="A335">
        <v>334</v>
      </c>
      <c r="B335">
        <v>334</v>
      </c>
      <c r="C335">
        <v>21011</v>
      </c>
      <c r="D335">
        <v>261</v>
      </c>
      <c r="E335">
        <v>68</v>
      </c>
      <c r="F335">
        <v>182</v>
      </c>
    </row>
    <row r="336" spans="1:6" x14ac:dyDescent="0.25">
      <c r="A336">
        <v>335</v>
      </c>
      <c r="B336">
        <v>335</v>
      </c>
      <c r="C336">
        <v>2423</v>
      </c>
      <c r="D336">
        <v>351</v>
      </c>
      <c r="E336">
        <v>64</v>
      </c>
      <c r="F336">
        <v>594</v>
      </c>
    </row>
    <row r="337" spans="1:6" x14ac:dyDescent="0.25">
      <c r="A337">
        <v>336</v>
      </c>
      <c r="B337">
        <v>336</v>
      </c>
      <c r="C337">
        <v>24314</v>
      </c>
      <c r="D337">
        <v>270</v>
      </c>
      <c r="E337">
        <v>23</v>
      </c>
      <c r="F337">
        <v>194</v>
      </c>
    </row>
    <row r="338" spans="1:6" x14ac:dyDescent="0.25">
      <c r="A338">
        <v>337</v>
      </c>
      <c r="B338">
        <v>337</v>
      </c>
      <c r="C338">
        <v>32856</v>
      </c>
      <c r="D338">
        <v>438</v>
      </c>
      <c r="E338">
        <v>68</v>
      </c>
      <c r="F338">
        <v>926</v>
      </c>
    </row>
    <row r="339" spans="1:6" hidden="1" x14ac:dyDescent="0.25">
      <c r="A339">
        <v>338</v>
      </c>
      <c r="B339">
        <v>338</v>
      </c>
      <c r="C339">
        <v>12414</v>
      </c>
      <c r="D339">
        <v>119</v>
      </c>
      <c r="E339">
        <v>32</v>
      </c>
      <c r="F339">
        <v>0</v>
      </c>
    </row>
    <row r="340" spans="1:6" x14ac:dyDescent="0.25">
      <c r="A340">
        <v>339</v>
      </c>
      <c r="B340">
        <v>339</v>
      </c>
      <c r="C340">
        <v>41365</v>
      </c>
      <c r="D340">
        <v>377</v>
      </c>
      <c r="E340">
        <v>45</v>
      </c>
      <c r="F340">
        <v>606</v>
      </c>
    </row>
    <row r="341" spans="1:6" x14ac:dyDescent="0.25">
      <c r="A341">
        <v>340</v>
      </c>
      <c r="B341">
        <v>340</v>
      </c>
      <c r="C341">
        <v>149316</v>
      </c>
      <c r="D341">
        <v>707</v>
      </c>
      <c r="E341">
        <v>80</v>
      </c>
      <c r="F341">
        <v>1107</v>
      </c>
    </row>
    <row r="342" spans="1:6" x14ac:dyDescent="0.25">
      <c r="A342">
        <v>341</v>
      </c>
      <c r="B342">
        <v>341</v>
      </c>
      <c r="C342">
        <v>27794</v>
      </c>
      <c r="D342">
        <v>301</v>
      </c>
      <c r="E342">
        <v>35</v>
      </c>
      <c r="F342">
        <v>320</v>
      </c>
    </row>
    <row r="343" spans="1:6" x14ac:dyDescent="0.25">
      <c r="A343">
        <v>342</v>
      </c>
      <c r="B343">
        <v>342</v>
      </c>
      <c r="C343">
        <v>13234</v>
      </c>
      <c r="D343">
        <v>299</v>
      </c>
      <c r="E343">
        <v>77</v>
      </c>
      <c r="F343">
        <v>426</v>
      </c>
    </row>
    <row r="344" spans="1:6" x14ac:dyDescent="0.25">
      <c r="A344">
        <v>343</v>
      </c>
      <c r="B344">
        <v>343</v>
      </c>
      <c r="C344">
        <v>14595</v>
      </c>
      <c r="D344">
        <v>260</v>
      </c>
      <c r="E344">
        <v>37</v>
      </c>
      <c r="F344">
        <v>204</v>
      </c>
    </row>
    <row r="345" spans="1:6" x14ac:dyDescent="0.25">
      <c r="A345">
        <v>344</v>
      </c>
      <c r="B345">
        <v>344</v>
      </c>
      <c r="C345">
        <v>10735</v>
      </c>
      <c r="D345">
        <v>280</v>
      </c>
      <c r="E345">
        <v>44</v>
      </c>
      <c r="F345">
        <v>410</v>
      </c>
    </row>
    <row r="346" spans="1:6" x14ac:dyDescent="0.25">
      <c r="A346">
        <v>345</v>
      </c>
      <c r="B346">
        <v>345</v>
      </c>
      <c r="C346">
        <v>48218</v>
      </c>
      <c r="D346">
        <v>401</v>
      </c>
      <c r="E346">
        <v>39</v>
      </c>
      <c r="F346">
        <v>633</v>
      </c>
    </row>
    <row r="347" spans="1:6" hidden="1" x14ac:dyDescent="0.25">
      <c r="A347">
        <v>346</v>
      </c>
      <c r="B347">
        <v>346</v>
      </c>
      <c r="C347">
        <v>30012</v>
      </c>
      <c r="D347">
        <v>137</v>
      </c>
      <c r="E347">
        <v>33</v>
      </c>
      <c r="F347">
        <v>0</v>
      </c>
    </row>
    <row r="348" spans="1:6" x14ac:dyDescent="0.25">
      <c r="A348">
        <v>347</v>
      </c>
      <c r="B348">
        <v>347</v>
      </c>
      <c r="C348">
        <v>21551</v>
      </c>
      <c r="D348">
        <v>420</v>
      </c>
      <c r="E348">
        <v>51</v>
      </c>
      <c r="F348">
        <v>907</v>
      </c>
    </row>
    <row r="349" spans="1:6" x14ac:dyDescent="0.25">
      <c r="A349">
        <v>348</v>
      </c>
      <c r="B349">
        <v>348</v>
      </c>
      <c r="C349">
        <v>160231</v>
      </c>
      <c r="D349">
        <v>754</v>
      </c>
      <c r="E349">
        <v>69</v>
      </c>
      <c r="F349">
        <v>1192</v>
      </c>
    </row>
    <row r="350" spans="1:6" hidden="1" x14ac:dyDescent="0.25">
      <c r="A350">
        <v>349</v>
      </c>
      <c r="B350">
        <v>349</v>
      </c>
      <c r="C350">
        <v>13433</v>
      </c>
      <c r="D350">
        <v>112</v>
      </c>
      <c r="E350">
        <v>70</v>
      </c>
      <c r="F350">
        <v>0</v>
      </c>
    </row>
    <row r="351" spans="1:6" x14ac:dyDescent="0.25">
      <c r="A351">
        <v>350</v>
      </c>
      <c r="B351">
        <v>350</v>
      </c>
      <c r="C351">
        <v>48577</v>
      </c>
      <c r="D351">
        <v>389</v>
      </c>
      <c r="E351">
        <v>71</v>
      </c>
      <c r="F351">
        <v>503</v>
      </c>
    </row>
    <row r="352" spans="1:6" hidden="1" x14ac:dyDescent="0.25">
      <c r="A352">
        <v>351</v>
      </c>
      <c r="B352">
        <v>351</v>
      </c>
      <c r="C352">
        <v>30002</v>
      </c>
      <c r="D352">
        <v>155</v>
      </c>
      <c r="E352">
        <v>70</v>
      </c>
      <c r="F352">
        <v>0</v>
      </c>
    </row>
    <row r="353" spans="1:6" x14ac:dyDescent="0.25">
      <c r="A353">
        <v>352</v>
      </c>
      <c r="B353">
        <v>352</v>
      </c>
      <c r="C353">
        <v>6162</v>
      </c>
      <c r="D353">
        <v>374</v>
      </c>
      <c r="E353">
        <v>71</v>
      </c>
      <c r="F353">
        <v>302</v>
      </c>
    </row>
    <row r="354" spans="1:6" x14ac:dyDescent="0.25">
      <c r="A354">
        <v>353</v>
      </c>
      <c r="B354">
        <v>353</v>
      </c>
      <c r="C354">
        <v>104483</v>
      </c>
      <c r="D354">
        <v>507</v>
      </c>
      <c r="E354">
        <v>41</v>
      </c>
      <c r="F354">
        <v>583</v>
      </c>
    </row>
    <row r="355" spans="1:6" x14ac:dyDescent="0.25">
      <c r="A355">
        <v>354</v>
      </c>
      <c r="B355">
        <v>354</v>
      </c>
      <c r="C355">
        <v>41868</v>
      </c>
      <c r="D355">
        <v>342</v>
      </c>
      <c r="E355">
        <v>47</v>
      </c>
      <c r="F355">
        <v>425</v>
      </c>
    </row>
    <row r="356" spans="1:6" x14ac:dyDescent="0.25">
      <c r="A356">
        <v>355</v>
      </c>
      <c r="B356">
        <v>355</v>
      </c>
      <c r="C356">
        <v>12068</v>
      </c>
      <c r="D356">
        <v>292</v>
      </c>
      <c r="E356">
        <v>44</v>
      </c>
      <c r="F356">
        <v>413</v>
      </c>
    </row>
    <row r="357" spans="1:6" x14ac:dyDescent="0.25">
      <c r="A357">
        <v>356</v>
      </c>
      <c r="B357">
        <v>356</v>
      </c>
      <c r="C357">
        <v>180682</v>
      </c>
      <c r="D357">
        <v>832</v>
      </c>
      <c r="E357">
        <v>58</v>
      </c>
      <c r="F357">
        <v>1405</v>
      </c>
    </row>
    <row r="358" spans="1:6" x14ac:dyDescent="0.25">
      <c r="A358">
        <v>357</v>
      </c>
      <c r="B358">
        <v>357</v>
      </c>
      <c r="C358">
        <v>3448</v>
      </c>
      <c r="D358">
        <v>442</v>
      </c>
      <c r="E358">
        <v>36</v>
      </c>
      <c r="F358">
        <v>962</v>
      </c>
    </row>
    <row r="359" spans="1:6" hidden="1" x14ac:dyDescent="0.25">
      <c r="A359">
        <v>358</v>
      </c>
      <c r="B359">
        <v>358</v>
      </c>
      <c r="C359">
        <v>39609</v>
      </c>
      <c r="D359">
        <v>188</v>
      </c>
      <c r="E359">
        <v>40</v>
      </c>
      <c r="F359">
        <v>0</v>
      </c>
    </row>
    <row r="360" spans="1:6" x14ac:dyDescent="0.25">
      <c r="A360">
        <v>359</v>
      </c>
      <c r="B360">
        <v>359</v>
      </c>
      <c r="C360">
        <v>30111</v>
      </c>
      <c r="D360">
        <v>339</v>
      </c>
      <c r="E360">
        <v>81</v>
      </c>
      <c r="F360">
        <v>347</v>
      </c>
    </row>
    <row r="361" spans="1:6" x14ac:dyDescent="0.25">
      <c r="A361">
        <v>360</v>
      </c>
      <c r="B361">
        <v>360</v>
      </c>
      <c r="C361">
        <v>12335</v>
      </c>
      <c r="D361">
        <v>344</v>
      </c>
      <c r="E361">
        <v>79</v>
      </c>
      <c r="F361">
        <v>611</v>
      </c>
    </row>
    <row r="362" spans="1:6" x14ac:dyDescent="0.25">
      <c r="A362">
        <v>361</v>
      </c>
      <c r="B362">
        <v>361</v>
      </c>
      <c r="C362">
        <v>53566</v>
      </c>
      <c r="D362">
        <v>434</v>
      </c>
      <c r="E362">
        <v>82</v>
      </c>
      <c r="F362">
        <v>712</v>
      </c>
    </row>
    <row r="363" spans="1:6" x14ac:dyDescent="0.25">
      <c r="A363">
        <v>362</v>
      </c>
      <c r="B363">
        <v>362</v>
      </c>
      <c r="C363">
        <v>53217</v>
      </c>
      <c r="D363">
        <v>362</v>
      </c>
      <c r="E363">
        <v>46</v>
      </c>
      <c r="F363">
        <v>382</v>
      </c>
    </row>
    <row r="364" spans="1:6" x14ac:dyDescent="0.25">
      <c r="A364">
        <v>363</v>
      </c>
      <c r="B364">
        <v>363</v>
      </c>
      <c r="C364">
        <v>26162</v>
      </c>
      <c r="D364">
        <v>382</v>
      </c>
      <c r="E364">
        <v>62</v>
      </c>
      <c r="F364">
        <v>710</v>
      </c>
    </row>
    <row r="365" spans="1:6" x14ac:dyDescent="0.25">
      <c r="A365">
        <v>364</v>
      </c>
      <c r="B365">
        <v>364</v>
      </c>
      <c r="C365">
        <v>64173</v>
      </c>
      <c r="D365">
        <v>433</v>
      </c>
      <c r="E365">
        <v>80</v>
      </c>
      <c r="F365">
        <v>578</v>
      </c>
    </row>
    <row r="366" spans="1:6" x14ac:dyDescent="0.25">
      <c r="A366">
        <v>365</v>
      </c>
      <c r="B366">
        <v>365</v>
      </c>
      <c r="C366">
        <v>128669</v>
      </c>
      <c r="D366">
        <v>685</v>
      </c>
      <c r="E366">
        <v>67</v>
      </c>
      <c r="F366">
        <v>1243</v>
      </c>
    </row>
    <row r="367" spans="1:6" x14ac:dyDescent="0.25">
      <c r="A367">
        <v>366</v>
      </c>
      <c r="B367">
        <v>366</v>
      </c>
      <c r="C367">
        <v>113772</v>
      </c>
      <c r="D367">
        <v>489</v>
      </c>
      <c r="E367">
        <v>69</v>
      </c>
      <c r="F367">
        <v>790</v>
      </c>
    </row>
    <row r="368" spans="1:6" x14ac:dyDescent="0.25">
      <c r="A368">
        <v>367</v>
      </c>
      <c r="B368">
        <v>367</v>
      </c>
      <c r="C368">
        <v>61069</v>
      </c>
      <c r="D368">
        <v>564</v>
      </c>
      <c r="E368">
        <v>56</v>
      </c>
      <c r="F368">
        <v>1264</v>
      </c>
    </row>
    <row r="369" spans="1:6" x14ac:dyDescent="0.25">
      <c r="A369">
        <v>368</v>
      </c>
      <c r="B369">
        <v>368</v>
      </c>
      <c r="C369">
        <v>23793</v>
      </c>
      <c r="D369">
        <v>263</v>
      </c>
      <c r="E369">
        <v>70</v>
      </c>
      <c r="F369">
        <v>216</v>
      </c>
    </row>
    <row r="370" spans="1:6" x14ac:dyDescent="0.25">
      <c r="A370">
        <v>369</v>
      </c>
      <c r="B370">
        <v>369</v>
      </c>
      <c r="C370">
        <v>89</v>
      </c>
      <c r="D370">
        <v>440</v>
      </c>
      <c r="E370">
        <v>37</v>
      </c>
      <c r="F370">
        <v>345</v>
      </c>
    </row>
    <row r="371" spans="1:6" x14ac:dyDescent="0.25">
      <c r="A371">
        <v>370</v>
      </c>
      <c r="B371">
        <v>370</v>
      </c>
      <c r="C371">
        <v>71682</v>
      </c>
      <c r="D371">
        <v>599</v>
      </c>
      <c r="E371">
        <v>57</v>
      </c>
      <c r="F371">
        <v>1208</v>
      </c>
    </row>
    <row r="372" spans="1:6" x14ac:dyDescent="0.25">
      <c r="A372">
        <v>371</v>
      </c>
      <c r="B372">
        <v>371</v>
      </c>
      <c r="C372">
        <v>3561</v>
      </c>
      <c r="D372">
        <v>466</v>
      </c>
      <c r="E372">
        <v>40</v>
      </c>
      <c r="F372">
        <v>992</v>
      </c>
    </row>
    <row r="373" spans="1:6" hidden="1" x14ac:dyDescent="0.25">
      <c r="A373">
        <v>372</v>
      </c>
      <c r="B373">
        <v>372</v>
      </c>
      <c r="C373">
        <v>39116</v>
      </c>
      <c r="D373">
        <v>173</v>
      </c>
      <c r="E373">
        <v>75</v>
      </c>
      <c r="F373">
        <v>0</v>
      </c>
    </row>
    <row r="374" spans="1:6" x14ac:dyDescent="0.25">
      <c r="A374">
        <v>373</v>
      </c>
      <c r="B374">
        <v>373</v>
      </c>
      <c r="C374">
        <v>19782</v>
      </c>
      <c r="D374">
        <v>293</v>
      </c>
      <c r="E374">
        <v>46</v>
      </c>
      <c r="F374">
        <v>840</v>
      </c>
    </row>
    <row r="375" spans="1:6" x14ac:dyDescent="0.25">
      <c r="A375">
        <v>374</v>
      </c>
      <c r="B375">
        <v>374</v>
      </c>
      <c r="C375">
        <v>55412</v>
      </c>
      <c r="D375">
        <v>383</v>
      </c>
      <c r="E375">
        <v>37</v>
      </c>
      <c r="F375">
        <v>1003</v>
      </c>
    </row>
    <row r="376" spans="1:6" x14ac:dyDescent="0.25">
      <c r="A376">
        <v>375</v>
      </c>
      <c r="B376">
        <v>375</v>
      </c>
      <c r="C376">
        <v>294</v>
      </c>
      <c r="D376">
        <v>368</v>
      </c>
      <c r="E376">
        <v>76</v>
      </c>
      <c r="F376">
        <v>588</v>
      </c>
    </row>
    <row r="377" spans="1:6" x14ac:dyDescent="0.25">
      <c r="A377">
        <v>376</v>
      </c>
      <c r="B377">
        <v>376</v>
      </c>
      <c r="C377">
        <v>20974</v>
      </c>
      <c r="D377">
        <v>413</v>
      </c>
      <c r="E377">
        <v>44</v>
      </c>
      <c r="F377">
        <v>1000</v>
      </c>
    </row>
    <row r="378" spans="1:6" x14ac:dyDescent="0.25">
      <c r="A378">
        <v>377</v>
      </c>
      <c r="B378">
        <v>377</v>
      </c>
      <c r="C378">
        <v>87625</v>
      </c>
      <c r="D378">
        <v>515</v>
      </c>
      <c r="E378">
        <v>46</v>
      </c>
      <c r="F378">
        <v>767</v>
      </c>
    </row>
    <row r="379" spans="1:6" hidden="1" x14ac:dyDescent="0.25">
      <c r="A379">
        <v>378</v>
      </c>
      <c r="B379">
        <v>378</v>
      </c>
      <c r="C379">
        <v>28144</v>
      </c>
      <c r="D379">
        <v>142</v>
      </c>
      <c r="E379">
        <v>51</v>
      </c>
      <c r="F379">
        <v>0</v>
      </c>
    </row>
    <row r="380" spans="1:6" x14ac:dyDescent="0.25">
      <c r="A380">
        <v>379</v>
      </c>
      <c r="B380">
        <v>379</v>
      </c>
      <c r="C380">
        <v>19349</v>
      </c>
      <c r="D380">
        <v>366</v>
      </c>
      <c r="E380">
        <v>33</v>
      </c>
      <c r="F380">
        <v>717</v>
      </c>
    </row>
    <row r="381" spans="1:6" hidden="1" x14ac:dyDescent="0.25">
      <c r="A381">
        <v>380</v>
      </c>
      <c r="B381">
        <v>380</v>
      </c>
      <c r="C381">
        <v>53308</v>
      </c>
      <c r="D381">
        <v>214</v>
      </c>
      <c r="E381">
        <v>84</v>
      </c>
      <c r="F381">
        <v>0</v>
      </c>
    </row>
    <row r="382" spans="1:6" x14ac:dyDescent="0.25">
      <c r="A382">
        <v>381</v>
      </c>
      <c r="B382">
        <v>381</v>
      </c>
      <c r="C382">
        <v>115123</v>
      </c>
      <c r="D382">
        <v>538</v>
      </c>
      <c r="E382">
        <v>83</v>
      </c>
      <c r="F382">
        <v>661</v>
      </c>
    </row>
    <row r="383" spans="1:6" x14ac:dyDescent="0.25">
      <c r="A383">
        <v>382</v>
      </c>
      <c r="B383">
        <v>382</v>
      </c>
      <c r="C383">
        <v>101788</v>
      </c>
      <c r="D383">
        <v>574</v>
      </c>
      <c r="E383">
        <v>84</v>
      </c>
      <c r="F383">
        <v>849</v>
      </c>
    </row>
    <row r="384" spans="1:6" x14ac:dyDescent="0.25">
      <c r="A384">
        <v>383</v>
      </c>
      <c r="B384">
        <v>383</v>
      </c>
      <c r="C384">
        <v>24824</v>
      </c>
      <c r="D384">
        <v>409</v>
      </c>
      <c r="E384">
        <v>33</v>
      </c>
      <c r="F384">
        <v>1352</v>
      </c>
    </row>
    <row r="385" spans="1:6" x14ac:dyDescent="0.25">
      <c r="A385">
        <v>384</v>
      </c>
      <c r="B385">
        <v>384</v>
      </c>
      <c r="C385">
        <v>14292</v>
      </c>
      <c r="D385">
        <v>282</v>
      </c>
      <c r="E385">
        <v>64</v>
      </c>
      <c r="F385">
        <v>382</v>
      </c>
    </row>
    <row r="386" spans="1:6" hidden="1" x14ac:dyDescent="0.25">
      <c r="A386">
        <v>385</v>
      </c>
      <c r="B386">
        <v>385</v>
      </c>
      <c r="C386">
        <v>20088</v>
      </c>
      <c r="D386">
        <v>180</v>
      </c>
      <c r="E386">
        <v>76</v>
      </c>
      <c r="F386">
        <v>0</v>
      </c>
    </row>
    <row r="387" spans="1:6" x14ac:dyDescent="0.25">
      <c r="A387">
        <v>386</v>
      </c>
      <c r="B387">
        <v>386</v>
      </c>
      <c r="C387">
        <v>264</v>
      </c>
      <c r="D387">
        <v>398</v>
      </c>
      <c r="E387">
        <v>58</v>
      </c>
      <c r="F387">
        <v>905</v>
      </c>
    </row>
    <row r="388" spans="1:6" x14ac:dyDescent="0.25">
      <c r="A388">
        <v>387</v>
      </c>
      <c r="B388">
        <v>387</v>
      </c>
      <c r="C388">
        <v>19253</v>
      </c>
      <c r="D388">
        <v>287</v>
      </c>
      <c r="E388">
        <v>57</v>
      </c>
      <c r="F388">
        <v>371</v>
      </c>
    </row>
    <row r="389" spans="1:6" hidden="1" x14ac:dyDescent="0.25">
      <c r="A389">
        <v>388</v>
      </c>
      <c r="B389">
        <v>388</v>
      </c>
      <c r="C389">
        <v>16529</v>
      </c>
      <c r="D389">
        <v>126</v>
      </c>
      <c r="E389">
        <v>62</v>
      </c>
      <c r="F389">
        <v>0</v>
      </c>
    </row>
    <row r="390" spans="1:6" x14ac:dyDescent="0.25">
      <c r="A390">
        <v>389</v>
      </c>
      <c r="B390">
        <v>389</v>
      </c>
      <c r="C390">
        <v>37878</v>
      </c>
      <c r="D390">
        <v>482</v>
      </c>
      <c r="E390">
        <v>80</v>
      </c>
      <c r="F390">
        <v>1129</v>
      </c>
    </row>
    <row r="391" spans="1:6" x14ac:dyDescent="0.25">
      <c r="A391">
        <v>390</v>
      </c>
      <c r="B391">
        <v>390</v>
      </c>
      <c r="C391">
        <v>83948</v>
      </c>
      <c r="D391">
        <v>503</v>
      </c>
      <c r="E391">
        <v>44</v>
      </c>
      <c r="F391">
        <v>806</v>
      </c>
    </row>
    <row r="392" spans="1:6" x14ac:dyDescent="0.25">
      <c r="A392">
        <v>391</v>
      </c>
      <c r="B392">
        <v>391</v>
      </c>
      <c r="C392">
        <v>135118</v>
      </c>
      <c r="D392">
        <v>747</v>
      </c>
      <c r="E392">
        <v>81</v>
      </c>
      <c r="F392">
        <v>1393</v>
      </c>
    </row>
    <row r="393" spans="1:6" x14ac:dyDescent="0.25">
      <c r="A393">
        <v>392</v>
      </c>
      <c r="B393">
        <v>392</v>
      </c>
      <c r="C393">
        <v>73327</v>
      </c>
      <c r="D393">
        <v>472</v>
      </c>
      <c r="E393">
        <v>43</v>
      </c>
      <c r="F393">
        <v>721</v>
      </c>
    </row>
    <row r="394" spans="1:6" hidden="1" x14ac:dyDescent="0.25">
      <c r="A394">
        <v>393</v>
      </c>
      <c r="B394">
        <v>393</v>
      </c>
      <c r="C394">
        <v>25974</v>
      </c>
      <c r="D394">
        <v>196</v>
      </c>
      <c r="E394">
        <v>24</v>
      </c>
      <c r="F394">
        <v>0</v>
      </c>
    </row>
    <row r="395" spans="1:6" hidden="1" x14ac:dyDescent="0.25">
      <c r="A395">
        <v>394</v>
      </c>
      <c r="B395">
        <v>394</v>
      </c>
      <c r="C395">
        <v>17316</v>
      </c>
      <c r="D395">
        <v>138</v>
      </c>
      <c r="E395">
        <v>65</v>
      </c>
      <c r="F395">
        <v>0</v>
      </c>
    </row>
    <row r="396" spans="1:6" x14ac:dyDescent="0.25">
      <c r="A396">
        <v>395</v>
      </c>
      <c r="B396">
        <v>395</v>
      </c>
      <c r="C396">
        <v>49794</v>
      </c>
      <c r="D396">
        <v>410</v>
      </c>
      <c r="E396">
        <v>40</v>
      </c>
      <c r="F396">
        <v>734</v>
      </c>
    </row>
    <row r="397" spans="1:6" x14ac:dyDescent="0.25">
      <c r="A397">
        <v>396</v>
      </c>
      <c r="B397">
        <v>396</v>
      </c>
      <c r="C397">
        <v>12096</v>
      </c>
      <c r="D397">
        <v>307</v>
      </c>
      <c r="E397">
        <v>32</v>
      </c>
      <c r="F397">
        <v>560</v>
      </c>
    </row>
    <row r="398" spans="1:6" x14ac:dyDescent="0.25">
      <c r="A398">
        <v>397</v>
      </c>
      <c r="B398">
        <v>397</v>
      </c>
      <c r="C398">
        <v>13364</v>
      </c>
      <c r="D398">
        <v>296</v>
      </c>
      <c r="E398">
        <v>65</v>
      </c>
      <c r="F398">
        <v>480</v>
      </c>
    </row>
    <row r="399" spans="1:6" x14ac:dyDescent="0.25">
      <c r="A399">
        <v>398</v>
      </c>
      <c r="B399">
        <v>398</v>
      </c>
      <c r="C399">
        <v>57872</v>
      </c>
      <c r="D399">
        <v>321</v>
      </c>
      <c r="E399">
        <v>67</v>
      </c>
      <c r="F399">
        <v>138</v>
      </c>
    </row>
    <row r="400" spans="1:6" hidden="1" x14ac:dyDescent="0.25">
      <c r="A400">
        <v>399</v>
      </c>
      <c r="B400">
        <v>399</v>
      </c>
      <c r="C400">
        <v>37728</v>
      </c>
      <c r="D400">
        <v>192</v>
      </c>
      <c r="E400">
        <v>44</v>
      </c>
      <c r="F400">
        <v>0</v>
      </c>
    </row>
    <row r="401" spans="1:8" x14ac:dyDescent="0.25">
      <c r="A401">
        <v>400</v>
      </c>
      <c r="B401">
        <v>400</v>
      </c>
      <c r="C401">
        <v>18701</v>
      </c>
      <c r="D401">
        <v>415</v>
      </c>
      <c r="E401">
        <v>64</v>
      </c>
      <c r="F401">
        <v>966</v>
      </c>
    </row>
    <row r="403" spans="1:8" x14ac:dyDescent="0.25">
      <c r="A403" t="s">
        <v>14</v>
      </c>
      <c r="C403">
        <v>32000</v>
      </c>
      <c r="D403">
        <v>200</v>
      </c>
      <c r="E403">
        <v>45</v>
      </c>
      <c r="F403" s="18" cm="1">
        <f t="array" ref="F403">J20+SUMPRODUCT(C403:E403,TRANSPOSE(J21:J23))</f>
        <v>0</v>
      </c>
      <c r="H403" t="s">
        <v>50</v>
      </c>
    </row>
    <row r="404" spans="1:8" x14ac:dyDescent="0.25">
      <c r="H404" t="s">
        <v>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0D35-0D33-496D-A45A-5E019325F39A}">
  <dimension ref="A1:O313"/>
  <sheetViews>
    <sheetView tabSelected="1" topLeftCell="A285" workbookViewId="0">
      <selection activeCell="J25" sqref="J25"/>
    </sheetView>
  </sheetViews>
  <sheetFormatPr defaultRowHeight="15" x14ac:dyDescent="0.25"/>
  <cols>
    <col min="1" max="1" width="9.85546875" customWidth="1"/>
    <col min="4" max="4" width="10.140625" customWidth="1"/>
    <col min="7" max="7" width="17.5703125" bestFit="1" customWidth="1"/>
  </cols>
  <sheetData>
    <row r="1" spans="1:15" x14ac:dyDescent="0.25">
      <c r="A1" t="s">
        <v>2</v>
      </c>
      <c r="B1" t="s">
        <v>4</v>
      </c>
      <c r="C1" t="s">
        <v>6</v>
      </c>
      <c r="D1" t="s">
        <v>9</v>
      </c>
      <c r="G1" t="s">
        <v>24</v>
      </c>
    </row>
    <row r="2" spans="1:15" ht="15.75" thickBot="1" x14ac:dyDescent="0.3">
      <c r="A2">
        <v>14891</v>
      </c>
      <c r="B2">
        <v>283</v>
      </c>
      <c r="C2">
        <v>34</v>
      </c>
      <c r="D2">
        <v>333</v>
      </c>
    </row>
    <row r="3" spans="1:15" x14ac:dyDescent="0.25">
      <c r="A3">
        <v>106025</v>
      </c>
      <c r="B3">
        <v>483</v>
      </c>
      <c r="C3">
        <v>82</v>
      </c>
      <c r="D3">
        <v>903</v>
      </c>
      <c r="G3" s="29" t="s">
        <v>25</v>
      </c>
      <c r="H3" s="29"/>
    </row>
    <row r="4" spans="1:15" x14ac:dyDescent="0.25">
      <c r="A4">
        <v>104593</v>
      </c>
      <c r="B4">
        <v>514</v>
      </c>
      <c r="C4">
        <v>71</v>
      </c>
      <c r="D4">
        <v>580</v>
      </c>
      <c r="G4" s="26" t="s">
        <v>26</v>
      </c>
      <c r="H4" s="26">
        <v>0.85665429083718658</v>
      </c>
    </row>
    <row r="5" spans="1:15" x14ac:dyDescent="0.25">
      <c r="A5">
        <v>148924</v>
      </c>
      <c r="B5">
        <v>681</v>
      </c>
      <c r="C5">
        <v>36</v>
      </c>
      <c r="D5">
        <v>964</v>
      </c>
      <c r="G5" s="26" t="s">
        <v>27</v>
      </c>
      <c r="H5" s="26">
        <v>0.73385657400976301</v>
      </c>
    </row>
    <row r="6" spans="1:15" x14ac:dyDescent="0.25">
      <c r="A6">
        <v>55882</v>
      </c>
      <c r="B6">
        <v>357</v>
      </c>
      <c r="C6">
        <v>68</v>
      </c>
      <c r="D6">
        <v>331</v>
      </c>
      <c r="G6" s="26" t="s">
        <v>28</v>
      </c>
      <c r="H6" s="26">
        <v>0.73124732473534892</v>
      </c>
    </row>
    <row r="7" spans="1:15" x14ac:dyDescent="0.25">
      <c r="A7">
        <v>8018</v>
      </c>
      <c r="B7">
        <v>569</v>
      </c>
      <c r="C7">
        <v>77</v>
      </c>
      <c r="D7">
        <v>1151</v>
      </c>
      <c r="G7" s="26" t="s">
        <v>16</v>
      </c>
      <c r="H7" s="26">
        <v>214.57347843852568</v>
      </c>
    </row>
    <row r="8" spans="1:15" ht="15.75" thickBot="1" x14ac:dyDescent="0.3">
      <c r="A8">
        <v>20996</v>
      </c>
      <c r="B8">
        <v>259</v>
      </c>
      <c r="C8">
        <v>37</v>
      </c>
      <c r="D8">
        <v>203</v>
      </c>
      <c r="G8" s="27" t="s">
        <v>29</v>
      </c>
      <c r="H8" s="27">
        <v>310</v>
      </c>
    </row>
    <row r="9" spans="1:15" x14ac:dyDescent="0.25">
      <c r="A9">
        <v>71408</v>
      </c>
      <c r="B9">
        <v>512</v>
      </c>
      <c r="C9">
        <v>87</v>
      </c>
      <c r="D9">
        <v>872</v>
      </c>
    </row>
    <row r="10" spans="1:15" ht="15.75" thickBot="1" x14ac:dyDescent="0.3">
      <c r="A10">
        <v>15125</v>
      </c>
      <c r="B10">
        <v>266</v>
      </c>
      <c r="C10">
        <v>66</v>
      </c>
      <c r="D10">
        <v>279</v>
      </c>
      <c r="G10" t="s">
        <v>30</v>
      </c>
    </row>
    <row r="11" spans="1:15" x14ac:dyDescent="0.25">
      <c r="A11">
        <v>71061</v>
      </c>
      <c r="B11">
        <v>491</v>
      </c>
      <c r="C11">
        <v>41</v>
      </c>
      <c r="D11">
        <v>1350</v>
      </c>
      <c r="G11" s="28"/>
      <c r="H11" s="28" t="s">
        <v>34</v>
      </c>
      <c r="I11" s="28" t="s">
        <v>35</v>
      </c>
      <c r="J11" s="28" t="s">
        <v>36</v>
      </c>
      <c r="K11" s="28" t="s">
        <v>37</v>
      </c>
      <c r="L11" s="28" t="s">
        <v>38</v>
      </c>
    </row>
    <row r="12" spans="1:15" x14ac:dyDescent="0.25">
      <c r="A12">
        <v>63095</v>
      </c>
      <c r="B12">
        <v>589</v>
      </c>
      <c r="C12">
        <v>30</v>
      </c>
      <c r="D12">
        <v>1407</v>
      </c>
      <c r="G12" s="26" t="s">
        <v>31</v>
      </c>
      <c r="H12" s="26">
        <v>3</v>
      </c>
      <c r="I12" s="26">
        <v>38848025.987729266</v>
      </c>
      <c r="J12" s="26">
        <v>12949341.995909756</v>
      </c>
      <c r="K12" s="26">
        <v>281.25199888176735</v>
      </c>
      <c r="L12" s="26">
        <v>1.3239990679916401E-87</v>
      </c>
    </row>
    <row r="13" spans="1:15" x14ac:dyDescent="0.25">
      <c r="A13">
        <v>80616</v>
      </c>
      <c r="B13">
        <v>394</v>
      </c>
      <c r="C13">
        <v>57</v>
      </c>
      <c r="D13">
        <v>204</v>
      </c>
      <c r="G13" s="26" t="s">
        <v>32</v>
      </c>
      <c r="H13" s="26">
        <v>306</v>
      </c>
      <c r="I13" s="26">
        <v>14088783.960657787</v>
      </c>
      <c r="J13" s="26">
        <v>46041.777649208452</v>
      </c>
      <c r="K13" s="26"/>
      <c r="L13" s="26"/>
    </row>
    <row r="14" spans="1:15" ht="15.75" thickBot="1" x14ac:dyDescent="0.3">
      <c r="A14">
        <v>43682</v>
      </c>
      <c r="B14">
        <v>511</v>
      </c>
      <c r="C14">
        <v>49</v>
      </c>
      <c r="D14">
        <v>1081</v>
      </c>
      <c r="G14" s="27" t="s">
        <v>15</v>
      </c>
      <c r="H14" s="27">
        <v>309</v>
      </c>
      <c r="I14" s="27">
        <v>52936809.948387057</v>
      </c>
      <c r="J14" s="27"/>
      <c r="K14" s="27"/>
      <c r="L14" s="27"/>
    </row>
    <row r="15" spans="1:15" ht="15.75" thickBot="1" x14ac:dyDescent="0.3">
      <c r="A15">
        <v>19144</v>
      </c>
      <c r="B15">
        <v>269</v>
      </c>
      <c r="C15">
        <v>75</v>
      </c>
      <c r="D15">
        <v>148</v>
      </c>
    </row>
    <row r="16" spans="1:15" x14ac:dyDescent="0.25">
      <c r="A16">
        <v>36496</v>
      </c>
      <c r="B16">
        <v>339</v>
      </c>
      <c r="C16">
        <v>69</v>
      </c>
      <c r="D16">
        <v>368</v>
      </c>
      <c r="G16" s="28"/>
      <c r="H16" s="28" t="s">
        <v>39</v>
      </c>
      <c r="I16" s="28" t="s">
        <v>16</v>
      </c>
      <c r="J16" s="28" t="s">
        <v>40</v>
      </c>
      <c r="K16" s="28" t="s">
        <v>41</v>
      </c>
      <c r="L16" s="28" t="s">
        <v>42</v>
      </c>
      <c r="M16" s="28" t="s">
        <v>43</v>
      </c>
      <c r="N16" s="28" t="s">
        <v>44</v>
      </c>
      <c r="O16" s="28" t="s">
        <v>45</v>
      </c>
    </row>
    <row r="17" spans="1:15" x14ac:dyDescent="0.25">
      <c r="A17">
        <v>4957</v>
      </c>
      <c r="B17">
        <v>448</v>
      </c>
      <c r="C17">
        <v>28</v>
      </c>
      <c r="D17">
        <v>891</v>
      </c>
      <c r="G17" s="26" t="s">
        <v>33</v>
      </c>
      <c r="H17" s="26">
        <v>-345.63846814272597</v>
      </c>
      <c r="I17" s="26">
        <v>54.399836080324306</v>
      </c>
      <c r="J17" s="26">
        <v>-6.3536674565043185</v>
      </c>
      <c r="K17" s="26">
        <v>7.6077887704038169E-10</v>
      </c>
      <c r="L17" s="26">
        <v>-452.68356811518822</v>
      </c>
      <c r="M17" s="26">
        <v>-238.59336817026372</v>
      </c>
      <c r="N17" s="26">
        <v>-452.68356811518822</v>
      </c>
      <c r="O17" s="26">
        <v>-238.59336817026372</v>
      </c>
    </row>
    <row r="18" spans="1:15" x14ac:dyDescent="0.25">
      <c r="A18">
        <v>42079</v>
      </c>
      <c r="B18">
        <v>479</v>
      </c>
      <c r="C18">
        <v>44</v>
      </c>
      <c r="D18">
        <v>1048</v>
      </c>
      <c r="G18" s="26" t="s">
        <v>2</v>
      </c>
      <c r="H18" s="26">
        <v>-4.5562231102242046E-3</v>
      </c>
      <c r="I18" s="26">
        <v>4.7442050509439521E-4</v>
      </c>
      <c r="J18" s="26">
        <v>-9.6037651435779647</v>
      </c>
      <c r="K18" s="26">
        <v>2.9260901247313797E-19</v>
      </c>
      <c r="L18" s="26">
        <v>-5.4897625113692677E-3</v>
      </c>
      <c r="M18" s="26">
        <v>-3.6226837090791411E-3</v>
      </c>
      <c r="N18" s="26">
        <v>-5.4897625113692677E-3</v>
      </c>
      <c r="O18" s="26">
        <v>-3.6226837090791411E-3</v>
      </c>
    </row>
    <row r="19" spans="1:15" x14ac:dyDescent="0.25">
      <c r="A19">
        <v>177</v>
      </c>
      <c r="B19">
        <v>235</v>
      </c>
      <c r="C19">
        <v>63</v>
      </c>
      <c r="D19">
        <v>89</v>
      </c>
      <c r="G19" s="26" t="s">
        <v>4</v>
      </c>
      <c r="H19" s="26">
        <v>3.3874559914622138</v>
      </c>
      <c r="I19" s="26">
        <v>0.13183250907287414</v>
      </c>
      <c r="J19" s="26">
        <v>25.69514921080431</v>
      </c>
      <c r="K19" s="26">
        <v>2.1781545062883129E-78</v>
      </c>
      <c r="L19" s="26">
        <v>3.1280430018258265</v>
      </c>
      <c r="M19" s="26">
        <v>3.646868981098601</v>
      </c>
      <c r="N19" s="26">
        <v>3.1280430018258265</v>
      </c>
      <c r="O19" s="26">
        <v>3.646868981098601</v>
      </c>
    </row>
    <row r="20" spans="1:15" ht="15.75" thickBot="1" x14ac:dyDescent="0.3">
      <c r="A20">
        <v>37348</v>
      </c>
      <c r="B20">
        <v>458</v>
      </c>
      <c r="C20">
        <v>72</v>
      </c>
      <c r="D20">
        <v>968</v>
      </c>
      <c r="G20" s="27" t="s">
        <v>6</v>
      </c>
      <c r="H20" s="27">
        <v>-2.712657391792205</v>
      </c>
      <c r="I20" s="27">
        <v>0.71493868527509818</v>
      </c>
      <c r="J20" s="27">
        <v>-3.7942517976187191</v>
      </c>
      <c r="K20" s="27">
        <v>1.7848058189491077E-4</v>
      </c>
      <c r="L20" s="27">
        <v>-4.1194756573188123</v>
      </c>
      <c r="M20" s="27">
        <v>-1.3058391262655975</v>
      </c>
      <c r="N20" s="27">
        <v>-4.1194756573188123</v>
      </c>
      <c r="O20" s="27">
        <v>-1.3058391262655975</v>
      </c>
    </row>
    <row r="21" spans="1:15" x14ac:dyDescent="0.25">
      <c r="A21">
        <v>64027</v>
      </c>
      <c r="B21">
        <v>398</v>
      </c>
      <c r="C21">
        <v>48</v>
      </c>
      <c r="D21">
        <v>411</v>
      </c>
    </row>
    <row r="22" spans="1:15" x14ac:dyDescent="0.25">
      <c r="A22">
        <v>1409</v>
      </c>
      <c r="B22">
        <v>326</v>
      </c>
      <c r="C22">
        <v>25</v>
      </c>
      <c r="D22">
        <v>671</v>
      </c>
    </row>
    <row r="23" spans="1:15" x14ac:dyDescent="0.25">
      <c r="A23">
        <v>42471</v>
      </c>
      <c r="B23">
        <v>289</v>
      </c>
      <c r="C23">
        <v>44</v>
      </c>
      <c r="D23">
        <v>654</v>
      </c>
    </row>
    <row r="24" spans="1:15" x14ac:dyDescent="0.25">
      <c r="A24">
        <v>32793</v>
      </c>
      <c r="B24">
        <v>333</v>
      </c>
      <c r="C24">
        <v>44</v>
      </c>
      <c r="D24">
        <v>467</v>
      </c>
    </row>
    <row r="25" spans="1:15" x14ac:dyDescent="0.25">
      <c r="A25">
        <v>186634</v>
      </c>
      <c r="B25">
        <v>949</v>
      </c>
      <c r="C25">
        <v>41</v>
      </c>
      <c r="D25">
        <v>1809</v>
      </c>
    </row>
    <row r="26" spans="1:15" x14ac:dyDescent="0.25">
      <c r="A26">
        <v>26813</v>
      </c>
      <c r="B26">
        <v>411</v>
      </c>
      <c r="C26">
        <v>55</v>
      </c>
      <c r="D26">
        <v>915</v>
      </c>
    </row>
    <row r="27" spans="1:15" x14ac:dyDescent="0.25">
      <c r="A27">
        <v>34142</v>
      </c>
      <c r="B27">
        <v>413</v>
      </c>
      <c r="C27">
        <v>47</v>
      </c>
      <c r="D27">
        <v>863</v>
      </c>
    </row>
    <row r="28" spans="1:15" x14ac:dyDescent="0.25">
      <c r="A28">
        <v>134181</v>
      </c>
      <c r="B28">
        <v>563</v>
      </c>
      <c r="C28">
        <v>48</v>
      </c>
      <c r="D28">
        <v>526</v>
      </c>
    </row>
    <row r="29" spans="1:15" x14ac:dyDescent="0.25">
      <c r="A29">
        <v>2335</v>
      </c>
      <c r="B29">
        <v>220</v>
      </c>
      <c r="C29">
        <v>49</v>
      </c>
      <c r="D29">
        <v>419</v>
      </c>
    </row>
    <row r="30" spans="1:15" x14ac:dyDescent="0.25">
      <c r="A30">
        <v>62413</v>
      </c>
      <c r="B30">
        <v>455</v>
      </c>
      <c r="C30">
        <v>71</v>
      </c>
      <c r="D30">
        <v>762</v>
      </c>
    </row>
    <row r="31" spans="1:15" x14ac:dyDescent="0.25">
      <c r="A31">
        <v>30007</v>
      </c>
      <c r="B31">
        <v>462</v>
      </c>
      <c r="C31">
        <v>69</v>
      </c>
      <c r="D31">
        <v>1093</v>
      </c>
    </row>
    <row r="32" spans="1:15" x14ac:dyDescent="0.25">
      <c r="A32">
        <v>11795</v>
      </c>
      <c r="B32">
        <v>300</v>
      </c>
      <c r="C32">
        <v>25</v>
      </c>
      <c r="D32">
        <v>531</v>
      </c>
    </row>
    <row r="33" spans="1:4" x14ac:dyDescent="0.25">
      <c r="A33">
        <v>13647</v>
      </c>
      <c r="B33">
        <v>264</v>
      </c>
      <c r="C33">
        <v>47</v>
      </c>
      <c r="D33">
        <v>344</v>
      </c>
    </row>
    <row r="34" spans="1:4" x14ac:dyDescent="0.25">
      <c r="A34">
        <v>3495</v>
      </c>
      <c r="B34">
        <v>253</v>
      </c>
      <c r="C34">
        <v>54</v>
      </c>
      <c r="D34">
        <v>50</v>
      </c>
    </row>
    <row r="35" spans="1:4" x14ac:dyDescent="0.25">
      <c r="A35">
        <v>113659</v>
      </c>
      <c r="B35">
        <v>538</v>
      </c>
      <c r="C35">
        <v>66</v>
      </c>
      <c r="D35">
        <v>1155</v>
      </c>
    </row>
    <row r="36" spans="1:4" x14ac:dyDescent="0.25">
      <c r="A36">
        <v>44158</v>
      </c>
      <c r="B36">
        <v>351</v>
      </c>
      <c r="C36">
        <v>66</v>
      </c>
      <c r="D36">
        <v>385</v>
      </c>
    </row>
    <row r="37" spans="1:4" x14ac:dyDescent="0.25">
      <c r="A37">
        <v>36929</v>
      </c>
      <c r="B37">
        <v>445</v>
      </c>
      <c r="C37">
        <v>24</v>
      </c>
      <c r="D37">
        <v>976</v>
      </c>
    </row>
    <row r="38" spans="1:4" x14ac:dyDescent="0.25">
      <c r="A38">
        <v>31861</v>
      </c>
      <c r="B38">
        <v>469</v>
      </c>
      <c r="C38">
        <v>25</v>
      </c>
      <c r="D38">
        <v>1120</v>
      </c>
    </row>
    <row r="39" spans="1:4" x14ac:dyDescent="0.25">
      <c r="A39">
        <v>7738</v>
      </c>
      <c r="B39">
        <v>564</v>
      </c>
      <c r="C39">
        <v>50</v>
      </c>
      <c r="D39">
        <v>997</v>
      </c>
    </row>
    <row r="40" spans="1:4" x14ac:dyDescent="0.25">
      <c r="A40">
        <v>19531</v>
      </c>
      <c r="B40">
        <v>376</v>
      </c>
      <c r="C40">
        <v>64</v>
      </c>
      <c r="D40">
        <v>1241</v>
      </c>
    </row>
    <row r="41" spans="1:4" x14ac:dyDescent="0.25">
      <c r="A41">
        <v>44646</v>
      </c>
      <c r="B41">
        <v>320</v>
      </c>
      <c r="C41">
        <v>49</v>
      </c>
      <c r="D41">
        <v>797</v>
      </c>
    </row>
    <row r="42" spans="1:4" x14ac:dyDescent="0.25">
      <c r="A42">
        <v>43479</v>
      </c>
      <c r="B42">
        <v>354</v>
      </c>
      <c r="C42">
        <v>49</v>
      </c>
      <c r="D42">
        <v>902</v>
      </c>
    </row>
    <row r="43" spans="1:4" x14ac:dyDescent="0.25">
      <c r="A43">
        <v>36362</v>
      </c>
      <c r="B43">
        <v>376</v>
      </c>
      <c r="C43">
        <v>49</v>
      </c>
      <c r="D43">
        <v>654</v>
      </c>
    </row>
    <row r="44" spans="1:4" x14ac:dyDescent="0.25">
      <c r="A44">
        <v>39705</v>
      </c>
      <c r="B44">
        <v>301</v>
      </c>
      <c r="C44">
        <v>27</v>
      </c>
      <c r="D44">
        <v>211</v>
      </c>
    </row>
    <row r="45" spans="1:4" x14ac:dyDescent="0.25">
      <c r="A45">
        <v>44205</v>
      </c>
      <c r="B45">
        <v>394</v>
      </c>
      <c r="C45">
        <v>32</v>
      </c>
      <c r="D45">
        <v>607</v>
      </c>
    </row>
    <row r="46" spans="1:4" x14ac:dyDescent="0.25">
      <c r="A46">
        <v>16304</v>
      </c>
      <c r="B46">
        <v>413</v>
      </c>
      <c r="C46">
        <v>66</v>
      </c>
      <c r="D46">
        <v>957</v>
      </c>
    </row>
    <row r="47" spans="1:4" x14ac:dyDescent="0.25">
      <c r="A47">
        <v>571</v>
      </c>
      <c r="B47">
        <v>372</v>
      </c>
      <c r="C47">
        <v>79</v>
      </c>
      <c r="D47">
        <v>379</v>
      </c>
    </row>
    <row r="48" spans="1:4" x14ac:dyDescent="0.25">
      <c r="A48">
        <v>76273</v>
      </c>
      <c r="B48">
        <v>367</v>
      </c>
      <c r="C48">
        <v>65</v>
      </c>
      <c r="D48">
        <v>133</v>
      </c>
    </row>
    <row r="49" spans="1:4" x14ac:dyDescent="0.25">
      <c r="A49">
        <v>10354</v>
      </c>
      <c r="B49">
        <v>281</v>
      </c>
      <c r="C49">
        <v>70</v>
      </c>
      <c r="D49">
        <v>333</v>
      </c>
    </row>
    <row r="50" spans="1:4" x14ac:dyDescent="0.25">
      <c r="A50">
        <v>51872</v>
      </c>
      <c r="B50">
        <v>390</v>
      </c>
      <c r="C50">
        <v>81</v>
      </c>
      <c r="D50">
        <v>531</v>
      </c>
    </row>
    <row r="51" spans="1:4" x14ac:dyDescent="0.25">
      <c r="A51">
        <v>3551</v>
      </c>
      <c r="B51">
        <v>364</v>
      </c>
      <c r="C51">
        <v>35</v>
      </c>
      <c r="D51">
        <v>631</v>
      </c>
    </row>
    <row r="52" spans="1:4" x14ac:dyDescent="0.25">
      <c r="A52">
        <v>21238</v>
      </c>
      <c r="B52">
        <v>254</v>
      </c>
      <c r="C52">
        <v>59</v>
      </c>
      <c r="D52">
        <v>108</v>
      </c>
    </row>
    <row r="53" spans="1:4" x14ac:dyDescent="0.25">
      <c r="A53">
        <v>14132</v>
      </c>
      <c r="B53">
        <v>251</v>
      </c>
      <c r="C53">
        <v>75</v>
      </c>
      <c r="D53">
        <v>133</v>
      </c>
    </row>
    <row r="54" spans="1:4" x14ac:dyDescent="0.25">
      <c r="A54">
        <v>12</v>
      </c>
      <c r="B54">
        <v>320</v>
      </c>
      <c r="C54">
        <v>28</v>
      </c>
      <c r="D54">
        <v>602</v>
      </c>
    </row>
    <row r="55" spans="1:4" x14ac:dyDescent="0.25">
      <c r="A55">
        <v>113829</v>
      </c>
      <c r="B55">
        <v>694</v>
      </c>
      <c r="C55">
        <v>38</v>
      </c>
      <c r="D55">
        <v>1388</v>
      </c>
    </row>
    <row r="56" spans="1:4" x14ac:dyDescent="0.25">
      <c r="A56">
        <v>11187</v>
      </c>
      <c r="B56">
        <v>380</v>
      </c>
      <c r="C56">
        <v>69</v>
      </c>
      <c r="D56">
        <v>889</v>
      </c>
    </row>
    <row r="57" spans="1:4" x14ac:dyDescent="0.25">
      <c r="A57">
        <v>27847</v>
      </c>
      <c r="B57">
        <v>418</v>
      </c>
      <c r="C57">
        <v>78</v>
      </c>
      <c r="D57">
        <v>822</v>
      </c>
    </row>
    <row r="58" spans="1:4" x14ac:dyDescent="0.25">
      <c r="A58">
        <v>49502</v>
      </c>
      <c r="B58">
        <v>505</v>
      </c>
      <c r="C58">
        <v>55</v>
      </c>
      <c r="D58">
        <v>1084</v>
      </c>
    </row>
    <row r="59" spans="1:4" x14ac:dyDescent="0.25">
      <c r="A59">
        <v>24889</v>
      </c>
      <c r="B59">
        <v>318</v>
      </c>
      <c r="C59">
        <v>75</v>
      </c>
      <c r="D59">
        <v>357</v>
      </c>
    </row>
    <row r="60" spans="1:4" x14ac:dyDescent="0.25">
      <c r="A60">
        <v>58781</v>
      </c>
      <c r="B60">
        <v>538</v>
      </c>
      <c r="C60">
        <v>81</v>
      </c>
      <c r="D60">
        <v>1103</v>
      </c>
    </row>
    <row r="61" spans="1:4" x14ac:dyDescent="0.25">
      <c r="A61">
        <v>22939</v>
      </c>
      <c r="B61">
        <v>355</v>
      </c>
      <c r="C61">
        <v>47</v>
      </c>
      <c r="D61">
        <v>663</v>
      </c>
    </row>
    <row r="62" spans="1:4" x14ac:dyDescent="0.25">
      <c r="A62">
        <v>23989</v>
      </c>
      <c r="B62">
        <v>338</v>
      </c>
      <c r="C62">
        <v>31</v>
      </c>
      <c r="D62">
        <v>601</v>
      </c>
    </row>
    <row r="63" spans="1:4" x14ac:dyDescent="0.25">
      <c r="A63">
        <v>16103</v>
      </c>
      <c r="B63">
        <v>418</v>
      </c>
      <c r="C63">
        <v>45</v>
      </c>
      <c r="D63">
        <v>945</v>
      </c>
    </row>
    <row r="64" spans="1:4" x14ac:dyDescent="0.25">
      <c r="A64">
        <v>33017</v>
      </c>
      <c r="B64">
        <v>224</v>
      </c>
      <c r="C64">
        <v>28</v>
      </c>
      <c r="D64">
        <v>29</v>
      </c>
    </row>
    <row r="65" spans="1:4" x14ac:dyDescent="0.25">
      <c r="A65">
        <v>30622</v>
      </c>
      <c r="B65">
        <v>251</v>
      </c>
      <c r="C65">
        <v>68</v>
      </c>
      <c r="D65">
        <v>532</v>
      </c>
    </row>
    <row r="66" spans="1:4" x14ac:dyDescent="0.25">
      <c r="A66">
        <v>20936</v>
      </c>
      <c r="B66">
        <v>253</v>
      </c>
      <c r="C66">
        <v>30</v>
      </c>
      <c r="D66">
        <v>145</v>
      </c>
    </row>
    <row r="67" spans="1:4" x14ac:dyDescent="0.25">
      <c r="A67">
        <v>110968</v>
      </c>
      <c r="B67">
        <v>468</v>
      </c>
      <c r="C67">
        <v>45</v>
      </c>
      <c r="D67">
        <v>391</v>
      </c>
    </row>
    <row r="68" spans="1:4" x14ac:dyDescent="0.25">
      <c r="A68">
        <v>27369</v>
      </c>
      <c r="B68">
        <v>288</v>
      </c>
      <c r="C68">
        <v>40</v>
      </c>
      <c r="D68">
        <v>162</v>
      </c>
    </row>
    <row r="69" spans="1:4" x14ac:dyDescent="0.25">
      <c r="A69">
        <v>5348</v>
      </c>
      <c r="B69">
        <v>317</v>
      </c>
      <c r="C69">
        <v>83</v>
      </c>
      <c r="D69">
        <v>99</v>
      </c>
    </row>
    <row r="70" spans="1:4" x14ac:dyDescent="0.25">
      <c r="A70">
        <v>23672</v>
      </c>
      <c r="B70">
        <v>344</v>
      </c>
      <c r="C70">
        <v>63</v>
      </c>
      <c r="D70">
        <v>503</v>
      </c>
    </row>
    <row r="71" spans="1:4" x14ac:dyDescent="0.25">
      <c r="A71">
        <v>152298</v>
      </c>
      <c r="B71">
        <v>828</v>
      </c>
      <c r="C71">
        <v>41</v>
      </c>
      <c r="D71">
        <v>1779</v>
      </c>
    </row>
    <row r="72" spans="1:4" x14ac:dyDescent="0.25">
      <c r="A72">
        <v>55367</v>
      </c>
      <c r="B72">
        <v>448</v>
      </c>
      <c r="C72">
        <v>33</v>
      </c>
      <c r="D72">
        <v>815</v>
      </c>
    </row>
    <row r="73" spans="1:4" x14ac:dyDescent="0.25">
      <c r="A73">
        <v>1556</v>
      </c>
      <c r="B73">
        <v>352</v>
      </c>
      <c r="C73">
        <v>57</v>
      </c>
      <c r="D73">
        <v>579</v>
      </c>
    </row>
    <row r="74" spans="1:4" x14ac:dyDescent="0.25">
      <c r="A74">
        <v>5953</v>
      </c>
      <c r="B74">
        <v>543</v>
      </c>
      <c r="C74">
        <v>52</v>
      </c>
      <c r="D74">
        <v>1176</v>
      </c>
    </row>
    <row r="75" spans="1:4" x14ac:dyDescent="0.25">
      <c r="A75">
        <v>20191</v>
      </c>
      <c r="B75">
        <v>431</v>
      </c>
      <c r="C75">
        <v>42</v>
      </c>
      <c r="D75">
        <v>1023</v>
      </c>
    </row>
    <row r="76" spans="1:4" x14ac:dyDescent="0.25">
      <c r="A76">
        <v>48498</v>
      </c>
      <c r="B76">
        <v>456</v>
      </c>
      <c r="C76">
        <v>47</v>
      </c>
      <c r="D76">
        <v>812</v>
      </c>
    </row>
    <row r="77" spans="1:4" x14ac:dyDescent="0.25">
      <c r="A77">
        <v>16479</v>
      </c>
      <c r="B77">
        <v>388</v>
      </c>
      <c r="C77">
        <v>26</v>
      </c>
      <c r="D77">
        <v>937</v>
      </c>
    </row>
    <row r="78" spans="1:4" x14ac:dyDescent="0.25">
      <c r="A78">
        <v>14312</v>
      </c>
      <c r="B78">
        <v>367</v>
      </c>
      <c r="C78">
        <v>59</v>
      </c>
      <c r="D78">
        <v>1380</v>
      </c>
    </row>
    <row r="79" spans="1:4" x14ac:dyDescent="0.25">
      <c r="A79">
        <v>26067</v>
      </c>
      <c r="B79">
        <v>266</v>
      </c>
      <c r="C79">
        <v>74</v>
      </c>
      <c r="D79">
        <v>155</v>
      </c>
    </row>
    <row r="80" spans="1:4" x14ac:dyDescent="0.25">
      <c r="A80">
        <v>36295</v>
      </c>
      <c r="B80">
        <v>241</v>
      </c>
      <c r="C80">
        <v>68</v>
      </c>
      <c r="D80">
        <v>375</v>
      </c>
    </row>
    <row r="81" spans="1:4" x14ac:dyDescent="0.25">
      <c r="A81">
        <v>83851</v>
      </c>
      <c r="B81">
        <v>607</v>
      </c>
      <c r="C81">
        <v>47</v>
      </c>
      <c r="D81">
        <v>1311</v>
      </c>
    </row>
    <row r="82" spans="1:4" x14ac:dyDescent="0.25">
      <c r="A82">
        <v>21153</v>
      </c>
      <c r="B82">
        <v>256</v>
      </c>
      <c r="C82">
        <v>41</v>
      </c>
      <c r="D82">
        <v>298</v>
      </c>
    </row>
    <row r="83" spans="1:4" x14ac:dyDescent="0.25">
      <c r="A83">
        <v>17976</v>
      </c>
      <c r="B83">
        <v>190</v>
      </c>
      <c r="C83">
        <v>70</v>
      </c>
      <c r="D83">
        <v>431</v>
      </c>
    </row>
    <row r="84" spans="1:4" x14ac:dyDescent="0.25">
      <c r="A84">
        <v>68713</v>
      </c>
      <c r="B84">
        <v>531</v>
      </c>
      <c r="C84">
        <v>56</v>
      </c>
      <c r="D84">
        <v>1587</v>
      </c>
    </row>
    <row r="85" spans="1:4" x14ac:dyDescent="0.25">
      <c r="A85">
        <v>146183</v>
      </c>
      <c r="B85">
        <v>682</v>
      </c>
      <c r="C85">
        <v>66</v>
      </c>
      <c r="D85">
        <v>1050</v>
      </c>
    </row>
    <row r="86" spans="1:4" x14ac:dyDescent="0.25">
      <c r="A86">
        <v>15846</v>
      </c>
      <c r="B86">
        <v>365</v>
      </c>
      <c r="C86">
        <v>53</v>
      </c>
      <c r="D86">
        <v>745</v>
      </c>
    </row>
    <row r="87" spans="1:4" x14ac:dyDescent="0.25">
      <c r="A87">
        <v>12031</v>
      </c>
      <c r="B87">
        <v>259</v>
      </c>
      <c r="C87">
        <v>58</v>
      </c>
      <c r="D87">
        <v>210</v>
      </c>
    </row>
    <row r="88" spans="1:4" x14ac:dyDescent="0.25">
      <c r="A88">
        <v>107986</v>
      </c>
      <c r="B88">
        <v>449</v>
      </c>
      <c r="C88">
        <v>64</v>
      </c>
      <c r="D88">
        <v>227</v>
      </c>
    </row>
    <row r="89" spans="1:4" x14ac:dyDescent="0.25">
      <c r="A89">
        <v>13561</v>
      </c>
      <c r="B89">
        <v>279</v>
      </c>
      <c r="C89">
        <v>37</v>
      </c>
      <c r="D89">
        <v>297</v>
      </c>
    </row>
    <row r="90" spans="1:4" x14ac:dyDescent="0.25">
      <c r="A90">
        <v>34537</v>
      </c>
      <c r="B90">
        <v>250</v>
      </c>
      <c r="C90">
        <v>57</v>
      </c>
      <c r="D90">
        <v>47</v>
      </c>
    </row>
    <row r="91" spans="1:4" x14ac:dyDescent="0.25">
      <c r="A91">
        <v>46007</v>
      </c>
      <c r="B91">
        <v>491</v>
      </c>
      <c r="C91">
        <v>42</v>
      </c>
      <c r="D91">
        <v>1046</v>
      </c>
    </row>
    <row r="92" spans="1:4" x14ac:dyDescent="0.25">
      <c r="A92">
        <v>69251</v>
      </c>
      <c r="B92">
        <v>474</v>
      </c>
      <c r="C92">
        <v>30</v>
      </c>
      <c r="D92">
        <v>768</v>
      </c>
    </row>
    <row r="93" spans="1:4" x14ac:dyDescent="0.25">
      <c r="A93">
        <v>16482</v>
      </c>
      <c r="B93">
        <v>268</v>
      </c>
      <c r="C93">
        <v>41</v>
      </c>
      <c r="D93">
        <v>271</v>
      </c>
    </row>
    <row r="94" spans="1:4" x14ac:dyDescent="0.25">
      <c r="A94">
        <v>40442</v>
      </c>
      <c r="B94">
        <v>369</v>
      </c>
      <c r="C94">
        <v>81</v>
      </c>
      <c r="D94">
        <v>510</v>
      </c>
    </row>
    <row r="95" spans="1:4" x14ac:dyDescent="0.25">
      <c r="A95">
        <v>91362</v>
      </c>
      <c r="B95">
        <v>626</v>
      </c>
      <c r="C95">
        <v>47</v>
      </c>
      <c r="D95">
        <v>1341</v>
      </c>
    </row>
    <row r="96" spans="1:4" x14ac:dyDescent="0.25">
      <c r="A96">
        <v>14808</v>
      </c>
      <c r="B96">
        <v>599</v>
      </c>
      <c r="C96">
        <v>83</v>
      </c>
      <c r="D96">
        <v>454</v>
      </c>
    </row>
    <row r="97" spans="1:4" x14ac:dyDescent="0.25">
      <c r="A97">
        <v>62602</v>
      </c>
      <c r="B97">
        <v>481</v>
      </c>
      <c r="C97">
        <v>84</v>
      </c>
      <c r="D97">
        <v>904</v>
      </c>
    </row>
    <row r="98" spans="1:4" x14ac:dyDescent="0.25">
      <c r="A98">
        <v>26427</v>
      </c>
      <c r="B98">
        <v>433</v>
      </c>
      <c r="C98">
        <v>50</v>
      </c>
      <c r="D98">
        <v>1404</v>
      </c>
    </row>
    <row r="99" spans="1:4" x14ac:dyDescent="0.25">
      <c r="A99">
        <v>123299</v>
      </c>
      <c r="B99">
        <v>610</v>
      </c>
      <c r="C99">
        <v>89</v>
      </c>
      <c r="D99">
        <v>1259</v>
      </c>
    </row>
    <row r="100" spans="1:4" x14ac:dyDescent="0.25">
      <c r="A100">
        <v>18145</v>
      </c>
      <c r="B100">
        <v>279</v>
      </c>
      <c r="C100">
        <v>56</v>
      </c>
      <c r="D100">
        <v>255</v>
      </c>
    </row>
    <row r="101" spans="1:4" x14ac:dyDescent="0.25">
      <c r="A101">
        <v>23793</v>
      </c>
      <c r="B101">
        <v>281</v>
      </c>
      <c r="C101">
        <v>56</v>
      </c>
      <c r="D101">
        <v>868</v>
      </c>
    </row>
    <row r="102" spans="1:4" x14ac:dyDescent="0.25">
      <c r="A102">
        <v>23283</v>
      </c>
      <c r="B102">
        <v>407</v>
      </c>
      <c r="C102">
        <v>49</v>
      </c>
      <c r="D102">
        <v>912</v>
      </c>
    </row>
    <row r="103" spans="1:4" x14ac:dyDescent="0.25">
      <c r="A103">
        <v>21455</v>
      </c>
      <c r="B103">
        <v>427</v>
      </c>
      <c r="C103">
        <v>80</v>
      </c>
      <c r="D103">
        <v>1018</v>
      </c>
    </row>
    <row r="104" spans="1:4" x14ac:dyDescent="0.25">
      <c r="A104">
        <v>34664</v>
      </c>
      <c r="B104">
        <v>452</v>
      </c>
      <c r="C104">
        <v>77</v>
      </c>
      <c r="D104">
        <v>835</v>
      </c>
    </row>
    <row r="105" spans="1:4" x14ac:dyDescent="0.25">
      <c r="A105">
        <v>44473</v>
      </c>
      <c r="B105">
        <v>257</v>
      </c>
      <c r="C105">
        <v>81</v>
      </c>
      <c r="D105">
        <v>8</v>
      </c>
    </row>
    <row r="106" spans="1:4" x14ac:dyDescent="0.25">
      <c r="A106">
        <v>54663</v>
      </c>
      <c r="B106">
        <v>314</v>
      </c>
      <c r="C106">
        <v>70</v>
      </c>
      <c r="D106">
        <v>75</v>
      </c>
    </row>
    <row r="107" spans="1:4" x14ac:dyDescent="0.25">
      <c r="A107">
        <v>36355</v>
      </c>
      <c r="B107">
        <v>278</v>
      </c>
      <c r="C107">
        <v>35</v>
      </c>
      <c r="D107">
        <v>187</v>
      </c>
    </row>
    <row r="108" spans="1:4" x14ac:dyDescent="0.25">
      <c r="A108">
        <v>107841</v>
      </c>
      <c r="B108">
        <v>728</v>
      </c>
      <c r="C108">
        <v>87</v>
      </c>
      <c r="D108">
        <v>1597</v>
      </c>
    </row>
    <row r="109" spans="1:4" x14ac:dyDescent="0.25">
      <c r="A109">
        <v>39831</v>
      </c>
      <c r="B109">
        <v>459</v>
      </c>
      <c r="C109">
        <v>32</v>
      </c>
      <c r="D109">
        <v>1425</v>
      </c>
    </row>
    <row r="110" spans="1:4" x14ac:dyDescent="0.25">
      <c r="A110">
        <v>91876</v>
      </c>
      <c r="B110">
        <v>483</v>
      </c>
      <c r="C110">
        <v>33</v>
      </c>
      <c r="D110">
        <v>605</v>
      </c>
    </row>
    <row r="111" spans="1:4" x14ac:dyDescent="0.25">
      <c r="A111">
        <v>103893</v>
      </c>
      <c r="B111">
        <v>549</v>
      </c>
      <c r="C111">
        <v>84</v>
      </c>
      <c r="D111">
        <v>669</v>
      </c>
    </row>
    <row r="112" spans="1:4" x14ac:dyDescent="0.25">
      <c r="A112">
        <v>19636</v>
      </c>
      <c r="B112">
        <v>387</v>
      </c>
      <c r="C112">
        <v>64</v>
      </c>
      <c r="D112">
        <v>710</v>
      </c>
    </row>
    <row r="113" spans="1:4" x14ac:dyDescent="0.25">
      <c r="A113">
        <v>17392</v>
      </c>
      <c r="B113">
        <v>228</v>
      </c>
      <c r="C113">
        <v>32</v>
      </c>
      <c r="D113">
        <v>68</v>
      </c>
    </row>
    <row r="114" spans="1:4" x14ac:dyDescent="0.25">
      <c r="A114">
        <v>19529</v>
      </c>
      <c r="B114">
        <v>341</v>
      </c>
      <c r="C114">
        <v>51</v>
      </c>
      <c r="D114">
        <v>642</v>
      </c>
    </row>
    <row r="115" spans="1:4" x14ac:dyDescent="0.25">
      <c r="A115">
        <v>17055</v>
      </c>
      <c r="B115">
        <v>371</v>
      </c>
      <c r="C115">
        <v>55</v>
      </c>
      <c r="D115">
        <v>805</v>
      </c>
    </row>
    <row r="116" spans="1:4" x14ac:dyDescent="0.25">
      <c r="A116">
        <v>63931</v>
      </c>
      <c r="B116">
        <v>435</v>
      </c>
      <c r="C116">
        <v>28</v>
      </c>
      <c r="D116">
        <v>581</v>
      </c>
    </row>
    <row r="117" spans="1:4" x14ac:dyDescent="0.25">
      <c r="A117">
        <v>35864</v>
      </c>
      <c r="B117">
        <v>353</v>
      </c>
      <c r="C117">
        <v>66</v>
      </c>
      <c r="D117">
        <v>534</v>
      </c>
    </row>
    <row r="118" spans="1:4" x14ac:dyDescent="0.25">
      <c r="A118">
        <v>41419</v>
      </c>
      <c r="B118">
        <v>184</v>
      </c>
      <c r="C118">
        <v>24</v>
      </c>
      <c r="D118">
        <v>156</v>
      </c>
    </row>
    <row r="119" spans="1:4" x14ac:dyDescent="0.25">
      <c r="A119">
        <v>31811</v>
      </c>
      <c r="B119">
        <v>338</v>
      </c>
      <c r="C119">
        <v>75</v>
      </c>
      <c r="D119">
        <v>429</v>
      </c>
    </row>
    <row r="120" spans="1:4" x14ac:dyDescent="0.25">
      <c r="A120">
        <v>56256</v>
      </c>
      <c r="B120">
        <v>406</v>
      </c>
      <c r="C120">
        <v>72</v>
      </c>
      <c r="D120">
        <v>1020</v>
      </c>
    </row>
    <row r="121" spans="1:4" x14ac:dyDescent="0.25">
      <c r="A121">
        <v>42357</v>
      </c>
      <c r="B121">
        <v>406</v>
      </c>
      <c r="C121">
        <v>83</v>
      </c>
      <c r="D121">
        <v>653</v>
      </c>
    </row>
    <row r="122" spans="1:4" x14ac:dyDescent="0.25">
      <c r="A122">
        <v>12238</v>
      </c>
      <c r="B122">
        <v>381</v>
      </c>
      <c r="C122">
        <v>67</v>
      </c>
      <c r="D122">
        <v>836</v>
      </c>
    </row>
    <row r="123" spans="1:4" x14ac:dyDescent="0.25">
      <c r="A123">
        <v>63809</v>
      </c>
      <c r="B123">
        <v>515</v>
      </c>
      <c r="C123">
        <v>56</v>
      </c>
      <c r="D123">
        <v>1086</v>
      </c>
    </row>
    <row r="124" spans="1:4" x14ac:dyDescent="0.25">
      <c r="A124">
        <v>76782</v>
      </c>
      <c r="B124">
        <v>429</v>
      </c>
      <c r="C124">
        <v>44</v>
      </c>
      <c r="D124">
        <v>548</v>
      </c>
    </row>
    <row r="125" spans="1:4" x14ac:dyDescent="0.25">
      <c r="A125">
        <v>25383</v>
      </c>
      <c r="B125">
        <v>367</v>
      </c>
      <c r="C125">
        <v>46</v>
      </c>
      <c r="D125">
        <v>570</v>
      </c>
    </row>
    <row r="126" spans="1:4" x14ac:dyDescent="0.25">
      <c r="A126">
        <v>2733</v>
      </c>
      <c r="B126">
        <v>459</v>
      </c>
      <c r="C126">
        <v>36</v>
      </c>
      <c r="D126">
        <v>1099</v>
      </c>
    </row>
    <row r="127" spans="1:4" x14ac:dyDescent="0.25">
      <c r="A127">
        <v>36934</v>
      </c>
      <c r="B127">
        <v>299</v>
      </c>
      <c r="C127">
        <v>63</v>
      </c>
      <c r="D127">
        <v>283</v>
      </c>
    </row>
    <row r="128" spans="1:4" x14ac:dyDescent="0.25">
      <c r="A128">
        <v>76348</v>
      </c>
      <c r="B128">
        <v>344</v>
      </c>
      <c r="C128">
        <v>60</v>
      </c>
      <c r="D128">
        <v>108</v>
      </c>
    </row>
    <row r="129" spans="1:4" x14ac:dyDescent="0.25">
      <c r="A129">
        <v>14887</v>
      </c>
      <c r="B129">
        <v>339</v>
      </c>
      <c r="C129">
        <v>58</v>
      </c>
      <c r="D129">
        <v>724</v>
      </c>
    </row>
    <row r="130" spans="1:4" x14ac:dyDescent="0.25">
      <c r="A130">
        <v>121834</v>
      </c>
      <c r="B130">
        <v>750</v>
      </c>
      <c r="C130">
        <v>54</v>
      </c>
      <c r="D130">
        <v>1573</v>
      </c>
    </row>
    <row r="131" spans="1:4" x14ac:dyDescent="0.25">
      <c r="A131">
        <v>22379</v>
      </c>
      <c r="B131">
        <v>292</v>
      </c>
      <c r="C131">
        <v>34</v>
      </c>
      <c r="D131">
        <v>384</v>
      </c>
    </row>
    <row r="132" spans="1:4" x14ac:dyDescent="0.25">
      <c r="A132">
        <v>28316</v>
      </c>
      <c r="B132">
        <v>316</v>
      </c>
      <c r="C132">
        <v>29</v>
      </c>
      <c r="D132">
        <v>453</v>
      </c>
    </row>
    <row r="133" spans="1:4" x14ac:dyDescent="0.25">
      <c r="A133">
        <v>58026</v>
      </c>
      <c r="B133">
        <v>560</v>
      </c>
      <c r="C133">
        <v>67</v>
      </c>
      <c r="D133">
        <v>1237</v>
      </c>
    </row>
    <row r="134" spans="1:4" x14ac:dyDescent="0.25">
      <c r="A134">
        <v>10635</v>
      </c>
      <c r="B134">
        <v>294</v>
      </c>
      <c r="C134">
        <v>69</v>
      </c>
      <c r="D134">
        <v>423</v>
      </c>
    </row>
    <row r="135" spans="1:4" x14ac:dyDescent="0.25">
      <c r="A135">
        <v>46102</v>
      </c>
      <c r="B135">
        <v>382</v>
      </c>
      <c r="C135">
        <v>81</v>
      </c>
      <c r="D135">
        <v>516</v>
      </c>
    </row>
    <row r="136" spans="1:4" x14ac:dyDescent="0.25">
      <c r="A136">
        <v>58929</v>
      </c>
      <c r="B136">
        <v>459</v>
      </c>
      <c r="C136">
        <v>66</v>
      </c>
      <c r="D136">
        <v>789</v>
      </c>
    </row>
    <row r="137" spans="1:4" x14ac:dyDescent="0.25">
      <c r="A137">
        <v>158889</v>
      </c>
      <c r="B137">
        <v>805</v>
      </c>
      <c r="C137">
        <v>62</v>
      </c>
      <c r="D137">
        <v>1448</v>
      </c>
    </row>
    <row r="138" spans="1:4" x14ac:dyDescent="0.25">
      <c r="A138">
        <v>3042</v>
      </c>
      <c r="B138">
        <v>316</v>
      </c>
      <c r="C138">
        <v>30</v>
      </c>
      <c r="D138">
        <v>450</v>
      </c>
    </row>
    <row r="139" spans="1:4" x14ac:dyDescent="0.25">
      <c r="A139">
        <v>36472</v>
      </c>
      <c r="B139">
        <v>309</v>
      </c>
      <c r="C139">
        <v>52</v>
      </c>
      <c r="D139">
        <v>188</v>
      </c>
    </row>
    <row r="140" spans="1:4" x14ac:dyDescent="0.25">
      <c r="A140">
        <v>83869</v>
      </c>
      <c r="B140">
        <v>554</v>
      </c>
      <c r="C140">
        <v>83</v>
      </c>
      <c r="D140">
        <v>930</v>
      </c>
    </row>
    <row r="141" spans="1:4" x14ac:dyDescent="0.25">
      <c r="A141">
        <v>58351</v>
      </c>
      <c r="B141">
        <v>326</v>
      </c>
      <c r="C141">
        <v>85</v>
      </c>
      <c r="D141">
        <v>126</v>
      </c>
    </row>
    <row r="142" spans="1:4" x14ac:dyDescent="0.25">
      <c r="A142">
        <v>55187</v>
      </c>
      <c r="B142">
        <v>385</v>
      </c>
      <c r="C142">
        <v>50</v>
      </c>
      <c r="D142">
        <v>538</v>
      </c>
    </row>
    <row r="143" spans="1:4" x14ac:dyDescent="0.25">
      <c r="A143">
        <v>12429</v>
      </c>
      <c r="B143">
        <v>701</v>
      </c>
      <c r="C143">
        <v>52</v>
      </c>
      <c r="D143">
        <v>1687</v>
      </c>
    </row>
    <row r="144" spans="1:4" x14ac:dyDescent="0.25">
      <c r="A144">
        <v>28508</v>
      </c>
      <c r="B144">
        <v>287</v>
      </c>
      <c r="C144">
        <v>56</v>
      </c>
      <c r="D144">
        <v>336</v>
      </c>
    </row>
    <row r="145" spans="1:4" x14ac:dyDescent="0.25">
      <c r="A145">
        <v>130209</v>
      </c>
      <c r="B145">
        <v>730</v>
      </c>
      <c r="C145">
        <v>39</v>
      </c>
      <c r="D145">
        <v>1426</v>
      </c>
    </row>
    <row r="146" spans="1:4" x14ac:dyDescent="0.25">
      <c r="A146">
        <v>23883</v>
      </c>
      <c r="B146">
        <v>398</v>
      </c>
      <c r="C146">
        <v>73</v>
      </c>
      <c r="D146">
        <v>802</v>
      </c>
    </row>
    <row r="147" spans="1:4" x14ac:dyDescent="0.25">
      <c r="A147">
        <v>93039</v>
      </c>
      <c r="B147">
        <v>517</v>
      </c>
      <c r="C147">
        <v>67</v>
      </c>
      <c r="D147">
        <v>749</v>
      </c>
    </row>
    <row r="148" spans="1:4" x14ac:dyDescent="0.25">
      <c r="A148">
        <v>50699</v>
      </c>
      <c r="B148">
        <v>304</v>
      </c>
      <c r="C148">
        <v>84</v>
      </c>
      <c r="D148">
        <v>69</v>
      </c>
    </row>
    <row r="149" spans="1:4" x14ac:dyDescent="0.25">
      <c r="A149">
        <v>10403</v>
      </c>
      <c r="B149">
        <v>310</v>
      </c>
      <c r="C149">
        <v>43</v>
      </c>
      <c r="D149">
        <v>571</v>
      </c>
    </row>
    <row r="150" spans="1:4" x14ac:dyDescent="0.25">
      <c r="A150">
        <v>23949</v>
      </c>
      <c r="B150">
        <v>383</v>
      </c>
      <c r="C150">
        <v>40</v>
      </c>
      <c r="D150">
        <v>829</v>
      </c>
    </row>
    <row r="151" spans="1:4" x14ac:dyDescent="0.25">
      <c r="A151">
        <v>73914</v>
      </c>
      <c r="B151">
        <v>529</v>
      </c>
      <c r="C151">
        <v>67</v>
      </c>
      <c r="D151">
        <v>1048</v>
      </c>
    </row>
    <row r="152" spans="1:4" x14ac:dyDescent="0.25">
      <c r="A152">
        <v>68206</v>
      </c>
      <c r="B152">
        <v>499</v>
      </c>
      <c r="C152">
        <v>40</v>
      </c>
      <c r="D152">
        <v>1411</v>
      </c>
    </row>
    <row r="153" spans="1:4" x14ac:dyDescent="0.25">
      <c r="A153">
        <v>57337</v>
      </c>
      <c r="B153">
        <v>392</v>
      </c>
      <c r="C153">
        <v>45</v>
      </c>
      <c r="D153">
        <v>456</v>
      </c>
    </row>
    <row r="154" spans="1:4" x14ac:dyDescent="0.25">
      <c r="A154">
        <v>10793</v>
      </c>
      <c r="B154">
        <v>321</v>
      </c>
      <c r="C154">
        <v>29</v>
      </c>
      <c r="D154">
        <v>638</v>
      </c>
    </row>
    <row r="155" spans="1:4" x14ac:dyDescent="0.25">
      <c r="A155">
        <v>10842</v>
      </c>
      <c r="B155">
        <v>358</v>
      </c>
      <c r="C155">
        <v>37</v>
      </c>
      <c r="D155">
        <v>1216</v>
      </c>
    </row>
    <row r="156" spans="1:4" x14ac:dyDescent="0.25">
      <c r="A156">
        <v>51345</v>
      </c>
      <c r="B156">
        <v>320</v>
      </c>
      <c r="C156">
        <v>46</v>
      </c>
      <c r="D156">
        <v>230</v>
      </c>
    </row>
    <row r="157" spans="1:4" x14ac:dyDescent="0.25">
      <c r="A157">
        <v>151947</v>
      </c>
      <c r="B157">
        <v>642</v>
      </c>
      <c r="C157">
        <v>91</v>
      </c>
      <c r="D157">
        <v>732</v>
      </c>
    </row>
    <row r="158" spans="1:4" x14ac:dyDescent="0.25">
      <c r="A158">
        <v>24543</v>
      </c>
      <c r="B158">
        <v>243</v>
      </c>
      <c r="C158">
        <v>62</v>
      </c>
      <c r="D158">
        <v>95</v>
      </c>
    </row>
    <row r="159" spans="1:4" x14ac:dyDescent="0.25">
      <c r="A159">
        <v>29567</v>
      </c>
      <c r="B159">
        <v>397</v>
      </c>
      <c r="C159">
        <v>25</v>
      </c>
      <c r="D159">
        <v>799</v>
      </c>
    </row>
    <row r="160" spans="1:4" x14ac:dyDescent="0.25">
      <c r="A160">
        <v>39145</v>
      </c>
      <c r="B160">
        <v>323</v>
      </c>
      <c r="C160">
        <v>66</v>
      </c>
      <c r="D160">
        <v>308</v>
      </c>
    </row>
    <row r="161" spans="1:4" x14ac:dyDescent="0.25">
      <c r="A161">
        <v>39422</v>
      </c>
      <c r="B161">
        <v>383</v>
      </c>
      <c r="C161">
        <v>44</v>
      </c>
      <c r="D161">
        <v>637</v>
      </c>
    </row>
    <row r="162" spans="1:4" x14ac:dyDescent="0.25">
      <c r="A162">
        <v>34909</v>
      </c>
      <c r="B162">
        <v>410</v>
      </c>
      <c r="C162">
        <v>62</v>
      </c>
      <c r="D162">
        <v>681</v>
      </c>
    </row>
    <row r="163" spans="1:4" x14ac:dyDescent="0.25">
      <c r="A163">
        <v>41025</v>
      </c>
      <c r="B163">
        <v>337</v>
      </c>
      <c r="C163">
        <v>79</v>
      </c>
      <c r="D163">
        <v>246</v>
      </c>
    </row>
    <row r="164" spans="1:4" x14ac:dyDescent="0.25">
      <c r="A164">
        <v>15476</v>
      </c>
      <c r="B164">
        <v>215</v>
      </c>
      <c r="C164">
        <v>60</v>
      </c>
      <c r="D164">
        <v>52</v>
      </c>
    </row>
    <row r="165" spans="1:4" x14ac:dyDescent="0.25">
      <c r="A165">
        <v>12456</v>
      </c>
      <c r="B165">
        <v>392</v>
      </c>
      <c r="C165">
        <v>65</v>
      </c>
      <c r="D165">
        <v>955</v>
      </c>
    </row>
    <row r="166" spans="1:4" x14ac:dyDescent="0.25">
      <c r="A166">
        <v>10627</v>
      </c>
      <c r="B166">
        <v>149</v>
      </c>
      <c r="C166">
        <v>71</v>
      </c>
      <c r="D166">
        <v>195</v>
      </c>
    </row>
    <row r="167" spans="1:4" x14ac:dyDescent="0.25">
      <c r="A167">
        <v>38954</v>
      </c>
      <c r="B167">
        <v>370</v>
      </c>
      <c r="C167">
        <v>76</v>
      </c>
      <c r="D167">
        <v>653</v>
      </c>
    </row>
    <row r="168" spans="1:4" x14ac:dyDescent="0.25">
      <c r="A168">
        <v>44847</v>
      </c>
      <c r="B168">
        <v>437</v>
      </c>
      <c r="C168">
        <v>53</v>
      </c>
      <c r="D168">
        <v>1246</v>
      </c>
    </row>
    <row r="169" spans="1:4" x14ac:dyDescent="0.25">
      <c r="A169">
        <v>98515</v>
      </c>
      <c r="B169">
        <v>633</v>
      </c>
      <c r="C169">
        <v>78</v>
      </c>
      <c r="D169">
        <v>1230</v>
      </c>
    </row>
    <row r="170" spans="1:4" x14ac:dyDescent="0.25">
      <c r="A170">
        <v>33437</v>
      </c>
      <c r="B170">
        <v>451</v>
      </c>
      <c r="C170">
        <v>44</v>
      </c>
      <c r="D170">
        <v>1549</v>
      </c>
    </row>
    <row r="171" spans="1:4" x14ac:dyDescent="0.25">
      <c r="A171">
        <v>27512</v>
      </c>
      <c r="B171">
        <v>344</v>
      </c>
      <c r="C171">
        <v>72</v>
      </c>
      <c r="D171">
        <v>573</v>
      </c>
    </row>
    <row r="172" spans="1:4" x14ac:dyDescent="0.25">
      <c r="A172">
        <v>121709</v>
      </c>
      <c r="B172">
        <v>584</v>
      </c>
      <c r="C172">
        <v>50</v>
      </c>
      <c r="D172">
        <v>701</v>
      </c>
    </row>
    <row r="173" spans="1:4" x14ac:dyDescent="0.25">
      <c r="A173">
        <v>15079</v>
      </c>
      <c r="B173">
        <v>411</v>
      </c>
      <c r="C173">
        <v>28</v>
      </c>
      <c r="D173">
        <v>1075</v>
      </c>
    </row>
    <row r="174" spans="1:4" x14ac:dyDescent="0.25">
      <c r="A174">
        <v>59879</v>
      </c>
      <c r="B174">
        <v>527</v>
      </c>
      <c r="C174">
        <v>78</v>
      </c>
      <c r="D174">
        <v>1032</v>
      </c>
    </row>
    <row r="175" spans="1:4" x14ac:dyDescent="0.25">
      <c r="A175">
        <v>66989</v>
      </c>
      <c r="B175">
        <v>430</v>
      </c>
      <c r="C175">
        <v>47</v>
      </c>
      <c r="D175">
        <v>482</v>
      </c>
    </row>
    <row r="176" spans="1:4" x14ac:dyDescent="0.25">
      <c r="A176">
        <v>69165</v>
      </c>
      <c r="B176">
        <v>341</v>
      </c>
      <c r="C176">
        <v>34</v>
      </c>
      <c r="D176">
        <v>156</v>
      </c>
    </row>
    <row r="177" spans="1:4" x14ac:dyDescent="0.25">
      <c r="A177">
        <v>69943</v>
      </c>
      <c r="B177">
        <v>547</v>
      </c>
      <c r="C177">
        <v>76</v>
      </c>
      <c r="D177">
        <v>1058</v>
      </c>
    </row>
    <row r="178" spans="1:4" x14ac:dyDescent="0.25">
      <c r="A178">
        <v>33214</v>
      </c>
      <c r="B178">
        <v>387</v>
      </c>
      <c r="C178">
        <v>59</v>
      </c>
      <c r="D178">
        <v>661</v>
      </c>
    </row>
    <row r="179" spans="1:4" x14ac:dyDescent="0.25">
      <c r="A179">
        <v>25124</v>
      </c>
      <c r="B179">
        <v>378</v>
      </c>
      <c r="C179">
        <v>29</v>
      </c>
      <c r="D179">
        <v>657</v>
      </c>
    </row>
    <row r="180" spans="1:4" x14ac:dyDescent="0.25">
      <c r="A180">
        <v>15741</v>
      </c>
      <c r="B180">
        <v>360</v>
      </c>
      <c r="C180">
        <v>39</v>
      </c>
      <c r="D180">
        <v>689</v>
      </c>
    </row>
    <row r="181" spans="1:4" x14ac:dyDescent="0.25">
      <c r="A181">
        <v>69656</v>
      </c>
      <c r="B181">
        <v>579</v>
      </c>
      <c r="C181">
        <v>41</v>
      </c>
      <c r="D181">
        <v>1329</v>
      </c>
    </row>
    <row r="182" spans="1:4" x14ac:dyDescent="0.25">
      <c r="A182">
        <v>10503</v>
      </c>
      <c r="B182">
        <v>232</v>
      </c>
      <c r="C182">
        <v>25</v>
      </c>
      <c r="D182">
        <v>191</v>
      </c>
    </row>
    <row r="183" spans="1:4" x14ac:dyDescent="0.25">
      <c r="A183">
        <v>42529</v>
      </c>
      <c r="B183">
        <v>369</v>
      </c>
      <c r="C183">
        <v>37</v>
      </c>
      <c r="D183">
        <v>489</v>
      </c>
    </row>
    <row r="184" spans="1:4" x14ac:dyDescent="0.25">
      <c r="A184">
        <v>60579</v>
      </c>
      <c r="B184">
        <v>388</v>
      </c>
      <c r="C184">
        <v>38</v>
      </c>
      <c r="D184">
        <v>443</v>
      </c>
    </row>
    <row r="185" spans="1:4" x14ac:dyDescent="0.25">
      <c r="A185">
        <v>26532</v>
      </c>
      <c r="B185">
        <v>236</v>
      </c>
      <c r="C185">
        <v>58</v>
      </c>
      <c r="D185">
        <v>52</v>
      </c>
    </row>
    <row r="186" spans="1:4" x14ac:dyDescent="0.25">
      <c r="A186">
        <v>27952</v>
      </c>
      <c r="B186">
        <v>263</v>
      </c>
      <c r="C186">
        <v>35</v>
      </c>
      <c r="D186">
        <v>163</v>
      </c>
    </row>
    <row r="187" spans="1:4" x14ac:dyDescent="0.25">
      <c r="A187">
        <v>29705</v>
      </c>
      <c r="B187">
        <v>262</v>
      </c>
      <c r="C187">
        <v>71</v>
      </c>
      <c r="D187">
        <v>148</v>
      </c>
    </row>
    <row r="188" spans="1:4" x14ac:dyDescent="0.25">
      <c r="A188">
        <v>20918</v>
      </c>
      <c r="B188">
        <v>128</v>
      </c>
      <c r="C188">
        <v>47</v>
      </c>
      <c r="D188">
        <v>16</v>
      </c>
    </row>
    <row r="189" spans="1:4" x14ac:dyDescent="0.25">
      <c r="A189">
        <v>58165</v>
      </c>
      <c r="B189">
        <v>460</v>
      </c>
      <c r="C189">
        <v>56</v>
      </c>
      <c r="D189">
        <v>856</v>
      </c>
    </row>
    <row r="190" spans="1:4" x14ac:dyDescent="0.25">
      <c r="A190">
        <v>19588</v>
      </c>
      <c r="B190">
        <v>265</v>
      </c>
      <c r="C190">
        <v>59</v>
      </c>
      <c r="D190">
        <v>199</v>
      </c>
    </row>
    <row r="191" spans="1:4" x14ac:dyDescent="0.25">
      <c r="A191">
        <v>22574</v>
      </c>
      <c r="B191">
        <v>134</v>
      </c>
      <c r="C191">
        <v>43</v>
      </c>
      <c r="D191">
        <v>98</v>
      </c>
    </row>
    <row r="192" spans="1:4" x14ac:dyDescent="0.25">
      <c r="A192">
        <v>28474</v>
      </c>
      <c r="B192">
        <v>267</v>
      </c>
      <c r="C192">
        <v>66</v>
      </c>
      <c r="D192">
        <v>132</v>
      </c>
    </row>
    <row r="193" spans="1:4" x14ac:dyDescent="0.25">
      <c r="A193">
        <v>72945</v>
      </c>
      <c r="B193">
        <v>621</v>
      </c>
      <c r="C193">
        <v>64</v>
      </c>
      <c r="D193">
        <v>1355</v>
      </c>
    </row>
    <row r="194" spans="1:4" x14ac:dyDescent="0.25">
      <c r="A194">
        <v>85425</v>
      </c>
      <c r="B194">
        <v>402</v>
      </c>
      <c r="C194">
        <v>60</v>
      </c>
      <c r="D194">
        <v>218</v>
      </c>
    </row>
    <row r="195" spans="1:4" x14ac:dyDescent="0.25">
      <c r="A195">
        <v>36508</v>
      </c>
      <c r="B195">
        <v>469</v>
      </c>
      <c r="C195">
        <v>79</v>
      </c>
      <c r="D195">
        <v>1048</v>
      </c>
    </row>
    <row r="196" spans="1:4" x14ac:dyDescent="0.25">
      <c r="A196">
        <v>58063</v>
      </c>
      <c r="B196">
        <v>304</v>
      </c>
      <c r="C196">
        <v>50</v>
      </c>
      <c r="D196">
        <v>118</v>
      </c>
    </row>
    <row r="197" spans="1:4" x14ac:dyDescent="0.25">
      <c r="A197">
        <v>33657</v>
      </c>
      <c r="B197">
        <v>450</v>
      </c>
      <c r="C197">
        <v>55</v>
      </c>
      <c r="D197">
        <v>1092</v>
      </c>
    </row>
    <row r="198" spans="1:4" x14ac:dyDescent="0.25">
      <c r="A198">
        <v>67937</v>
      </c>
      <c r="B198">
        <v>383</v>
      </c>
      <c r="C198">
        <v>63</v>
      </c>
      <c r="D198">
        <v>345</v>
      </c>
    </row>
    <row r="199" spans="1:4" x14ac:dyDescent="0.25">
      <c r="A199">
        <v>180379</v>
      </c>
      <c r="B199">
        <v>665</v>
      </c>
      <c r="C199">
        <v>67</v>
      </c>
      <c r="D199">
        <v>1050</v>
      </c>
    </row>
    <row r="200" spans="1:4" x14ac:dyDescent="0.25">
      <c r="A200">
        <v>10588</v>
      </c>
      <c r="B200">
        <v>296</v>
      </c>
      <c r="C200">
        <v>66</v>
      </c>
      <c r="D200">
        <v>465</v>
      </c>
    </row>
    <row r="201" spans="1:4" x14ac:dyDescent="0.25">
      <c r="A201">
        <v>29725</v>
      </c>
      <c r="B201">
        <v>270</v>
      </c>
      <c r="C201">
        <v>52</v>
      </c>
      <c r="D201">
        <v>133</v>
      </c>
    </row>
    <row r="202" spans="1:4" x14ac:dyDescent="0.25">
      <c r="A202">
        <v>27999</v>
      </c>
      <c r="B202">
        <v>380</v>
      </c>
      <c r="C202">
        <v>55</v>
      </c>
      <c r="D202">
        <v>651</v>
      </c>
    </row>
    <row r="203" spans="1:4" x14ac:dyDescent="0.25">
      <c r="A203">
        <v>40885</v>
      </c>
      <c r="B203">
        <v>379</v>
      </c>
      <c r="C203">
        <v>46</v>
      </c>
      <c r="D203">
        <v>549</v>
      </c>
    </row>
    <row r="204" spans="1:4" x14ac:dyDescent="0.25">
      <c r="A204">
        <v>8883</v>
      </c>
      <c r="B204">
        <v>360</v>
      </c>
      <c r="C204">
        <v>86</v>
      </c>
      <c r="D204">
        <v>15</v>
      </c>
    </row>
    <row r="205" spans="1:4" x14ac:dyDescent="0.25">
      <c r="A205">
        <v>29638</v>
      </c>
      <c r="B205">
        <v>433</v>
      </c>
      <c r="C205">
        <v>29</v>
      </c>
      <c r="D205">
        <v>942</v>
      </c>
    </row>
    <row r="206" spans="1:4" x14ac:dyDescent="0.25">
      <c r="A206">
        <v>39055</v>
      </c>
      <c r="B206">
        <v>410</v>
      </c>
      <c r="C206">
        <v>48</v>
      </c>
      <c r="D206">
        <v>772</v>
      </c>
    </row>
    <row r="207" spans="1:4" x14ac:dyDescent="0.25">
      <c r="A207">
        <v>15866</v>
      </c>
      <c r="B207">
        <v>217</v>
      </c>
      <c r="C207">
        <v>39</v>
      </c>
      <c r="D207">
        <v>136</v>
      </c>
    </row>
    <row r="208" spans="1:4" x14ac:dyDescent="0.25">
      <c r="A208">
        <v>44978</v>
      </c>
      <c r="B208">
        <v>347</v>
      </c>
      <c r="C208">
        <v>30</v>
      </c>
      <c r="D208">
        <v>436</v>
      </c>
    </row>
    <row r="209" spans="1:4" x14ac:dyDescent="0.25">
      <c r="A209">
        <v>30413</v>
      </c>
      <c r="B209">
        <v>299</v>
      </c>
      <c r="C209">
        <v>25</v>
      </c>
      <c r="D209">
        <v>728</v>
      </c>
    </row>
    <row r="210" spans="1:4" x14ac:dyDescent="0.25">
      <c r="A210">
        <v>16751</v>
      </c>
      <c r="B210">
        <v>353</v>
      </c>
      <c r="C210">
        <v>48</v>
      </c>
      <c r="D210">
        <v>1255</v>
      </c>
    </row>
    <row r="211" spans="1:4" x14ac:dyDescent="0.25">
      <c r="A211">
        <v>3055</v>
      </c>
      <c r="B211">
        <v>439</v>
      </c>
      <c r="C211">
        <v>81</v>
      </c>
      <c r="D211">
        <v>967</v>
      </c>
    </row>
    <row r="212" spans="1:4" x14ac:dyDescent="0.25">
      <c r="A212">
        <v>163329</v>
      </c>
      <c r="B212">
        <v>636</v>
      </c>
      <c r="C212">
        <v>50</v>
      </c>
      <c r="D212">
        <v>529</v>
      </c>
    </row>
    <row r="213" spans="1:4" x14ac:dyDescent="0.25">
      <c r="A213">
        <v>23106</v>
      </c>
      <c r="B213">
        <v>257</v>
      </c>
      <c r="C213">
        <v>50</v>
      </c>
      <c r="D213">
        <v>209</v>
      </c>
    </row>
    <row r="214" spans="1:4" x14ac:dyDescent="0.25">
      <c r="A214">
        <v>41532</v>
      </c>
      <c r="B214">
        <v>353</v>
      </c>
      <c r="C214">
        <v>50</v>
      </c>
      <c r="D214">
        <v>531</v>
      </c>
    </row>
    <row r="215" spans="1:4" x14ac:dyDescent="0.25">
      <c r="A215">
        <v>12804</v>
      </c>
      <c r="B215">
        <v>518</v>
      </c>
      <c r="C215">
        <v>78</v>
      </c>
      <c r="D215">
        <v>250</v>
      </c>
    </row>
    <row r="216" spans="1:4" x14ac:dyDescent="0.25">
      <c r="A216">
        <v>54319</v>
      </c>
      <c r="B216">
        <v>248</v>
      </c>
      <c r="C216">
        <v>59</v>
      </c>
      <c r="D216">
        <v>269</v>
      </c>
    </row>
    <row r="217" spans="1:4" x14ac:dyDescent="0.25">
      <c r="A217">
        <v>53401</v>
      </c>
      <c r="B217">
        <v>377</v>
      </c>
      <c r="C217">
        <v>35</v>
      </c>
      <c r="D217">
        <v>541</v>
      </c>
    </row>
    <row r="218" spans="1:4" x14ac:dyDescent="0.25">
      <c r="A218">
        <v>63534</v>
      </c>
      <c r="B218">
        <v>581</v>
      </c>
      <c r="C218">
        <v>50</v>
      </c>
      <c r="D218">
        <v>1298</v>
      </c>
    </row>
    <row r="219" spans="1:4" x14ac:dyDescent="0.25">
      <c r="A219">
        <v>49927</v>
      </c>
      <c r="B219">
        <v>485</v>
      </c>
      <c r="C219">
        <v>75</v>
      </c>
      <c r="D219">
        <v>890</v>
      </c>
    </row>
    <row r="220" spans="1:4" x14ac:dyDescent="0.25">
      <c r="A220">
        <v>16711</v>
      </c>
      <c r="B220">
        <v>387</v>
      </c>
      <c r="C220">
        <v>42</v>
      </c>
      <c r="D220">
        <v>863</v>
      </c>
    </row>
    <row r="221" spans="1:4" x14ac:dyDescent="0.25">
      <c r="A221">
        <v>10852</v>
      </c>
      <c r="B221">
        <v>296</v>
      </c>
      <c r="C221">
        <v>30</v>
      </c>
      <c r="D221">
        <v>485</v>
      </c>
    </row>
    <row r="222" spans="1:4" x14ac:dyDescent="0.25">
      <c r="A222">
        <v>2637</v>
      </c>
      <c r="B222">
        <v>268</v>
      </c>
      <c r="C222">
        <v>78</v>
      </c>
      <c r="D222">
        <v>159</v>
      </c>
    </row>
    <row r="223" spans="1:4" x14ac:dyDescent="0.25">
      <c r="A223">
        <v>24088</v>
      </c>
      <c r="B223">
        <v>287</v>
      </c>
      <c r="C223">
        <v>56</v>
      </c>
      <c r="D223">
        <v>309</v>
      </c>
    </row>
    <row r="224" spans="1:4" x14ac:dyDescent="0.25">
      <c r="A224">
        <v>51532</v>
      </c>
      <c r="B224">
        <v>380</v>
      </c>
      <c r="C224">
        <v>31</v>
      </c>
      <c r="D224">
        <v>481</v>
      </c>
    </row>
    <row r="225" spans="1:4" x14ac:dyDescent="0.25">
      <c r="A225">
        <v>140672</v>
      </c>
      <c r="B225">
        <v>817</v>
      </c>
      <c r="C225">
        <v>46</v>
      </c>
      <c r="D225">
        <v>1677</v>
      </c>
    </row>
    <row r="226" spans="1:4" x14ac:dyDescent="0.25">
      <c r="A226">
        <v>65896</v>
      </c>
      <c r="B226">
        <v>370</v>
      </c>
      <c r="C226">
        <v>49</v>
      </c>
      <c r="D226">
        <v>293</v>
      </c>
    </row>
    <row r="227" spans="1:4" x14ac:dyDescent="0.25">
      <c r="A227">
        <v>55054</v>
      </c>
      <c r="B227">
        <v>321</v>
      </c>
      <c r="C227">
        <v>74</v>
      </c>
      <c r="D227">
        <v>188</v>
      </c>
    </row>
    <row r="228" spans="1:4" x14ac:dyDescent="0.25">
      <c r="A228">
        <v>24919</v>
      </c>
      <c r="B228">
        <v>372</v>
      </c>
      <c r="C228">
        <v>76</v>
      </c>
      <c r="D228">
        <v>711</v>
      </c>
    </row>
    <row r="229" spans="1:4" x14ac:dyDescent="0.25">
      <c r="A229">
        <v>21786</v>
      </c>
      <c r="B229">
        <v>355</v>
      </c>
      <c r="C229">
        <v>50</v>
      </c>
      <c r="D229">
        <v>580</v>
      </c>
    </row>
    <row r="230" spans="1:4" x14ac:dyDescent="0.25">
      <c r="A230">
        <v>31335</v>
      </c>
      <c r="B230">
        <v>289</v>
      </c>
      <c r="C230">
        <v>38</v>
      </c>
      <c r="D230">
        <v>172</v>
      </c>
    </row>
    <row r="231" spans="1:4" x14ac:dyDescent="0.25">
      <c r="A231">
        <v>59855</v>
      </c>
      <c r="B231">
        <v>365</v>
      </c>
      <c r="C231">
        <v>46</v>
      </c>
      <c r="D231">
        <v>295</v>
      </c>
    </row>
    <row r="232" spans="1:4" x14ac:dyDescent="0.25">
      <c r="A232">
        <v>44061</v>
      </c>
      <c r="B232">
        <v>352</v>
      </c>
      <c r="C232">
        <v>79</v>
      </c>
      <c r="D232">
        <v>414</v>
      </c>
    </row>
    <row r="233" spans="1:4" x14ac:dyDescent="0.25">
      <c r="A233">
        <v>82706</v>
      </c>
      <c r="B233">
        <v>536</v>
      </c>
      <c r="C233">
        <v>64</v>
      </c>
      <c r="D233">
        <v>905</v>
      </c>
    </row>
    <row r="234" spans="1:4" x14ac:dyDescent="0.25">
      <c r="A234">
        <v>4512</v>
      </c>
      <c r="B234">
        <v>287</v>
      </c>
      <c r="C234">
        <v>80</v>
      </c>
      <c r="D234">
        <v>70</v>
      </c>
    </row>
    <row r="235" spans="1:4" x14ac:dyDescent="0.25">
      <c r="A235">
        <v>14956</v>
      </c>
      <c r="B235">
        <v>332</v>
      </c>
      <c r="C235">
        <v>33</v>
      </c>
      <c r="D235">
        <v>681</v>
      </c>
    </row>
    <row r="236" spans="1:4" x14ac:dyDescent="0.25">
      <c r="A236">
        <v>75257</v>
      </c>
      <c r="B236">
        <v>494</v>
      </c>
      <c r="C236">
        <v>34</v>
      </c>
      <c r="D236">
        <v>885</v>
      </c>
    </row>
    <row r="237" spans="1:4" x14ac:dyDescent="0.25">
      <c r="A237">
        <v>33694</v>
      </c>
      <c r="B237">
        <v>369</v>
      </c>
      <c r="C237">
        <v>52</v>
      </c>
      <c r="D237">
        <v>1036</v>
      </c>
    </row>
    <row r="238" spans="1:4" x14ac:dyDescent="0.25">
      <c r="A238">
        <v>23375</v>
      </c>
      <c r="B238">
        <v>396</v>
      </c>
      <c r="C238">
        <v>57</v>
      </c>
      <c r="D238">
        <v>844</v>
      </c>
    </row>
    <row r="239" spans="1:4" x14ac:dyDescent="0.25">
      <c r="A239">
        <v>27825</v>
      </c>
      <c r="B239">
        <v>386</v>
      </c>
      <c r="C239">
        <v>63</v>
      </c>
      <c r="D239">
        <v>823</v>
      </c>
    </row>
    <row r="240" spans="1:4" x14ac:dyDescent="0.25">
      <c r="A240">
        <v>92386</v>
      </c>
      <c r="B240">
        <v>534</v>
      </c>
      <c r="C240">
        <v>75</v>
      </c>
      <c r="D240">
        <v>843</v>
      </c>
    </row>
    <row r="241" spans="1:4" x14ac:dyDescent="0.25">
      <c r="A241">
        <v>11552</v>
      </c>
      <c r="B241">
        <v>656</v>
      </c>
      <c r="C241">
        <v>69</v>
      </c>
      <c r="D241">
        <v>1140</v>
      </c>
    </row>
    <row r="242" spans="1:4" x14ac:dyDescent="0.25">
      <c r="A242">
        <v>14479</v>
      </c>
      <c r="B242">
        <v>296</v>
      </c>
      <c r="C242">
        <v>43</v>
      </c>
      <c r="D242">
        <v>463</v>
      </c>
    </row>
    <row r="243" spans="1:4" x14ac:dyDescent="0.25">
      <c r="A243">
        <v>52179</v>
      </c>
      <c r="B243">
        <v>522</v>
      </c>
      <c r="C243">
        <v>57</v>
      </c>
      <c r="D243">
        <v>1142</v>
      </c>
    </row>
    <row r="244" spans="1:4" x14ac:dyDescent="0.25">
      <c r="A244">
        <v>68462</v>
      </c>
      <c r="B244">
        <v>340</v>
      </c>
      <c r="C244">
        <v>71</v>
      </c>
      <c r="D244">
        <v>136</v>
      </c>
    </row>
    <row r="245" spans="1:4" x14ac:dyDescent="0.25">
      <c r="A245">
        <v>16279</v>
      </c>
      <c r="B245">
        <v>126</v>
      </c>
      <c r="C245">
        <v>78</v>
      </c>
      <c r="D245">
        <v>5</v>
      </c>
    </row>
    <row r="246" spans="1:4" x14ac:dyDescent="0.25">
      <c r="A246">
        <v>25078</v>
      </c>
      <c r="B246">
        <v>236</v>
      </c>
      <c r="C246">
        <v>27</v>
      </c>
      <c r="D246">
        <v>81</v>
      </c>
    </row>
    <row r="247" spans="1:4" x14ac:dyDescent="0.25">
      <c r="A247">
        <v>27229</v>
      </c>
      <c r="B247">
        <v>282</v>
      </c>
      <c r="C247">
        <v>51</v>
      </c>
      <c r="D247">
        <v>265</v>
      </c>
    </row>
    <row r="248" spans="1:4" x14ac:dyDescent="0.25">
      <c r="A248">
        <v>182728</v>
      </c>
      <c r="B248">
        <v>982</v>
      </c>
      <c r="C248">
        <v>98</v>
      </c>
      <c r="D248">
        <v>1999</v>
      </c>
    </row>
    <row r="249" spans="1:4" x14ac:dyDescent="0.25">
      <c r="A249">
        <v>31029</v>
      </c>
      <c r="B249">
        <v>223</v>
      </c>
      <c r="C249">
        <v>66</v>
      </c>
      <c r="D249">
        <v>415</v>
      </c>
    </row>
    <row r="250" spans="1:4" x14ac:dyDescent="0.25">
      <c r="A250">
        <v>17765</v>
      </c>
      <c r="B250">
        <v>364</v>
      </c>
      <c r="C250">
        <v>66</v>
      </c>
      <c r="D250">
        <v>732</v>
      </c>
    </row>
    <row r="251" spans="1:4" x14ac:dyDescent="0.25">
      <c r="A251">
        <v>12548</v>
      </c>
      <c r="B251">
        <v>721</v>
      </c>
      <c r="C251">
        <v>82</v>
      </c>
      <c r="D251">
        <v>1361</v>
      </c>
    </row>
    <row r="252" spans="1:4" x14ac:dyDescent="0.25">
      <c r="A252">
        <v>49166</v>
      </c>
      <c r="B252">
        <v>508</v>
      </c>
      <c r="C252">
        <v>68</v>
      </c>
      <c r="D252">
        <v>984</v>
      </c>
    </row>
    <row r="253" spans="1:4" x14ac:dyDescent="0.25">
      <c r="A253">
        <v>41192</v>
      </c>
      <c r="B253">
        <v>297</v>
      </c>
      <c r="C253">
        <v>54</v>
      </c>
      <c r="D253">
        <v>121</v>
      </c>
    </row>
    <row r="254" spans="1:4" x14ac:dyDescent="0.25">
      <c r="A254">
        <v>94193</v>
      </c>
      <c r="B254">
        <v>527</v>
      </c>
      <c r="C254">
        <v>44</v>
      </c>
      <c r="D254">
        <v>846</v>
      </c>
    </row>
    <row r="255" spans="1:4" x14ac:dyDescent="0.25">
      <c r="A255">
        <v>20405</v>
      </c>
      <c r="B255">
        <v>329</v>
      </c>
      <c r="C255">
        <v>72</v>
      </c>
      <c r="D255">
        <v>1054</v>
      </c>
    </row>
    <row r="256" spans="1:4" x14ac:dyDescent="0.25">
      <c r="A256">
        <v>12581</v>
      </c>
      <c r="B256">
        <v>291</v>
      </c>
      <c r="C256">
        <v>48</v>
      </c>
      <c r="D256">
        <v>474</v>
      </c>
    </row>
    <row r="257" spans="1:4" x14ac:dyDescent="0.25">
      <c r="A257">
        <v>62328</v>
      </c>
      <c r="B257">
        <v>377</v>
      </c>
      <c r="C257">
        <v>83</v>
      </c>
      <c r="D257">
        <v>380</v>
      </c>
    </row>
    <row r="258" spans="1:4" x14ac:dyDescent="0.25">
      <c r="A258">
        <v>21011</v>
      </c>
      <c r="B258">
        <v>261</v>
      </c>
      <c r="C258">
        <v>68</v>
      </c>
      <c r="D258">
        <v>182</v>
      </c>
    </row>
    <row r="259" spans="1:4" x14ac:dyDescent="0.25">
      <c r="A259">
        <v>2423</v>
      </c>
      <c r="B259">
        <v>351</v>
      </c>
      <c r="C259">
        <v>64</v>
      </c>
      <c r="D259">
        <v>594</v>
      </c>
    </row>
    <row r="260" spans="1:4" x14ac:dyDescent="0.25">
      <c r="A260">
        <v>24314</v>
      </c>
      <c r="B260">
        <v>270</v>
      </c>
      <c r="C260">
        <v>23</v>
      </c>
      <c r="D260">
        <v>194</v>
      </c>
    </row>
    <row r="261" spans="1:4" x14ac:dyDescent="0.25">
      <c r="A261">
        <v>32856</v>
      </c>
      <c r="B261">
        <v>438</v>
      </c>
      <c r="C261">
        <v>68</v>
      </c>
      <c r="D261">
        <v>926</v>
      </c>
    </row>
    <row r="262" spans="1:4" x14ac:dyDescent="0.25">
      <c r="A262">
        <v>41365</v>
      </c>
      <c r="B262">
        <v>377</v>
      </c>
      <c r="C262">
        <v>45</v>
      </c>
      <c r="D262">
        <v>606</v>
      </c>
    </row>
    <row r="263" spans="1:4" x14ac:dyDescent="0.25">
      <c r="A263">
        <v>149316</v>
      </c>
      <c r="B263">
        <v>707</v>
      </c>
      <c r="C263">
        <v>80</v>
      </c>
      <c r="D263">
        <v>1107</v>
      </c>
    </row>
    <row r="264" spans="1:4" x14ac:dyDescent="0.25">
      <c r="A264">
        <v>27794</v>
      </c>
      <c r="B264">
        <v>301</v>
      </c>
      <c r="C264">
        <v>35</v>
      </c>
      <c r="D264">
        <v>320</v>
      </c>
    </row>
    <row r="265" spans="1:4" x14ac:dyDescent="0.25">
      <c r="A265">
        <v>13234</v>
      </c>
      <c r="B265">
        <v>299</v>
      </c>
      <c r="C265">
        <v>77</v>
      </c>
      <c r="D265">
        <v>426</v>
      </c>
    </row>
    <row r="266" spans="1:4" x14ac:dyDescent="0.25">
      <c r="A266">
        <v>14595</v>
      </c>
      <c r="B266">
        <v>260</v>
      </c>
      <c r="C266">
        <v>37</v>
      </c>
      <c r="D266">
        <v>204</v>
      </c>
    </row>
    <row r="267" spans="1:4" x14ac:dyDescent="0.25">
      <c r="A267">
        <v>10735</v>
      </c>
      <c r="B267">
        <v>280</v>
      </c>
      <c r="C267">
        <v>44</v>
      </c>
      <c r="D267">
        <v>410</v>
      </c>
    </row>
    <row r="268" spans="1:4" x14ac:dyDescent="0.25">
      <c r="A268">
        <v>48218</v>
      </c>
      <c r="B268">
        <v>401</v>
      </c>
      <c r="C268">
        <v>39</v>
      </c>
      <c r="D268">
        <v>633</v>
      </c>
    </row>
    <row r="269" spans="1:4" x14ac:dyDescent="0.25">
      <c r="A269">
        <v>21551</v>
      </c>
      <c r="B269">
        <v>420</v>
      </c>
      <c r="C269">
        <v>51</v>
      </c>
      <c r="D269">
        <v>907</v>
      </c>
    </row>
    <row r="270" spans="1:4" x14ac:dyDescent="0.25">
      <c r="A270">
        <v>160231</v>
      </c>
      <c r="B270">
        <v>754</v>
      </c>
      <c r="C270">
        <v>69</v>
      </c>
      <c r="D270">
        <v>1192</v>
      </c>
    </row>
    <row r="271" spans="1:4" x14ac:dyDescent="0.25">
      <c r="A271">
        <v>48577</v>
      </c>
      <c r="B271">
        <v>389</v>
      </c>
      <c r="C271">
        <v>71</v>
      </c>
      <c r="D271">
        <v>503</v>
      </c>
    </row>
    <row r="272" spans="1:4" x14ac:dyDescent="0.25">
      <c r="A272">
        <v>6162</v>
      </c>
      <c r="B272">
        <v>374</v>
      </c>
      <c r="C272">
        <v>71</v>
      </c>
      <c r="D272">
        <v>302</v>
      </c>
    </row>
    <row r="273" spans="1:4" x14ac:dyDescent="0.25">
      <c r="A273">
        <v>104483</v>
      </c>
      <c r="B273">
        <v>507</v>
      </c>
      <c r="C273">
        <v>41</v>
      </c>
      <c r="D273">
        <v>583</v>
      </c>
    </row>
    <row r="274" spans="1:4" x14ac:dyDescent="0.25">
      <c r="A274">
        <v>41868</v>
      </c>
      <c r="B274">
        <v>342</v>
      </c>
      <c r="C274">
        <v>47</v>
      </c>
      <c r="D274">
        <v>425</v>
      </c>
    </row>
    <row r="275" spans="1:4" x14ac:dyDescent="0.25">
      <c r="A275">
        <v>12068</v>
      </c>
      <c r="B275">
        <v>292</v>
      </c>
      <c r="C275">
        <v>44</v>
      </c>
      <c r="D275">
        <v>413</v>
      </c>
    </row>
    <row r="276" spans="1:4" x14ac:dyDescent="0.25">
      <c r="A276">
        <v>180682</v>
      </c>
      <c r="B276">
        <v>832</v>
      </c>
      <c r="C276">
        <v>58</v>
      </c>
      <c r="D276">
        <v>1405</v>
      </c>
    </row>
    <row r="277" spans="1:4" x14ac:dyDescent="0.25">
      <c r="A277">
        <v>3448</v>
      </c>
      <c r="B277">
        <v>442</v>
      </c>
      <c r="C277">
        <v>36</v>
      </c>
      <c r="D277">
        <v>962</v>
      </c>
    </row>
    <row r="278" spans="1:4" x14ac:dyDescent="0.25">
      <c r="A278">
        <v>30111</v>
      </c>
      <c r="B278">
        <v>339</v>
      </c>
      <c r="C278">
        <v>81</v>
      </c>
      <c r="D278">
        <v>347</v>
      </c>
    </row>
    <row r="279" spans="1:4" x14ac:dyDescent="0.25">
      <c r="A279">
        <v>12335</v>
      </c>
      <c r="B279">
        <v>344</v>
      </c>
      <c r="C279">
        <v>79</v>
      </c>
      <c r="D279">
        <v>611</v>
      </c>
    </row>
    <row r="280" spans="1:4" x14ac:dyDescent="0.25">
      <c r="A280">
        <v>53566</v>
      </c>
      <c r="B280">
        <v>434</v>
      </c>
      <c r="C280">
        <v>82</v>
      </c>
      <c r="D280">
        <v>712</v>
      </c>
    </row>
    <row r="281" spans="1:4" x14ac:dyDescent="0.25">
      <c r="A281">
        <v>53217</v>
      </c>
      <c r="B281">
        <v>362</v>
      </c>
      <c r="C281">
        <v>46</v>
      </c>
      <c r="D281">
        <v>382</v>
      </c>
    </row>
    <row r="282" spans="1:4" x14ac:dyDescent="0.25">
      <c r="A282">
        <v>26162</v>
      </c>
      <c r="B282">
        <v>382</v>
      </c>
      <c r="C282">
        <v>62</v>
      </c>
      <c r="D282">
        <v>710</v>
      </c>
    </row>
    <row r="283" spans="1:4" x14ac:dyDescent="0.25">
      <c r="A283">
        <v>64173</v>
      </c>
      <c r="B283">
        <v>433</v>
      </c>
      <c r="C283">
        <v>80</v>
      </c>
      <c r="D283">
        <v>578</v>
      </c>
    </row>
    <row r="284" spans="1:4" x14ac:dyDescent="0.25">
      <c r="A284">
        <v>128669</v>
      </c>
      <c r="B284">
        <v>685</v>
      </c>
      <c r="C284">
        <v>67</v>
      </c>
      <c r="D284">
        <v>1243</v>
      </c>
    </row>
    <row r="285" spans="1:4" x14ac:dyDescent="0.25">
      <c r="A285">
        <v>113772</v>
      </c>
      <c r="B285">
        <v>489</v>
      </c>
      <c r="C285">
        <v>69</v>
      </c>
      <c r="D285">
        <v>790</v>
      </c>
    </row>
    <row r="286" spans="1:4" x14ac:dyDescent="0.25">
      <c r="A286">
        <v>61069</v>
      </c>
      <c r="B286">
        <v>564</v>
      </c>
      <c r="C286">
        <v>56</v>
      </c>
      <c r="D286">
        <v>1264</v>
      </c>
    </row>
    <row r="287" spans="1:4" x14ac:dyDescent="0.25">
      <c r="A287">
        <v>23793</v>
      </c>
      <c r="B287">
        <v>263</v>
      </c>
      <c r="C287">
        <v>70</v>
      </c>
      <c r="D287">
        <v>216</v>
      </c>
    </row>
    <row r="288" spans="1:4" x14ac:dyDescent="0.25">
      <c r="A288">
        <v>89</v>
      </c>
      <c r="B288">
        <v>440</v>
      </c>
      <c r="C288">
        <v>37</v>
      </c>
      <c r="D288">
        <v>345</v>
      </c>
    </row>
    <row r="289" spans="1:4" x14ac:dyDescent="0.25">
      <c r="A289">
        <v>71682</v>
      </c>
      <c r="B289">
        <v>599</v>
      </c>
      <c r="C289">
        <v>57</v>
      </c>
      <c r="D289">
        <v>1208</v>
      </c>
    </row>
    <row r="290" spans="1:4" x14ac:dyDescent="0.25">
      <c r="A290">
        <v>3561</v>
      </c>
      <c r="B290">
        <v>466</v>
      </c>
      <c r="C290">
        <v>40</v>
      </c>
      <c r="D290">
        <v>992</v>
      </c>
    </row>
    <row r="291" spans="1:4" x14ac:dyDescent="0.25">
      <c r="A291">
        <v>19782</v>
      </c>
      <c r="B291">
        <v>293</v>
      </c>
      <c r="C291">
        <v>46</v>
      </c>
      <c r="D291">
        <v>840</v>
      </c>
    </row>
    <row r="292" spans="1:4" x14ac:dyDescent="0.25">
      <c r="A292">
        <v>55412</v>
      </c>
      <c r="B292">
        <v>383</v>
      </c>
      <c r="C292">
        <v>37</v>
      </c>
      <c r="D292">
        <v>1003</v>
      </c>
    </row>
    <row r="293" spans="1:4" x14ac:dyDescent="0.25">
      <c r="A293">
        <v>294</v>
      </c>
      <c r="B293">
        <v>368</v>
      </c>
      <c r="C293">
        <v>76</v>
      </c>
      <c r="D293">
        <v>588</v>
      </c>
    </row>
    <row r="294" spans="1:4" x14ac:dyDescent="0.25">
      <c r="A294">
        <v>20974</v>
      </c>
      <c r="B294">
        <v>413</v>
      </c>
      <c r="C294">
        <v>44</v>
      </c>
      <c r="D294">
        <v>1000</v>
      </c>
    </row>
    <row r="295" spans="1:4" x14ac:dyDescent="0.25">
      <c r="A295">
        <v>87625</v>
      </c>
      <c r="B295">
        <v>515</v>
      </c>
      <c r="C295">
        <v>46</v>
      </c>
      <c r="D295">
        <v>767</v>
      </c>
    </row>
    <row r="296" spans="1:4" x14ac:dyDescent="0.25">
      <c r="A296">
        <v>19349</v>
      </c>
      <c r="B296">
        <v>366</v>
      </c>
      <c r="C296">
        <v>33</v>
      </c>
      <c r="D296">
        <v>717</v>
      </c>
    </row>
    <row r="297" spans="1:4" x14ac:dyDescent="0.25">
      <c r="A297">
        <v>115123</v>
      </c>
      <c r="B297">
        <v>538</v>
      </c>
      <c r="C297">
        <v>83</v>
      </c>
      <c r="D297">
        <v>661</v>
      </c>
    </row>
    <row r="298" spans="1:4" x14ac:dyDescent="0.25">
      <c r="A298">
        <v>101788</v>
      </c>
      <c r="B298">
        <v>574</v>
      </c>
      <c r="C298">
        <v>84</v>
      </c>
      <c r="D298">
        <v>849</v>
      </c>
    </row>
    <row r="299" spans="1:4" x14ac:dyDescent="0.25">
      <c r="A299">
        <v>24824</v>
      </c>
      <c r="B299">
        <v>409</v>
      </c>
      <c r="C299">
        <v>33</v>
      </c>
      <c r="D299">
        <v>1352</v>
      </c>
    </row>
    <row r="300" spans="1:4" x14ac:dyDescent="0.25">
      <c r="A300">
        <v>14292</v>
      </c>
      <c r="B300">
        <v>282</v>
      </c>
      <c r="C300">
        <v>64</v>
      </c>
      <c r="D300">
        <v>382</v>
      </c>
    </row>
    <row r="301" spans="1:4" x14ac:dyDescent="0.25">
      <c r="A301">
        <v>264</v>
      </c>
      <c r="B301">
        <v>398</v>
      </c>
      <c r="C301">
        <v>58</v>
      </c>
      <c r="D301">
        <v>905</v>
      </c>
    </row>
    <row r="302" spans="1:4" x14ac:dyDescent="0.25">
      <c r="A302">
        <v>19253</v>
      </c>
      <c r="B302">
        <v>287</v>
      </c>
      <c r="C302">
        <v>57</v>
      </c>
      <c r="D302">
        <v>371</v>
      </c>
    </row>
    <row r="303" spans="1:4" x14ac:dyDescent="0.25">
      <c r="A303">
        <v>37878</v>
      </c>
      <c r="B303">
        <v>482</v>
      </c>
      <c r="C303">
        <v>80</v>
      </c>
      <c r="D303">
        <v>1129</v>
      </c>
    </row>
    <row r="304" spans="1:4" x14ac:dyDescent="0.25">
      <c r="A304">
        <v>83948</v>
      </c>
      <c r="B304">
        <v>503</v>
      </c>
      <c r="C304">
        <v>44</v>
      </c>
      <c r="D304">
        <v>806</v>
      </c>
    </row>
    <row r="305" spans="1:4" x14ac:dyDescent="0.25">
      <c r="A305">
        <v>135118</v>
      </c>
      <c r="B305">
        <v>747</v>
      </c>
      <c r="C305">
        <v>81</v>
      </c>
      <c r="D305">
        <v>1393</v>
      </c>
    </row>
    <row r="306" spans="1:4" x14ac:dyDescent="0.25">
      <c r="A306">
        <v>73327</v>
      </c>
      <c r="B306">
        <v>472</v>
      </c>
      <c r="C306">
        <v>43</v>
      </c>
      <c r="D306">
        <v>721</v>
      </c>
    </row>
    <row r="307" spans="1:4" x14ac:dyDescent="0.25">
      <c r="A307">
        <v>49794</v>
      </c>
      <c r="B307">
        <v>410</v>
      </c>
      <c r="C307">
        <v>40</v>
      </c>
      <c r="D307">
        <v>734</v>
      </c>
    </row>
    <row r="308" spans="1:4" x14ac:dyDescent="0.25">
      <c r="A308">
        <v>12096</v>
      </c>
      <c r="B308">
        <v>307</v>
      </c>
      <c r="C308">
        <v>32</v>
      </c>
      <c r="D308">
        <v>560</v>
      </c>
    </row>
    <row r="309" spans="1:4" x14ac:dyDescent="0.25">
      <c r="A309">
        <v>13364</v>
      </c>
      <c r="B309">
        <v>296</v>
      </c>
      <c r="C309">
        <v>65</v>
      </c>
      <c r="D309">
        <v>480</v>
      </c>
    </row>
    <row r="310" spans="1:4" x14ac:dyDescent="0.25">
      <c r="A310">
        <v>57872</v>
      </c>
      <c r="B310">
        <v>321</v>
      </c>
      <c r="C310">
        <v>67</v>
      </c>
      <c r="D310">
        <v>138</v>
      </c>
    </row>
    <row r="311" spans="1:4" x14ac:dyDescent="0.25">
      <c r="A311">
        <v>18701</v>
      </c>
      <c r="B311">
        <v>415</v>
      </c>
      <c r="C311">
        <v>64</v>
      </c>
      <c r="D311">
        <v>966</v>
      </c>
    </row>
    <row r="313" spans="1:4" x14ac:dyDescent="0.25">
      <c r="A313">
        <v>32000</v>
      </c>
      <c r="B313">
        <v>200</v>
      </c>
      <c r="C313">
        <v>45</v>
      </c>
      <c r="D313" s="18" cm="1">
        <f t="array" ref="D313">H17+SUMPRODUCT(A313:C313,TRANSPOSE(H18:H20))</f>
        <v>63.984007991892952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601FF0-2161-4E37-AC82-94E074685D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Credit</vt:lpstr>
      <vt:lpstr>Credit without 0 bal cust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2026-09-29T07:31:07Z</dcterms:created>
  <dcterms:modified xsi:type="dcterms:W3CDTF">2026-09-29T15:16:57Z</dcterms:modified>
</cp:coreProperties>
</file>