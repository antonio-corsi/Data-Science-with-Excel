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1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2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tente\Desktop\salvataggi\SALVATAGGIO DATI\Documents\Seminari\Data Science (corsi)\Corso Data Science con Excel\"/>
    </mc:Choice>
  </mc:AlternateContent>
  <xr:revisionPtr revIDLastSave="0" documentId="13_ncr:1_{955BADA3-EDD0-4014-9E3B-60E8DB4D1F5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ustomers" sheetId="1" r:id="rId1"/>
    <sheet name="Numeric Columns" sheetId="3" r:id="rId2"/>
    <sheet name="Rules" sheetId="2" r:id="rId3"/>
  </sheets>
  <definedNames>
    <definedName name="_xlchart.v1.0" hidden="1">Customers!$B$2:$B$401</definedName>
    <definedName name="_xlchart.v1.1" hidden="1">Customers!$B$2:$B$401</definedName>
    <definedName name="_xlchart.v1.10" hidden="1">'Numeric Columns'!$H$2:$H$401</definedName>
    <definedName name="_xlchart.v1.11" hidden="1">'Numeric Columns'!$I$1</definedName>
    <definedName name="_xlchart.v1.12" hidden="1">'Numeric Columns'!$I$2:$I$401</definedName>
    <definedName name="_xlchart.v1.13" hidden="1">'Numeric Columns'!$A$1</definedName>
    <definedName name="_xlchart.v1.14" hidden="1">'Numeric Columns'!$A$2:$A$401</definedName>
    <definedName name="_xlchart.v1.15" hidden="1">'Numeric Columns'!$B$1</definedName>
    <definedName name="_xlchart.v1.16" hidden="1">'Numeric Columns'!$B$2:$B$401</definedName>
    <definedName name="_xlchart.v1.17" hidden="1">'Numeric Columns'!$C$1</definedName>
    <definedName name="_xlchart.v1.18" hidden="1">'Numeric Columns'!$C$2:$C$401</definedName>
    <definedName name="_xlchart.v1.19" hidden="1">'Numeric Columns'!$D$1</definedName>
    <definedName name="_xlchart.v1.2" hidden="1">Customers!$B$2:$B$401</definedName>
    <definedName name="_xlchart.v1.20" hidden="1">'Numeric Columns'!$D$2:$D$401</definedName>
    <definedName name="_xlchart.v1.21" hidden="1">'Numeric Columns'!$E$1</definedName>
    <definedName name="_xlchart.v1.22" hidden="1">'Numeric Columns'!$E$2:$E$401</definedName>
    <definedName name="_xlchart.v1.23" hidden="1">'Numeric Columns'!$F$1</definedName>
    <definedName name="_xlchart.v1.24" hidden="1">'Numeric Columns'!$F$2:$F$401</definedName>
    <definedName name="_xlchart.v1.25" hidden="1">'Numeric Columns'!$G$2:$G$401</definedName>
    <definedName name="_xlchart.v1.26" hidden="1">'Numeric Columns'!$A$1</definedName>
    <definedName name="_xlchart.v1.27" hidden="1">'Numeric Columns'!$A$2:$A$401</definedName>
    <definedName name="_xlchart.v1.28" hidden="1">'Numeric Columns'!$B$1</definedName>
    <definedName name="_xlchart.v1.29" hidden="1">'Numeric Columns'!$B$2:$B$401</definedName>
    <definedName name="_xlchart.v1.3" hidden="1">Customers!$B$2:$B$401</definedName>
    <definedName name="_xlchart.v1.30" hidden="1">'Numeric Columns'!$C$1</definedName>
    <definedName name="_xlchart.v1.31" hidden="1">'Numeric Columns'!$C$2:$C$401</definedName>
    <definedName name="_xlchart.v1.32" hidden="1">'Numeric Columns'!$D$1</definedName>
    <definedName name="_xlchart.v1.33" hidden="1">'Numeric Columns'!$D$2:$D$401</definedName>
    <definedName name="_xlchart.v1.34" hidden="1">'Numeric Columns'!$E$1</definedName>
    <definedName name="_xlchart.v1.35" hidden="1">'Numeric Columns'!$E$2:$E$401</definedName>
    <definedName name="_xlchart.v1.36" hidden="1">'Numeric Columns'!$F$1</definedName>
    <definedName name="_xlchart.v1.37" hidden="1">'Numeric Columns'!$F$2:$F$401</definedName>
    <definedName name="_xlchart.v1.38" hidden="1">'Numeric Columns'!$G$1</definedName>
    <definedName name="_xlchart.v1.39" hidden="1">'Numeric Columns'!$G$2:$G$401</definedName>
    <definedName name="_xlchart.v1.4" hidden="1">Customers!$B$2:$B$401</definedName>
    <definedName name="_xlchart.v1.40" hidden="1">'Numeric Columns'!$H$1</definedName>
    <definedName name="_xlchart.v1.41" hidden="1">'Numeric Columns'!$H$2:$H$401</definedName>
    <definedName name="_xlchart.v1.5" hidden="1">Customers!$B$2:$B$401</definedName>
    <definedName name="_xlchart.v1.6" hidden="1">'Numeric Columns'!$G$2:$G$401</definedName>
    <definedName name="_xlchart.v1.7" hidden="1">'Numeric Columns'!$G$1</definedName>
    <definedName name="_xlchart.v1.8" hidden="1">'Numeric Columns'!$G$2:$G$401</definedName>
    <definedName name="_xlchart.v1.9" hidden="1">'Numeric Columns'!$H$1</definedName>
    <definedName name="n">Customers!$X$6</definedName>
    <definedName name="_xlnm.Print_Titles" localSheetId="0">Customers!$1:$1</definedName>
    <definedName name="_xlnm.Print_Titles" localSheetId="2">Rules!$4:$4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9" i="1" l="1"/>
  <c r="G2" i="3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B403" i="1"/>
  <c r="H16" i="2"/>
  <c r="H15" i="2"/>
  <c r="H14" i="2"/>
  <c r="H13" i="2"/>
  <c r="H12" i="2"/>
  <c r="H11" i="2"/>
  <c r="H10" i="2"/>
  <c r="H9" i="2"/>
  <c r="H8" i="2"/>
  <c r="H7" i="2"/>
  <c r="H6" i="2"/>
  <c r="H5" i="2"/>
</calcChain>
</file>

<file path=xl/sharedStrings.xml><?xml version="1.0" encoding="utf-8"?>
<sst xmlns="http://schemas.openxmlformats.org/spreadsheetml/2006/main" count="1754" uniqueCount="116">
  <si>
    <t>ID</t>
  </si>
  <si>
    <t>Income</t>
  </si>
  <si>
    <t>Limit</t>
  </si>
  <si>
    <t>Rating</t>
  </si>
  <si>
    <t>Cards</t>
  </si>
  <si>
    <t>Age</t>
  </si>
  <si>
    <t>Education</t>
  </si>
  <si>
    <t>Gender</t>
  </si>
  <si>
    <t>Student</t>
  </si>
  <si>
    <t>Married</t>
  </si>
  <si>
    <t>Ethnicity</t>
  </si>
  <si>
    <t>Balance</t>
  </si>
  <si>
    <t>Male</t>
  </si>
  <si>
    <t>No</t>
  </si>
  <si>
    <t>Yes</t>
  </si>
  <si>
    <t>Caucasian</t>
  </si>
  <si>
    <t>Female</t>
  </si>
  <si>
    <t>Asian</t>
  </si>
  <si>
    <t>African American</t>
  </si>
  <si>
    <t>Conditional formatting rules applied to the table tblCustomers (sheet 'Customers')</t>
  </si>
  <si>
    <t>The 'Cells matched' column is computed live with worksheet formulas on the data (plain A1 ranges, the same ones used inside the rules).</t>
  </si>
  <si>
    <t>#</t>
  </si>
  <si>
    <t>Column</t>
  </si>
  <si>
    <t>Applies to</t>
  </si>
  <si>
    <t>Menu path (Home ▸ Conditional Formatting ▸ …)</t>
  </si>
  <si>
    <t>Rule as set in the dialog</t>
  </si>
  <si>
    <t>Equivalent formula (New Rule ▸ Use a formula…)</t>
  </si>
  <si>
    <t>Format</t>
  </si>
  <si>
    <t>Cells matched</t>
  </si>
  <si>
    <t>Notes</t>
  </si>
  <si>
    <t>$B$2:$B$401</t>
  </si>
  <si>
    <t>Data Bars ▸ Gradient Fill ▸ Blue Data Bar</t>
  </si>
  <si>
    <t>Data bar: Minimum = lowest value, Maximum = highest value, Show Bar Only unchecked</t>
  </si>
  <si>
    <t>n/a – graphical rule (no formula): the bar length is proportional to the value</t>
  </si>
  <si>
    <t>Blue gradient bar behind the number</t>
  </si>
  <si>
    <t>Data Bars, Color Scales and Icon Sets have no formula: they read the whole range at once.</t>
  </si>
  <si>
    <t>$C$2:$C$401</t>
  </si>
  <si>
    <t>Highlight Cells Rules ▸ Greater Than…</t>
  </si>
  <si>
    <t>Format cells that are GREATER THAN: 10000</t>
  </si>
  <si>
    <t>=C2&gt;10000</t>
  </si>
  <si>
    <t>Light Red Fill with Dark Red Text (preset)</t>
  </si>
  <si>
    <t>The formula is written for the first cell of the range (C2); Excel shifts it down row by row.</t>
  </si>
  <si>
    <t>Highlight Cells Rules ▸ Duplicate Values…</t>
  </si>
  <si>
    <t>Format cells that contain: Duplicate values</t>
  </si>
  <si>
    <t>=COUNTIF($C$2:$C$401,C2)&gt;1</t>
  </si>
  <si>
    <t>Custom Format: thin dark-red border (no fill)</t>
  </si>
  <si>
    <t>Second rule on the same column: a border does not conflict with the fill of rule 2, so a cell can show both.</t>
  </si>
  <si>
    <t>$D$2:$D$401</t>
  </si>
  <si>
    <t>Color Scales ▸ Green – Yellow – Red Color Scale</t>
  </si>
  <si>
    <t>3-Color Scale: Minimum = lowest value (red), Midpoint = 50th percentile (yellow), Maximum = highest value (green)</t>
  </si>
  <si>
    <t>n/a – graphical rule (no formula)</t>
  </si>
  <si>
    <t>Cell background shaded from red (low rating) to green (high rating)</t>
  </si>
  <si>
    <t>Choose 'Red – Yellow – Green' instead when a HIGH value is the bad one.</t>
  </si>
  <si>
    <t>$E$2:$E$401</t>
  </si>
  <si>
    <t>Icon Sets ▸ Shapes ▸ 3 Traffic Lights (Unrimmed), then Manage Rules ▸ Edit Rule…</t>
  </si>
  <si>
    <t>Type = Number: red when &gt;= 5, yellow when &gt;= 3 and &lt; 5, green when &lt; 3 (Reverse Icon Order)</t>
  </si>
  <si>
    <t>Traffic-light icon next to the number</t>
  </si>
  <si>
    <t>The default thresholds are percentages (67 % / 33 %); we edit the rule to use fixed numbers.</t>
  </si>
  <si>
    <t>$F$2:$F$401</t>
  </si>
  <si>
    <t>Highlight Cells Rules ▸ Between…</t>
  </si>
  <si>
    <t>Format cells that are BETWEEN: 18 and 30</t>
  </si>
  <si>
    <t>=AND(F2&gt;=18,F2&lt;=30)</t>
  </si>
  <si>
    <t>Yellow Fill with Dark Yellow Text (preset)</t>
  </si>
  <si>
    <t>Both limits are included (18 &lt;= Age &lt;= 30).</t>
  </si>
  <si>
    <t>$G$2:$G$401</t>
  </si>
  <si>
    <t>Top/Bottom Rules ▸ Above Average…</t>
  </si>
  <si>
    <t>Format cells that are ABOVE AVERAGE for the selected range</t>
  </si>
  <si>
    <t>=G2&gt;AVERAGE($G$2:$G$401)</t>
  </si>
  <si>
    <t>Green Fill with Dark Green Text (preset)</t>
  </si>
  <si>
    <t>The average is recomputed whenever the data changes. 'Below Average…' is the mirror rule.</t>
  </si>
  <si>
    <t>$I$2:$I$401</t>
  </si>
  <si>
    <t>Highlight Cells Rules ▸ Equal To…</t>
  </si>
  <si>
    <t>Format cells that are EQUAL TO: Yes</t>
  </si>
  <si>
    <t>=I2="Yes"</t>
  </si>
  <si>
    <t>Custom Format: light blue fill, dark blue bold text</t>
  </si>
  <si>
    <t>For partial matches use "Text that Contains…" – equivalent formula =ISNUMBER(SEARCH("Yes",I2)). Comparisons are not case-sensitive.</t>
  </si>
  <si>
    <t>$L$2:$L$401</t>
  </si>
  <si>
    <t>Top/Bottom Rules ▸ Top 10 Items…</t>
  </si>
  <si>
    <t>Format cells that rank in the TOP: 10</t>
  </si>
  <si>
    <t>=L2&gt;=LARGE($L$2:$L$401,10)</t>
  </si>
  <si>
    <t>Custom Format: gold fill, bold</t>
  </si>
  <si>
    <t>Variants: Top 10 % ▸ =L2&gt;=PERCENTILE($L$2:$L$401,0.9); Bottom 10 Items ▸ =L2&lt;=SMALL($L$2:$L$401,10). Ties are all highlighted.</t>
  </si>
  <si>
    <t>New Rule… ▸ Use a formula to determine which cells to format</t>
  </si>
  <si>
    <t>=B2&gt;AVERAGE($B$2:$B$401)+2*STDEV($B$2:$B$401)</t>
  </si>
  <si>
    <t>(the rule IS the formula)</t>
  </si>
  <si>
    <t>Custom Format: bold red text</t>
  </si>
  <si>
    <t>Incomes more than 2 standard deviations above the mean (z-score &gt; 2). STDEV.S gives the same result as STDEV. Second rule on Income: the red text combines with the data bar of rule 1.</t>
  </si>
  <si>
    <t>Whole row</t>
  </si>
  <si>
    <t>$A$2:$L$401</t>
  </si>
  <si>
    <t>=$L2=0</t>
  </si>
  <si>
    <t>Custom Format: grey italic text</t>
  </si>
  <si>
    <t>Rows with no balance. The $ in front of L locks the column: every cell of the row tests its own row's Balance. Count = rows.</t>
  </si>
  <si>
    <t>=AND($I2="Yes",$L2&gt;1000)</t>
  </si>
  <si>
    <t>Custom Format: light purple fill</t>
  </si>
  <si>
    <t>Students with a balance above 1,000. Rules 1-10 come first in the Rules Manager (higher priority), so on their cells the column colour wins over the purple fill. Count = rows.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</si>
  <si>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</si>
  <si>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</si>
  <si>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</si>
  <si>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</si>
  <si>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</si>
  <si>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</si>
  <si>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</si>
  <si>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</si>
  <si>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</si>
  <si>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</si>
  <si>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</si>
  <si>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</si>
  <si>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</si>
  <si>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Column1</t>
  </si>
  <si>
    <t>threshold</t>
  </si>
  <si>
    <t xml:space="preserve"> </t>
  </si>
  <si>
    <t>Std Income</t>
  </si>
  <si>
    <t>Std Limit</t>
  </si>
  <si>
    <t>Std Rating</t>
  </si>
  <si>
    <t>we need 3 new columns to avoid circular references</t>
  </si>
  <si>
    <t>#scatterplots: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</si>
</sst>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6" x14ac:knownFonts="1">
    <font>
      <sz val="10"/>
      <name val="Arial"/>
      <family val="2"/>
    </font>
    <font>
      <b/>
      <sz val="12"/>
      <name val="Arial"/>
      <family val="2"/>
    </font>
    <font>
      <i/>
      <sz val="9"/>
      <color rgb="FF595959"/>
      <name val="Arial"/>
      <family val="2"/>
    </font>
    <font>
      <sz val="10"/>
      <name val="Consolas"/>
      <family val="3"/>
    </font>
    <font>
      <i/>
      <sz val="10"/>
      <name val="Arial"/>
      <family val="2"/>
    </font>
    <font>
      <b/>
      <sz val="10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1" fontId="0" fillId="0" borderId="0" xfId="0" applyNumberFormat="1"/>
    <xf numFmtId="164" fontId="0" fillId="0" borderId="0" xfId="0" applyNumberFormat="1"/>
    <xf numFmtId="3" fontId="0" fillId="0" borderId="0" xfId="0" applyNumberFormat="1"/>
    <xf numFmtId="0" fontId="1" fillId="0" borderId="0" xfId="0" applyFont="1"/>
    <xf numFmtId="0" fontId="2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/>
    </xf>
    <xf numFmtId="0" fontId="0" fillId="0" borderId="0" xfId="0" applyAlignment="1">
      <alignment vertical="top" wrapText="1"/>
    </xf>
    <xf numFmtId="1" fontId="0" fillId="0" borderId="0" xfId="0" applyNumberFormat="1" applyAlignment="1">
      <alignment horizontal="center" vertical="top"/>
    </xf>
    <xf numFmtId="0" fontId="3" fillId="0" borderId="0" xfId="0" applyFont="1" applyAlignment="1">
      <alignment vertical="top" wrapText="1"/>
    </xf>
    <xf numFmtId="2" fontId="0" fillId="0" borderId="0" xfId="0" applyNumberFormat="1"/>
    <xf numFmtId="0" fontId="0" fillId="0" borderId="0" xfId="0" applyFill="1" applyBorder="1" applyAlignment="1"/>
    <xf numFmtId="0" fontId="0" fillId="0" borderId="1" xfId="0" applyFill="1" applyBorder="1" applyAlignment="1"/>
    <xf numFmtId="0" fontId="4" fillId="0" borderId="2" xfId="0" applyFont="1" applyFill="1" applyBorder="1" applyAlignment="1">
      <alignment horizontal="center"/>
    </xf>
    <xf numFmtId="0" fontId="4" fillId="0" borderId="2" xfId="0" applyFont="1" applyFill="1" applyBorder="1" applyAlignment="1">
      <alignment horizontal="centerContinuous"/>
    </xf>
    <xf numFmtId="2" fontId="0" fillId="0" borderId="0" xfId="0" applyNumberFormat="1" applyFill="1" applyBorder="1" applyAlignment="1"/>
    <xf numFmtId="2" fontId="0" fillId="0" borderId="1" xfId="0" applyNumberFormat="1" applyFill="1" applyBorder="1" applyAlignment="1"/>
    <xf numFmtId="0" fontId="5" fillId="0" borderId="0" xfId="0" applyFont="1"/>
  </cellXfs>
  <cellStyles count="1">
    <cellStyle name="Normal" xfId="0" builtinId="0"/>
  </cellStyles>
  <dxfs count="20">
    <dxf>
      <fill>
        <patternFill patternType="solid">
          <fgColor rgb="FFE4DFEC"/>
          <bgColor rgb="FFE4DFEC"/>
        </patternFill>
      </fill>
    </dxf>
    <dxf>
      <font>
        <b val="0"/>
        <i/>
        <color rgb="FF808080"/>
      </font>
    </dxf>
    <dxf>
      <font>
        <b/>
      </font>
      <fill>
        <patternFill patternType="solid">
          <fgColor rgb="FFFFD966"/>
          <bgColor rgb="FFFFD96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C00000"/>
      </font>
    </dxf>
    <dxf>
      <font>
        <b/>
        <i val="0"/>
        <color rgb="FFC00000"/>
      </font>
    </dxf>
    <dxf>
      <fill>
        <patternFill patternType="solid">
          <fgColor rgb="FFE4DFEC"/>
          <bgColor rgb="FFE4DFEC"/>
        </patternFill>
      </fill>
    </dxf>
    <dxf>
      <font>
        <b val="0"/>
        <i/>
        <color rgb="FF808080"/>
      </font>
    </dxf>
    <dxf>
      <font>
        <b/>
      </font>
      <fill>
        <patternFill patternType="solid">
          <fgColor rgb="FFFFD966"/>
          <bgColor rgb="FFFFD966"/>
        </patternFill>
      </fill>
    </dxf>
    <dxf>
      <font>
        <b/>
        <color rgb="FF1F4E79"/>
      </font>
      <fill>
        <patternFill patternType="solid">
          <fgColor rgb="FFDDEBF7"/>
          <bgColor rgb="FFDDEBF7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C00000"/>
      </font>
    </dxf>
    <dxf>
      <numFmt numFmtId="164" formatCode="#,##0.000"/>
    </dxf>
    <dxf>
      <numFmt numFmtId="164" formatCode="#,##0.000"/>
    </dxf>
    <dxf>
      <numFmt numFmtId="164" formatCode="#,##0.0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Income vs Age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'Numeric Columns'!$E$2:$E$401</c:f>
              <c:numCache>
                <c:formatCode>0</c:formatCode>
                <c:ptCount val="400"/>
                <c:pt idx="0">
                  <c:v>98</c:v>
                </c:pt>
                <c:pt idx="1">
                  <c:v>41</c:v>
                </c:pt>
                <c:pt idx="2">
                  <c:v>41</c:v>
                </c:pt>
                <c:pt idx="3">
                  <c:v>58</c:v>
                </c:pt>
                <c:pt idx="4">
                  <c:v>62</c:v>
                </c:pt>
                <c:pt idx="5">
                  <c:v>46</c:v>
                </c:pt>
                <c:pt idx="6">
                  <c:v>69</c:v>
                </c:pt>
                <c:pt idx="7">
                  <c:v>54</c:v>
                </c:pt>
                <c:pt idx="8">
                  <c:v>81</c:v>
                </c:pt>
                <c:pt idx="9">
                  <c:v>87</c:v>
                </c:pt>
                <c:pt idx="10">
                  <c:v>80</c:v>
                </c:pt>
                <c:pt idx="11">
                  <c:v>82</c:v>
                </c:pt>
                <c:pt idx="12">
                  <c:v>39</c:v>
                </c:pt>
                <c:pt idx="13">
                  <c:v>67</c:v>
                </c:pt>
                <c:pt idx="14">
                  <c:v>38</c:v>
                </c:pt>
                <c:pt idx="15">
                  <c:v>52</c:v>
                </c:pt>
                <c:pt idx="16">
                  <c:v>66</c:v>
                </c:pt>
                <c:pt idx="17">
                  <c:v>36</c:v>
                </c:pt>
                <c:pt idx="18">
                  <c:v>67</c:v>
                </c:pt>
                <c:pt idx="19">
                  <c:v>69</c:v>
                </c:pt>
                <c:pt idx="20">
                  <c:v>91</c:v>
                </c:pt>
                <c:pt idx="21">
                  <c:v>47</c:v>
                </c:pt>
                <c:pt idx="22">
                  <c:v>78</c:v>
                </c:pt>
                <c:pt idx="23">
                  <c:v>50</c:v>
                </c:pt>
                <c:pt idx="24">
                  <c:v>64</c:v>
                </c:pt>
                <c:pt idx="25">
                  <c:v>47</c:v>
                </c:pt>
                <c:pt idx="26">
                  <c:v>89</c:v>
                </c:pt>
                <c:pt idx="27">
                  <c:v>41</c:v>
                </c:pt>
                <c:pt idx="28">
                  <c:v>83</c:v>
                </c:pt>
                <c:pt idx="29">
                  <c:v>30</c:v>
                </c:pt>
                <c:pt idx="30">
                  <c:v>50</c:v>
                </c:pt>
                <c:pt idx="31">
                  <c:v>77</c:v>
                </c:pt>
                <c:pt idx="32">
                  <c:v>84</c:v>
                </c:pt>
                <c:pt idx="33">
                  <c:v>57</c:v>
                </c:pt>
                <c:pt idx="34">
                  <c:v>56</c:v>
                </c:pt>
                <c:pt idx="35">
                  <c:v>48</c:v>
                </c:pt>
                <c:pt idx="36">
                  <c:v>50</c:v>
                </c:pt>
                <c:pt idx="37">
                  <c:v>83</c:v>
                </c:pt>
                <c:pt idx="38">
                  <c:v>75</c:v>
                </c:pt>
                <c:pt idx="39">
                  <c:v>83</c:v>
                </c:pt>
                <c:pt idx="40">
                  <c:v>66</c:v>
                </c:pt>
                <c:pt idx="41">
                  <c:v>56</c:v>
                </c:pt>
                <c:pt idx="42">
                  <c:v>44</c:v>
                </c:pt>
                <c:pt idx="43">
                  <c:v>50</c:v>
                </c:pt>
                <c:pt idx="44">
                  <c:v>76</c:v>
                </c:pt>
                <c:pt idx="45">
                  <c:v>56</c:v>
                </c:pt>
                <c:pt idx="46">
                  <c:v>52</c:v>
                </c:pt>
                <c:pt idx="47">
                  <c:v>64</c:v>
                </c:pt>
                <c:pt idx="48">
                  <c:v>67</c:v>
                </c:pt>
                <c:pt idx="49">
                  <c:v>84</c:v>
                </c:pt>
                <c:pt idx="50">
                  <c:v>81</c:v>
                </c:pt>
                <c:pt idx="51">
                  <c:v>67</c:v>
                </c:pt>
                <c:pt idx="52">
                  <c:v>67</c:v>
                </c:pt>
                <c:pt idx="53">
                  <c:v>57</c:v>
                </c:pt>
                <c:pt idx="54">
                  <c:v>46</c:v>
                </c:pt>
                <c:pt idx="55">
                  <c:v>41</c:v>
                </c:pt>
                <c:pt idx="56">
                  <c:v>87</c:v>
                </c:pt>
                <c:pt idx="57">
                  <c:v>44</c:v>
                </c:pt>
                <c:pt idx="58">
                  <c:v>71</c:v>
                </c:pt>
                <c:pt idx="59">
                  <c:v>84</c:v>
                </c:pt>
                <c:pt idx="60">
                  <c:v>34</c:v>
                </c:pt>
                <c:pt idx="61">
                  <c:v>78</c:v>
                </c:pt>
                <c:pt idx="62">
                  <c:v>49</c:v>
                </c:pt>
                <c:pt idx="63">
                  <c:v>78</c:v>
                </c:pt>
                <c:pt idx="64">
                  <c:v>80</c:v>
                </c:pt>
                <c:pt idx="65">
                  <c:v>55</c:v>
                </c:pt>
                <c:pt idx="66">
                  <c:v>41</c:v>
                </c:pt>
                <c:pt idx="67">
                  <c:v>40</c:v>
                </c:pt>
                <c:pt idx="68">
                  <c:v>33</c:v>
                </c:pt>
                <c:pt idx="69">
                  <c:v>45</c:v>
                </c:pt>
                <c:pt idx="70">
                  <c:v>68</c:v>
                </c:pt>
                <c:pt idx="71">
                  <c:v>82</c:v>
                </c:pt>
                <c:pt idx="72">
                  <c:v>42</c:v>
                </c:pt>
                <c:pt idx="73">
                  <c:v>44</c:v>
                </c:pt>
                <c:pt idx="74">
                  <c:v>56</c:v>
                </c:pt>
                <c:pt idx="75">
                  <c:v>43</c:v>
                </c:pt>
                <c:pt idx="76">
                  <c:v>69</c:v>
                </c:pt>
                <c:pt idx="77">
                  <c:v>71</c:v>
                </c:pt>
                <c:pt idx="78">
                  <c:v>69</c:v>
                </c:pt>
                <c:pt idx="79">
                  <c:v>66</c:v>
                </c:pt>
                <c:pt idx="80">
                  <c:v>75</c:v>
                </c:pt>
                <c:pt idx="81">
                  <c:v>30</c:v>
                </c:pt>
                <c:pt idx="82">
                  <c:v>79</c:v>
                </c:pt>
                <c:pt idx="83">
                  <c:v>28</c:v>
                </c:pt>
                <c:pt idx="84">
                  <c:v>72</c:v>
                </c:pt>
                <c:pt idx="85">
                  <c:v>25</c:v>
                </c:pt>
                <c:pt idx="86">
                  <c:v>33</c:v>
                </c:pt>
                <c:pt idx="87">
                  <c:v>24</c:v>
                </c:pt>
                <c:pt idx="88">
                  <c:v>44</c:v>
                </c:pt>
                <c:pt idx="89">
                  <c:v>55</c:v>
                </c:pt>
                <c:pt idx="90">
                  <c:v>36</c:v>
                </c:pt>
                <c:pt idx="91">
                  <c:v>40</c:v>
                </c:pt>
                <c:pt idx="92">
                  <c:v>80</c:v>
                </c:pt>
                <c:pt idx="93">
                  <c:v>36</c:v>
                </c:pt>
                <c:pt idx="94">
                  <c:v>32</c:v>
                </c:pt>
                <c:pt idx="95">
                  <c:v>47</c:v>
                </c:pt>
                <c:pt idx="96">
                  <c:v>64</c:v>
                </c:pt>
                <c:pt idx="97">
                  <c:v>44</c:v>
                </c:pt>
                <c:pt idx="98">
                  <c:v>82</c:v>
                </c:pt>
                <c:pt idx="99">
                  <c:v>68</c:v>
                </c:pt>
                <c:pt idx="100">
                  <c:v>81</c:v>
                </c:pt>
                <c:pt idx="101">
                  <c:v>77</c:v>
                </c:pt>
                <c:pt idx="102">
                  <c:v>29</c:v>
                </c:pt>
                <c:pt idx="103">
                  <c:v>80</c:v>
                </c:pt>
                <c:pt idx="104">
                  <c:v>42</c:v>
                </c:pt>
                <c:pt idx="105">
                  <c:v>53</c:v>
                </c:pt>
                <c:pt idx="106">
                  <c:v>37</c:v>
                </c:pt>
                <c:pt idx="107">
                  <c:v>40</c:v>
                </c:pt>
                <c:pt idx="108">
                  <c:v>28</c:v>
                </c:pt>
                <c:pt idx="109">
                  <c:v>44</c:v>
                </c:pt>
                <c:pt idx="110">
                  <c:v>28</c:v>
                </c:pt>
                <c:pt idx="111">
                  <c:v>47</c:v>
                </c:pt>
                <c:pt idx="112">
                  <c:v>58</c:v>
                </c:pt>
                <c:pt idx="113">
                  <c:v>78</c:v>
                </c:pt>
                <c:pt idx="114">
                  <c:v>47</c:v>
                </c:pt>
                <c:pt idx="115">
                  <c:v>55</c:v>
                </c:pt>
                <c:pt idx="116">
                  <c:v>48</c:v>
                </c:pt>
                <c:pt idx="117">
                  <c:v>83</c:v>
                </c:pt>
                <c:pt idx="118">
                  <c:v>50</c:v>
                </c:pt>
                <c:pt idx="119">
                  <c:v>64</c:v>
                </c:pt>
                <c:pt idx="120">
                  <c:v>72</c:v>
                </c:pt>
                <c:pt idx="121">
                  <c:v>33</c:v>
                </c:pt>
                <c:pt idx="122">
                  <c:v>66</c:v>
                </c:pt>
                <c:pt idx="123">
                  <c:v>49</c:v>
                </c:pt>
                <c:pt idx="124">
                  <c:v>32</c:v>
                </c:pt>
                <c:pt idx="125">
                  <c:v>26</c:v>
                </c:pt>
                <c:pt idx="126">
                  <c:v>57</c:v>
                </c:pt>
                <c:pt idx="127">
                  <c:v>65</c:v>
                </c:pt>
                <c:pt idx="128">
                  <c:v>45</c:v>
                </c:pt>
                <c:pt idx="129">
                  <c:v>73</c:v>
                </c:pt>
                <c:pt idx="130">
                  <c:v>59</c:v>
                </c:pt>
                <c:pt idx="131">
                  <c:v>51</c:v>
                </c:pt>
                <c:pt idx="132">
                  <c:v>37</c:v>
                </c:pt>
                <c:pt idx="133">
                  <c:v>50</c:v>
                </c:pt>
                <c:pt idx="134">
                  <c:v>40</c:v>
                </c:pt>
                <c:pt idx="135">
                  <c:v>35</c:v>
                </c:pt>
                <c:pt idx="136">
                  <c:v>45</c:v>
                </c:pt>
                <c:pt idx="137">
                  <c:v>25</c:v>
                </c:pt>
                <c:pt idx="138">
                  <c:v>57</c:v>
                </c:pt>
                <c:pt idx="139">
                  <c:v>45</c:v>
                </c:pt>
                <c:pt idx="140">
                  <c:v>81</c:v>
                </c:pt>
                <c:pt idx="141">
                  <c:v>62</c:v>
                </c:pt>
                <c:pt idx="142">
                  <c:v>42</c:v>
                </c:pt>
                <c:pt idx="143">
                  <c:v>44</c:v>
                </c:pt>
                <c:pt idx="144">
                  <c:v>83</c:v>
                </c:pt>
                <c:pt idx="145">
                  <c:v>63</c:v>
                </c:pt>
                <c:pt idx="146">
                  <c:v>76</c:v>
                </c:pt>
                <c:pt idx="147">
                  <c:v>39</c:v>
                </c:pt>
                <c:pt idx="148">
                  <c:v>35</c:v>
                </c:pt>
                <c:pt idx="149">
                  <c:v>63</c:v>
                </c:pt>
                <c:pt idx="150">
                  <c:v>49</c:v>
                </c:pt>
                <c:pt idx="151">
                  <c:v>60</c:v>
                </c:pt>
                <c:pt idx="152">
                  <c:v>81</c:v>
                </c:pt>
                <c:pt idx="153">
                  <c:v>48</c:v>
                </c:pt>
                <c:pt idx="154">
                  <c:v>38</c:v>
                </c:pt>
                <c:pt idx="155">
                  <c:v>71</c:v>
                </c:pt>
                <c:pt idx="156">
                  <c:v>49</c:v>
                </c:pt>
                <c:pt idx="157">
                  <c:v>71</c:v>
                </c:pt>
                <c:pt idx="158">
                  <c:v>59</c:v>
                </c:pt>
                <c:pt idx="159">
                  <c:v>55</c:v>
                </c:pt>
                <c:pt idx="160">
                  <c:v>55</c:v>
                </c:pt>
                <c:pt idx="161">
                  <c:v>62</c:v>
                </c:pt>
                <c:pt idx="162">
                  <c:v>69</c:v>
                </c:pt>
                <c:pt idx="163">
                  <c:v>31</c:v>
                </c:pt>
                <c:pt idx="164">
                  <c:v>66</c:v>
                </c:pt>
                <c:pt idx="165">
                  <c:v>76</c:v>
                </c:pt>
                <c:pt idx="166">
                  <c:v>64</c:v>
                </c:pt>
                <c:pt idx="167">
                  <c:v>46</c:v>
                </c:pt>
                <c:pt idx="168">
                  <c:v>50</c:v>
                </c:pt>
                <c:pt idx="169">
                  <c:v>37</c:v>
                </c:pt>
                <c:pt idx="170">
                  <c:v>79</c:v>
                </c:pt>
                <c:pt idx="171">
                  <c:v>46</c:v>
                </c:pt>
                <c:pt idx="172">
                  <c:v>86</c:v>
                </c:pt>
                <c:pt idx="173">
                  <c:v>46</c:v>
                </c:pt>
                <c:pt idx="174">
                  <c:v>33</c:v>
                </c:pt>
                <c:pt idx="175">
                  <c:v>47</c:v>
                </c:pt>
                <c:pt idx="176">
                  <c:v>68</c:v>
                </c:pt>
                <c:pt idx="177">
                  <c:v>64</c:v>
                </c:pt>
                <c:pt idx="178">
                  <c:v>52</c:v>
                </c:pt>
                <c:pt idx="179">
                  <c:v>30</c:v>
                </c:pt>
                <c:pt idx="180">
                  <c:v>67</c:v>
                </c:pt>
                <c:pt idx="181">
                  <c:v>76</c:v>
                </c:pt>
                <c:pt idx="182">
                  <c:v>66</c:v>
                </c:pt>
                <c:pt idx="183">
                  <c:v>81</c:v>
                </c:pt>
                <c:pt idx="184">
                  <c:v>39</c:v>
                </c:pt>
                <c:pt idx="185">
                  <c:v>65</c:v>
                </c:pt>
                <c:pt idx="186">
                  <c:v>29</c:v>
                </c:pt>
                <c:pt idx="187">
                  <c:v>53</c:v>
                </c:pt>
                <c:pt idx="188">
                  <c:v>66</c:v>
                </c:pt>
                <c:pt idx="189">
                  <c:v>64</c:v>
                </c:pt>
                <c:pt idx="190">
                  <c:v>58</c:v>
                </c:pt>
                <c:pt idx="191">
                  <c:v>79</c:v>
                </c:pt>
                <c:pt idx="192">
                  <c:v>47</c:v>
                </c:pt>
                <c:pt idx="193">
                  <c:v>71</c:v>
                </c:pt>
                <c:pt idx="194">
                  <c:v>48</c:v>
                </c:pt>
                <c:pt idx="195">
                  <c:v>60</c:v>
                </c:pt>
                <c:pt idx="196">
                  <c:v>51</c:v>
                </c:pt>
                <c:pt idx="197">
                  <c:v>34</c:v>
                </c:pt>
                <c:pt idx="198">
                  <c:v>33</c:v>
                </c:pt>
                <c:pt idx="199">
                  <c:v>50</c:v>
                </c:pt>
                <c:pt idx="200">
                  <c:v>72</c:v>
                </c:pt>
                <c:pt idx="201">
                  <c:v>32</c:v>
                </c:pt>
                <c:pt idx="202">
                  <c:v>49</c:v>
                </c:pt>
                <c:pt idx="203">
                  <c:v>72</c:v>
                </c:pt>
                <c:pt idx="204">
                  <c:v>44</c:v>
                </c:pt>
                <c:pt idx="205">
                  <c:v>46</c:v>
                </c:pt>
                <c:pt idx="206">
                  <c:v>31</c:v>
                </c:pt>
                <c:pt idx="207">
                  <c:v>79</c:v>
                </c:pt>
                <c:pt idx="208">
                  <c:v>30</c:v>
                </c:pt>
                <c:pt idx="209">
                  <c:v>63</c:v>
                </c:pt>
                <c:pt idx="210">
                  <c:v>49</c:v>
                </c:pt>
                <c:pt idx="211">
                  <c:v>85</c:v>
                </c:pt>
                <c:pt idx="212">
                  <c:v>29</c:v>
                </c:pt>
                <c:pt idx="213">
                  <c:v>37</c:v>
                </c:pt>
                <c:pt idx="214">
                  <c:v>74</c:v>
                </c:pt>
                <c:pt idx="215">
                  <c:v>69</c:v>
                </c:pt>
                <c:pt idx="216">
                  <c:v>66</c:v>
                </c:pt>
                <c:pt idx="217">
                  <c:v>81</c:v>
                </c:pt>
                <c:pt idx="218">
                  <c:v>46</c:v>
                </c:pt>
                <c:pt idx="219">
                  <c:v>25</c:v>
                </c:pt>
                <c:pt idx="220">
                  <c:v>57</c:v>
                </c:pt>
                <c:pt idx="221">
                  <c:v>75</c:v>
                </c:pt>
                <c:pt idx="222">
                  <c:v>63</c:v>
                </c:pt>
                <c:pt idx="223">
                  <c:v>83</c:v>
                </c:pt>
                <c:pt idx="224">
                  <c:v>79</c:v>
                </c:pt>
                <c:pt idx="225">
                  <c:v>50</c:v>
                </c:pt>
                <c:pt idx="226">
                  <c:v>67</c:v>
                </c:pt>
                <c:pt idx="227">
                  <c:v>28</c:v>
                </c:pt>
                <c:pt idx="228">
                  <c:v>43</c:v>
                </c:pt>
                <c:pt idx="229">
                  <c:v>70</c:v>
                </c:pt>
                <c:pt idx="230">
                  <c:v>32</c:v>
                </c:pt>
                <c:pt idx="231">
                  <c:v>29</c:v>
                </c:pt>
                <c:pt idx="232">
                  <c:v>66</c:v>
                </c:pt>
                <c:pt idx="233">
                  <c:v>84</c:v>
                </c:pt>
                <c:pt idx="234">
                  <c:v>48</c:v>
                </c:pt>
                <c:pt idx="235">
                  <c:v>27</c:v>
                </c:pt>
                <c:pt idx="236">
                  <c:v>34</c:v>
                </c:pt>
                <c:pt idx="237">
                  <c:v>75</c:v>
                </c:pt>
                <c:pt idx="238">
                  <c:v>56</c:v>
                </c:pt>
                <c:pt idx="239">
                  <c:v>77</c:v>
                </c:pt>
                <c:pt idx="240">
                  <c:v>43</c:v>
                </c:pt>
                <c:pt idx="241">
                  <c:v>30</c:v>
                </c:pt>
                <c:pt idx="242">
                  <c:v>25</c:v>
                </c:pt>
                <c:pt idx="243">
                  <c:v>29</c:v>
                </c:pt>
                <c:pt idx="244">
                  <c:v>41</c:v>
                </c:pt>
                <c:pt idx="245">
                  <c:v>44</c:v>
                </c:pt>
                <c:pt idx="246">
                  <c:v>65</c:v>
                </c:pt>
                <c:pt idx="247">
                  <c:v>56</c:v>
                </c:pt>
                <c:pt idx="248">
                  <c:v>35</c:v>
                </c:pt>
                <c:pt idx="249">
                  <c:v>52</c:v>
                </c:pt>
                <c:pt idx="250">
                  <c:v>46</c:v>
                </c:pt>
                <c:pt idx="251">
                  <c:v>80</c:v>
                </c:pt>
                <c:pt idx="252">
                  <c:v>44</c:v>
                </c:pt>
                <c:pt idx="253">
                  <c:v>41</c:v>
                </c:pt>
                <c:pt idx="254">
                  <c:v>73</c:v>
                </c:pt>
                <c:pt idx="255">
                  <c:v>25</c:v>
                </c:pt>
                <c:pt idx="256">
                  <c:v>57</c:v>
                </c:pt>
                <c:pt idx="257">
                  <c:v>54</c:v>
                </c:pt>
                <c:pt idx="258">
                  <c:v>56</c:v>
                </c:pt>
                <c:pt idx="259">
                  <c:v>44</c:v>
                </c:pt>
                <c:pt idx="260">
                  <c:v>70</c:v>
                </c:pt>
                <c:pt idx="261">
                  <c:v>35</c:v>
                </c:pt>
                <c:pt idx="262">
                  <c:v>34</c:v>
                </c:pt>
                <c:pt idx="263">
                  <c:v>69</c:v>
                </c:pt>
                <c:pt idx="264">
                  <c:v>35</c:v>
                </c:pt>
                <c:pt idx="265">
                  <c:v>52</c:v>
                </c:pt>
                <c:pt idx="266">
                  <c:v>38</c:v>
                </c:pt>
                <c:pt idx="267">
                  <c:v>81</c:v>
                </c:pt>
                <c:pt idx="268">
                  <c:v>51</c:v>
                </c:pt>
                <c:pt idx="269">
                  <c:v>70</c:v>
                </c:pt>
                <c:pt idx="270">
                  <c:v>50</c:v>
                </c:pt>
                <c:pt idx="271">
                  <c:v>56</c:v>
                </c:pt>
                <c:pt idx="272">
                  <c:v>47</c:v>
                </c:pt>
                <c:pt idx="273">
                  <c:v>40</c:v>
                </c:pt>
                <c:pt idx="274">
                  <c:v>72</c:v>
                </c:pt>
                <c:pt idx="275">
                  <c:v>23</c:v>
                </c:pt>
                <c:pt idx="276">
                  <c:v>68</c:v>
                </c:pt>
                <c:pt idx="277">
                  <c:v>74</c:v>
                </c:pt>
                <c:pt idx="278">
                  <c:v>37</c:v>
                </c:pt>
                <c:pt idx="279">
                  <c:v>71</c:v>
                </c:pt>
                <c:pt idx="280">
                  <c:v>54</c:v>
                </c:pt>
                <c:pt idx="281">
                  <c:v>41</c:v>
                </c:pt>
                <c:pt idx="282">
                  <c:v>66</c:v>
                </c:pt>
                <c:pt idx="283">
                  <c:v>68</c:v>
                </c:pt>
                <c:pt idx="284">
                  <c:v>75</c:v>
                </c:pt>
                <c:pt idx="285">
                  <c:v>64</c:v>
                </c:pt>
                <c:pt idx="286">
                  <c:v>57</c:v>
                </c:pt>
                <c:pt idx="287">
                  <c:v>37</c:v>
                </c:pt>
                <c:pt idx="288">
                  <c:v>30</c:v>
                </c:pt>
                <c:pt idx="289">
                  <c:v>78</c:v>
                </c:pt>
                <c:pt idx="290">
                  <c:v>59</c:v>
                </c:pt>
                <c:pt idx="291">
                  <c:v>62</c:v>
                </c:pt>
                <c:pt idx="292">
                  <c:v>66</c:v>
                </c:pt>
                <c:pt idx="293">
                  <c:v>72</c:v>
                </c:pt>
                <c:pt idx="294">
                  <c:v>58</c:v>
                </c:pt>
                <c:pt idx="295">
                  <c:v>28</c:v>
                </c:pt>
                <c:pt idx="296">
                  <c:v>31</c:v>
                </c:pt>
                <c:pt idx="297">
                  <c:v>69</c:v>
                </c:pt>
                <c:pt idx="298">
                  <c:v>27</c:v>
                </c:pt>
                <c:pt idx="299">
                  <c:v>59</c:v>
                </c:pt>
                <c:pt idx="300">
                  <c:v>39</c:v>
                </c:pt>
                <c:pt idx="301">
                  <c:v>45</c:v>
                </c:pt>
                <c:pt idx="302">
                  <c:v>59</c:v>
                </c:pt>
                <c:pt idx="303">
                  <c:v>53</c:v>
                </c:pt>
                <c:pt idx="304">
                  <c:v>75</c:v>
                </c:pt>
                <c:pt idx="305">
                  <c:v>68</c:v>
                </c:pt>
                <c:pt idx="306">
                  <c:v>60</c:v>
                </c:pt>
                <c:pt idx="307">
                  <c:v>37</c:v>
                </c:pt>
                <c:pt idx="308">
                  <c:v>79</c:v>
                </c:pt>
                <c:pt idx="309">
                  <c:v>25</c:v>
                </c:pt>
                <c:pt idx="310">
                  <c:v>58</c:v>
                </c:pt>
                <c:pt idx="311">
                  <c:v>69</c:v>
                </c:pt>
                <c:pt idx="312">
                  <c:v>35</c:v>
                </c:pt>
                <c:pt idx="313">
                  <c:v>66</c:v>
                </c:pt>
                <c:pt idx="314">
                  <c:v>84</c:v>
                </c:pt>
                <c:pt idx="315">
                  <c:v>63</c:v>
                </c:pt>
                <c:pt idx="316">
                  <c:v>51</c:v>
                </c:pt>
                <c:pt idx="317">
                  <c:v>32</c:v>
                </c:pt>
                <c:pt idx="318">
                  <c:v>60</c:v>
                </c:pt>
                <c:pt idx="319">
                  <c:v>32</c:v>
                </c:pt>
                <c:pt idx="320">
                  <c:v>43</c:v>
                </c:pt>
                <c:pt idx="321">
                  <c:v>70</c:v>
                </c:pt>
                <c:pt idx="322">
                  <c:v>25</c:v>
                </c:pt>
                <c:pt idx="323">
                  <c:v>61</c:v>
                </c:pt>
                <c:pt idx="324">
                  <c:v>32</c:v>
                </c:pt>
                <c:pt idx="325">
                  <c:v>54</c:v>
                </c:pt>
                <c:pt idx="326">
                  <c:v>36</c:v>
                </c:pt>
                <c:pt idx="327">
                  <c:v>49</c:v>
                </c:pt>
                <c:pt idx="328">
                  <c:v>40</c:v>
                </c:pt>
                <c:pt idx="329">
                  <c:v>42</c:v>
                </c:pt>
                <c:pt idx="330">
                  <c:v>34</c:v>
                </c:pt>
                <c:pt idx="331">
                  <c:v>30</c:v>
                </c:pt>
                <c:pt idx="332">
                  <c:v>57</c:v>
                </c:pt>
                <c:pt idx="333">
                  <c:v>44</c:v>
                </c:pt>
                <c:pt idx="334">
                  <c:v>60</c:v>
                </c:pt>
                <c:pt idx="335">
                  <c:v>78</c:v>
                </c:pt>
                <c:pt idx="336">
                  <c:v>70</c:v>
                </c:pt>
                <c:pt idx="337">
                  <c:v>47</c:v>
                </c:pt>
                <c:pt idx="338">
                  <c:v>69</c:v>
                </c:pt>
                <c:pt idx="339">
                  <c:v>80</c:v>
                </c:pt>
                <c:pt idx="340">
                  <c:v>37</c:v>
                </c:pt>
                <c:pt idx="341">
                  <c:v>24</c:v>
                </c:pt>
                <c:pt idx="342">
                  <c:v>71</c:v>
                </c:pt>
                <c:pt idx="343">
                  <c:v>59</c:v>
                </c:pt>
                <c:pt idx="344">
                  <c:v>72</c:v>
                </c:pt>
                <c:pt idx="345">
                  <c:v>50</c:v>
                </c:pt>
                <c:pt idx="346">
                  <c:v>75</c:v>
                </c:pt>
                <c:pt idx="347">
                  <c:v>52</c:v>
                </c:pt>
                <c:pt idx="348">
                  <c:v>40</c:v>
                </c:pt>
                <c:pt idx="349">
                  <c:v>75</c:v>
                </c:pt>
                <c:pt idx="350">
                  <c:v>79</c:v>
                </c:pt>
                <c:pt idx="351">
                  <c:v>24</c:v>
                </c:pt>
                <c:pt idx="352">
                  <c:v>62</c:v>
                </c:pt>
                <c:pt idx="353">
                  <c:v>65</c:v>
                </c:pt>
                <c:pt idx="354">
                  <c:v>74</c:v>
                </c:pt>
                <c:pt idx="355">
                  <c:v>67</c:v>
                </c:pt>
                <c:pt idx="356">
                  <c:v>57</c:v>
                </c:pt>
                <c:pt idx="357">
                  <c:v>80</c:v>
                </c:pt>
                <c:pt idx="358">
                  <c:v>51</c:v>
                </c:pt>
                <c:pt idx="359">
                  <c:v>50</c:v>
                </c:pt>
                <c:pt idx="360">
                  <c:v>76</c:v>
                </c:pt>
                <c:pt idx="361">
                  <c:v>33</c:v>
                </c:pt>
                <c:pt idx="362">
                  <c:v>30</c:v>
                </c:pt>
                <c:pt idx="363">
                  <c:v>66</c:v>
                </c:pt>
                <c:pt idx="364">
                  <c:v>60</c:v>
                </c:pt>
                <c:pt idx="365">
                  <c:v>71</c:v>
                </c:pt>
                <c:pt idx="366">
                  <c:v>57</c:v>
                </c:pt>
                <c:pt idx="367">
                  <c:v>81</c:v>
                </c:pt>
                <c:pt idx="368">
                  <c:v>77</c:v>
                </c:pt>
                <c:pt idx="369">
                  <c:v>71</c:v>
                </c:pt>
                <c:pt idx="370">
                  <c:v>41</c:v>
                </c:pt>
                <c:pt idx="371">
                  <c:v>46</c:v>
                </c:pt>
                <c:pt idx="372">
                  <c:v>51</c:v>
                </c:pt>
                <c:pt idx="373">
                  <c:v>70</c:v>
                </c:pt>
                <c:pt idx="374">
                  <c:v>48</c:v>
                </c:pt>
                <c:pt idx="375">
                  <c:v>43</c:v>
                </c:pt>
                <c:pt idx="376">
                  <c:v>33</c:v>
                </c:pt>
                <c:pt idx="377">
                  <c:v>56</c:v>
                </c:pt>
                <c:pt idx="378">
                  <c:v>47</c:v>
                </c:pt>
                <c:pt idx="379">
                  <c:v>82</c:v>
                </c:pt>
                <c:pt idx="380">
                  <c:v>58</c:v>
                </c:pt>
                <c:pt idx="381">
                  <c:v>38</c:v>
                </c:pt>
                <c:pt idx="382">
                  <c:v>81</c:v>
                </c:pt>
                <c:pt idx="383">
                  <c:v>67</c:v>
                </c:pt>
                <c:pt idx="384">
                  <c:v>67</c:v>
                </c:pt>
                <c:pt idx="385">
                  <c:v>34</c:v>
                </c:pt>
                <c:pt idx="386">
                  <c:v>62</c:v>
                </c:pt>
                <c:pt idx="387">
                  <c:v>82</c:v>
                </c:pt>
                <c:pt idx="388">
                  <c:v>74</c:v>
                </c:pt>
                <c:pt idx="389">
                  <c:v>65</c:v>
                </c:pt>
                <c:pt idx="390">
                  <c:v>64</c:v>
                </c:pt>
                <c:pt idx="391">
                  <c:v>77</c:v>
                </c:pt>
                <c:pt idx="392">
                  <c:v>47</c:v>
                </c:pt>
                <c:pt idx="393">
                  <c:v>78</c:v>
                </c:pt>
                <c:pt idx="394">
                  <c:v>70</c:v>
                </c:pt>
                <c:pt idx="395">
                  <c:v>36</c:v>
                </c:pt>
                <c:pt idx="396">
                  <c:v>38</c:v>
                </c:pt>
                <c:pt idx="397">
                  <c:v>44</c:v>
                </c:pt>
                <c:pt idx="398">
                  <c:v>32</c:v>
                </c:pt>
                <c:pt idx="399">
                  <c:v>46</c:v>
                </c:pt>
              </c:numCache>
            </c:numRef>
          </c:xVal>
          <c:yVal>
            <c:numRef>
              <c:f>'Numeric Columns'!$A$2:$A$401</c:f>
              <c:numCache>
                <c:formatCode>#,##0.000</c:formatCode>
                <c:ptCount val="400"/>
                <c:pt idx="0">
                  <c:v>182.72800000000001</c:v>
                </c:pt>
                <c:pt idx="1">
                  <c:v>186.63399999999999</c:v>
                </c:pt>
                <c:pt idx="2">
                  <c:v>152.298</c:v>
                </c:pt>
                <c:pt idx="3">
                  <c:v>180.68199999999999</c:v>
                </c:pt>
                <c:pt idx="4">
                  <c:v>158.88900000000001</c:v>
                </c:pt>
                <c:pt idx="5">
                  <c:v>140.672</c:v>
                </c:pt>
                <c:pt idx="6">
                  <c:v>160.23099999999999</c:v>
                </c:pt>
                <c:pt idx="7">
                  <c:v>121.834</c:v>
                </c:pt>
                <c:pt idx="8">
                  <c:v>135.11799999999999</c:v>
                </c:pt>
                <c:pt idx="9">
                  <c:v>107.84099999999999</c:v>
                </c:pt>
                <c:pt idx="10">
                  <c:v>149.316</c:v>
                </c:pt>
                <c:pt idx="11">
                  <c:v>125.48</c:v>
                </c:pt>
                <c:pt idx="12">
                  <c:v>130.209</c:v>
                </c:pt>
                <c:pt idx="13">
                  <c:v>128.66900000000001</c:v>
                </c:pt>
                <c:pt idx="14">
                  <c:v>113.82899999999999</c:v>
                </c:pt>
                <c:pt idx="15">
                  <c:v>124.29</c:v>
                </c:pt>
                <c:pt idx="16">
                  <c:v>146.18299999999999</c:v>
                </c:pt>
                <c:pt idx="17">
                  <c:v>148.92400000000001</c:v>
                </c:pt>
                <c:pt idx="18">
                  <c:v>180.37899999999999</c:v>
                </c:pt>
                <c:pt idx="19">
                  <c:v>115.52</c:v>
                </c:pt>
                <c:pt idx="20">
                  <c:v>151.947</c:v>
                </c:pt>
                <c:pt idx="21">
                  <c:v>91.361999999999995</c:v>
                </c:pt>
                <c:pt idx="22">
                  <c:v>98.515000000000001</c:v>
                </c:pt>
                <c:pt idx="23">
                  <c:v>163.32900000000001</c:v>
                </c:pt>
                <c:pt idx="24">
                  <c:v>72.944999999999993</c:v>
                </c:pt>
                <c:pt idx="25">
                  <c:v>83.850999999999999</c:v>
                </c:pt>
                <c:pt idx="26">
                  <c:v>123.29900000000001</c:v>
                </c:pt>
                <c:pt idx="27">
                  <c:v>69.656000000000006</c:v>
                </c:pt>
                <c:pt idx="28">
                  <c:v>148.08000000000001</c:v>
                </c:pt>
                <c:pt idx="29">
                  <c:v>63.094999999999999</c:v>
                </c:pt>
                <c:pt idx="30">
                  <c:v>63.533999999999999</c:v>
                </c:pt>
                <c:pt idx="31">
                  <c:v>80.180000000000007</c:v>
                </c:pt>
                <c:pt idx="32">
                  <c:v>101.788</c:v>
                </c:pt>
                <c:pt idx="33">
                  <c:v>71.682000000000002</c:v>
                </c:pt>
                <c:pt idx="34">
                  <c:v>61.069000000000003</c:v>
                </c:pt>
                <c:pt idx="35">
                  <c:v>134.18100000000001</c:v>
                </c:pt>
                <c:pt idx="36">
                  <c:v>121.709</c:v>
                </c:pt>
                <c:pt idx="37">
                  <c:v>115.123</c:v>
                </c:pt>
                <c:pt idx="38">
                  <c:v>92.385999999999996</c:v>
                </c:pt>
                <c:pt idx="39">
                  <c:v>83.869</c:v>
                </c:pt>
                <c:pt idx="40">
                  <c:v>113.65900000000001</c:v>
                </c:pt>
                <c:pt idx="41">
                  <c:v>68.712999999999994</c:v>
                </c:pt>
                <c:pt idx="42">
                  <c:v>94.192999999999998</c:v>
                </c:pt>
                <c:pt idx="43">
                  <c:v>77.38</c:v>
                </c:pt>
                <c:pt idx="44">
                  <c:v>69.942999999999998</c:v>
                </c:pt>
                <c:pt idx="45">
                  <c:v>63.808999999999997</c:v>
                </c:pt>
                <c:pt idx="46">
                  <c:v>59.53</c:v>
                </c:pt>
                <c:pt idx="47">
                  <c:v>82.706000000000003</c:v>
                </c:pt>
                <c:pt idx="48">
                  <c:v>58.026000000000003</c:v>
                </c:pt>
                <c:pt idx="49">
                  <c:v>103.893</c:v>
                </c:pt>
                <c:pt idx="50">
                  <c:v>58.780999999999999</c:v>
                </c:pt>
                <c:pt idx="51">
                  <c:v>93.039000000000001</c:v>
                </c:pt>
                <c:pt idx="52">
                  <c:v>73.914000000000001</c:v>
                </c:pt>
                <c:pt idx="53">
                  <c:v>52.179000000000002</c:v>
                </c:pt>
                <c:pt idx="54">
                  <c:v>87.625</c:v>
                </c:pt>
                <c:pt idx="55">
                  <c:v>104.483</c:v>
                </c:pt>
                <c:pt idx="56">
                  <c:v>71.408000000000001</c:v>
                </c:pt>
                <c:pt idx="57">
                  <c:v>83.947999999999993</c:v>
                </c:pt>
                <c:pt idx="58">
                  <c:v>104.593</c:v>
                </c:pt>
                <c:pt idx="59">
                  <c:v>62.601999999999997</c:v>
                </c:pt>
                <c:pt idx="60">
                  <c:v>75.257000000000005</c:v>
                </c:pt>
                <c:pt idx="61">
                  <c:v>128.04</c:v>
                </c:pt>
                <c:pt idx="62">
                  <c:v>43.682000000000002</c:v>
                </c:pt>
                <c:pt idx="63">
                  <c:v>59.878999999999998</c:v>
                </c:pt>
                <c:pt idx="64">
                  <c:v>37.878</c:v>
                </c:pt>
                <c:pt idx="65">
                  <c:v>49.502000000000002</c:v>
                </c:pt>
                <c:pt idx="66">
                  <c:v>71.061000000000007</c:v>
                </c:pt>
                <c:pt idx="67">
                  <c:v>68.206000000000003</c:v>
                </c:pt>
                <c:pt idx="68">
                  <c:v>91.876000000000005</c:v>
                </c:pt>
                <c:pt idx="69">
                  <c:v>110.968</c:v>
                </c:pt>
                <c:pt idx="70">
                  <c:v>49.165999999999997</c:v>
                </c:pt>
                <c:pt idx="71">
                  <c:v>106.02500000000001</c:v>
                </c:pt>
                <c:pt idx="72">
                  <c:v>46.006999999999998</c:v>
                </c:pt>
                <c:pt idx="73">
                  <c:v>42.079000000000001</c:v>
                </c:pt>
                <c:pt idx="74">
                  <c:v>58.164999999999999</c:v>
                </c:pt>
                <c:pt idx="75">
                  <c:v>73.326999999999998</c:v>
                </c:pt>
                <c:pt idx="76">
                  <c:v>30.007000000000001</c:v>
                </c:pt>
                <c:pt idx="77">
                  <c:v>62.412999999999997</c:v>
                </c:pt>
                <c:pt idx="78">
                  <c:v>113.77200000000001</c:v>
                </c:pt>
                <c:pt idx="79">
                  <c:v>58.929000000000002</c:v>
                </c:pt>
                <c:pt idx="80">
                  <c:v>49.927</c:v>
                </c:pt>
                <c:pt idx="81">
                  <c:v>69.251000000000005</c:v>
                </c:pt>
                <c:pt idx="82">
                  <c:v>36.508000000000003</c:v>
                </c:pt>
                <c:pt idx="83">
                  <c:v>49.57</c:v>
                </c:pt>
                <c:pt idx="84">
                  <c:v>37.347999999999999</c:v>
                </c:pt>
                <c:pt idx="85">
                  <c:v>31.861000000000001</c:v>
                </c:pt>
                <c:pt idx="86">
                  <c:v>55.366999999999997</c:v>
                </c:pt>
                <c:pt idx="87">
                  <c:v>36.929000000000002</c:v>
                </c:pt>
                <c:pt idx="88">
                  <c:v>33.436999999999998</c:v>
                </c:pt>
                <c:pt idx="89">
                  <c:v>33.656999999999996</c:v>
                </c:pt>
                <c:pt idx="90">
                  <c:v>27.33</c:v>
                </c:pt>
                <c:pt idx="91">
                  <c:v>35.61</c:v>
                </c:pt>
                <c:pt idx="92">
                  <c:v>64.173000000000002</c:v>
                </c:pt>
                <c:pt idx="93">
                  <c:v>34.479999999999997</c:v>
                </c:pt>
                <c:pt idx="94">
                  <c:v>39.831000000000003</c:v>
                </c:pt>
                <c:pt idx="95">
                  <c:v>48.497999999999998</c:v>
                </c:pt>
                <c:pt idx="96">
                  <c:v>107.986</c:v>
                </c:pt>
                <c:pt idx="97">
                  <c:v>76.781999999999996</c:v>
                </c:pt>
                <c:pt idx="98">
                  <c:v>53.566000000000003</c:v>
                </c:pt>
                <c:pt idx="99">
                  <c:v>32.856000000000002</c:v>
                </c:pt>
                <c:pt idx="100">
                  <c:v>30.55</c:v>
                </c:pt>
                <c:pt idx="101">
                  <c:v>34.664000000000001</c:v>
                </c:pt>
                <c:pt idx="102">
                  <c:v>29.638000000000002</c:v>
                </c:pt>
                <c:pt idx="103">
                  <c:v>21.454999999999998</c:v>
                </c:pt>
                <c:pt idx="104">
                  <c:v>20.190999999999999</c:v>
                </c:pt>
                <c:pt idx="105">
                  <c:v>44.847000000000001</c:v>
                </c:pt>
                <c:pt idx="106">
                  <c:v>89</c:v>
                </c:pt>
                <c:pt idx="107">
                  <c:v>49.793999999999997</c:v>
                </c:pt>
                <c:pt idx="108">
                  <c:v>63.930999999999997</c:v>
                </c:pt>
                <c:pt idx="109">
                  <c:v>20.974</c:v>
                </c:pt>
                <c:pt idx="110">
                  <c:v>15.079000000000001</c:v>
                </c:pt>
                <c:pt idx="111">
                  <c:v>34.142000000000003</c:v>
                </c:pt>
                <c:pt idx="112">
                  <c:v>26.4</c:v>
                </c:pt>
                <c:pt idx="113">
                  <c:v>27.847000000000001</c:v>
                </c:pt>
                <c:pt idx="114">
                  <c:v>66.989000000000004</c:v>
                </c:pt>
                <c:pt idx="115">
                  <c:v>26.812999999999999</c:v>
                </c:pt>
                <c:pt idx="116">
                  <c:v>39.055</c:v>
                </c:pt>
                <c:pt idx="117">
                  <c:v>42.356999999999999</c:v>
                </c:pt>
                <c:pt idx="118">
                  <c:v>26.427</c:v>
                </c:pt>
                <c:pt idx="119">
                  <c:v>18.701000000000001</c:v>
                </c:pt>
                <c:pt idx="120">
                  <c:v>56.256</c:v>
                </c:pt>
                <c:pt idx="121">
                  <c:v>24.824000000000002</c:v>
                </c:pt>
                <c:pt idx="122">
                  <c:v>16.303999999999998</c:v>
                </c:pt>
                <c:pt idx="123">
                  <c:v>23.283000000000001</c:v>
                </c:pt>
                <c:pt idx="124">
                  <c:v>44.204999999999998</c:v>
                </c:pt>
                <c:pt idx="125">
                  <c:v>16.478999999999999</c:v>
                </c:pt>
                <c:pt idx="126">
                  <c:v>23.375</c:v>
                </c:pt>
                <c:pt idx="127">
                  <c:v>12.456</c:v>
                </c:pt>
                <c:pt idx="128">
                  <c:v>16.103000000000002</c:v>
                </c:pt>
                <c:pt idx="129">
                  <c:v>23.882999999999999</c:v>
                </c:pt>
                <c:pt idx="130">
                  <c:v>14.311999999999999</c:v>
                </c:pt>
                <c:pt idx="131">
                  <c:v>21.550999999999998</c:v>
                </c:pt>
                <c:pt idx="132">
                  <c:v>55.411999999999999</c:v>
                </c:pt>
                <c:pt idx="133">
                  <c:v>55.186999999999998</c:v>
                </c:pt>
                <c:pt idx="134">
                  <c:v>23.949000000000002</c:v>
                </c:pt>
                <c:pt idx="135">
                  <c:v>53.401000000000003</c:v>
                </c:pt>
                <c:pt idx="136">
                  <c:v>57.337000000000003</c:v>
                </c:pt>
                <c:pt idx="137">
                  <c:v>29.567</c:v>
                </c:pt>
                <c:pt idx="138">
                  <c:v>80.616</c:v>
                </c:pt>
                <c:pt idx="139">
                  <c:v>41.365000000000002</c:v>
                </c:pt>
                <c:pt idx="140">
                  <c:v>51.872</c:v>
                </c:pt>
                <c:pt idx="141">
                  <c:v>34.908999999999999</c:v>
                </c:pt>
                <c:pt idx="142">
                  <c:v>16.710999999999999</c:v>
                </c:pt>
                <c:pt idx="143">
                  <c:v>39.421999999999997</c:v>
                </c:pt>
                <c:pt idx="144">
                  <c:v>62.328000000000003</c:v>
                </c:pt>
                <c:pt idx="145">
                  <c:v>27.824999999999999</c:v>
                </c:pt>
                <c:pt idx="146">
                  <c:v>38.954000000000001</c:v>
                </c:pt>
                <c:pt idx="147">
                  <c:v>48.218000000000004</c:v>
                </c:pt>
                <c:pt idx="148">
                  <c:v>35.51</c:v>
                </c:pt>
                <c:pt idx="149">
                  <c:v>67.936999999999998</c:v>
                </c:pt>
                <c:pt idx="150">
                  <c:v>36.362000000000002</c:v>
                </c:pt>
                <c:pt idx="151">
                  <c:v>85.424999999999997</c:v>
                </c:pt>
                <c:pt idx="152">
                  <c:v>46.101999999999997</c:v>
                </c:pt>
                <c:pt idx="153">
                  <c:v>64.027000000000001</c:v>
                </c:pt>
                <c:pt idx="154">
                  <c:v>60.579000000000001</c:v>
                </c:pt>
                <c:pt idx="155">
                  <c:v>48.576999999999998</c:v>
                </c:pt>
                <c:pt idx="156">
                  <c:v>65.896000000000001</c:v>
                </c:pt>
                <c:pt idx="157">
                  <c:v>61.62</c:v>
                </c:pt>
                <c:pt idx="158">
                  <c:v>33.213999999999999</c:v>
                </c:pt>
                <c:pt idx="159">
                  <c:v>17.055</c:v>
                </c:pt>
                <c:pt idx="160">
                  <c:v>27.998999999999999</c:v>
                </c:pt>
                <c:pt idx="161">
                  <c:v>26.161999999999999</c:v>
                </c:pt>
                <c:pt idx="162">
                  <c:v>11.186999999999999</c:v>
                </c:pt>
                <c:pt idx="163">
                  <c:v>51.531999999999996</c:v>
                </c:pt>
                <c:pt idx="164">
                  <c:v>17.765000000000001</c:v>
                </c:pt>
                <c:pt idx="165">
                  <c:v>24.919</c:v>
                </c:pt>
                <c:pt idx="166">
                  <c:v>19.530999999999999</c:v>
                </c:pt>
                <c:pt idx="167">
                  <c:v>40.884999999999998</c:v>
                </c:pt>
                <c:pt idx="168">
                  <c:v>41.531999999999996</c:v>
                </c:pt>
                <c:pt idx="169">
                  <c:v>42.529000000000003</c:v>
                </c:pt>
                <c:pt idx="170">
                  <c:v>44.061</c:v>
                </c:pt>
                <c:pt idx="171">
                  <c:v>59.854999999999997</c:v>
                </c:pt>
                <c:pt idx="172">
                  <c:v>88.83</c:v>
                </c:pt>
                <c:pt idx="173">
                  <c:v>53.216999999999999</c:v>
                </c:pt>
                <c:pt idx="174">
                  <c:v>19.349</c:v>
                </c:pt>
                <c:pt idx="175">
                  <c:v>22.939</c:v>
                </c:pt>
                <c:pt idx="176">
                  <c:v>55.881999999999998</c:v>
                </c:pt>
                <c:pt idx="177">
                  <c:v>19.635999999999999</c:v>
                </c:pt>
                <c:pt idx="178">
                  <c:v>33.694000000000003</c:v>
                </c:pt>
                <c:pt idx="179">
                  <c:v>44.978000000000002</c:v>
                </c:pt>
                <c:pt idx="180">
                  <c:v>12.238</c:v>
                </c:pt>
                <c:pt idx="181">
                  <c:v>29.4</c:v>
                </c:pt>
                <c:pt idx="182">
                  <c:v>35.863999999999997</c:v>
                </c:pt>
                <c:pt idx="183">
                  <c:v>40.442</c:v>
                </c:pt>
                <c:pt idx="184">
                  <c:v>15.741</c:v>
                </c:pt>
                <c:pt idx="185">
                  <c:v>76.272999999999996</c:v>
                </c:pt>
                <c:pt idx="186">
                  <c:v>25.123999999999999</c:v>
                </c:pt>
                <c:pt idx="187">
                  <c:v>15.846</c:v>
                </c:pt>
                <c:pt idx="188">
                  <c:v>44.158000000000001</c:v>
                </c:pt>
                <c:pt idx="189">
                  <c:v>24.23</c:v>
                </c:pt>
                <c:pt idx="190">
                  <c:v>14.887</c:v>
                </c:pt>
                <c:pt idx="191">
                  <c:v>57.1</c:v>
                </c:pt>
                <c:pt idx="192">
                  <c:v>41.868000000000002</c:v>
                </c:pt>
                <c:pt idx="193">
                  <c:v>68.462000000000003</c:v>
                </c:pt>
                <c:pt idx="194">
                  <c:v>16.751000000000001</c:v>
                </c:pt>
                <c:pt idx="195">
                  <c:v>76.347999999999999</c:v>
                </c:pt>
                <c:pt idx="196">
                  <c:v>19.529</c:v>
                </c:pt>
                <c:pt idx="197">
                  <c:v>69.165000000000006</c:v>
                </c:pt>
                <c:pt idx="198">
                  <c:v>14.956</c:v>
                </c:pt>
                <c:pt idx="199">
                  <c:v>21.786000000000001</c:v>
                </c:pt>
                <c:pt idx="200">
                  <c:v>27.512</c:v>
                </c:pt>
                <c:pt idx="201">
                  <c:v>92.111999999999995</c:v>
                </c:pt>
                <c:pt idx="202">
                  <c:v>43.478999999999999</c:v>
                </c:pt>
                <c:pt idx="203">
                  <c:v>20.405000000000001</c:v>
                </c:pt>
                <c:pt idx="204">
                  <c:v>32.792999999999999</c:v>
                </c:pt>
                <c:pt idx="205">
                  <c:v>25.382999999999999</c:v>
                </c:pt>
                <c:pt idx="206">
                  <c:v>23.989000000000001</c:v>
                </c:pt>
                <c:pt idx="207">
                  <c:v>12.335000000000001</c:v>
                </c:pt>
                <c:pt idx="208">
                  <c:v>30.42</c:v>
                </c:pt>
                <c:pt idx="209">
                  <c:v>23.672000000000001</c:v>
                </c:pt>
                <c:pt idx="210">
                  <c:v>44.646000000000001</c:v>
                </c:pt>
                <c:pt idx="211">
                  <c:v>58.350999999999999</c:v>
                </c:pt>
                <c:pt idx="212">
                  <c:v>28.315999999999999</c:v>
                </c:pt>
                <c:pt idx="213">
                  <c:v>10.842000000000001</c:v>
                </c:pt>
                <c:pt idx="214">
                  <c:v>55.054000000000002</c:v>
                </c:pt>
                <c:pt idx="215">
                  <c:v>36.496000000000002</c:v>
                </c:pt>
                <c:pt idx="216">
                  <c:v>39.145000000000003</c:v>
                </c:pt>
                <c:pt idx="217">
                  <c:v>30.111000000000001</c:v>
                </c:pt>
                <c:pt idx="218">
                  <c:v>51.344999999999999</c:v>
                </c:pt>
                <c:pt idx="219">
                  <c:v>14.09</c:v>
                </c:pt>
                <c:pt idx="220">
                  <c:v>15.56</c:v>
                </c:pt>
                <c:pt idx="221">
                  <c:v>31.811</c:v>
                </c:pt>
                <c:pt idx="222">
                  <c:v>36.933999999999997</c:v>
                </c:pt>
                <c:pt idx="223">
                  <c:v>53.48</c:v>
                </c:pt>
                <c:pt idx="224">
                  <c:v>41.024999999999999</c:v>
                </c:pt>
                <c:pt idx="225">
                  <c:v>58.063000000000002</c:v>
                </c:pt>
                <c:pt idx="226">
                  <c:v>57.872</c:v>
                </c:pt>
                <c:pt idx="227">
                  <c:v>12</c:v>
                </c:pt>
                <c:pt idx="228">
                  <c:v>10.403</c:v>
                </c:pt>
                <c:pt idx="229">
                  <c:v>54.662999999999997</c:v>
                </c:pt>
                <c:pt idx="230">
                  <c:v>12.096</c:v>
                </c:pt>
                <c:pt idx="231">
                  <c:v>80.861000000000004</c:v>
                </c:pt>
                <c:pt idx="232">
                  <c:v>10.587999999999999</c:v>
                </c:pt>
                <c:pt idx="233">
                  <c:v>50.698999999999998</c:v>
                </c:pt>
                <c:pt idx="234">
                  <c:v>12.581</c:v>
                </c:pt>
                <c:pt idx="235">
                  <c:v>39.704999999999998</c:v>
                </c:pt>
                <c:pt idx="236">
                  <c:v>22.379000000000001</c:v>
                </c:pt>
                <c:pt idx="237">
                  <c:v>24.888999999999999</c:v>
                </c:pt>
                <c:pt idx="238">
                  <c:v>28.507999999999999</c:v>
                </c:pt>
                <c:pt idx="239">
                  <c:v>13.234</c:v>
                </c:pt>
                <c:pt idx="240">
                  <c:v>14.478999999999999</c:v>
                </c:pt>
                <c:pt idx="241">
                  <c:v>10.852</c:v>
                </c:pt>
                <c:pt idx="242">
                  <c:v>11.795</c:v>
                </c:pt>
                <c:pt idx="243">
                  <c:v>10.792999999999999</c:v>
                </c:pt>
                <c:pt idx="244">
                  <c:v>75.406000000000006</c:v>
                </c:pt>
                <c:pt idx="245">
                  <c:v>12.068</c:v>
                </c:pt>
                <c:pt idx="246">
                  <c:v>13.364000000000001</c:v>
                </c:pt>
                <c:pt idx="247">
                  <c:v>23.792999999999999</c:v>
                </c:pt>
                <c:pt idx="248">
                  <c:v>27.794</c:v>
                </c:pt>
                <c:pt idx="249">
                  <c:v>36.472000000000001</c:v>
                </c:pt>
                <c:pt idx="250">
                  <c:v>19.782</c:v>
                </c:pt>
                <c:pt idx="251">
                  <c:v>45.12</c:v>
                </c:pt>
                <c:pt idx="252">
                  <c:v>10.734999999999999</c:v>
                </c:pt>
                <c:pt idx="253">
                  <c:v>21.152999999999999</c:v>
                </c:pt>
                <c:pt idx="254">
                  <c:v>53.597999999999999</c:v>
                </c:pt>
                <c:pt idx="255">
                  <c:v>30.413</c:v>
                </c:pt>
                <c:pt idx="256">
                  <c:v>19.253</c:v>
                </c:pt>
                <c:pt idx="257">
                  <c:v>41.192</c:v>
                </c:pt>
                <c:pt idx="258">
                  <c:v>24.088000000000001</c:v>
                </c:pt>
                <c:pt idx="259">
                  <c:v>42.470999999999997</c:v>
                </c:pt>
                <c:pt idx="260">
                  <c:v>23.792999999999999</c:v>
                </c:pt>
                <c:pt idx="261">
                  <c:v>36.354999999999997</c:v>
                </c:pt>
                <c:pt idx="262">
                  <c:v>14.891</c:v>
                </c:pt>
                <c:pt idx="263">
                  <c:v>10.635</c:v>
                </c:pt>
                <c:pt idx="264">
                  <c:v>27.952000000000002</c:v>
                </c:pt>
                <c:pt idx="265">
                  <c:v>29.725000000000001</c:v>
                </c:pt>
                <c:pt idx="266">
                  <c:v>31.335000000000001</c:v>
                </c:pt>
                <c:pt idx="267">
                  <c:v>44.472999999999999</c:v>
                </c:pt>
                <c:pt idx="268">
                  <c:v>27.228999999999999</c:v>
                </c:pt>
                <c:pt idx="269">
                  <c:v>10.353999999999999</c:v>
                </c:pt>
                <c:pt idx="270">
                  <c:v>23.106000000000002</c:v>
                </c:pt>
                <c:pt idx="271">
                  <c:v>18.145</c:v>
                </c:pt>
                <c:pt idx="272">
                  <c:v>13.647</c:v>
                </c:pt>
                <c:pt idx="273">
                  <c:v>27.369</c:v>
                </c:pt>
                <c:pt idx="274">
                  <c:v>57.201999999999998</c:v>
                </c:pt>
                <c:pt idx="275">
                  <c:v>24.314</c:v>
                </c:pt>
                <c:pt idx="276">
                  <c:v>21.010999999999999</c:v>
                </c:pt>
                <c:pt idx="277">
                  <c:v>26.067</c:v>
                </c:pt>
                <c:pt idx="278">
                  <c:v>20.995999999999999</c:v>
                </c:pt>
                <c:pt idx="279">
                  <c:v>29.704999999999998</c:v>
                </c:pt>
                <c:pt idx="280">
                  <c:v>34.950000000000003</c:v>
                </c:pt>
                <c:pt idx="281">
                  <c:v>16.481999999999999</c:v>
                </c:pt>
                <c:pt idx="282">
                  <c:v>15.125</c:v>
                </c:pt>
                <c:pt idx="283">
                  <c:v>30.622</c:v>
                </c:pt>
                <c:pt idx="284">
                  <c:v>19.143999999999998</c:v>
                </c:pt>
                <c:pt idx="285">
                  <c:v>14.292</c:v>
                </c:pt>
                <c:pt idx="286">
                  <c:v>34.536999999999999</c:v>
                </c:pt>
                <c:pt idx="287">
                  <c:v>13.561</c:v>
                </c:pt>
                <c:pt idx="288">
                  <c:v>20.936</c:v>
                </c:pt>
                <c:pt idx="289">
                  <c:v>26.37</c:v>
                </c:pt>
                <c:pt idx="290">
                  <c:v>19.588000000000001</c:v>
                </c:pt>
                <c:pt idx="291">
                  <c:v>24.542999999999999</c:v>
                </c:pt>
                <c:pt idx="292">
                  <c:v>28.474</c:v>
                </c:pt>
                <c:pt idx="293">
                  <c:v>39.11</c:v>
                </c:pt>
                <c:pt idx="294">
                  <c:v>12.031000000000001</c:v>
                </c:pt>
                <c:pt idx="295">
                  <c:v>33.017000000000003</c:v>
                </c:pt>
                <c:pt idx="296">
                  <c:v>55.055999999999997</c:v>
                </c:pt>
                <c:pt idx="297">
                  <c:v>60.448999999999998</c:v>
                </c:pt>
                <c:pt idx="298">
                  <c:v>25.077999999999999</c:v>
                </c:pt>
                <c:pt idx="299">
                  <c:v>21.238</c:v>
                </c:pt>
                <c:pt idx="300">
                  <c:v>15.866</c:v>
                </c:pt>
                <c:pt idx="301">
                  <c:v>38.009</c:v>
                </c:pt>
                <c:pt idx="302">
                  <c:v>54.319000000000003</c:v>
                </c:pt>
                <c:pt idx="303">
                  <c:v>53.319000000000003</c:v>
                </c:pt>
                <c:pt idx="304">
                  <c:v>14.132</c:v>
                </c:pt>
                <c:pt idx="305">
                  <c:v>36.295000000000002</c:v>
                </c:pt>
                <c:pt idx="306">
                  <c:v>28.574999999999999</c:v>
                </c:pt>
                <c:pt idx="307">
                  <c:v>14.595000000000001</c:v>
                </c:pt>
                <c:pt idx="308">
                  <c:v>32.164000000000001</c:v>
                </c:pt>
                <c:pt idx="309">
                  <c:v>10.503</c:v>
                </c:pt>
                <c:pt idx="310">
                  <c:v>26.532</c:v>
                </c:pt>
                <c:pt idx="311">
                  <c:v>43.54</c:v>
                </c:pt>
                <c:pt idx="312">
                  <c:v>35.691000000000003</c:v>
                </c:pt>
                <c:pt idx="313">
                  <c:v>31.029</c:v>
                </c:pt>
                <c:pt idx="314">
                  <c:v>53.308</c:v>
                </c:pt>
                <c:pt idx="315">
                  <c:v>17.7</c:v>
                </c:pt>
                <c:pt idx="316">
                  <c:v>30.733000000000001</c:v>
                </c:pt>
                <c:pt idx="317">
                  <c:v>27.47</c:v>
                </c:pt>
                <c:pt idx="318">
                  <c:v>15.476000000000001</c:v>
                </c:pt>
                <c:pt idx="319">
                  <c:v>17.391999999999999</c:v>
                </c:pt>
                <c:pt idx="320">
                  <c:v>28.940999999999999</c:v>
                </c:pt>
                <c:pt idx="321">
                  <c:v>20.791</c:v>
                </c:pt>
                <c:pt idx="322">
                  <c:v>20.149999999999999</c:v>
                </c:pt>
                <c:pt idx="323">
                  <c:v>20.103000000000002</c:v>
                </c:pt>
                <c:pt idx="324">
                  <c:v>24.05</c:v>
                </c:pt>
                <c:pt idx="325">
                  <c:v>27.59</c:v>
                </c:pt>
                <c:pt idx="326">
                  <c:v>41.4</c:v>
                </c:pt>
                <c:pt idx="327">
                  <c:v>23.35</c:v>
                </c:pt>
                <c:pt idx="328">
                  <c:v>39.609000000000002</c:v>
                </c:pt>
                <c:pt idx="329">
                  <c:v>42.914999999999999</c:v>
                </c:pt>
                <c:pt idx="330">
                  <c:v>27.577999999999999</c:v>
                </c:pt>
                <c:pt idx="331">
                  <c:v>29.564</c:v>
                </c:pt>
                <c:pt idx="332">
                  <c:v>20.088999999999999</c:v>
                </c:pt>
                <c:pt idx="333">
                  <c:v>37.728000000000002</c:v>
                </c:pt>
                <c:pt idx="334">
                  <c:v>15.629</c:v>
                </c:pt>
                <c:pt idx="335">
                  <c:v>23.45</c:v>
                </c:pt>
                <c:pt idx="336">
                  <c:v>17.975999999999999</c:v>
                </c:pt>
                <c:pt idx="337">
                  <c:v>10.363</c:v>
                </c:pt>
                <c:pt idx="338">
                  <c:v>15.183999999999999</c:v>
                </c:pt>
                <c:pt idx="339">
                  <c:v>13.676</c:v>
                </c:pt>
                <c:pt idx="340">
                  <c:v>29.402999999999999</c:v>
                </c:pt>
                <c:pt idx="341">
                  <c:v>25.974</c:v>
                </c:pt>
                <c:pt idx="342">
                  <c:v>11.603</c:v>
                </c:pt>
                <c:pt idx="343">
                  <c:v>11.741</c:v>
                </c:pt>
                <c:pt idx="344">
                  <c:v>44.521999999999998</c:v>
                </c:pt>
                <c:pt idx="345">
                  <c:v>36.363999999999997</c:v>
                </c:pt>
                <c:pt idx="346">
                  <c:v>23.364999999999998</c:v>
                </c:pt>
                <c:pt idx="347">
                  <c:v>30.132000000000001</c:v>
                </c:pt>
                <c:pt idx="348">
                  <c:v>27.039000000000001</c:v>
                </c:pt>
                <c:pt idx="349">
                  <c:v>39.116</c:v>
                </c:pt>
                <c:pt idx="350">
                  <c:v>30.405999999999999</c:v>
                </c:pt>
                <c:pt idx="351">
                  <c:v>41.418999999999997</c:v>
                </c:pt>
                <c:pt idx="352">
                  <c:v>35.177</c:v>
                </c:pt>
                <c:pt idx="353">
                  <c:v>15.353999999999999</c:v>
                </c:pt>
                <c:pt idx="354">
                  <c:v>21.373999999999999</c:v>
                </c:pt>
                <c:pt idx="355">
                  <c:v>14.711</c:v>
                </c:pt>
                <c:pt idx="356">
                  <c:v>34.771999999999998</c:v>
                </c:pt>
                <c:pt idx="357">
                  <c:v>34.509</c:v>
                </c:pt>
                <c:pt idx="358">
                  <c:v>27.349</c:v>
                </c:pt>
                <c:pt idx="359">
                  <c:v>24.46</c:v>
                </c:pt>
                <c:pt idx="360">
                  <c:v>20.088000000000001</c:v>
                </c:pt>
                <c:pt idx="361">
                  <c:v>36.142000000000003</c:v>
                </c:pt>
                <c:pt idx="362">
                  <c:v>31.367000000000001</c:v>
                </c:pt>
                <c:pt idx="363">
                  <c:v>22.561</c:v>
                </c:pt>
                <c:pt idx="364">
                  <c:v>32.915999999999997</c:v>
                </c:pt>
                <c:pt idx="365">
                  <c:v>25.936</c:v>
                </c:pt>
                <c:pt idx="366">
                  <c:v>10.742000000000001</c:v>
                </c:pt>
                <c:pt idx="367">
                  <c:v>31.353000000000002</c:v>
                </c:pt>
                <c:pt idx="368">
                  <c:v>30.681999999999999</c:v>
                </c:pt>
                <c:pt idx="369">
                  <c:v>10.627000000000001</c:v>
                </c:pt>
                <c:pt idx="370">
                  <c:v>18.966999999999999</c:v>
                </c:pt>
                <c:pt idx="371">
                  <c:v>10.726000000000001</c:v>
                </c:pt>
                <c:pt idx="372">
                  <c:v>28.143999999999998</c:v>
                </c:pt>
                <c:pt idx="373">
                  <c:v>30.001999999999999</c:v>
                </c:pt>
                <c:pt idx="374">
                  <c:v>18.036000000000001</c:v>
                </c:pt>
                <c:pt idx="375">
                  <c:v>22.574000000000002</c:v>
                </c:pt>
                <c:pt idx="376">
                  <c:v>30.012</c:v>
                </c:pt>
                <c:pt idx="377">
                  <c:v>23.856999999999999</c:v>
                </c:pt>
                <c:pt idx="378">
                  <c:v>15.333</c:v>
                </c:pt>
                <c:pt idx="379">
                  <c:v>18.951000000000001</c:v>
                </c:pt>
                <c:pt idx="380">
                  <c:v>21.038</c:v>
                </c:pt>
                <c:pt idx="381">
                  <c:v>19.225000000000001</c:v>
                </c:pt>
                <c:pt idx="382">
                  <c:v>23.012</c:v>
                </c:pt>
                <c:pt idx="383">
                  <c:v>27.241</c:v>
                </c:pt>
                <c:pt idx="384">
                  <c:v>27.271999999999998</c:v>
                </c:pt>
                <c:pt idx="385">
                  <c:v>19.536999999999999</c:v>
                </c:pt>
                <c:pt idx="386">
                  <c:v>16.529</c:v>
                </c:pt>
                <c:pt idx="387">
                  <c:v>25.988</c:v>
                </c:pt>
                <c:pt idx="388">
                  <c:v>16.818999999999999</c:v>
                </c:pt>
                <c:pt idx="389">
                  <c:v>17.315999999999999</c:v>
                </c:pt>
                <c:pt idx="390">
                  <c:v>15.045</c:v>
                </c:pt>
                <c:pt idx="391">
                  <c:v>11.808</c:v>
                </c:pt>
                <c:pt idx="392">
                  <c:v>20.917999999999999</c:v>
                </c:pt>
                <c:pt idx="393">
                  <c:v>16.279</c:v>
                </c:pt>
                <c:pt idx="394">
                  <c:v>13.433</c:v>
                </c:pt>
                <c:pt idx="395">
                  <c:v>15.602</c:v>
                </c:pt>
                <c:pt idx="396">
                  <c:v>15.717000000000001</c:v>
                </c:pt>
                <c:pt idx="397">
                  <c:v>13.444000000000001</c:v>
                </c:pt>
                <c:pt idx="398">
                  <c:v>12.414</c:v>
                </c:pt>
                <c:pt idx="399">
                  <c:v>14.084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709-459F-83A4-EF37F739F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9622256"/>
        <c:axId val="560561344"/>
      </c:scatterChart>
      <c:valAx>
        <c:axId val="1639622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561344"/>
        <c:crosses val="autoZero"/>
        <c:crossBetween val="midCat"/>
      </c:valAx>
      <c:valAx>
        <c:axId val="56056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Income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9622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8025371828521428E-2"/>
          <c:y val="0.19486111111111112"/>
          <c:w val="0.842745406824147"/>
          <c:h val="0.72088764946048411"/>
        </c:manualLayout>
      </c:layout>
      <c:scatterChart>
        <c:scatterStyle val="lineMarker"/>
        <c:varyColors val="0"/>
        <c:ser>
          <c:idx val="0"/>
          <c:order val="0"/>
          <c:tx>
            <c:v>Rating vs Limit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'Numeric Columns'!$B$2:$B$401</c:f>
              <c:numCache>
                <c:formatCode>#,##0</c:formatCode>
                <c:ptCount val="400"/>
                <c:pt idx="0">
                  <c:v>13913</c:v>
                </c:pt>
                <c:pt idx="1">
                  <c:v>13414</c:v>
                </c:pt>
                <c:pt idx="2">
                  <c:v>12066</c:v>
                </c:pt>
                <c:pt idx="3">
                  <c:v>11966</c:v>
                </c:pt>
                <c:pt idx="4">
                  <c:v>11589</c:v>
                </c:pt>
                <c:pt idx="5">
                  <c:v>11200</c:v>
                </c:pt>
                <c:pt idx="6">
                  <c:v>10748</c:v>
                </c:pt>
                <c:pt idx="7">
                  <c:v>10673</c:v>
                </c:pt>
                <c:pt idx="8">
                  <c:v>10578</c:v>
                </c:pt>
                <c:pt idx="9">
                  <c:v>10384</c:v>
                </c:pt>
                <c:pt idx="10">
                  <c:v>10278</c:v>
                </c:pt>
                <c:pt idx="11">
                  <c:v>10230</c:v>
                </c:pt>
                <c:pt idx="12">
                  <c:v>10088</c:v>
                </c:pt>
                <c:pt idx="13">
                  <c:v>9824</c:v>
                </c:pt>
                <c:pt idx="14">
                  <c:v>9704</c:v>
                </c:pt>
                <c:pt idx="15">
                  <c:v>9560</c:v>
                </c:pt>
                <c:pt idx="16">
                  <c:v>9540</c:v>
                </c:pt>
                <c:pt idx="17">
                  <c:v>9504</c:v>
                </c:pt>
                <c:pt idx="18">
                  <c:v>9310</c:v>
                </c:pt>
                <c:pt idx="19">
                  <c:v>9272</c:v>
                </c:pt>
                <c:pt idx="20">
                  <c:v>9156</c:v>
                </c:pt>
                <c:pt idx="21">
                  <c:v>9113</c:v>
                </c:pt>
                <c:pt idx="22">
                  <c:v>8760</c:v>
                </c:pt>
                <c:pt idx="23">
                  <c:v>8732</c:v>
                </c:pt>
                <c:pt idx="24">
                  <c:v>8603</c:v>
                </c:pt>
                <c:pt idx="25">
                  <c:v>8494</c:v>
                </c:pt>
                <c:pt idx="26">
                  <c:v>8376</c:v>
                </c:pt>
                <c:pt idx="27">
                  <c:v>8244</c:v>
                </c:pt>
                <c:pt idx="28">
                  <c:v>8157</c:v>
                </c:pt>
                <c:pt idx="29">
                  <c:v>8117</c:v>
                </c:pt>
                <c:pt idx="30">
                  <c:v>8100</c:v>
                </c:pt>
                <c:pt idx="31">
                  <c:v>8047</c:v>
                </c:pt>
                <c:pt idx="32">
                  <c:v>8029</c:v>
                </c:pt>
                <c:pt idx="33">
                  <c:v>8028</c:v>
                </c:pt>
                <c:pt idx="34">
                  <c:v>7871</c:v>
                </c:pt>
                <c:pt idx="35">
                  <c:v>7838</c:v>
                </c:pt>
                <c:pt idx="36">
                  <c:v>7818</c:v>
                </c:pt>
                <c:pt idx="37">
                  <c:v>7760</c:v>
                </c:pt>
                <c:pt idx="38">
                  <c:v>7685</c:v>
                </c:pt>
                <c:pt idx="39">
                  <c:v>7667</c:v>
                </c:pt>
                <c:pt idx="40">
                  <c:v>7659</c:v>
                </c:pt>
                <c:pt idx="41">
                  <c:v>7582</c:v>
                </c:pt>
                <c:pt idx="42">
                  <c:v>7576</c:v>
                </c:pt>
                <c:pt idx="43">
                  <c:v>7569</c:v>
                </c:pt>
                <c:pt idx="44">
                  <c:v>7555</c:v>
                </c:pt>
                <c:pt idx="45">
                  <c:v>7530</c:v>
                </c:pt>
                <c:pt idx="46">
                  <c:v>7518</c:v>
                </c:pt>
                <c:pt idx="47">
                  <c:v>7506</c:v>
                </c:pt>
                <c:pt idx="48">
                  <c:v>7499</c:v>
                </c:pt>
                <c:pt idx="49">
                  <c:v>7416</c:v>
                </c:pt>
                <c:pt idx="50">
                  <c:v>7402</c:v>
                </c:pt>
                <c:pt idx="51">
                  <c:v>7398</c:v>
                </c:pt>
                <c:pt idx="52">
                  <c:v>7333</c:v>
                </c:pt>
                <c:pt idx="53">
                  <c:v>7306</c:v>
                </c:pt>
                <c:pt idx="54">
                  <c:v>7167</c:v>
                </c:pt>
                <c:pt idx="55">
                  <c:v>7140</c:v>
                </c:pt>
                <c:pt idx="56">
                  <c:v>7114</c:v>
                </c:pt>
                <c:pt idx="57">
                  <c:v>7100</c:v>
                </c:pt>
                <c:pt idx="58">
                  <c:v>7075</c:v>
                </c:pt>
                <c:pt idx="59">
                  <c:v>7056</c:v>
                </c:pt>
                <c:pt idx="60">
                  <c:v>7010</c:v>
                </c:pt>
                <c:pt idx="61">
                  <c:v>6982</c:v>
                </c:pt>
                <c:pt idx="62">
                  <c:v>6922</c:v>
                </c:pt>
                <c:pt idx="63">
                  <c:v>6906</c:v>
                </c:pt>
                <c:pt idx="64">
                  <c:v>6827</c:v>
                </c:pt>
                <c:pt idx="65">
                  <c:v>6819</c:v>
                </c:pt>
                <c:pt idx="66">
                  <c:v>6819</c:v>
                </c:pt>
                <c:pt idx="67">
                  <c:v>6784</c:v>
                </c:pt>
                <c:pt idx="68">
                  <c:v>6754</c:v>
                </c:pt>
                <c:pt idx="69">
                  <c:v>6662</c:v>
                </c:pt>
                <c:pt idx="70">
                  <c:v>6662</c:v>
                </c:pt>
                <c:pt idx="71">
                  <c:v>6645</c:v>
                </c:pt>
                <c:pt idx="72">
                  <c:v>6637</c:v>
                </c:pt>
                <c:pt idx="73">
                  <c:v>6626</c:v>
                </c:pt>
                <c:pt idx="74">
                  <c:v>6617</c:v>
                </c:pt>
                <c:pt idx="75">
                  <c:v>6555</c:v>
                </c:pt>
                <c:pt idx="76">
                  <c:v>6481</c:v>
                </c:pt>
                <c:pt idx="77">
                  <c:v>6457</c:v>
                </c:pt>
                <c:pt idx="78">
                  <c:v>6442</c:v>
                </c:pt>
                <c:pt idx="79">
                  <c:v>6420</c:v>
                </c:pt>
                <c:pt idx="80">
                  <c:v>6396</c:v>
                </c:pt>
                <c:pt idx="81">
                  <c:v>6386</c:v>
                </c:pt>
                <c:pt idx="82">
                  <c:v>6386</c:v>
                </c:pt>
                <c:pt idx="83">
                  <c:v>6384</c:v>
                </c:pt>
                <c:pt idx="84">
                  <c:v>6378</c:v>
                </c:pt>
                <c:pt idx="85">
                  <c:v>6375</c:v>
                </c:pt>
                <c:pt idx="86">
                  <c:v>6340</c:v>
                </c:pt>
                <c:pt idx="87">
                  <c:v>6257</c:v>
                </c:pt>
                <c:pt idx="88">
                  <c:v>6207</c:v>
                </c:pt>
                <c:pt idx="89">
                  <c:v>6196</c:v>
                </c:pt>
                <c:pt idx="90">
                  <c:v>6179</c:v>
                </c:pt>
                <c:pt idx="91">
                  <c:v>6135</c:v>
                </c:pt>
                <c:pt idx="92">
                  <c:v>6127</c:v>
                </c:pt>
                <c:pt idx="93">
                  <c:v>6090</c:v>
                </c:pt>
                <c:pt idx="94">
                  <c:v>6045</c:v>
                </c:pt>
                <c:pt idx="95">
                  <c:v>6040</c:v>
                </c:pt>
                <c:pt idx="96">
                  <c:v>6033</c:v>
                </c:pt>
                <c:pt idx="97">
                  <c:v>5977</c:v>
                </c:pt>
                <c:pt idx="98">
                  <c:v>5891</c:v>
                </c:pt>
                <c:pt idx="99">
                  <c:v>5884</c:v>
                </c:pt>
                <c:pt idx="100">
                  <c:v>5869</c:v>
                </c:pt>
                <c:pt idx="101">
                  <c:v>5835</c:v>
                </c:pt>
                <c:pt idx="102">
                  <c:v>5833</c:v>
                </c:pt>
                <c:pt idx="103">
                  <c:v>5829</c:v>
                </c:pt>
                <c:pt idx="104">
                  <c:v>5767</c:v>
                </c:pt>
                <c:pt idx="105">
                  <c:v>5765</c:v>
                </c:pt>
                <c:pt idx="106">
                  <c:v>5759</c:v>
                </c:pt>
                <c:pt idx="107">
                  <c:v>5758</c:v>
                </c:pt>
                <c:pt idx="108">
                  <c:v>5728</c:v>
                </c:pt>
                <c:pt idx="109">
                  <c:v>5673</c:v>
                </c:pt>
                <c:pt idx="110">
                  <c:v>5673</c:v>
                </c:pt>
                <c:pt idx="111">
                  <c:v>5666</c:v>
                </c:pt>
                <c:pt idx="112">
                  <c:v>5640</c:v>
                </c:pt>
                <c:pt idx="113">
                  <c:v>5619</c:v>
                </c:pt>
                <c:pt idx="114">
                  <c:v>5614</c:v>
                </c:pt>
                <c:pt idx="115">
                  <c:v>5611</c:v>
                </c:pt>
                <c:pt idx="116">
                  <c:v>5565</c:v>
                </c:pt>
                <c:pt idx="117">
                  <c:v>5550</c:v>
                </c:pt>
                <c:pt idx="118">
                  <c:v>5533</c:v>
                </c:pt>
                <c:pt idx="119">
                  <c:v>5524</c:v>
                </c:pt>
                <c:pt idx="120">
                  <c:v>5521</c:v>
                </c:pt>
                <c:pt idx="121">
                  <c:v>5495</c:v>
                </c:pt>
                <c:pt idx="122">
                  <c:v>5466</c:v>
                </c:pt>
                <c:pt idx="123">
                  <c:v>5443</c:v>
                </c:pt>
                <c:pt idx="124">
                  <c:v>5441</c:v>
                </c:pt>
                <c:pt idx="125">
                  <c:v>5435</c:v>
                </c:pt>
                <c:pt idx="126">
                  <c:v>5429</c:v>
                </c:pt>
                <c:pt idx="127">
                  <c:v>5395</c:v>
                </c:pt>
                <c:pt idx="128">
                  <c:v>5390</c:v>
                </c:pt>
                <c:pt idx="129">
                  <c:v>5384</c:v>
                </c:pt>
                <c:pt idx="130">
                  <c:v>5382</c:v>
                </c:pt>
                <c:pt idx="131">
                  <c:v>5380</c:v>
                </c:pt>
                <c:pt idx="132">
                  <c:v>5354</c:v>
                </c:pt>
                <c:pt idx="133">
                  <c:v>5352</c:v>
                </c:pt>
                <c:pt idx="134">
                  <c:v>5343</c:v>
                </c:pt>
                <c:pt idx="135">
                  <c:v>5319</c:v>
                </c:pt>
                <c:pt idx="136">
                  <c:v>5310</c:v>
                </c:pt>
                <c:pt idx="137">
                  <c:v>5309</c:v>
                </c:pt>
                <c:pt idx="138">
                  <c:v>5308</c:v>
                </c:pt>
                <c:pt idx="139">
                  <c:v>5303</c:v>
                </c:pt>
                <c:pt idx="140">
                  <c:v>5294</c:v>
                </c:pt>
                <c:pt idx="141">
                  <c:v>5289</c:v>
                </c:pt>
                <c:pt idx="142">
                  <c:v>5274</c:v>
                </c:pt>
                <c:pt idx="143">
                  <c:v>5245</c:v>
                </c:pt>
                <c:pt idx="144">
                  <c:v>5228</c:v>
                </c:pt>
                <c:pt idx="145">
                  <c:v>5227</c:v>
                </c:pt>
                <c:pt idx="146">
                  <c:v>5222</c:v>
                </c:pt>
                <c:pt idx="147">
                  <c:v>5199</c:v>
                </c:pt>
                <c:pt idx="148">
                  <c:v>5198</c:v>
                </c:pt>
                <c:pt idx="149">
                  <c:v>5184</c:v>
                </c:pt>
                <c:pt idx="150">
                  <c:v>5183</c:v>
                </c:pt>
                <c:pt idx="151">
                  <c:v>5182</c:v>
                </c:pt>
                <c:pt idx="152">
                  <c:v>5180</c:v>
                </c:pt>
                <c:pt idx="153">
                  <c:v>5179</c:v>
                </c:pt>
                <c:pt idx="154">
                  <c:v>5149</c:v>
                </c:pt>
                <c:pt idx="155">
                  <c:v>5145</c:v>
                </c:pt>
                <c:pt idx="156">
                  <c:v>5140</c:v>
                </c:pt>
                <c:pt idx="157">
                  <c:v>5140</c:v>
                </c:pt>
                <c:pt idx="158">
                  <c:v>5137</c:v>
                </c:pt>
                <c:pt idx="159">
                  <c:v>5110</c:v>
                </c:pt>
                <c:pt idx="160">
                  <c:v>5107</c:v>
                </c:pt>
                <c:pt idx="161">
                  <c:v>5101</c:v>
                </c:pt>
                <c:pt idx="162">
                  <c:v>5099</c:v>
                </c:pt>
                <c:pt idx="163">
                  <c:v>5096</c:v>
                </c:pt>
                <c:pt idx="164">
                  <c:v>5072</c:v>
                </c:pt>
                <c:pt idx="165">
                  <c:v>5051</c:v>
                </c:pt>
                <c:pt idx="166">
                  <c:v>5043</c:v>
                </c:pt>
                <c:pt idx="167">
                  <c:v>5013</c:v>
                </c:pt>
                <c:pt idx="168">
                  <c:v>5000</c:v>
                </c:pt>
                <c:pt idx="169">
                  <c:v>4986</c:v>
                </c:pt>
                <c:pt idx="170">
                  <c:v>4970</c:v>
                </c:pt>
                <c:pt idx="171">
                  <c:v>4964</c:v>
                </c:pt>
                <c:pt idx="172">
                  <c:v>4952</c:v>
                </c:pt>
                <c:pt idx="173">
                  <c:v>4943</c:v>
                </c:pt>
                <c:pt idx="174">
                  <c:v>4941</c:v>
                </c:pt>
                <c:pt idx="175">
                  <c:v>4923</c:v>
                </c:pt>
                <c:pt idx="176">
                  <c:v>4897</c:v>
                </c:pt>
                <c:pt idx="177">
                  <c:v>4896</c:v>
                </c:pt>
                <c:pt idx="178">
                  <c:v>4891</c:v>
                </c:pt>
                <c:pt idx="179">
                  <c:v>4866</c:v>
                </c:pt>
                <c:pt idx="180">
                  <c:v>4865</c:v>
                </c:pt>
                <c:pt idx="181">
                  <c:v>4840</c:v>
                </c:pt>
                <c:pt idx="182">
                  <c:v>4831</c:v>
                </c:pt>
                <c:pt idx="183">
                  <c:v>4828</c:v>
                </c:pt>
                <c:pt idx="184">
                  <c:v>4788</c:v>
                </c:pt>
                <c:pt idx="185">
                  <c:v>4779</c:v>
                </c:pt>
                <c:pt idx="186">
                  <c:v>4776</c:v>
                </c:pt>
                <c:pt idx="187">
                  <c:v>4768</c:v>
                </c:pt>
                <c:pt idx="188">
                  <c:v>4763</c:v>
                </c:pt>
                <c:pt idx="189">
                  <c:v>4756</c:v>
                </c:pt>
                <c:pt idx="190">
                  <c:v>4745</c:v>
                </c:pt>
                <c:pt idx="191">
                  <c:v>4742</c:v>
                </c:pt>
                <c:pt idx="192">
                  <c:v>4716</c:v>
                </c:pt>
                <c:pt idx="193">
                  <c:v>4712</c:v>
                </c:pt>
                <c:pt idx="194">
                  <c:v>4706</c:v>
                </c:pt>
                <c:pt idx="195">
                  <c:v>4697</c:v>
                </c:pt>
                <c:pt idx="196">
                  <c:v>4673</c:v>
                </c:pt>
                <c:pt idx="197">
                  <c:v>4668</c:v>
                </c:pt>
                <c:pt idx="198">
                  <c:v>4640</c:v>
                </c:pt>
                <c:pt idx="199">
                  <c:v>4632</c:v>
                </c:pt>
                <c:pt idx="200">
                  <c:v>4613</c:v>
                </c:pt>
                <c:pt idx="201">
                  <c:v>4612</c:v>
                </c:pt>
                <c:pt idx="202">
                  <c:v>4569</c:v>
                </c:pt>
                <c:pt idx="203">
                  <c:v>4543</c:v>
                </c:pt>
                <c:pt idx="204">
                  <c:v>4534</c:v>
                </c:pt>
                <c:pt idx="205">
                  <c:v>4527</c:v>
                </c:pt>
                <c:pt idx="206">
                  <c:v>4523</c:v>
                </c:pt>
                <c:pt idx="207">
                  <c:v>4471</c:v>
                </c:pt>
                <c:pt idx="208">
                  <c:v>4442</c:v>
                </c:pt>
                <c:pt idx="209">
                  <c:v>4433</c:v>
                </c:pt>
                <c:pt idx="210">
                  <c:v>4431</c:v>
                </c:pt>
                <c:pt idx="211">
                  <c:v>4411</c:v>
                </c:pt>
                <c:pt idx="212">
                  <c:v>4391</c:v>
                </c:pt>
                <c:pt idx="213">
                  <c:v>4391</c:v>
                </c:pt>
                <c:pt idx="214">
                  <c:v>4381</c:v>
                </c:pt>
                <c:pt idx="215">
                  <c:v>4378</c:v>
                </c:pt>
                <c:pt idx="216">
                  <c:v>4351</c:v>
                </c:pt>
                <c:pt idx="217">
                  <c:v>4336</c:v>
                </c:pt>
                <c:pt idx="218">
                  <c:v>4327</c:v>
                </c:pt>
                <c:pt idx="219">
                  <c:v>4323</c:v>
                </c:pt>
                <c:pt idx="220">
                  <c:v>4307</c:v>
                </c:pt>
                <c:pt idx="221">
                  <c:v>4284</c:v>
                </c:pt>
                <c:pt idx="222">
                  <c:v>4270</c:v>
                </c:pt>
                <c:pt idx="223">
                  <c:v>4263</c:v>
                </c:pt>
                <c:pt idx="224">
                  <c:v>4229</c:v>
                </c:pt>
                <c:pt idx="225">
                  <c:v>4221</c:v>
                </c:pt>
                <c:pt idx="226">
                  <c:v>4171</c:v>
                </c:pt>
                <c:pt idx="227">
                  <c:v>4160</c:v>
                </c:pt>
                <c:pt idx="228">
                  <c:v>4159</c:v>
                </c:pt>
                <c:pt idx="229">
                  <c:v>4116</c:v>
                </c:pt>
                <c:pt idx="230">
                  <c:v>4100</c:v>
                </c:pt>
                <c:pt idx="231">
                  <c:v>4090</c:v>
                </c:pt>
                <c:pt idx="232">
                  <c:v>4049</c:v>
                </c:pt>
                <c:pt idx="233">
                  <c:v>3977</c:v>
                </c:pt>
                <c:pt idx="234">
                  <c:v>3976</c:v>
                </c:pt>
                <c:pt idx="235">
                  <c:v>3969</c:v>
                </c:pt>
                <c:pt idx="236">
                  <c:v>3965</c:v>
                </c:pt>
                <c:pt idx="237">
                  <c:v>3954</c:v>
                </c:pt>
                <c:pt idx="238">
                  <c:v>3933</c:v>
                </c:pt>
                <c:pt idx="239">
                  <c:v>3922</c:v>
                </c:pt>
                <c:pt idx="240">
                  <c:v>3907</c:v>
                </c:pt>
                <c:pt idx="241">
                  <c:v>3907</c:v>
                </c:pt>
                <c:pt idx="242">
                  <c:v>3899</c:v>
                </c:pt>
                <c:pt idx="243">
                  <c:v>3878</c:v>
                </c:pt>
                <c:pt idx="244">
                  <c:v>3874</c:v>
                </c:pt>
                <c:pt idx="245">
                  <c:v>3873</c:v>
                </c:pt>
                <c:pt idx="246">
                  <c:v>3838</c:v>
                </c:pt>
                <c:pt idx="247">
                  <c:v>3821</c:v>
                </c:pt>
                <c:pt idx="248">
                  <c:v>3807</c:v>
                </c:pt>
                <c:pt idx="249">
                  <c:v>3806</c:v>
                </c:pt>
                <c:pt idx="250">
                  <c:v>3782</c:v>
                </c:pt>
                <c:pt idx="251">
                  <c:v>3762</c:v>
                </c:pt>
                <c:pt idx="252">
                  <c:v>3746</c:v>
                </c:pt>
                <c:pt idx="253">
                  <c:v>3736</c:v>
                </c:pt>
                <c:pt idx="254">
                  <c:v>3714</c:v>
                </c:pt>
                <c:pt idx="255">
                  <c:v>3690</c:v>
                </c:pt>
                <c:pt idx="256">
                  <c:v>3683</c:v>
                </c:pt>
                <c:pt idx="257">
                  <c:v>3673</c:v>
                </c:pt>
                <c:pt idx="258">
                  <c:v>3665</c:v>
                </c:pt>
                <c:pt idx="259">
                  <c:v>3625</c:v>
                </c:pt>
                <c:pt idx="260">
                  <c:v>3615</c:v>
                </c:pt>
                <c:pt idx="261">
                  <c:v>3613</c:v>
                </c:pt>
                <c:pt idx="262">
                  <c:v>3606</c:v>
                </c:pt>
                <c:pt idx="263">
                  <c:v>3584</c:v>
                </c:pt>
                <c:pt idx="264">
                  <c:v>3557</c:v>
                </c:pt>
                <c:pt idx="265">
                  <c:v>3536</c:v>
                </c:pt>
                <c:pt idx="266">
                  <c:v>3526</c:v>
                </c:pt>
                <c:pt idx="267">
                  <c:v>3500</c:v>
                </c:pt>
                <c:pt idx="268">
                  <c:v>3484</c:v>
                </c:pt>
                <c:pt idx="269">
                  <c:v>3480</c:v>
                </c:pt>
                <c:pt idx="270">
                  <c:v>3476</c:v>
                </c:pt>
                <c:pt idx="271">
                  <c:v>3461</c:v>
                </c:pt>
                <c:pt idx="272">
                  <c:v>3461</c:v>
                </c:pt>
                <c:pt idx="273">
                  <c:v>3449</c:v>
                </c:pt>
                <c:pt idx="274">
                  <c:v>3411</c:v>
                </c:pt>
                <c:pt idx="275">
                  <c:v>3409</c:v>
                </c:pt>
                <c:pt idx="276">
                  <c:v>3402</c:v>
                </c:pt>
                <c:pt idx="277">
                  <c:v>3388</c:v>
                </c:pt>
                <c:pt idx="278">
                  <c:v>3388</c:v>
                </c:pt>
                <c:pt idx="279">
                  <c:v>3351</c:v>
                </c:pt>
                <c:pt idx="280">
                  <c:v>3327</c:v>
                </c:pt>
                <c:pt idx="281">
                  <c:v>3326</c:v>
                </c:pt>
                <c:pt idx="282">
                  <c:v>3300</c:v>
                </c:pt>
                <c:pt idx="283">
                  <c:v>3293</c:v>
                </c:pt>
                <c:pt idx="284">
                  <c:v>3291</c:v>
                </c:pt>
                <c:pt idx="285">
                  <c:v>3274</c:v>
                </c:pt>
                <c:pt idx="286">
                  <c:v>3271</c:v>
                </c:pt>
                <c:pt idx="287">
                  <c:v>3261</c:v>
                </c:pt>
                <c:pt idx="288">
                  <c:v>3254</c:v>
                </c:pt>
                <c:pt idx="289">
                  <c:v>3235</c:v>
                </c:pt>
                <c:pt idx="290">
                  <c:v>3211</c:v>
                </c:pt>
                <c:pt idx="291">
                  <c:v>3206</c:v>
                </c:pt>
                <c:pt idx="292">
                  <c:v>3202</c:v>
                </c:pt>
                <c:pt idx="293">
                  <c:v>3189</c:v>
                </c:pt>
                <c:pt idx="294">
                  <c:v>3182</c:v>
                </c:pt>
                <c:pt idx="295">
                  <c:v>3180</c:v>
                </c:pt>
                <c:pt idx="296">
                  <c:v>3155</c:v>
                </c:pt>
                <c:pt idx="297">
                  <c:v>3098</c:v>
                </c:pt>
                <c:pt idx="298">
                  <c:v>3096</c:v>
                </c:pt>
                <c:pt idx="299">
                  <c:v>3089</c:v>
                </c:pt>
                <c:pt idx="300">
                  <c:v>3085</c:v>
                </c:pt>
                <c:pt idx="301">
                  <c:v>3075</c:v>
                </c:pt>
                <c:pt idx="302">
                  <c:v>3063</c:v>
                </c:pt>
                <c:pt idx="303">
                  <c:v>3000</c:v>
                </c:pt>
                <c:pt idx="304">
                  <c:v>2998</c:v>
                </c:pt>
                <c:pt idx="305">
                  <c:v>2963</c:v>
                </c:pt>
                <c:pt idx="306">
                  <c:v>2959</c:v>
                </c:pt>
                <c:pt idx="307">
                  <c:v>2955</c:v>
                </c:pt>
                <c:pt idx="308">
                  <c:v>2937</c:v>
                </c:pt>
                <c:pt idx="309">
                  <c:v>2923</c:v>
                </c:pt>
                <c:pt idx="310">
                  <c:v>2910</c:v>
                </c:pt>
                <c:pt idx="311">
                  <c:v>2906</c:v>
                </c:pt>
                <c:pt idx="312">
                  <c:v>2880</c:v>
                </c:pt>
                <c:pt idx="313">
                  <c:v>2863</c:v>
                </c:pt>
                <c:pt idx="314">
                  <c:v>2860</c:v>
                </c:pt>
                <c:pt idx="315">
                  <c:v>2860</c:v>
                </c:pt>
                <c:pt idx="316">
                  <c:v>2832</c:v>
                </c:pt>
                <c:pt idx="317">
                  <c:v>2820</c:v>
                </c:pt>
                <c:pt idx="318">
                  <c:v>2762</c:v>
                </c:pt>
                <c:pt idx="319">
                  <c:v>2748</c:v>
                </c:pt>
                <c:pt idx="320">
                  <c:v>2733</c:v>
                </c:pt>
                <c:pt idx="321">
                  <c:v>2672</c:v>
                </c:pt>
                <c:pt idx="322">
                  <c:v>2646</c:v>
                </c:pt>
                <c:pt idx="323">
                  <c:v>2631</c:v>
                </c:pt>
                <c:pt idx="324">
                  <c:v>2607</c:v>
                </c:pt>
                <c:pt idx="325">
                  <c:v>2586</c:v>
                </c:pt>
                <c:pt idx="326">
                  <c:v>2561</c:v>
                </c:pt>
                <c:pt idx="327">
                  <c:v>2558</c:v>
                </c:pt>
                <c:pt idx="328">
                  <c:v>2539</c:v>
                </c:pt>
                <c:pt idx="329">
                  <c:v>2532</c:v>
                </c:pt>
                <c:pt idx="330">
                  <c:v>2531</c:v>
                </c:pt>
                <c:pt idx="331">
                  <c:v>2529</c:v>
                </c:pt>
                <c:pt idx="332">
                  <c:v>2525</c:v>
                </c:pt>
                <c:pt idx="333">
                  <c:v>2525</c:v>
                </c:pt>
                <c:pt idx="334">
                  <c:v>2493</c:v>
                </c:pt>
                <c:pt idx="335">
                  <c:v>2450</c:v>
                </c:pt>
                <c:pt idx="336">
                  <c:v>2433</c:v>
                </c:pt>
                <c:pt idx="337">
                  <c:v>2430</c:v>
                </c:pt>
                <c:pt idx="338">
                  <c:v>2420</c:v>
                </c:pt>
                <c:pt idx="339">
                  <c:v>2330</c:v>
                </c:pt>
                <c:pt idx="340">
                  <c:v>2327</c:v>
                </c:pt>
                <c:pt idx="341">
                  <c:v>2308</c:v>
                </c:pt>
                <c:pt idx="342">
                  <c:v>2278</c:v>
                </c:pt>
                <c:pt idx="343">
                  <c:v>2271</c:v>
                </c:pt>
                <c:pt idx="344">
                  <c:v>2252</c:v>
                </c:pt>
                <c:pt idx="345">
                  <c:v>2220</c:v>
                </c:pt>
                <c:pt idx="346">
                  <c:v>2179</c:v>
                </c:pt>
                <c:pt idx="347">
                  <c:v>2168</c:v>
                </c:pt>
                <c:pt idx="348">
                  <c:v>2161</c:v>
                </c:pt>
                <c:pt idx="349">
                  <c:v>2150</c:v>
                </c:pt>
                <c:pt idx="350">
                  <c:v>2120</c:v>
                </c:pt>
                <c:pt idx="351">
                  <c:v>2120</c:v>
                </c:pt>
                <c:pt idx="352">
                  <c:v>2117</c:v>
                </c:pt>
                <c:pt idx="353">
                  <c:v>2101</c:v>
                </c:pt>
                <c:pt idx="354">
                  <c:v>2073</c:v>
                </c:pt>
                <c:pt idx="355">
                  <c:v>2047</c:v>
                </c:pt>
                <c:pt idx="356">
                  <c:v>2021</c:v>
                </c:pt>
                <c:pt idx="357">
                  <c:v>2001</c:v>
                </c:pt>
                <c:pt idx="358">
                  <c:v>2000</c:v>
                </c:pt>
                <c:pt idx="359">
                  <c:v>1924</c:v>
                </c:pt>
                <c:pt idx="360">
                  <c:v>1870</c:v>
                </c:pt>
                <c:pt idx="361">
                  <c:v>1852</c:v>
                </c:pt>
                <c:pt idx="362">
                  <c:v>1829</c:v>
                </c:pt>
                <c:pt idx="363">
                  <c:v>1787</c:v>
                </c:pt>
                <c:pt idx="364">
                  <c:v>1786</c:v>
                </c:pt>
                <c:pt idx="365">
                  <c:v>1774</c:v>
                </c:pt>
                <c:pt idx="366">
                  <c:v>1757</c:v>
                </c:pt>
                <c:pt idx="367">
                  <c:v>1705</c:v>
                </c:pt>
                <c:pt idx="368">
                  <c:v>1671</c:v>
                </c:pt>
                <c:pt idx="369">
                  <c:v>1647</c:v>
                </c:pt>
                <c:pt idx="370">
                  <c:v>1626</c:v>
                </c:pt>
                <c:pt idx="371">
                  <c:v>1568</c:v>
                </c:pt>
                <c:pt idx="372">
                  <c:v>1567</c:v>
                </c:pt>
                <c:pt idx="373">
                  <c:v>1561</c:v>
                </c:pt>
                <c:pt idx="374">
                  <c:v>1552</c:v>
                </c:pt>
                <c:pt idx="375">
                  <c:v>1551</c:v>
                </c:pt>
                <c:pt idx="376">
                  <c:v>1511</c:v>
                </c:pt>
                <c:pt idx="377">
                  <c:v>1501</c:v>
                </c:pt>
                <c:pt idx="378">
                  <c:v>1499</c:v>
                </c:pt>
                <c:pt idx="379">
                  <c:v>1485</c:v>
                </c:pt>
                <c:pt idx="380">
                  <c:v>1448</c:v>
                </c:pt>
                <c:pt idx="381">
                  <c:v>1433</c:v>
                </c:pt>
                <c:pt idx="382">
                  <c:v>1410</c:v>
                </c:pt>
                <c:pt idx="383">
                  <c:v>1402</c:v>
                </c:pt>
                <c:pt idx="384">
                  <c:v>1389</c:v>
                </c:pt>
                <c:pt idx="385">
                  <c:v>1362</c:v>
                </c:pt>
                <c:pt idx="386">
                  <c:v>1357</c:v>
                </c:pt>
                <c:pt idx="387">
                  <c:v>1349</c:v>
                </c:pt>
                <c:pt idx="388">
                  <c:v>1337</c:v>
                </c:pt>
                <c:pt idx="389">
                  <c:v>1335</c:v>
                </c:pt>
                <c:pt idx="390">
                  <c:v>1311</c:v>
                </c:pt>
                <c:pt idx="391">
                  <c:v>1300</c:v>
                </c:pt>
                <c:pt idx="392">
                  <c:v>1233</c:v>
                </c:pt>
                <c:pt idx="393">
                  <c:v>1160</c:v>
                </c:pt>
                <c:pt idx="394">
                  <c:v>1134</c:v>
                </c:pt>
                <c:pt idx="395">
                  <c:v>906</c:v>
                </c:pt>
                <c:pt idx="396">
                  <c:v>905</c:v>
                </c:pt>
                <c:pt idx="397">
                  <c:v>886</c:v>
                </c:pt>
                <c:pt idx="398">
                  <c:v>855</c:v>
                </c:pt>
                <c:pt idx="399">
                  <c:v>855</c:v>
                </c:pt>
              </c:numCache>
            </c:numRef>
          </c:xVal>
          <c:yVal>
            <c:numRef>
              <c:f>'Numeric Columns'!$C$2:$C$401</c:f>
              <c:numCache>
                <c:formatCode>0</c:formatCode>
                <c:ptCount val="400"/>
                <c:pt idx="0">
                  <c:v>982</c:v>
                </c:pt>
                <c:pt idx="1">
                  <c:v>949</c:v>
                </c:pt>
                <c:pt idx="2">
                  <c:v>828</c:v>
                </c:pt>
                <c:pt idx="3">
                  <c:v>832</c:v>
                </c:pt>
                <c:pt idx="4">
                  <c:v>805</c:v>
                </c:pt>
                <c:pt idx="5">
                  <c:v>817</c:v>
                </c:pt>
                <c:pt idx="6">
                  <c:v>754</c:v>
                </c:pt>
                <c:pt idx="7">
                  <c:v>750</c:v>
                </c:pt>
                <c:pt idx="8">
                  <c:v>747</c:v>
                </c:pt>
                <c:pt idx="9">
                  <c:v>728</c:v>
                </c:pt>
                <c:pt idx="10">
                  <c:v>707</c:v>
                </c:pt>
                <c:pt idx="11">
                  <c:v>721</c:v>
                </c:pt>
                <c:pt idx="12">
                  <c:v>730</c:v>
                </c:pt>
                <c:pt idx="13">
                  <c:v>685</c:v>
                </c:pt>
                <c:pt idx="14">
                  <c:v>694</c:v>
                </c:pt>
                <c:pt idx="15">
                  <c:v>701</c:v>
                </c:pt>
                <c:pt idx="16">
                  <c:v>682</c:v>
                </c:pt>
                <c:pt idx="17">
                  <c:v>681</c:v>
                </c:pt>
                <c:pt idx="18">
                  <c:v>665</c:v>
                </c:pt>
                <c:pt idx="19">
                  <c:v>656</c:v>
                </c:pt>
                <c:pt idx="20">
                  <c:v>642</c:v>
                </c:pt>
                <c:pt idx="21">
                  <c:v>626</c:v>
                </c:pt>
                <c:pt idx="22">
                  <c:v>633</c:v>
                </c:pt>
                <c:pt idx="23">
                  <c:v>636</c:v>
                </c:pt>
                <c:pt idx="24">
                  <c:v>621</c:v>
                </c:pt>
                <c:pt idx="25">
                  <c:v>607</c:v>
                </c:pt>
                <c:pt idx="26">
                  <c:v>610</c:v>
                </c:pt>
                <c:pt idx="27">
                  <c:v>579</c:v>
                </c:pt>
                <c:pt idx="28">
                  <c:v>599</c:v>
                </c:pt>
                <c:pt idx="29">
                  <c:v>589</c:v>
                </c:pt>
                <c:pt idx="30">
                  <c:v>581</c:v>
                </c:pt>
                <c:pt idx="31">
                  <c:v>569</c:v>
                </c:pt>
                <c:pt idx="32">
                  <c:v>574</c:v>
                </c:pt>
                <c:pt idx="33">
                  <c:v>599</c:v>
                </c:pt>
                <c:pt idx="34">
                  <c:v>564</c:v>
                </c:pt>
                <c:pt idx="35">
                  <c:v>563</c:v>
                </c:pt>
                <c:pt idx="36">
                  <c:v>584</c:v>
                </c:pt>
                <c:pt idx="37">
                  <c:v>538</c:v>
                </c:pt>
                <c:pt idx="38">
                  <c:v>534</c:v>
                </c:pt>
                <c:pt idx="39">
                  <c:v>554</c:v>
                </c:pt>
                <c:pt idx="40">
                  <c:v>538</c:v>
                </c:pt>
                <c:pt idx="41">
                  <c:v>531</c:v>
                </c:pt>
                <c:pt idx="42">
                  <c:v>527</c:v>
                </c:pt>
                <c:pt idx="43">
                  <c:v>564</c:v>
                </c:pt>
                <c:pt idx="44">
                  <c:v>547</c:v>
                </c:pt>
                <c:pt idx="45">
                  <c:v>515</c:v>
                </c:pt>
                <c:pt idx="46">
                  <c:v>543</c:v>
                </c:pt>
                <c:pt idx="47">
                  <c:v>536</c:v>
                </c:pt>
                <c:pt idx="48">
                  <c:v>560</c:v>
                </c:pt>
                <c:pt idx="49">
                  <c:v>549</c:v>
                </c:pt>
                <c:pt idx="50">
                  <c:v>538</c:v>
                </c:pt>
                <c:pt idx="51">
                  <c:v>517</c:v>
                </c:pt>
                <c:pt idx="52">
                  <c:v>529</c:v>
                </c:pt>
                <c:pt idx="53">
                  <c:v>522</c:v>
                </c:pt>
                <c:pt idx="54">
                  <c:v>515</c:v>
                </c:pt>
                <c:pt idx="55">
                  <c:v>507</c:v>
                </c:pt>
                <c:pt idx="56">
                  <c:v>512</c:v>
                </c:pt>
                <c:pt idx="57">
                  <c:v>503</c:v>
                </c:pt>
                <c:pt idx="58">
                  <c:v>514</c:v>
                </c:pt>
                <c:pt idx="59">
                  <c:v>481</c:v>
                </c:pt>
                <c:pt idx="60">
                  <c:v>494</c:v>
                </c:pt>
                <c:pt idx="61">
                  <c:v>518</c:v>
                </c:pt>
                <c:pt idx="62">
                  <c:v>511</c:v>
                </c:pt>
                <c:pt idx="63">
                  <c:v>527</c:v>
                </c:pt>
                <c:pt idx="64">
                  <c:v>482</c:v>
                </c:pt>
                <c:pt idx="65">
                  <c:v>505</c:v>
                </c:pt>
                <c:pt idx="66">
                  <c:v>491</c:v>
                </c:pt>
                <c:pt idx="67">
                  <c:v>499</c:v>
                </c:pt>
                <c:pt idx="68">
                  <c:v>483</c:v>
                </c:pt>
                <c:pt idx="69">
                  <c:v>468</c:v>
                </c:pt>
                <c:pt idx="70">
                  <c:v>508</c:v>
                </c:pt>
                <c:pt idx="71">
                  <c:v>483</c:v>
                </c:pt>
                <c:pt idx="72">
                  <c:v>491</c:v>
                </c:pt>
                <c:pt idx="73">
                  <c:v>479</c:v>
                </c:pt>
                <c:pt idx="74">
                  <c:v>460</c:v>
                </c:pt>
                <c:pt idx="75">
                  <c:v>472</c:v>
                </c:pt>
                <c:pt idx="76">
                  <c:v>462</c:v>
                </c:pt>
                <c:pt idx="77">
                  <c:v>455</c:v>
                </c:pt>
                <c:pt idx="78">
                  <c:v>489</c:v>
                </c:pt>
                <c:pt idx="79">
                  <c:v>459</c:v>
                </c:pt>
                <c:pt idx="80">
                  <c:v>485</c:v>
                </c:pt>
                <c:pt idx="81">
                  <c:v>474</c:v>
                </c:pt>
                <c:pt idx="82">
                  <c:v>469</c:v>
                </c:pt>
                <c:pt idx="83">
                  <c:v>448</c:v>
                </c:pt>
                <c:pt idx="84">
                  <c:v>458</c:v>
                </c:pt>
                <c:pt idx="85">
                  <c:v>469</c:v>
                </c:pt>
                <c:pt idx="86">
                  <c:v>448</c:v>
                </c:pt>
                <c:pt idx="87">
                  <c:v>445</c:v>
                </c:pt>
                <c:pt idx="88">
                  <c:v>451</c:v>
                </c:pt>
                <c:pt idx="89">
                  <c:v>450</c:v>
                </c:pt>
                <c:pt idx="90">
                  <c:v>459</c:v>
                </c:pt>
                <c:pt idx="91">
                  <c:v>466</c:v>
                </c:pt>
                <c:pt idx="92">
                  <c:v>433</c:v>
                </c:pt>
                <c:pt idx="93">
                  <c:v>442</c:v>
                </c:pt>
                <c:pt idx="94">
                  <c:v>459</c:v>
                </c:pt>
                <c:pt idx="95">
                  <c:v>456</c:v>
                </c:pt>
                <c:pt idx="96">
                  <c:v>449</c:v>
                </c:pt>
                <c:pt idx="97">
                  <c:v>429</c:v>
                </c:pt>
                <c:pt idx="98">
                  <c:v>434</c:v>
                </c:pt>
                <c:pt idx="99">
                  <c:v>438</c:v>
                </c:pt>
                <c:pt idx="100">
                  <c:v>439</c:v>
                </c:pt>
                <c:pt idx="101">
                  <c:v>452</c:v>
                </c:pt>
                <c:pt idx="102">
                  <c:v>433</c:v>
                </c:pt>
                <c:pt idx="103">
                  <c:v>427</c:v>
                </c:pt>
                <c:pt idx="104">
                  <c:v>431</c:v>
                </c:pt>
                <c:pt idx="105">
                  <c:v>437</c:v>
                </c:pt>
                <c:pt idx="106">
                  <c:v>440</c:v>
                </c:pt>
                <c:pt idx="107">
                  <c:v>410</c:v>
                </c:pt>
                <c:pt idx="108">
                  <c:v>435</c:v>
                </c:pt>
                <c:pt idx="109">
                  <c:v>413</c:v>
                </c:pt>
                <c:pt idx="110">
                  <c:v>411</c:v>
                </c:pt>
                <c:pt idx="111">
                  <c:v>413</c:v>
                </c:pt>
                <c:pt idx="112">
                  <c:v>398</c:v>
                </c:pt>
                <c:pt idx="113">
                  <c:v>418</c:v>
                </c:pt>
                <c:pt idx="114">
                  <c:v>430</c:v>
                </c:pt>
                <c:pt idx="115">
                  <c:v>411</c:v>
                </c:pt>
                <c:pt idx="116">
                  <c:v>410</c:v>
                </c:pt>
                <c:pt idx="117">
                  <c:v>406</c:v>
                </c:pt>
                <c:pt idx="118">
                  <c:v>433</c:v>
                </c:pt>
                <c:pt idx="119">
                  <c:v>415</c:v>
                </c:pt>
                <c:pt idx="120">
                  <c:v>406</c:v>
                </c:pt>
                <c:pt idx="121">
                  <c:v>409</c:v>
                </c:pt>
                <c:pt idx="122">
                  <c:v>413</c:v>
                </c:pt>
                <c:pt idx="123">
                  <c:v>407</c:v>
                </c:pt>
                <c:pt idx="124">
                  <c:v>394</c:v>
                </c:pt>
                <c:pt idx="125">
                  <c:v>388</c:v>
                </c:pt>
                <c:pt idx="126">
                  <c:v>396</c:v>
                </c:pt>
                <c:pt idx="127">
                  <c:v>392</c:v>
                </c:pt>
                <c:pt idx="128">
                  <c:v>418</c:v>
                </c:pt>
                <c:pt idx="129">
                  <c:v>398</c:v>
                </c:pt>
                <c:pt idx="130">
                  <c:v>367</c:v>
                </c:pt>
                <c:pt idx="131">
                  <c:v>420</c:v>
                </c:pt>
                <c:pt idx="132">
                  <c:v>383</c:v>
                </c:pt>
                <c:pt idx="133">
                  <c:v>385</c:v>
                </c:pt>
                <c:pt idx="134">
                  <c:v>383</c:v>
                </c:pt>
                <c:pt idx="135">
                  <c:v>377</c:v>
                </c:pt>
                <c:pt idx="136">
                  <c:v>392</c:v>
                </c:pt>
                <c:pt idx="137">
                  <c:v>397</c:v>
                </c:pt>
                <c:pt idx="138">
                  <c:v>394</c:v>
                </c:pt>
                <c:pt idx="139">
                  <c:v>377</c:v>
                </c:pt>
                <c:pt idx="140">
                  <c:v>390</c:v>
                </c:pt>
                <c:pt idx="141">
                  <c:v>410</c:v>
                </c:pt>
                <c:pt idx="142">
                  <c:v>387</c:v>
                </c:pt>
                <c:pt idx="143">
                  <c:v>383</c:v>
                </c:pt>
                <c:pt idx="144">
                  <c:v>377</c:v>
                </c:pt>
                <c:pt idx="145">
                  <c:v>386</c:v>
                </c:pt>
                <c:pt idx="146">
                  <c:v>370</c:v>
                </c:pt>
                <c:pt idx="147">
                  <c:v>401</c:v>
                </c:pt>
                <c:pt idx="148">
                  <c:v>364</c:v>
                </c:pt>
                <c:pt idx="149">
                  <c:v>383</c:v>
                </c:pt>
                <c:pt idx="150">
                  <c:v>376</c:v>
                </c:pt>
                <c:pt idx="151">
                  <c:v>402</c:v>
                </c:pt>
                <c:pt idx="152">
                  <c:v>382</c:v>
                </c:pt>
                <c:pt idx="153">
                  <c:v>398</c:v>
                </c:pt>
                <c:pt idx="154">
                  <c:v>388</c:v>
                </c:pt>
                <c:pt idx="155">
                  <c:v>389</c:v>
                </c:pt>
                <c:pt idx="156">
                  <c:v>370</c:v>
                </c:pt>
                <c:pt idx="157">
                  <c:v>374</c:v>
                </c:pt>
                <c:pt idx="158">
                  <c:v>387</c:v>
                </c:pt>
                <c:pt idx="159">
                  <c:v>371</c:v>
                </c:pt>
                <c:pt idx="160">
                  <c:v>380</c:v>
                </c:pt>
                <c:pt idx="161">
                  <c:v>382</c:v>
                </c:pt>
                <c:pt idx="162">
                  <c:v>380</c:v>
                </c:pt>
                <c:pt idx="163">
                  <c:v>380</c:v>
                </c:pt>
                <c:pt idx="164">
                  <c:v>364</c:v>
                </c:pt>
                <c:pt idx="165">
                  <c:v>372</c:v>
                </c:pt>
                <c:pt idx="166">
                  <c:v>376</c:v>
                </c:pt>
                <c:pt idx="167">
                  <c:v>379</c:v>
                </c:pt>
                <c:pt idx="168">
                  <c:v>353</c:v>
                </c:pt>
                <c:pt idx="169">
                  <c:v>369</c:v>
                </c:pt>
                <c:pt idx="170">
                  <c:v>352</c:v>
                </c:pt>
                <c:pt idx="171">
                  <c:v>365</c:v>
                </c:pt>
                <c:pt idx="172">
                  <c:v>360</c:v>
                </c:pt>
                <c:pt idx="173">
                  <c:v>362</c:v>
                </c:pt>
                <c:pt idx="174">
                  <c:v>366</c:v>
                </c:pt>
                <c:pt idx="175">
                  <c:v>355</c:v>
                </c:pt>
                <c:pt idx="176">
                  <c:v>357</c:v>
                </c:pt>
                <c:pt idx="177">
                  <c:v>387</c:v>
                </c:pt>
                <c:pt idx="178">
                  <c:v>369</c:v>
                </c:pt>
                <c:pt idx="179">
                  <c:v>347</c:v>
                </c:pt>
                <c:pt idx="180">
                  <c:v>381</c:v>
                </c:pt>
                <c:pt idx="181">
                  <c:v>368</c:v>
                </c:pt>
                <c:pt idx="182">
                  <c:v>353</c:v>
                </c:pt>
                <c:pt idx="183">
                  <c:v>369</c:v>
                </c:pt>
                <c:pt idx="184">
                  <c:v>360</c:v>
                </c:pt>
                <c:pt idx="185">
                  <c:v>367</c:v>
                </c:pt>
                <c:pt idx="186">
                  <c:v>378</c:v>
                </c:pt>
                <c:pt idx="187">
                  <c:v>365</c:v>
                </c:pt>
                <c:pt idx="188">
                  <c:v>351</c:v>
                </c:pt>
                <c:pt idx="189">
                  <c:v>351</c:v>
                </c:pt>
                <c:pt idx="190">
                  <c:v>339</c:v>
                </c:pt>
                <c:pt idx="191">
                  <c:v>372</c:v>
                </c:pt>
                <c:pt idx="192">
                  <c:v>342</c:v>
                </c:pt>
                <c:pt idx="193">
                  <c:v>340</c:v>
                </c:pt>
                <c:pt idx="194">
                  <c:v>353</c:v>
                </c:pt>
                <c:pt idx="195">
                  <c:v>344</c:v>
                </c:pt>
                <c:pt idx="196">
                  <c:v>341</c:v>
                </c:pt>
                <c:pt idx="197">
                  <c:v>341</c:v>
                </c:pt>
                <c:pt idx="198">
                  <c:v>332</c:v>
                </c:pt>
                <c:pt idx="199">
                  <c:v>355</c:v>
                </c:pt>
                <c:pt idx="200">
                  <c:v>344</c:v>
                </c:pt>
                <c:pt idx="201">
                  <c:v>344</c:v>
                </c:pt>
                <c:pt idx="202">
                  <c:v>354</c:v>
                </c:pt>
                <c:pt idx="203">
                  <c:v>329</c:v>
                </c:pt>
                <c:pt idx="204">
                  <c:v>333</c:v>
                </c:pt>
                <c:pt idx="205">
                  <c:v>367</c:v>
                </c:pt>
                <c:pt idx="206">
                  <c:v>338</c:v>
                </c:pt>
                <c:pt idx="207">
                  <c:v>344</c:v>
                </c:pt>
                <c:pt idx="208">
                  <c:v>316</c:v>
                </c:pt>
                <c:pt idx="209">
                  <c:v>344</c:v>
                </c:pt>
                <c:pt idx="210">
                  <c:v>320</c:v>
                </c:pt>
                <c:pt idx="211">
                  <c:v>326</c:v>
                </c:pt>
                <c:pt idx="212">
                  <c:v>316</c:v>
                </c:pt>
                <c:pt idx="213">
                  <c:v>358</c:v>
                </c:pt>
                <c:pt idx="214">
                  <c:v>321</c:v>
                </c:pt>
                <c:pt idx="215">
                  <c:v>339</c:v>
                </c:pt>
                <c:pt idx="216">
                  <c:v>323</c:v>
                </c:pt>
                <c:pt idx="217">
                  <c:v>339</c:v>
                </c:pt>
                <c:pt idx="218">
                  <c:v>320</c:v>
                </c:pt>
                <c:pt idx="219">
                  <c:v>326</c:v>
                </c:pt>
                <c:pt idx="220">
                  <c:v>352</c:v>
                </c:pt>
                <c:pt idx="221">
                  <c:v>338</c:v>
                </c:pt>
                <c:pt idx="222">
                  <c:v>299</c:v>
                </c:pt>
                <c:pt idx="223">
                  <c:v>317</c:v>
                </c:pt>
                <c:pt idx="224">
                  <c:v>337</c:v>
                </c:pt>
                <c:pt idx="225">
                  <c:v>304</c:v>
                </c:pt>
                <c:pt idx="226">
                  <c:v>321</c:v>
                </c:pt>
                <c:pt idx="227">
                  <c:v>320</c:v>
                </c:pt>
                <c:pt idx="228">
                  <c:v>310</c:v>
                </c:pt>
                <c:pt idx="229">
                  <c:v>314</c:v>
                </c:pt>
                <c:pt idx="230">
                  <c:v>307</c:v>
                </c:pt>
                <c:pt idx="231">
                  <c:v>335</c:v>
                </c:pt>
                <c:pt idx="232">
                  <c:v>296</c:v>
                </c:pt>
                <c:pt idx="233">
                  <c:v>304</c:v>
                </c:pt>
                <c:pt idx="234">
                  <c:v>291</c:v>
                </c:pt>
                <c:pt idx="235">
                  <c:v>301</c:v>
                </c:pt>
                <c:pt idx="236">
                  <c:v>292</c:v>
                </c:pt>
                <c:pt idx="237">
                  <c:v>318</c:v>
                </c:pt>
                <c:pt idx="238">
                  <c:v>287</c:v>
                </c:pt>
                <c:pt idx="239">
                  <c:v>299</c:v>
                </c:pt>
                <c:pt idx="240">
                  <c:v>296</c:v>
                </c:pt>
                <c:pt idx="241">
                  <c:v>296</c:v>
                </c:pt>
                <c:pt idx="242">
                  <c:v>300</c:v>
                </c:pt>
                <c:pt idx="243">
                  <c:v>321</c:v>
                </c:pt>
                <c:pt idx="244">
                  <c:v>298</c:v>
                </c:pt>
                <c:pt idx="245">
                  <c:v>292</c:v>
                </c:pt>
                <c:pt idx="246">
                  <c:v>296</c:v>
                </c:pt>
                <c:pt idx="247">
                  <c:v>281</c:v>
                </c:pt>
                <c:pt idx="248">
                  <c:v>301</c:v>
                </c:pt>
                <c:pt idx="249">
                  <c:v>309</c:v>
                </c:pt>
                <c:pt idx="250">
                  <c:v>293</c:v>
                </c:pt>
                <c:pt idx="251">
                  <c:v>287</c:v>
                </c:pt>
                <c:pt idx="252">
                  <c:v>280</c:v>
                </c:pt>
                <c:pt idx="253">
                  <c:v>256</c:v>
                </c:pt>
                <c:pt idx="254">
                  <c:v>286</c:v>
                </c:pt>
                <c:pt idx="255">
                  <c:v>299</c:v>
                </c:pt>
                <c:pt idx="256">
                  <c:v>287</c:v>
                </c:pt>
                <c:pt idx="257">
                  <c:v>297</c:v>
                </c:pt>
                <c:pt idx="258">
                  <c:v>287</c:v>
                </c:pt>
                <c:pt idx="259">
                  <c:v>289</c:v>
                </c:pt>
                <c:pt idx="260">
                  <c:v>263</c:v>
                </c:pt>
                <c:pt idx="261">
                  <c:v>278</c:v>
                </c:pt>
                <c:pt idx="262">
                  <c:v>283</c:v>
                </c:pt>
                <c:pt idx="263">
                  <c:v>294</c:v>
                </c:pt>
                <c:pt idx="264">
                  <c:v>263</c:v>
                </c:pt>
                <c:pt idx="265">
                  <c:v>270</c:v>
                </c:pt>
                <c:pt idx="266">
                  <c:v>289</c:v>
                </c:pt>
                <c:pt idx="267">
                  <c:v>257</c:v>
                </c:pt>
                <c:pt idx="268">
                  <c:v>282</c:v>
                </c:pt>
                <c:pt idx="269">
                  <c:v>281</c:v>
                </c:pt>
                <c:pt idx="270">
                  <c:v>257</c:v>
                </c:pt>
                <c:pt idx="271">
                  <c:v>279</c:v>
                </c:pt>
                <c:pt idx="272">
                  <c:v>264</c:v>
                </c:pt>
                <c:pt idx="273">
                  <c:v>288</c:v>
                </c:pt>
                <c:pt idx="274">
                  <c:v>259</c:v>
                </c:pt>
                <c:pt idx="275">
                  <c:v>270</c:v>
                </c:pt>
                <c:pt idx="276">
                  <c:v>261</c:v>
                </c:pt>
                <c:pt idx="277">
                  <c:v>266</c:v>
                </c:pt>
                <c:pt idx="278">
                  <c:v>259</c:v>
                </c:pt>
                <c:pt idx="279">
                  <c:v>262</c:v>
                </c:pt>
                <c:pt idx="280">
                  <c:v>253</c:v>
                </c:pt>
                <c:pt idx="281">
                  <c:v>268</c:v>
                </c:pt>
                <c:pt idx="282">
                  <c:v>266</c:v>
                </c:pt>
                <c:pt idx="283">
                  <c:v>251</c:v>
                </c:pt>
                <c:pt idx="284">
                  <c:v>269</c:v>
                </c:pt>
                <c:pt idx="285">
                  <c:v>282</c:v>
                </c:pt>
                <c:pt idx="286">
                  <c:v>250</c:v>
                </c:pt>
                <c:pt idx="287">
                  <c:v>279</c:v>
                </c:pt>
                <c:pt idx="288">
                  <c:v>253</c:v>
                </c:pt>
                <c:pt idx="289">
                  <c:v>268</c:v>
                </c:pt>
                <c:pt idx="290">
                  <c:v>265</c:v>
                </c:pt>
                <c:pt idx="291">
                  <c:v>243</c:v>
                </c:pt>
                <c:pt idx="292">
                  <c:v>267</c:v>
                </c:pt>
                <c:pt idx="293">
                  <c:v>263</c:v>
                </c:pt>
                <c:pt idx="294">
                  <c:v>259</c:v>
                </c:pt>
                <c:pt idx="295">
                  <c:v>224</c:v>
                </c:pt>
                <c:pt idx="296">
                  <c:v>235</c:v>
                </c:pt>
                <c:pt idx="297">
                  <c:v>272</c:v>
                </c:pt>
                <c:pt idx="298">
                  <c:v>236</c:v>
                </c:pt>
                <c:pt idx="299">
                  <c:v>254</c:v>
                </c:pt>
                <c:pt idx="300">
                  <c:v>217</c:v>
                </c:pt>
                <c:pt idx="301">
                  <c:v>245</c:v>
                </c:pt>
                <c:pt idx="302">
                  <c:v>248</c:v>
                </c:pt>
                <c:pt idx="303">
                  <c:v>235</c:v>
                </c:pt>
                <c:pt idx="304">
                  <c:v>251</c:v>
                </c:pt>
                <c:pt idx="305">
                  <c:v>241</c:v>
                </c:pt>
                <c:pt idx="306">
                  <c:v>231</c:v>
                </c:pt>
                <c:pt idx="307">
                  <c:v>260</c:v>
                </c:pt>
                <c:pt idx="308">
                  <c:v>223</c:v>
                </c:pt>
                <c:pt idx="309">
                  <c:v>232</c:v>
                </c:pt>
                <c:pt idx="310">
                  <c:v>236</c:v>
                </c:pt>
                <c:pt idx="311">
                  <c:v>232</c:v>
                </c:pt>
                <c:pt idx="312">
                  <c:v>214</c:v>
                </c:pt>
                <c:pt idx="313">
                  <c:v>223</c:v>
                </c:pt>
                <c:pt idx="314">
                  <c:v>214</c:v>
                </c:pt>
                <c:pt idx="315">
                  <c:v>235</c:v>
                </c:pt>
                <c:pt idx="316">
                  <c:v>249</c:v>
                </c:pt>
                <c:pt idx="317">
                  <c:v>219</c:v>
                </c:pt>
                <c:pt idx="318">
                  <c:v>215</c:v>
                </c:pt>
                <c:pt idx="319">
                  <c:v>228</c:v>
                </c:pt>
                <c:pt idx="320">
                  <c:v>210</c:v>
                </c:pt>
                <c:pt idx="321">
                  <c:v>204</c:v>
                </c:pt>
                <c:pt idx="322">
                  <c:v>199</c:v>
                </c:pt>
                <c:pt idx="323">
                  <c:v>213</c:v>
                </c:pt>
                <c:pt idx="324">
                  <c:v>221</c:v>
                </c:pt>
                <c:pt idx="325">
                  <c:v>229</c:v>
                </c:pt>
                <c:pt idx="326">
                  <c:v>215</c:v>
                </c:pt>
                <c:pt idx="327">
                  <c:v>220</c:v>
                </c:pt>
                <c:pt idx="328">
                  <c:v>188</c:v>
                </c:pt>
                <c:pt idx="329">
                  <c:v>205</c:v>
                </c:pt>
                <c:pt idx="330">
                  <c:v>195</c:v>
                </c:pt>
                <c:pt idx="331">
                  <c:v>192</c:v>
                </c:pt>
                <c:pt idx="332">
                  <c:v>200</c:v>
                </c:pt>
                <c:pt idx="333">
                  <c:v>192</c:v>
                </c:pt>
                <c:pt idx="334">
                  <c:v>186</c:v>
                </c:pt>
                <c:pt idx="335">
                  <c:v>180</c:v>
                </c:pt>
                <c:pt idx="336">
                  <c:v>190</c:v>
                </c:pt>
                <c:pt idx="337">
                  <c:v>191</c:v>
                </c:pt>
                <c:pt idx="338">
                  <c:v>192</c:v>
                </c:pt>
                <c:pt idx="339">
                  <c:v>203</c:v>
                </c:pt>
                <c:pt idx="340">
                  <c:v>178</c:v>
                </c:pt>
                <c:pt idx="341">
                  <c:v>196</c:v>
                </c:pt>
                <c:pt idx="342">
                  <c:v>187</c:v>
                </c:pt>
                <c:pt idx="343">
                  <c:v>182</c:v>
                </c:pt>
                <c:pt idx="344">
                  <c:v>205</c:v>
                </c:pt>
                <c:pt idx="345">
                  <c:v>188</c:v>
                </c:pt>
                <c:pt idx="346">
                  <c:v>167</c:v>
                </c:pt>
                <c:pt idx="347">
                  <c:v>206</c:v>
                </c:pt>
                <c:pt idx="348">
                  <c:v>173</c:v>
                </c:pt>
                <c:pt idx="349">
                  <c:v>173</c:v>
                </c:pt>
                <c:pt idx="350">
                  <c:v>181</c:v>
                </c:pt>
                <c:pt idx="351">
                  <c:v>184</c:v>
                </c:pt>
                <c:pt idx="352">
                  <c:v>186</c:v>
                </c:pt>
                <c:pt idx="353">
                  <c:v>171</c:v>
                </c:pt>
                <c:pt idx="354">
                  <c:v>175</c:v>
                </c:pt>
                <c:pt idx="355">
                  <c:v>167</c:v>
                </c:pt>
                <c:pt idx="356">
                  <c:v>167</c:v>
                </c:pt>
                <c:pt idx="357">
                  <c:v>189</c:v>
                </c:pt>
                <c:pt idx="358">
                  <c:v>169</c:v>
                </c:pt>
                <c:pt idx="359">
                  <c:v>165</c:v>
                </c:pt>
                <c:pt idx="360">
                  <c:v>180</c:v>
                </c:pt>
                <c:pt idx="361">
                  <c:v>183</c:v>
                </c:pt>
                <c:pt idx="362">
                  <c:v>162</c:v>
                </c:pt>
                <c:pt idx="363">
                  <c:v>147</c:v>
                </c:pt>
                <c:pt idx="364">
                  <c:v>154</c:v>
                </c:pt>
                <c:pt idx="365">
                  <c:v>135</c:v>
                </c:pt>
                <c:pt idx="366">
                  <c:v>156</c:v>
                </c:pt>
                <c:pt idx="367">
                  <c:v>160</c:v>
                </c:pt>
                <c:pt idx="368">
                  <c:v>160</c:v>
                </c:pt>
                <c:pt idx="369">
                  <c:v>149</c:v>
                </c:pt>
                <c:pt idx="370">
                  <c:v>156</c:v>
                </c:pt>
                <c:pt idx="371">
                  <c:v>162</c:v>
                </c:pt>
                <c:pt idx="372">
                  <c:v>142</c:v>
                </c:pt>
                <c:pt idx="373">
                  <c:v>155</c:v>
                </c:pt>
                <c:pt idx="374">
                  <c:v>142</c:v>
                </c:pt>
                <c:pt idx="375">
                  <c:v>134</c:v>
                </c:pt>
                <c:pt idx="376">
                  <c:v>137</c:v>
                </c:pt>
                <c:pt idx="377">
                  <c:v>150</c:v>
                </c:pt>
                <c:pt idx="378">
                  <c:v>138</c:v>
                </c:pt>
                <c:pt idx="379">
                  <c:v>129</c:v>
                </c:pt>
                <c:pt idx="380">
                  <c:v>145</c:v>
                </c:pt>
                <c:pt idx="381">
                  <c:v>122</c:v>
                </c:pt>
                <c:pt idx="382">
                  <c:v>137</c:v>
                </c:pt>
                <c:pt idx="383">
                  <c:v>128</c:v>
                </c:pt>
                <c:pt idx="384">
                  <c:v>149</c:v>
                </c:pt>
                <c:pt idx="385">
                  <c:v>143</c:v>
                </c:pt>
                <c:pt idx="386">
                  <c:v>126</c:v>
                </c:pt>
                <c:pt idx="387">
                  <c:v>142</c:v>
                </c:pt>
                <c:pt idx="388">
                  <c:v>115</c:v>
                </c:pt>
                <c:pt idx="389">
                  <c:v>138</c:v>
                </c:pt>
                <c:pt idx="390">
                  <c:v>138</c:v>
                </c:pt>
                <c:pt idx="391">
                  <c:v>117</c:v>
                </c:pt>
                <c:pt idx="392">
                  <c:v>128</c:v>
                </c:pt>
                <c:pt idx="393">
                  <c:v>126</c:v>
                </c:pt>
                <c:pt idx="394">
                  <c:v>112</c:v>
                </c:pt>
                <c:pt idx="395">
                  <c:v>103</c:v>
                </c:pt>
                <c:pt idx="396">
                  <c:v>93</c:v>
                </c:pt>
                <c:pt idx="397">
                  <c:v>121</c:v>
                </c:pt>
                <c:pt idx="398">
                  <c:v>119</c:v>
                </c:pt>
                <c:pt idx="399">
                  <c:v>120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1F-48ED-8723-7DE469122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0894704"/>
        <c:axId val="365772640"/>
      </c:scatterChart>
      <c:valAx>
        <c:axId val="560894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5772640"/>
        <c:crosses val="autoZero"/>
        <c:crossBetween val="midCat"/>
      </c:valAx>
      <c:valAx>
        <c:axId val="36577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Rating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894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</cx:chartData>
  <cx:chart>
    <cx:title pos="t" align="ctr" overlay="0">
      <cx:tx>
        <cx:txData>
          <cx:v>Income Histogram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Income Histogram</a:t>
          </a:r>
        </a:p>
      </cx:txPr>
    </cx:title>
    <cx:plotArea>
      <cx:plotAreaRegion>
        <cx:series layoutId="boxWhisker" uniqueId="{00000000-496C-4BAA-A3A9-12C4101520A1}">
          <cx:dataId val="0"/>
          <cx:layoutPr>
            <cx:statistics quartileMethod="exclusive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_xlchart.v1.27</cx:f>
      </cx:numDim>
    </cx:data>
    <cx:data id="1">
      <cx:numDim type="val">
        <cx:f>_xlchart.v1.29</cx:f>
      </cx:numDim>
    </cx:data>
    <cx:data id="2">
      <cx:numDim type="val">
        <cx:f>_xlchart.v1.31</cx:f>
      </cx:numDim>
    </cx:data>
    <cx:data id="3">
      <cx:numDim type="val">
        <cx:f>_xlchart.v1.33</cx:f>
      </cx:numDim>
    </cx:data>
    <cx:data id="4">
      <cx:numDim type="val">
        <cx:f>_xlchart.v1.35</cx:f>
      </cx:numDim>
    </cx:data>
    <cx:data id="5">
      <cx:numDim type="val">
        <cx:f>_xlchart.v1.37</cx:f>
      </cx:numDim>
    </cx:data>
    <cx:data id="6">
      <cx:numDim type="val">
        <cx:f>_xlchart.v1.39</cx:f>
      </cx:numDim>
    </cx:data>
    <cx:data id="7">
      <cx:numDim type="val">
        <cx:f>_xlchart.v1.41</cx:f>
      </cx:numDim>
    </cx:data>
  </cx:chartData>
  <cx:chart>
    <cx:title pos="t" align="ctr" overlay="0">
      <cx:tx>
        <cx:txData>
          <cx:v>Boxplots on rawdata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Boxplots on rawdata</a:t>
          </a:r>
        </a:p>
      </cx:txPr>
    </cx:title>
    <cx:plotArea>
      <cx:plotAreaRegion>
        <cx:series layoutId="boxWhisker" uniqueId="{00000000-58A7-413E-AEB0-96636560A0E5}">
          <cx:tx>
            <cx:txData>
              <cx:f>_xlchart.v1.26</cx:f>
              <cx:v>Income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00000001-58A7-413E-AEB0-96636560A0E5}">
          <cx:tx>
            <cx:txData>
              <cx:f>_xlchart.v1.28</cx:f>
              <cx:v>Limit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00000002-58A7-413E-AEB0-96636560A0E5}">
          <cx:tx>
            <cx:txData>
              <cx:f>_xlchart.v1.30</cx:f>
              <cx:v>Rating</cx:v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  <cx:series layoutId="boxWhisker" uniqueId="{00000003-58A7-413E-AEB0-96636560A0E5}">
          <cx:tx>
            <cx:txData>
              <cx:f>_xlchart.v1.32</cx:f>
              <cx:v>Cards</cx:v>
            </cx:txData>
          </cx:tx>
          <cx:dataId val="3"/>
          <cx:layoutPr>
            <cx:visibility meanLine="0" meanMarker="1" nonoutliers="0" outliers="1"/>
            <cx:statistics quartileMethod="exclusive"/>
          </cx:layoutPr>
        </cx:series>
        <cx:series layoutId="boxWhisker" uniqueId="{00000004-58A7-413E-AEB0-96636560A0E5}">
          <cx:tx>
            <cx:txData>
              <cx:f>_xlchart.v1.34</cx:f>
              <cx:v>Age</cx:v>
            </cx:txData>
          </cx:tx>
          <cx:dataId val="4"/>
          <cx:layoutPr>
            <cx:visibility meanLine="0" meanMarker="1" nonoutliers="0" outliers="1"/>
            <cx:statistics quartileMethod="exclusive"/>
          </cx:layoutPr>
        </cx:series>
        <cx:series layoutId="boxWhisker" uniqueId="{00000005-58A7-413E-AEB0-96636560A0E5}">
          <cx:tx>
            <cx:txData>
              <cx:f>_xlchart.v1.36</cx:f>
              <cx:v>Balance</cx:v>
            </cx:txData>
          </cx:tx>
          <cx:dataId val="5"/>
          <cx:layoutPr>
            <cx:visibility meanLine="0" meanMarker="1" nonoutliers="0" outliers="1"/>
            <cx:statistics quartileMethod="exclusive"/>
          </cx:layoutPr>
        </cx:series>
        <cx:series layoutId="boxWhisker" uniqueId="{00000006-58A7-413E-AEB0-96636560A0E5}">
          <cx:tx>
            <cx:txData>
              <cx:f>_xlchart.v1.38</cx:f>
              <cx:v>Std Income</cx:v>
            </cx:txData>
          </cx:tx>
          <cx:dataId val="6"/>
          <cx:layoutPr>
            <cx:statistics quartileMethod="exclusive"/>
          </cx:layoutPr>
        </cx:series>
        <cx:series layoutId="boxWhisker" uniqueId="{00000007-58A7-413E-AEB0-96636560A0E5}">
          <cx:tx>
            <cx:txData>
              <cx:f>_xlchart.v1.40</cx:f>
              <cx:v>Std Limit</cx:v>
            </cx:txData>
          </cx:tx>
          <cx:dataId val="7"/>
          <cx:layoutPr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  <cx:legend pos="r" align="ctr" overlay="0"/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</cx:f>
      </cx:numDim>
    </cx:data>
    <cx:data id="1">
      <cx:numDim type="val">
        <cx:f>_xlchart.v1.10</cx:f>
      </cx:numDim>
    </cx:data>
    <cx:data id="2">
      <cx:numDim type="val">
        <cx:f>_xlchart.v1.12</cx:f>
      </cx:numDim>
    </cx:data>
  </cx:chartData>
  <cx:chart>
    <cx:title pos="t" align="ctr" overlay="0">
      <cx:tx>
        <cx:txData>
          <cx:v>First 3 boxplots on standardized data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First 3 boxplots on standardized data</a:t>
          </a:r>
        </a:p>
      </cx:txPr>
    </cx:title>
    <cx:plotArea>
      <cx:plotAreaRegion>
        <cx:series layoutId="boxWhisker" uniqueId="{00000000-C877-409C-9FE9-40187ADF692D}">
          <cx:tx>
            <cx:txData>
              <cx:f>_xlchart.v1.7</cx:f>
              <cx:v>Std Income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00000001-C877-409C-9FE9-40187ADF692D}">
          <cx:tx>
            <cx:txData>
              <cx:f>_xlchart.v1.9</cx:f>
              <cx:v>Std Limit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00000002-C877-409C-9FE9-40187ADF692D}">
          <cx:tx>
            <cx:txData>
              <cx:f>_xlchart.v1.11</cx:f>
              <cx:v>Std Rating</cx:v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</cx:f>
      </cx:numDim>
    </cx:data>
  </cx:chartData>
  <cx:chart>
    <cx:title pos="t" align="ctr" overlay="0">
      <cx:tx>
        <cx:txData>
          <cx:v>Histogram of standarized income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Histogram of standarized income</a:t>
          </a:r>
        </a:p>
      </cx:txPr>
    </cx:title>
    <cx:plotArea>
      <cx:plotAreaRegion>
        <cx:series layoutId="clusteredColumn" uniqueId="{00000000-AC92-4732-A232-9D92C9BE7DBB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14/relationships/chartEx" Target="../charts/chartEx4.xml"/><Relationship Id="rId2" Type="http://schemas.microsoft.com/office/2014/relationships/chartEx" Target="../charts/chartEx3.xml"/><Relationship Id="rId1" Type="http://schemas.microsoft.com/office/2014/relationships/chartEx" Target="../charts/chartEx2.xml"/><Relationship Id="rId5" Type="http://schemas.openxmlformats.org/officeDocument/2006/relationships/chart" Target="../charts/chart2.xml"/><Relationship Id="rId4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457200</xdr:colOff>
      <xdr:row>12</xdr:row>
      <xdr:rowOff>28575</xdr:rowOff>
    </xdr:from>
    <xdr:to>
      <xdr:col>19</xdr:col>
      <xdr:colOff>581025</xdr:colOff>
      <xdr:row>42</xdr:row>
      <xdr:rowOff>76200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E94BD5E5-B251-0C7E-4E62-DB7A15CCD6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334500" y="1971675"/>
              <a:ext cx="4543425" cy="4914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57979</xdr:colOff>
      <xdr:row>1</xdr:row>
      <xdr:rowOff>33129</xdr:rowOff>
    </xdr:from>
    <xdr:to>
      <xdr:col>25</xdr:col>
      <xdr:colOff>56735</xdr:colOff>
      <xdr:row>15</xdr:row>
      <xdr:rowOff>91521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40EC9E83-B19C-B0C1-862D-9A2ACAA6B0A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54479" y="198781"/>
              <a:ext cx="5514973" cy="237752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16</xdr:col>
      <xdr:colOff>70401</xdr:colOff>
      <xdr:row>15</xdr:row>
      <xdr:rowOff>152399</xdr:rowOff>
    </xdr:from>
    <xdr:to>
      <xdr:col>23</xdr:col>
      <xdr:colOff>352010</xdr:colOff>
      <xdr:row>32</xdr:row>
      <xdr:rowOff>79512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97712B2D-BB18-2C9F-695E-DFACE4B1471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66901" y="2637182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9</xdr:col>
      <xdr:colOff>236053</xdr:colOff>
      <xdr:row>34</xdr:row>
      <xdr:rowOff>44726</xdr:rowOff>
    </xdr:from>
    <xdr:to>
      <xdr:col>16</xdr:col>
      <xdr:colOff>517662</xdr:colOff>
      <xdr:row>50</xdr:row>
      <xdr:rowOff>137491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AF680689-7389-7175-8D19-12E9492064E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42162" y="56769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17</xdr:col>
      <xdr:colOff>86966</xdr:colOff>
      <xdr:row>34</xdr:row>
      <xdr:rowOff>44726</xdr:rowOff>
    </xdr:from>
    <xdr:to>
      <xdr:col>24</xdr:col>
      <xdr:colOff>368575</xdr:colOff>
      <xdr:row>50</xdr:row>
      <xdr:rowOff>137491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C8FC1F0-AE86-4C05-A423-D7A6692977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612912</xdr:colOff>
      <xdr:row>52</xdr:row>
      <xdr:rowOff>0</xdr:rowOff>
    </xdr:from>
    <xdr:to>
      <xdr:col>16</xdr:col>
      <xdr:colOff>430695</xdr:colOff>
      <xdr:row>70</xdr:row>
      <xdr:rowOff>115957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C9D72F7-C5C1-445E-8182-C4ECF2A1C2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Customers" displayName="tblCustomers" ref="A1:L401">
  <autoFilter ref="A1:L401" xr:uid="{00000000-0009-0000-0100-000001000000}"/>
  <sortState xmlns:xlrd2="http://schemas.microsoft.com/office/spreadsheetml/2017/richdata2" ref="A2:L401">
    <sortCondition ref="L1:L401"/>
  </sortState>
  <tableColumns count="12">
    <tableColumn id="1" xr3:uid="{00000000-0010-0000-0000-000001000000}" name="ID"/>
    <tableColumn id="2" xr3:uid="{00000000-0010-0000-0000-000002000000}" name="Income"/>
    <tableColumn id="3" xr3:uid="{00000000-0010-0000-0000-000003000000}" name="Limit"/>
    <tableColumn id="4" xr3:uid="{00000000-0010-0000-0000-000004000000}" name="Rating"/>
    <tableColumn id="5" xr3:uid="{00000000-0010-0000-0000-000005000000}" name="Cards"/>
    <tableColumn id="6" xr3:uid="{00000000-0010-0000-0000-000006000000}" name="Age"/>
    <tableColumn id="7" xr3:uid="{00000000-0010-0000-0000-000007000000}" name="Education"/>
    <tableColumn id="8" xr3:uid="{00000000-0010-0000-0000-000008000000}" name="Gender"/>
    <tableColumn id="9" xr3:uid="{00000000-0010-0000-0000-000009000000}" name="Student"/>
    <tableColumn id="10" xr3:uid="{00000000-0010-0000-0000-00000A000000}" name="Married"/>
    <tableColumn id="11" xr3:uid="{00000000-0010-0000-0000-00000B000000}" name="Ethnicity"/>
    <tableColumn id="12" xr3:uid="{00000000-0010-0000-0000-00000C000000}" name="Balance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4A75B0-C3F0-475E-80C8-CA5591DAF866}" name="tblCustomers4" displayName="tblCustomers4" ref="A1:I401">
  <autoFilter ref="A1:I401" xr:uid="{5F4A75B0-C3F0-475E-80C8-CA5591DAF866}"/>
  <sortState xmlns:xlrd2="http://schemas.microsoft.com/office/spreadsheetml/2017/richdata2" ref="A2:F401">
    <sortCondition descending="1" ref="B1:B401"/>
  </sortState>
  <tableColumns count="9">
    <tableColumn id="2" xr3:uid="{BA1D4B25-DC7E-4DC5-AE7A-80EC954A6FD7}" name="Income"/>
    <tableColumn id="3" xr3:uid="{6E2646F3-48BF-44C2-BA4F-D34AF8FD0F17}" name="Limit"/>
    <tableColumn id="4" xr3:uid="{3825F814-5147-4A0D-8B39-AE04C8501FC7}" name="Rating"/>
    <tableColumn id="5" xr3:uid="{D4AD5B5F-E72C-404E-A912-13FE8D5EFB2C}" name="Cards"/>
    <tableColumn id="6" xr3:uid="{6B6BA9CF-8BBD-48A5-A21F-62995339A771}" name="Age"/>
    <tableColumn id="12" xr3:uid="{6BD361BF-2AF7-4E5E-9F9E-89DF11BAAF3D}" name="Balance"/>
    <tableColumn id="1" xr3:uid="{8C55C4FD-FC3F-49F0-8635-2B9C5E2376B4}" name="Std Income" dataDxfId="19">
      <calculatedColumnFormula>(tblCustomers4[[#This Row],[Income]] - AVERAGE(tblCustomers[Income]))/_xlfn.STDEV.S(tblCustomers[Income])</calculatedColumnFormula>
    </tableColumn>
    <tableColumn id="7" xr3:uid="{6EEE38F7-4EBF-4F3A-B881-211CD7FC1FB2}" name="Std Limit" dataDxfId="18">
      <calculatedColumnFormula>(tblCustomers4[[#This Row],[Limit]] - AVERAGE(tblCustomers[Limit]))/_xlfn.STDEV.S(tblCustomers[Limit])</calculatedColumnFormula>
    </tableColumn>
    <tableColumn id="8" xr3:uid="{F0E46030-7826-4C2C-8E3A-D857DC2E755D}" name="Std Rating" dataDxfId="17">
      <calculatedColumnFormula>(tblCustomers4[[#This Row],[Rating]] - AVERAGE(tblCustomers[Rating]))/_xlfn.STDEV.S(tblCustomers[Rating])</calculatedColumnFormula>
    </tableColumn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Rules" displayName="tblRules" ref="A4:I16">
  <autoFilter ref="A4:I16" xr:uid="{00000000-0009-0000-0100-000002000000}"/>
  <tableColumns count="9">
    <tableColumn id="1" xr3:uid="{00000000-0010-0000-0100-000001000000}" name="#"/>
    <tableColumn id="2" xr3:uid="{00000000-0010-0000-0100-000002000000}" name="Column"/>
    <tableColumn id="3" xr3:uid="{00000000-0010-0000-0100-000003000000}" name="Applies to"/>
    <tableColumn id="4" xr3:uid="{00000000-0010-0000-0100-000004000000}" name="Menu path (Home ▸ Conditional Formatting ▸ …)"/>
    <tableColumn id="5" xr3:uid="{00000000-0010-0000-0100-000005000000}" name="Rule as set in the dialog"/>
    <tableColumn id="6" xr3:uid="{00000000-0010-0000-0100-000006000000}" name="Equivalent formula (New Rule ▸ Use a formula…)"/>
    <tableColumn id="7" xr3:uid="{00000000-0010-0000-0100-000007000000}" name="Format"/>
    <tableColumn id="8" xr3:uid="{00000000-0010-0000-0100-000008000000}" name="Cells matched"/>
    <tableColumn id="9" xr3:uid="{00000000-0010-0000-0100-000009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417"/>
  <sheetViews>
    <sheetView tabSelected="1" workbookViewId="0">
      <pane ySplit="1" topLeftCell="A3" activePane="bottomLeft" state="frozen"/>
      <selection pane="bottomLeft" activeCell="X7" sqref="X7"/>
    </sheetView>
  </sheetViews>
  <sheetFormatPr defaultRowHeight="12.75" x14ac:dyDescent="0.2"/>
  <cols>
    <col min="1" max="1" width="11.140625" customWidth="1"/>
    <col min="2" max="2" width="11" customWidth="1"/>
    <col min="3" max="4" width="10" customWidth="1"/>
    <col min="5" max="5" width="9" customWidth="1"/>
    <col min="6" max="6" width="8" customWidth="1"/>
    <col min="7" max="7" width="12" customWidth="1"/>
    <col min="8" max="10" width="11" customWidth="1"/>
    <col min="11" max="11" width="18" customWidth="1"/>
    <col min="12" max="12" width="11" customWidth="1"/>
    <col min="19" max="19" width="11.42578125" customWidth="1"/>
  </cols>
  <sheetData>
    <row r="1" spans="1:2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R1" s="15" t="s">
        <v>1</v>
      </c>
      <c r="S1" s="15"/>
    </row>
    <row r="2" spans="1:24" x14ac:dyDescent="0.2">
      <c r="A2" s="1">
        <v>251</v>
      </c>
      <c r="B2" s="2">
        <v>10.363</v>
      </c>
      <c r="C2" s="3">
        <v>2430</v>
      </c>
      <c r="D2" s="1">
        <v>191</v>
      </c>
      <c r="E2" s="1">
        <v>2</v>
      </c>
      <c r="F2" s="1">
        <v>47</v>
      </c>
      <c r="G2" s="1">
        <v>18</v>
      </c>
      <c r="H2" t="s">
        <v>16</v>
      </c>
      <c r="I2" t="s">
        <v>13</v>
      </c>
      <c r="J2" t="s">
        <v>14</v>
      </c>
      <c r="K2" t="s">
        <v>17</v>
      </c>
      <c r="L2" s="3">
        <v>0</v>
      </c>
      <c r="R2" s="12"/>
      <c r="S2" s="12"/>
    </row>
    <row r="3" spans="1:24" x14ac:dyDescent="0.2">
      <c r="A3" s="1">
        <v>132</v>
      </c>
      <c r="B3" s="2">
        <v>10.726000000000001</v>
      </c>
      <c r="C3" s="3">
        <v>1568</v>
      </c>
      <c r="D3" s="1">
        <v>162</v>
      </c>
      <c r="E3" s="1">
        <v>5</v>
      </c>
      <c r="F3" s="1">
        <v>46</v>
      </c>
      <c r="G3" s="1">
        <v>19</v>
      </c>
      <c r="H3" t="s">
        <v>12</v>
      </c>
      <c r="I3" t="s">
        <v>13</v>
      </c>
      <c r="J3" t="s">
        <v>14</v>
      </c>
      <c r="K3" t="s">
        <v>17</v>
      </c>
      <c r="L3" s="3">
        <v>0</v>
      </c>
      <c r="R3" s="12" t="s">
        <v>95</v>
      </c>
      <c r="S3" s="12">
        <v>46.954108754675815</v>
      </c>
    </row>
    <row r="4" spans="1:24" x14ac:dyDescent="0.2">
      <c r="A4" s="1">
        <v>25</v>
      </c>
      <c r="B4" s="2">
        <v>10.742000000000001</v>
      </c>
      <c r="C4" s="3">
        <v>1757</v>
      </c>
      <c r="D4" s="1">
        <v>156</v>
      </c>
      <c r="E4" s="1">
        <v>3</v>
      </c>
      <c r="F4" s="1">
        <v>57</v>
      </c>
      <c r="G4" s="1">
        <v>15</v>
      </c>
      <c r="H4" t="s">
        <v>16</v>
      </c>
      <c r="I4" t="s">
        <v>13</v>
      </c>
      <c r="J4" t="s">
        <v>13</v>
      </c>
      <c r="K4" t="s">
        <v>15</v>
      </c>
      <c r="L4" s="3">
        <v>0</v>
      </c>
      <c r="R4" s="12" t="s">
        <v>96</v>
      </c>
      <c r="S4" s="12">
        <v>2.4700020631368673</v>
      </c>
    </row>
    <row r="5" spans="1:24" x14ac:dyDescent="0.2">
      <c r="A5" s="1">
        <v>234</v>
      </c>
      <c r="B5" s="2">
        <v>11.603</v>
      </c>
      <c r="C5" s="3">
        <v>2278</v>
      </c>
      <c r="D5" s="1">
        <v>187</v>
      </c>
      <c r="E5" s="1">
        <v>3</v>
      </c>
      <c r="F5" s="1">
        <v>71</v>
      </c>
      <c r="G5" s="1">
        <v>11</v>
      </c>
      <c r="H5" t="s">
        <v>12</v>
      </c>
      <c r="I5" t="s">
        <v>13</v>
      </c>
      <c r="J5" t="s">
        <v>14</v>
      </c>
      <c r="K5" t="s">
        <v>15</v>
      </c>
      <c r="L5" s="3">
        <v>0</v>
      </c>
      <c r="R5" s="12" t="s">
        <v>97</v>
      </c>
      <c r="S5" s="12">
        <v>33.213999999999999</v>
      </c>
    </row>
    <row r="6" spans="1:24" x14ac:dyDescent="0.2">
      <c r="A6" s="1">
        <v>88</v>
      </c>
      <c r="B6" s="2">
        <v>11.741</v>
      </c>
      <c r="C6" s="3">
        <v>2271</v>
      </c>
      <c r="D6" s="1">
        <v>182</v>
      </c>
      <c r="E6" s="1">
        <v>4</v>
      </c>
      <c r="F6" s="1">
        <v>59</v>
      </c>
      <c r="G6" s="1">
        <v>12</v>
      </c>
      <c r="H6" t="s">
        <v>16</v>
      </c>
      <c r="I6" t="s">
        <v>13</v>
      </c>
      <c r="J6" t="s">
        <v>13</v>
      </c>
      <c r="K6" t="s">
        <v>17</v>
      </c>
      <c r="L6" s="3">
        <v>0</v>
      </c>
      <c r="R6" s="12" t="s">
        <v>98</v>
      </c>
      <c r="S6" s="12">
        <v>23.792999999999999</v>
      </c>
      <c r="X6">
        <v>30</v>
      </c>
    </row>
    <row r="7" spans="1:24" x14ac:dyDescent="0.2">
      <c r="A7" s="1">
        <v>124</v>
      </c>
      <c r="B7" s="2">
        <v>11.808</v>
      </c>
      <c r="C7" s="3">
        <v>1300</v>
      </c>
      <c r="D7" s="1">
        <v>117</v>
      </c>
      <c r="E7" s="1">
        <v>3</v>
      </c>
      <c r="F7" s="1">
        <v>77</v>
      </c>
      <c r="G7" s="1">
        <v>14</v>
      </c>
      <c r="H7" t="s">
        <v>16</v>
      </c>
      <c r="I7" t="s">
        <v>13</v>
      </c>
      <c r="J7" t="s">
        <v>13</v>
      </c>
      <c r="K7" t="s">
        <v>18</v>
      </c>
      <c r="L7" s="3">
        <v>0</v>
      </c>
      <c r="R7" s="12" t="s">
        <v>99</v>
      </c>
      <c r="S7" s="12">
        <v>49.461752768700514</v>
      </c>
    </row>
    <row r="8" spans="1:24" x14ac:dyDescent="0.2">
      <c r="A8" s="1">
        <v>338</v>
      </c>
      <c r="B8" s="2">
        <v>12.414</v>
      </c>
      <c r="C8" s="3">
        <v>855</v>
      </c>
      <c r="D8" s="1">
        <v>119</v>
      </c>
      <c r="E8" s="1">
        <v>3</v>
      </c>
      <c r="F8" s="1">
        <v>32</v>
      </c>
      <c r="G8" s="1">
        <v>12</v>
      </c>
      <c r="H8" t="s">
        <v>12</v>
      </c>
      <c r="I8" t="s">
        <v>13</v>
      </c>
      <c r="J8" t="s">
        <v>14</v>
      </c>
      <c r="K8" t="s">
        <v>18</v>
      </c>
      <c r="L8" s="3">
        <v>0</v>
      </c>
      <c r="R8" s="12" t="s">
        <v>100</v>
      </c>
      <c r="S8" s="12">
        <v>2446.4649869520526</v>
      </c>
    </row>
    <row r="9" spans="1:24" x14ac:dyDescent="0.2">
      <c r="A9" s="1">
        <v>349</v>
      </c>
      <c r="B9" s="2">
        <v>13.433</v>
      </c>
      <c r="C9" s="3">
        <v>1134</v>
      </c>
      <c r="D9" s="1">
        <v>112</v>
      </c>
      <c r="E9" s="1">
        <v>3</v>
      </c>
      <c r="F9" s="1">
        <v>70</v>
      </c>
      <c r="G9" s="1">
        <v>14</v>
      </c>
      <c r="H9" t="s">
        <v>12</v>
      </c>
      <c r="I9" t="s">
        <v>13</v>
      </c>
      <c r="J9" t="s">
        <v>14</v>
      </c>
      <c r="K9" t="s">
        <v>15</v>
      </c>
      <c r="L9" s="3">
        <v>0</v>
      </c>
      <c r="R9" s="12" t="s">
        <v>101</v>
      </c>
      <c r="S9" s="12">
        <v>96.837037218496377</v>
      </c>
      <c r="V9" t="s">
        <v>115</v>
      </c>
      <c r="X9">
        <f>(n*(n-1)/2)</f>
        <v>435</v>
      </c>
    </row>
    <row r="10" spans="1:24" x14ac:dyDescent="0.2">
      <c r="A10" s="1">
        <v>150</v>
      </c>
      <c r="B10" s="2">
        <v>13.444000000000001</v>
      </c>
      <c r="C10" s="3">
        <v>886</v>
      </c>
      <c r="D10" s="1">
        <v>121</v>
      </c>
      <c r="E10" s="1">
        <v>5</v>
      </c>
      <c r="F10" s="1">
        <v>44</v>
      </c>
      <c r="G10" s="1">
        <v>10</v>
      </c>
      <c r="H10" t="s">
        <v>12</v>
      </c>
      <c r="I10" t="s">
        <v>13</v>
      </c>
      <c r="J10" t="s">
        <v>14</v>
      </c>
      <c r="K10" t="s">
        <v>17</v>
      </c>
      <c r="L10" s="3">
        <v>0</v>
      </c>
      <c r="R10" s="12" t="s">
        <v>102</v>
      </c>
      <c r="S10" s="12">
        <v>7.5181193877533659</v>
      </c>
    </row>
    <row r="11" spans="1:24" x14ac:dyDescent="0.2">
      <c r="A11" s="1">
        <v>164</v>
      </c>
      <c r="B11" s="2">
        <v>13.676</v>
      </c>
      <c r="C11" s="3">
        <v>2330</v>
      </c>
      <c r="D11" s="1">
        <v>203</v>
      </c>
      <c r="E11" s="1">
        <v>5</v>
      </c>
      <c r="F11" s="1">
        <v>80</v>
      </c>
      <c r="G11" s="1">
        <v>16</v>
      </c>
      <c r="H11" t="s">
        <v>16</v>
      </c>
      <c r="I11" t="s">
        <v>13</v>
      </c>
      <c r="J11" t="s">
        <v>13</v>
      </c>
      <c r="K11" t="s">
        <v>18</v>
      </c>
      <c r="L11" s="3">
        <v>0</v>
      </c>
      <c r="R11" s="12" t="s">
        <v>103</v>
      </c>
      <c r="S11" s="12">
        <v>730.689610625</v>
      </c>
    </row>
    <row r="12" spans="1:24" x14ac:dyDescent="0.2">
      <c r="A12" s="1">
        <v>96</v>
      </c>
      <c r="B12" s="2">
        <v>14.084</v>
      </c>
      <c r="C12" s="3">
        <v>855</v>
      </c>
      <c r="D12" s="1">
        <v>120</v>
      </c>
      <c r="E12" s="1">
        <v>5</v>
      </c>
      <c r="F12" s="1">
        <v>46</v>
      </c>
      <c r="G12" s="1">
        <v>17</v>
      </c>
      <c r="H12" t="s">
        <v>16</v>
      </c>
      <c r="I12" t="s">
        <v>13</v>
      </c>
      <c r="J12" t="s">
        <v>14</v>
      </c>
      <c r="K12" t="s">
        <v>18</v>
      </c>
      <c r="L12" s="3">
        <v>0</v>
      </c>
      <c r="R12" s="12" t="s">
        <v>104</v>
      </c>
      <c r="S12" s="12">
        <v>10.353999999999999</v>
      </c>
    </row>
    <row r="13" spans="1:24" x14ac:dyDescent="0.2">
      <c r="A13" s="1">
        <v>285</v>
      </c>
      <c r="B13" s="2">
        <v>14.711</v>
      </c>
      <c r="C13" s="3">
        <v>2047</v>
      </c>
      <c r="D13" s="1">
        <v>167</v>
      </c>
      <c r="E13" s="1">
        <v>2</v>
      </c>
      <c r="F13" s="1">
        <v>67</v>
      </c>
      <c r="G13" s="1">
        <v>6</v>
      </c>
      <c r="H13" t="s">
        <v>12</v>
      </c>
      <c r="I13" t="s">
        <v>13</v>
      </c>
      <c r="J13" t="s">
        <v>14</v>
      </c>
      <c r="K13" t="s">
        <v>15</v>
      </c>
      <c r="L13" s="3">
        <v>0</v>
      </c>
      <c r="R13" s="12" t="s">
        <v>105</v>
      </c>
      <c r="S13" s="12">
        <v>741.04361062500004</v>
      </c>
    </row>
    <row r="14" spans="1:24" x14ac:dyDescent="0.2">
      <c r="A14" s="1">
        <v>12</v>
      </c>
      <c r="B14" s="2">
        <v>15.045</v>
      </c>
      <c r="C14" s="3">
        <v>1311</v>
      </c>
      <c r="D14" s="1">
        <v>138</v>
      </c>
      <c r="E14" s="1">
        <v>3</v>
      </c>
      <c r="F14" s="1">
        <v>64</v>
      </c>
      <c r="G14" s="1">
        <v>16</v>
      </c>
      <c r="H14" t="s">
        <v>12</v>
      </c>
      <c r="I14" t="s">
        <v>13</v>
      </c>
      <c r="J14" t="s">
        <v>13</v>
      </c>
      <c r="K14" t="s">
        <v>15</v>
      </c>
      <c r="L14" s="3">
        <v>0</v>
      </c>
      <c r="R14" s="12" t="s">
        <v>106</v>
      </c>
      <c r="S14" s="12">
        <v>18828.597610625002</v>
      </c>
    </row>
    <row r="15" spans="1:24" ht="13.5" thickBot="1" x14ac:dyDescent="0.25">
      <c r="A15" s="1">
        <v>149</v>
      </c>
      <c r="B15" s="2">
        <v>15.183999999999999</v>
      </c>
      <c r="C15" s="3">
        <v>2420</v>
      </c>
      <c r="D15" s="1">
        <v>192</v>
      </c>
      <c r="E15" s="1">
        <v>2</v>
      </c>
      <c r="F15" s="1">
        <v>69</v>
      </c>
      <c r="G15" s="1">
        <v>11</v>
      </c>
      <c r="H15" t="s">
        <v>16</v>
      </c>
      <c r="I15" t="s">
        <v>13</v>
      </c>
      <c r="J15" t="s">
        <v>14</v>
      </c>
      <c r="K15" t="s">
        <v>15</v>
      </c>
      <c r="L15" s="3">
        <v>0</v>
      </c>
      <c r="R15" s="13" t="s">
        <v>107</v>
      </c>
      <c r="S15" s="13">
        <v>401</v>
      </c>
    </row>
    <row r="16" spans="1:24" x14ac:dyDescent="0.2">
      <c r="A16" s="1">
        <v>55</v>
      </c>
      <c r="B16" s="2">
        <v>15.333</v>
      </c>
      <c r="C16" s="3">
        <v>1499</v>
      </c>
      <c r="D16" s="1">
        <v>138</v>
      </c>
      <c r="E16" s="1">
        <v>2</v>
      </c>
      <c r="F16" s="1">
        <v>47</v>
      </c>
      <c r="G16" s="1">
        <v>9</v>
      </c>
      <c r="H16" t="s">
        <v>16</v>
      </c>
      <c r="I16" t="s">
        <v>13</v>
      </c>
      <c r="J16" t="s">
        <v>14</v>
      </c>
      <c r="K16" t="s">
        <v>17</v>
      </c>
      <c r="L16" s="3">
        <v>0</v>
      </c>
    </row>
    <row r="17" spans="1:12" x14ac:dyDescent="0.2">
      <c r="A17" s="1">
        <v>80</v>
      </c>
      <c r="B17" s="2">
        <v>15.353999999999999</v>
      </c>
      <c r="C17" s="3">
        <v>2101</v>
      </c>
      <c r="D17" s="1">
        <v>171</v>
      </c>
      <c r="E17" s="1">
        <v>2</v>
      </c>
      <c r="F17" s="1">
        <v>65</v>
      </c>
      <c r="G17" s="1">
        <v>14</v>
      </c>
      <c r="H17" t="s">
        <v>12</v>
      </c>
      <c r="I17" t="s">
        <v>13</v>
      </c>
      <c r="J17" t="s">
        <v>13</v>
      </c>
      <c r="K17" t="s">
        <v>17</v>
      </c>
      <c r="L17" s="3">
        <v>0</v>
      </c>
    </row>
    <row r="18" spans="1:12" x14ac:dyDescent="0.2">
      <c r="A18" s="1">
        <v>242</v>
      </c>
      <c r="B18" s="2">
        <v>15.602</v>
      </c>
      <c r="C18" s="3">
        <v>906</v>
      </c>
      <c r="D18" s="1">
        <v>103</v>
      </c>
      <c r="E18" s="1">
        <v>2</v>
      </c>
      <c r="F18" s="1">
        <v>36</v>
      </c>
      <c r="G18" s="1">
        <v>11</v>
      </c>
      <c r="H18" t="s">
        <v>12</v>
      </c>
      <c r="I18" t="s">
        <v>13</v>
      </c>
      <c r="J18" t="s">
        <v>14</v>
      </c>
      <c r="K18" t="s">
        <v>18</v>
      </c>
      <c r="L18" s="3">
        <v>0</v>
      </c>
    </row>
    <row r="19" spans="1:12" x14ac:dyDescent="0.2">
      <c r="A19" s="1">
        <v>258</v>
      </c>
      <c r="B19" s="2">
        <v>15.629</v>
      </c>
      <c r="C19" s="3">
        <v>2493</v>
      </c>
      <c r="D19" s="1">
        <v>186</v>
      </c>
      <c r="E19" s="1">
        <v>1</v>
      </c>
      <c r="F19" s="1">
        <v>60</v>
      </c>
      <c r="G19" s="1">
        <v>14</v>
      </c>
      <c r="H19" t="s">
        <v>12</v>
      </c>
      <c r="I19" t="s">
        <v>13</v>
      </c>
      <c r="J19" t="s">
        <v>14</v>
      </c>
      <c r="K19" t="s">
        <v>17</v>
      </c>
      <c r="L19" s="3">
        <v>0</v>
      </c>
    </row>
    <row r="20" spans="1:12" x14ac:dyDescent="0.2">
      <c r="A20" s="1">
        <v>249</v>
      </c>
      <c r="B20" s="2">
        <v>15.717000000000001</v>
      </c>
      <c r="C20" s="3">
        <v>905</v>
      </c>
      <c r="D20" s="1">
        <v>93</v>
      </c>
      <c r="E20" s="1">
        <v>1</v>
      </c>
      <c r="F20" s="1">
        <v>38</v>
      </c>
      <c r="G20" s="1">
        <v>16</v>
      </c>
      <c r="H20" t="s">
        <v>12</v>
      </c>
      <c r="I20" t="s">
        <v>14</v>
      </c>
      <c r="J20" t="s">
        <v>14</v>
      </c>
      <c r="K20" t="s">
        <v>15</v>
      </c>
      <c r="L20" s="3">
        <v>0</v>
      </c>
    </row>
    <row r="21" spans="1:12" x14ac:dyDescent="0.2">
      <c r="A21" s="1">
        <v>388</v>
      </c>
      <c r="B21" s="2">
        <v>16.529</v>
      </c>
      <c r="C21" s="3">
        <v>1357</v>
      </c>
      <c r="D21" s="1">
        <v>126</v>
      </c>
      <c r="E21" s="1">
        <v>3</v>
      </c>
      <c r="F21" s="1">
        <v>62</v>
      </c>
      <c r="G21" s="1">
        <v>9</v>
      </c>
      <c r="H21" t="s">
        <v>12</v>
      </c>
      <c r="I21" t="s">
        <v>13</v>
      </c>
      <c r="J21" t="s">
        <v>13</v>
      </c>
      <c r="K21" t="s">
        <v>17</v>
      </c>
      <c r="L21" s="3">
        <v>0</v>
      </c>
    </row>
    <row r="22" spans="1:12" x14ac:dyDescent="0.2">
      <c r="A22" s="1">
        <v>107</v>
      </c>
      <c r="B22" s="2">
        <v>16.818999999999999</v>
      </c>
      <c r="C22" s="3">
        <v>1337</v>
      </c>
      <c r="D22" s="1">
        <v>115</v>
      </c>
      <c r="E22" s="1">
        <v>2</v>
      </c>
      <c r="F22" s="1">
        <v>74</v>
      </c>
      <c r="G22" s="1">
        <v>15</v>
      </c>
      <c r="H22" t="s">
        <v>12</v>
      </c>
      <c r="I22" t="s">
        <v>13</v>
      </c>
      <c r="J22" t="s">
        <v>14</v>
      </c>
      <c r="K22" t="s">
        <v>17</v>
      </c>
      <c r="L22" s="3">
        <v>0</v>
      </c>
    </row>
    <row r="23" spans="1:12" x14ac:dyDescent="0.2">
      <c r="A23" s="1">
        <v>394</v>
      </c>
      <c r="B23" s="2">
        <v>17.315999999999999</v>
      </c>
      <c r="C23" s="3">
        <v>1335</v>
      </c>
      <c r="D23" s="1">
        <v>138</v>
      </c>
      <c r="E23" s="1">
        <v>2</v>
      </c>
      <c r="F23" s="1">
        <v>65</v>
      </c>
      <c r="G23" s="1">
        <v>13</v>
      </c>
      <c r="H23" t="s">
        <v>12</v>
      </c>
      <c r="I23" t="s">
        <v>13</v>
      </c>
      <c r="J23" t="s">
        <v>13</v>
      </c>
      <c r="K23" t="s">
        <v>18</v>
      </c>
      <c r="L23" s="3">
        <v>0</v>
      </c>
    </row>
    <row r="24" spans="1:12" x14ac:dyDescent="0.2">
      <c r="A24" s="1">
        <v>287</v>
      </c>
      <c r="B24" s="2">
        <v>18.036000000000001</v>
      </c>
      <c r="C24" s="3">
        <v>1552</v>
      </c>
      <c r="D24" s="1">
        <v>142</v>
      </c>
      <c r="E24" s="1">
        <v>2</v>
      </c>
      <c r="F24" s="1">
        <v>48</v>
      </c>
      <c r="G24" s="1">
        <v>15</v>
      </c>
      <c r="H24" t="s">
        <v>16</v>
      </c>
      <c r="I24" t="s">
        <v>13</v>
      </c>
      <c r="J24" t="s">
        <v>13</v>
      </c>
      <c r="K24" t="s">
        <v>15</v>
      </c>
      <c r="L24" s="3">
        <v>0</v>
      </c>
    </row>
    <row r="25" spans="1:12" x14ac:dyDescent="0.2">
      <c r="A25" s="1">
        <v>319</v>
      </c>
      <c r="B25" s="2">
        <v>18.951000000000001</v>
      </c>
      <c r="C25" s="3">
        <v>1485</v>
      </c>
      <c r="D25" s="1">
        <v>129</v>
      </c>
      <c r="E25" s="1">
        <v>3</v>
      </c>
      <c r="F25" s="1">
        <v>82</v>
      </c>
      <c r="G25" s="1">
        <v>13</v>
      </c>
      <c r="H25" t="s">
        <v>16</v>
      </c>
      <c r="I25" t="s">
        <v>13</v>
      </c>
      <c r="J25" t="s">
        <v>13</v>
      </c>
      <c r="K25" t="s">
        <v>15</v>
      </c>
      <c r="L25" s="3">
        <v>0</v>
      </c>
    </row>
    <row r="26" spans="1:12" x14ac:dyDescent="0.2">
      <c r="A26" s="1">
        <v>286</v>
      </c>
      <c r="B26" s="2">
        <v>18.966999999999999</v>
      </c>
      <c r="C26" s="3">
        <v>1626</v>
      </c>
      <c r="D26" s="1">
        <v>156</v>
      </c>
      <c r="E26" s="1">
        <v>2</v>
      </c>
      <c r="F26" s="1">
        <v>41</v>
      </c>
      <c r="G26" s="1">
        <v>11</v>
      </c>
      <c r="H26" t="s">
        <v>16</v>
      </c>
      <c r="I26" t="s">
        <v>13</v>
      </c>
      <c r="J26" t="s">
        <v>14</v>
      </c>
      <c r="K26" t="s">
        <v>17</v>
      </c>
      <c r="L26" s="3">
        <v>0</v>
      </c>
    </row>
    <row r="27" spans="1:12" x14ac:dyDescent="0.2">
      <c r="A27" s="1">
        <v>84</v>
      </c>
      <c r="B27" s="2">
        <v>19.225000000000001</v>
      </c>
      <c r="C27" s="3">
        <v>1433</v>
      </c>
      <c r="D27" s="1">
        <v>122</v>
      </c>
      <c r="E27" s="1">
        <v>3</v>
      </c>
      <c r="F27" s="1">
        <v>38</v>
      </c>
      <c r="G27" s="1">
        <v>14</v>
      </c>
      <c r="H27" t="s">
        <v>16</v>
      </c>
      <c r="I27" t="s">
        <v>13</v>
      </c>
      <c r="J27" t="s">
        <v>13</v>
      </c>
      <c r="K27" t="s">
        <v>15</v>
      </c>
      <c r="L27" s="3">
        <v>0</v>
      </c>
    </row>
    <row r="28" spans="1:12" x14ac:dyDescent="0.2">
      <c r="A28" s="1">
        <v>156</v>
      </c>
      <c r="B28" s="2">
        <v>19.536999999999999</v>
      </c>
      <c r="C28" s="3">
        <v>1362</v>
      </c>
      <c r="D28" s="1">
        <v>143</v>
      </c>
      <c r="E28" s="1">
        <v>4</v>
      </c>
      <c r="F28" s="1">
        <v>34</v>
      </c>
      <c r="G28" s="1">
        <v>9</v>
      </c>
      <c r="H28" t="s">
        <v>16</v>
      </c>
      <c r="I28" t="s">
        <v>13</v>
      </c>
      <c r="J28" t="s">
        <v>14</v>
      </c>
      <c r="K28" t="s">
        <v>17</v>
      </c>
      <c r="L28" s="3">
        <v>0</v>
      </c>
    </row>
    <row r="29" spans="1:12" x14ac:dyDescent="0.2">
      <c r="A29" s="1">
        <v>385</v>
      </c>
      <c r="B29" s="2">
        <v>20.088000000000001</v>
      </c>
      <c r="C29" s="3">
        <v>1870</v>
      </c>
      <c r="D29" s="1">
        <v>180</v>
      </c>
      <c r="E29" s="1">
        <v>3</v>
      </c>
      <c r="F29" s="1">
        <v>76</v>
      </c>
      <c r="G29" s="1">
        <v>16</v>
      </c>
      <c r="H29" t="s">
        <v>12</v>
      </c>
      <c r="I29" t="s">
        <v>13</v>
      </c>
      <c r="J29" t="s">
        <v>13</v>
      </c>
      <c r="K29" t="s">
        <v>18</v>
      </c>
      <c r="L29" s="3">
        <v>0</v>
      </c>
    </row>
    <row r="30" spans="1:12" x14ac:dyDescent="0.2">
      <c r="A30" s="1">
        <v>16</v>
      </c>
      <c r="B30" s="2">
        <v>20.088999999999999</v>
      </c>
      <c r="C30" s="3">
        <v>2525</v>
      </c>
      <c r="D30" s="1">
        <v>200</v>
      </c>
      <c r="E30" s="1">
        <v>3</v>
      </c>
      <c r="F30" s="1">
        <v>57</v>
      </c>
      <c r="G30" s="1">
        <v>15</v>
      </c>
      <c r="H30" t="s">
        <v>16</v>
      </c>
      <c r="I30" t="s">
        <v>13</v>
      </c>
      <c r="J30" t="s">
        <v>14</v>
      </c>
      <c r="K30" t="s">
        <v>18</v>
      </c>
      <c r="L30" s="3">
        <v>0</v>
      </c>
    </row>
    <row r="31" spans="1:12" x14ac:dyDescent="0.2">
      <c r="A31" s="1">
        <v>23</v>
      </c>
      <c r="B31" s="2">
        <v>20.103000000000002</v>
      </c>
      <c r="C31" s="3">
        <v>2631</v>
      </c>
      <c r="D31" s="1">
        <v>213</v>
      </c>
      <c r="E31" s="1">
        <v>3</v>
      </c>
      <c r="F31" s="1">
        <v>61</v>
      </c>
      <c r="G31" s="1">
        <v>10</v>
      </c>
      <c r="H31" t="s">
        <v>12</v>
      </c>
      <c r="I31" t="s">
        <v>13</v>
      </c>
      <c r="J31" t="s">
        <v>14</v>
      </c>
      <c r="K31" t="s">
        <v>18</v>
      </c>
      <c r="L31" s="3">
        <v>0</v>
      </c>
    </row>
    <row r="32" spans="1:12" x14ac:dyDescent="0.2">
      <c r="A32" s="1">
        <v>35</v>
      </c>
      <c r="B32" s="2">
        <v>20.149999999999999</v>
      </c>
      <c r="C32" s="3">
        <v>2646</v>
      </c>
      <c r="D32" s="1">
        <v>199</v>
      </c>
      <c r="E32" s="1">
        <v>2</v>
      </c>
      <c r="F32" s="1">
        <v>25</v>
      </c>
      <c r="G32" s="1">
        <v>14</v>
      </c>
      <c r="H32" t="s">
        <v>16</v>
      </c>
      <c r="I32" t="s">
        <v>13</v>
      </c>
      <c r="J32" t="s">
        <v>14</v>
      </c>
      <c r="K32" t="s">
        <v>17</v>
      </c>
      <c r="L32" s="3">
        <v>0</v>
      </c>
    </row>
    <row r="33" spans="1:14" x14ac:dyDescent="0.2">
      <c r="A33" s="1">
        <v>299</v>
      </c>
      <c r="B33" s="2">
        <v>20.791</v>
      </c>
      <c r="C33" s="3">
        <v>2672</v>
      </c>
      <c r="D33" s="1">
        <v>204</v>
      </c>
      <c r="E33" s="1">
        <v>1</v>
      </c>
      <c r="F33" s="1">
        <v>70</v>
      </c>
      <c r="G33" s="1">
        <v>18</v>
      </c>
      <c r="H33" t="s">
        <v>16</v>
      </c>
      <c r="I33" t="s">
        <v>13</v>
      </c>
      <c r="J33" t="s">
        <v>13</v>
      </c>
      <c r="K33" t="s">
        <v>18</v>
      </c>
      <c r="L33" s="3">
        <v>0</v>
      </c>
    </row>
    <row r="34" spans="1:14" x14ac:dyDescent="0.2">
      <c r="A34" s="1">
        <v>203</v>
      </c>
      <c r="B34" s="2">
        <v>21.038</v>
      </c>
      <c r="C34" s="3">
        <v>1448</v>
      </c>
      <c r="D34" s="1">
        <v>145</v>
      </c>
      <c r="E34" s="1">
        <v>2</v>
      </c>
      <c r="F34" s="1">
        <v>58</v>
      </c>
      <c r="G34" s="1">
        <v>13</v>
      </c>
      <c r="H34" t="s">
        <v>16</v>
      </c>
      <c r="I34" t="s">
        <v>13</v>
      </c>
      <c r="J34" t="s">
        <v>14</v>
      </c>
      <c r="K34" t="s">
        <v>15</v>
      </c>
      <c r="L34" s="3">
        <v>0</v>
      </c>
    </row>
    <row r="35" spans="1:14" x14ac:dyDescent="0.2">
      <c r="A35" s="1">
        <v>139</v>
      </c>
      <c r="B35" s="2">
        <v>21.373999999999999</v>
      </c>
      <c r="C35" s="3">
        <v>2073</v>
      </c>
      <c r="D35" s="1">
        <v>175</v>
      </c>
      <c r="E35" s="1">
        <v>2</v>
      </c>
      <c r="F35" s="1">
        <v>74</v>
      </c>
      <c r="G35" s="1">
        <v>11</v>
      </c>
      <c r="H35" t="s">
        <v>16</v>
      </c>
      <c r="I35" t="s">
        <v>13</v>
      </c>
      <c r="J35" t="s">
        <v>14</v>
      </c>
      <c r="K35" t="s">
        <v>15</v>
      </c>
      <c r="L35" s="3">
        <v>0</v>
      </c>
    </row>
    <row r="36" spans="1:14" x14ac:dyDescent="0.2">
      <c r="A36" s="1">
        <v>245</v>
      </c>
      <c r="B36" s="2">
        <v>22.561</v>
      </c>
      <c r="C36" s="3">
        <v>1787</v>
      </c>
      <c r="D36" s="1">
        <v>147</v>
      </c>
      <c r="E36" s="1">
        <v>4</v>
      </c>
      <c r="F36" s="1">
        <v>66</v>
      </c>
      <c r="G36" s="1">
        <v>15</v>
      </c>
      <c r="H36" t="s">
        <v>16</v>
      </c>
      <c r="I36" t="s">
        <v>13</v>
      </c>
      <c r="J36" t="s">
        <v>13</v>
      </c>
      <c r="K36" t="s">
        <v>15</v>
      </c>
      <c r="L36" s="3">
        <v>0</v>
      </c>
    </row>
    <row r="37" spans="1:14" x14ac:dyDescent="0.2">
      <c r="A37" s="1">
        <v>120</v>
      </c>
      <c r="B37" s="2">
        <v>23.012</v>
      </c>
      <c r="C37" s="3">
        <v>1410</v>
      </c>
      <c r="D37" s="1">
        <v>137</v>
      </c>
      <c r="E37" s="1">
        <v>3</v>
      </c>
      <c r="F37" s="1">
        <v>81</v>
      </c>
      <c r="G37" s="1">
        <v>16</v>
      </c>
      <c r="H37" t="s">
        <v>12</v>
      </c>
      <c r="I37" t="s">
        <v>13</v>
      </c>
      <c r="J37" t="s">
        <v>13</v>
      </c>
      <c r="K37" t="s">
        <v>15</v>
      </c>
      <c r="L37" s="3">
        <v>0</v>
      </c>
    </row>
    <row r="38" spans="1:14" x14ac:dyDescent="0.2">
      <c r="A38" s="1">
        <v>188</v>
      </c>
      <c r="B38" s="2">
        <v>23.364999999999998</v>
      </c>
      <c r="C38" s="3">
        <v>2179</v>
      </c>
      <c r="D38" s="1">
        <v>167</v>
      </c>
      <c r="E38" s="1">
        <v>2</v>
      </c>
      <c r="F38" s="1">
        <v>75</v>
      </c>
      <c r="G38" s="1">
        <v>15</v>
      </c>
      <c r="H38" t="s">
        <v>12</v>
      </c>
      <c r="I38" t="s">
        <v>13</v>
      </c>
      <c r="J38" t="s">
        <v>13</v>
      </c>
      <c r="K38" t="s">
        <v>17</v>
      </c>
      <c r="L38" s="3">
        <v>0</v>
      </c>
    </row>
    <row r="39" spans="1:14" x14ac:dyDescent="0.2">
      <c r="A39" s="1">
        <v>207</v>
      </c>
      <c r="B39" s="2">
        <v>23.45</v>
      </c>
      <c r="C39" s="3">
        <v>2450</v>
      </c>
      <c r="D39" s="1">
        <v>180</v>
      </c>
      <c r="E39" s="1">
        <v>2</v>
      </c>
      <c r="F39" s="1">
        <v>78</v>
      </c>
      <c r="G39" s="1">
        <v>13</v>
      </c>
      <c r="H39" t="s">
        <v>12</v>
      </c>
      <c r="I39" t="s">
        <v>13</v>
      </c>
      <c r="J39" t="s">
        <v>13</v>
      </c>
      <c r="K39" t="s">
        <v>15</v>
      </c>
      <c r="L39" s="3">
        <v>0</v>
      </c>
    </row>
    <row r="40" spans="1:14" x14ac:dyDescent="0.2">
      <c r="A40" s="1">
        <v>148</v>
      </c>
      <c r="B40" s="2">
        <v>23.856999999999999</v>
      </c>
      <c r="C40" s="3">
        <v>1501</v>
      </c>
      <c r="D40" s="1">
        <v>150</v>
      </c>
      <c r="E40" s="1">
        <v>3</v>
      </c>
      <c r="F40" s="1">
        <v>56</v>
      </c>
      <c r="G40" s="1">
        <v>16</v>
      </c>
      <c r="H40" t="s">
        <v>12</v>
      </c>
      <c r="I40" t="s">
        <v>13</v>
      </c>
      <c r="J40" t="s">
        <v>14</v>
      </c>
      <c r="K40" t="s">
        <v>15</v>
      </c>
      <c r="L40" s="3">
        <v>0</v>
      </c>
      <c r="N40" t="s">
        <v>110</v>
      </c>
    </row>
    <row r="41" spans="1:14" x14ac:dyDescent="0.2">
      <c r="A41" s="1">
        <v>177</v>
      </c>
      <c r="B41" s="2">
        <v>24.05</v>
      </c>
      <c r="C41" s="3">
        <v>2607</v>
      </c>
      <c r="D41" s="1">
        <v>221</v>
      </c>
      <c r="E41" s="1">
        <v>4</v>
      </c>
      <c r="F41" s="1">
        <v>32</v>
      </c>
      <c r="G41" s="1">
        <v>18</v>
      </c>
      <c r="H41" t="s">
        <v>12</v>
      </c>
      <c r="I41" t="s">
        <v>13</v>
      </c>
      <c r="J41" t="s">
        <v>14</v>
      </c>
      <c r="K41" t="s">
        <v>15</v>
      </c>
      <c r="L41" s="3">
        <v>0</v>
      </c>
    </row>
    <row r="42" spans="1:14" x14ac:dyDescent="0.2">
      <c r="A42" s="1">
        <v>306</v>
      </c>
      <c r="B42" s="2">
        <v>24.46</v>
      </c>
      <c r="C42" s="3">
        <v>1924</v>
      </c>
      <c r="D42" s="1">
        <v>165</v>
      </c>
      <c r="E42" s="1">
        <v>2</v>
      </c>
      <c r="F42" s="1">
        <v>50</v>
      </c>
      <c r="G42" s="1">
        <v>14</v>
      </c>
      <c r="H42" t="s">
        <v>16</v>
      </c>
      <c r="I42" t="s">
        <v>13</v>
      </c>
      <c r="J42" t="s">
        <v>14</v>
      </c>
      <c r="K42" t="s">
        <v>17</v>
      </c>
      <c r="L42" s="3">
        <v>0</v>
      </c>
    </row>
    <row r="43" spans="1:14" x14ac:dyDescent="0.2">
      <c r="A43" s="1">
        <v>257</v>
      </c>
      <c r="B43" s="2">
        <v>25.936</v>
      </c>
      <c r="C43" s="3">
        <v>1774</v>
      </c>
      <c r="D43" s="1">
        <v>135</v>
      </c>
      <c r="E43" s="1">
        <v>2</v>
      </c>
      <c r="F43" s="1">
        <v>71</v>
      </c>
      <c r="G43" s="1">
        <v>14</v>
      </c>
      <c r="H43" t="s">
        <v>16</v>
      </c>
      <c r="I43" t="s">
        <v>13</v>
      </c>
      <c r="J43" t="s">
        <v>13</v>
      </c>
      <c r="K43" t="s">
        <v>17</v>
      </c>
      <c r="L43" s="3">
        <v>0</v>
      </c>
    </row>
    <row r="44" spans="1:14" x14ac:dyDescent="0.2">
      <c r="A44" s="1">
        <v>393</v>
      </c>
      <c r="B44" s="2">
        <v>25.974</v>
      </c>
      <c r="C44" s="3">
        <v>2308</v>
      </c>
      <c r="D44" s="1">
        <v>196</v>
      </c>
      <c r="E44" s="1">
        <v>2</v>
      </c>
      <c r="F44" s="1">
        <v>24</v>
      </c>
      <c r="G44" s="1">
        <v>10</v>
      </c>
      <c r="H44" t="s">
        <v>12</v>
      </c>
      <c r="I44" t="s">
        <v>13</v>
      </c>
      <c r="J44" t="s">
        <v>13</v>
      </c>
      <c r="K44" t="s">
        <v>17</v>
      </c>
      <c r="L44" s="3">
        <v>0</v>
      </c>
    </row>
    <row r="45" spans="1:14" x14ac:dyDescent="0.2">
      <c r="A45" s="1">
        <v>269</v>
      </c>
      <c r="B45" s="2">
        <v>25.988</v>
      </c>
      <c r="C45" s="3">
        <v>1349</v>
      </c>
      <c r="D45" s="1">
        <v>142</v>
      </c>
      <c r="E45" s="1">
        <v>4</v>
      </c>
      <c r="F45" s="1">
        <v>82</v>
      </c>
      <c r="G45" s="1">
        <v>12</v>
      </c>
      <c r="H45" t="s">
        <v>12</v>
      </c>
      <c r="I45" t="s">
        <v>13</v>
      </c>
      <c r="J45" t="s">
        <v>13</v>
      </c>
      <c r="K45" t="s">
        <v>15</v>
      </c>
      <c r="L45" s="3">
        <v>0</v>
      </c>
    </row>
    <row r="46" spans="1:14" x14ac:dyDescent="0.2">
      <c r="A46" s="1">
        <v>119</v>
      </c>
      <c r="B46" s="2">
        <v>27.039000000000001</v>
      </c>
      <c r="C46" s="3">
        <v>2161</v>
      </c>
      <c r="D46" s="1">
        <v>173</v>
      </c>
      <c r="E46" s="1">
        <v>3</v>
      </c>
      <c r="F46" s="1">
        <v>40</v>
      </c>
      <c r="G46" s="1">
        <v>17</v>
      </c>
      <c r="H46" t="s">
        <v>16</v>
      </c>
      <c r="I46" t="s">
        <v>13</v>
      </c>
      <c r="J46" t="s">
        <v>13</v>
      </c>
      <c r="K46" t="s">
        <v>15</v>
      </c>
      <c r="L46" s="3">
        <v>0</v>
      </c>
    </row>
    <row r="47" spans="1:14" x14ac:dyDescent="0.2">
      <c r="A47" s="1">
        <v>121</v>
      </c>
      <c r="B47" s="2">
        <v>27.241</v>
      </c>
      <c r="C47" s="3">
        <v>1402</v>
      </c>
      <c r="D47" s="1">
        <v>128</v>
      </c>
      <c r="E47" s="1">
        <v>2</v>
      </c>
      <c r="F47" s="1">
        <v>67</v>
      </c>
      <c r="G47" s="1">
        <v>15</v>
      </c>
      <c r="H47" t="s">
        <v>16</v>
      </c>
      <c r="I47" t="s">
        <v>13</v>
      </c>
      <c r="J47" t="s">
        <v>14</v>
      </c>
      <c r="K47" t="s">
        <v>17</v>
      </c>
      <c r="L47" s="3">
        <v>0</v>
      </c>
    </row>
    <row r="48" spans="1:14" x14ac:dyDescent="0.2">
      <c r="A48" s="1">
        <v>296</v>
      </c>
      <c r="B48" s="2">
        <v>27.271999999999998</v>
      </c>
      <c r="C48" s="3">
        <v>1389</v>
      </c>
      <c r="D48" s="1">
        <v>149</v>
      </c>
      <c r="E48" s="1">
        <v>5</v>
      </c>
      <c r="F48" s="1">
        <v>67</v>
      </c>
      <c r="G48" s="1">
        <v>10</v>
      </c>
      <c r="H48" t="s">
        <v>16</v>
      </c>
      <c r="I48" t="s">
        <v>13</v>
      </c>
      <c r="J48" t="s">
        <v>14</v>
      </c>
      <c r="K48" t="s">
        <v>15</v>
      </c>
      <c r="L48" s="3">
        <v>0</v>
      </c>
    </row>
    <row r="49" spans="1:12" x14ac:dyDescent="0.2">
      <c r="A49" s="1">
        <v>199</v>
      </c>
      <c r="B49" s="2">
        <v>27.349</v>
      </c>
      <c r="C49" s="3">
        <v>2000</v>
      </c>
      <c r="D49" s="1">
        <v>169</v>
      </c>
      <c r="E49" s="1">
        <v>4</v>
      </c>
      <c r="F49" s="1">
        <v>51</v>
      </c>
      <c r="G49" s="1">
        <v>16</v>
      </c>
      <c r="H49" t="s">
        <v>16</v>
      </c>
      <c r="I49" t="s">
        <v>13</v>
      </c>
      <c r="J49" t="s">
        <v>14</v>
      </c>
      <c r="K49" t="s">
        <v>18</v>
      </c>
      <c r="L49" s="3">
        <v>0</v>
      </c>
    </row>
    <row r="50" spans="1:12" x14ac:dyDescent="0.2">
      <c r="A50" s="1">
        <v>169</v>
      </c>
      <c r="B50" s="2">
        <v>27.47</v>
      </c>
      <c r="C50" s="3">
        <v>2820</v>
      </c>
      <c r="D50" s="1">
        <v>219</v>
      </c>
      <c r="E50" s="1">
        <v>1</v>
      </c>
      <c r="F50" s="1">
        <v>32</v>
      </c>
      <c r="G50" s="1">
        <v>11</v>
      </c>
      <c r="H50" t="s">
        <v>16</v>
      </c>
      <c r="I50" t="s">
        <v>13</v>
      </c>
      <c r="J50" t="s">
        <v>14</v>
      </c>
      <c r="K50" t="s">
        <v>17</v>
      </c>
      <c r="L50" s="3">
        <v>0</v>
      </c>
    </row>
    <row r="51" spans="1:12" x14ac:dyDescent="0.2">
      <c r="A51" s="1">
        <v>126</v>
      </c>
      <c r="B51" s="2">
        <v>27.577999999999999</v>
      </c>
      <c r="C51" s="3">
        <v>2531</v>
      </c>
      <c r="D51" s="1">
        <v>195</v>
      </c>
      <c r="E51" s="1">
        <v>1</v>
      </c>
      <c r="F51" s="1">
        <v>34</v>
      </c>
      <c r="G51" s="1">
        <v>15</v>
      </c>
      <c r="H51" t="s">
        <v>16</v>
      </c>
      <c r="I51" t="s">
        <v>13</v>
      </c>
      <c r="J51" t="s">
        <v>14</v>
      </c>
      <c r="K51" t="s">
        <v>15</v>
      </c>
      <c r="L51" s="3">
        <v>0</v>
      </c>
    </row>
    <row r="52" spans="1:12" x14ac:dyDescent="0.2">
      <c r="A52" s="1">
        <v>320</v>
      </c>
      <c r="B52" s="2">
        <v>27.59</v>
      </c>
      <c r="C52" s="3">
        <v>2586</v>
      </c>
      <c r="D52" s="1">
        <v>229</v>
      </c>
      <c r="E52" s="1">
        <v>5</v>
      </c>
      <c r="F52" s="1">
        <v>54</v>
      </c>
      <c r="G52" s="1">
        <v>16</v>
      </c>
      <c r="H52" t="s">
        <v>12</v>
      </c>
      <c r="I52" t="s">
        <v>13</v>
      </c>
      <c r="J52" t="s">
        <v>14</v>
      </c>
      <c r="K52" t="s">
        <v>18</v>
      </c>
      <c r="L52" s="3">
        <v>0</v>
      </c>
    </row>
    <row r="53" spans="1:12" x14ac:dyDescent="0.2">
      <c r="A53" s="1">
        <v>378</v>
      </c>
      <c r="B53" s="2">
        <v>28.143999999999998</v>
      </c>
      <c r="C53" s="3">
        <v>1567</v>
      </c>
      <c r="D53" s="1">
        <v>142</v>
      </c>
      <c r="E53" s="1">
        <v>3</v>
      </c>
      <c r="F53" s="1">
        <v>51</v>
      </c>
      <c r="G53" s="1">
        <v>10</v>
      </c>
      <c r="H53" t="s">
        <v>12</v>
      </c>
      <c r="I53" t="s">
        <v>13</v>
      </c>
      <c r="J53" t="s">
        <v>14</v>
      </c>
      <c r="K53" t="s">
        <v>15</v>
      </c>
      <c r="L53" s="3">
        <v>0</v>
      </c>
    </row>
    <row r="54" spans="1:12" x14ac:dyDescent="0.2">
      <c r="A54" s="1">
        <v>112</v>
      </c>
      <c r="B54" s="2">
        <v>28.574999999999999</v>
      </c>
      <c r="C54" s="3">
        <v>2959</v>
      </c>
      <c r="D54" s="1">
        <v>231</v>
      </c>
      <c r="E54" s="1">
        <v>2</v>
      </c>
      <c r="F54" s="1">
        <v>60</v>
      </c>
      <c r="G54" s="1">
        <v>11</v>
      </c>
      <c r="H54" t="s">
        <v>16</v>
      </c>
      <c r="I54" t="s">
        <v>13</v>
      </c>
      <c r="J54" t="s">
        <v>13</v>
      </c>
      <c r="K54" t="s">
        <v>18</v>
      </c>
      <c r="L54" s="3">
        <v>0</v>
      </c>
    </row>
    <row r="55" spans="1:12" x14ac:dyDescent="0.2">
      <c r="A55" s="1">
        <v>32</v>
      </c>
      <c r="B55" s="2">
        <v>28.940999999999999</v>
      </c>
      <c r="C55" s="3">
        <v>2733</v>
      </c>
      <c r="D55" s="1">
        <v>210</v>
      </c>
      <c r="E55" s="1">
        <v>5</v>
      </c>
      <c r="F55" s="1">
        <v>43</v>
      </c>
      <c r="G55" s="1">
        <v>16</v>
      </c>
      <c r="H55" t="s">
        <v>12</v>
      </c>
      <c r="I55" t="s">
        <v>13</v>
      </c>
      <c r="J55" t="s">
        <v>14</v>
      </c>
      <c r="K55" t="s">
        <v>17</v>
      </c>
      <c r="L55" s="3">
        <v>0</v>
      </c>
    </row>
    <row r="56" spans="1:12" x14ac:dyDescent="0.2">
      <c r="A56" s="1">
        <v>168</v>
      </c>
      <c r="B56" s="2">
        <v>29.402999999999999</v>
      </c>
      <c r="C56" s="3">
        <v>2327</v>
      </c>
      <c r="D56" s="1">
        <v>178</v>
      </c>
      <c r="E56" s="1">
        <v>1</v>
      </c>
      <c r="F56" s="1">
        <v>37</v>
      </c>
      <c r="G56" s="1">
        <v>14</v>
      </c>
      <c r="H56" t="s">
        <v>16</v>
      </c>
      <c r="I56" t="s">
        <v>13</v>
      </c>
      <c r="J56" t="s">
        <v>14</v>
      </c>
      <c r="K56" t="s">
        <v>15</v>
      </c>
      <c r="L56" s="3">
        <v>0</v>
      </c>
    </row>
    <row r="57" spans="1:12" x14ac:dyDescent="0.2">
      <c r="A57" s="1">
        <v>125</v>
      </c>
      <c r="B57" s="2">
        <v>29.564</v>
      </c>
      <c r="C57" s="3">
        <v>2529</v>
      </c>
      <c r="D57" s="1">
        <v>192</v>
      </c>
      <c r="E57" s="1">
        <v>1</v>
      </c>
      <c r="F57" s="1">
        <v>30</v>
      </c>
      <c r="G57" s="1">
        <v>12</v>
      </c>
      <c r="H57" t="s">
        <v>16</v>
      </c>
      <c r="I57" t="s">
        <v>13</v>
      </c>
      <c r="J57" t="s">
        <v>14</v>
      </c>
      <c r="K57" t="s">
        <v>15</v>
      </c>
      <c r="L57" s="3">
        <v>0</v>
      </c>
    </row>
    <row r="58" spans="1:12" x14ac:dyDescent="0.2">
      <c r="A58" s="1">
        <v>351</v>
      </c>
      <c r="B58" s="2">
        <v>30.001999999999999</v>
      </c>
      <c r="C58" s="3">
        <v>1561</v>
      </c>
      <c r="D58" s="1">
        <v>155</v>
      </c>
      <c r="E58" s="1">
        <v>4</v>
      </c>
      <c r="F58" s="1">
        <v>70</v>
      </c>
      <c r="G58" s="1">
        <v>13</v>
      </c>
      <c r="H58" t="s">
        <v>16</v>
      </c>
      <c r="I58" t="s">
        <v>13</v>
      </c>
      <c r="J58" t="s">
        <v>14</v>
      </c>
      <c r="K58" t="s">
        <v>15</v>
      </c>
      <c r="L58" s="3">
        <v>0</v>
      </c>
    </row>
    <row r="59" spans="1:12" x14ac:dyDescent="0.2">
      <c r="A59" s="1">
        <v>346</v>
      </c>
      <c r="B59" s="2">
        <v>30.012</v>
      </c>
      <c r="C59" s="3">
        <v>1511</v>
      </c>
      <c r="D59" s="1">
        <v>137</v>
      </c>
      <c r="E59" s="1">
        <v>2</v>
      </c>
      <c r="F59" s="1">
        <v>33</v>
      </c>
      <c r="G59" s="1">
        <v>17</v>
      </c>
      <c r="H59" t="s">
        <v>12</v>
      </c>
      <c r="I59" t="s">
        <v>13</v>
      </c>
      <c r="J59" t="s">
        <v>14</v>
      </c>
      <c r="K59" t="s">
        <v>15</v>
      </c>
      <c r="L59" s="3">
        <v>0</v>
      </c>
    </row>
    <row r="60" spans="1:12" x14ac:dyDescent="0.2">
      <c r="A60" s="1">
        <v>176</v>
      </c>
      <c r="B60" s="2">
        <v>30.132000000000001</v>
      </c>
      <c r="C60" s="3">
        <v>2168</v>
      </c>
      <c r="D60" s="1">
        <v>206</v>
      </c>
      <c r="E60" s="1">
        <v>3</v>
      </c>
      <c r="F60" s="1">
        <v>52</v>
      </c>
      <c r="G60" s="1">
        <v>17</v>
      </c>
      <c r="H60" t="s">
        <v>12</v>
      </c>
      <c r="I60" t="s">
        <v>13</v>
      </c>
      <c r="J60" t="s">
        <v>13</v>
      </c>
      <c r="K60" t="s">
        <v>15</v>
      </c>
      <c r="L60" s="3">
        <v>0</v>
      </c>
    </row>
    <row r="61" spans="1:12" x14ac:dyDescent="0.2">
      <c r="A61" s="1">
        <v>195</v>
      </c>
      <c r="B61" s="2">
        <v>30.405999999999999</v>
      </c>
      <c r="C61" s="3">
        <v>2120</v>
      </c>
      <c r="D61" s="1">
        <v>181</v>
      </c>
      <c r="E61" s="1">
        <v>2</v>
      </c>
      <c r="F61" s="1">
        <v>79</v>
      </c>
      <c r="G61" s="1">
        <v>14</v>
      </c>
      <c r="H61" t="s">
        <v>12</v>
      </c>
      <c r="I61" t="s">
        <v>13</v>
      </c>
      <c r="J61" t="s">
        <v>14</v>
      </c>
      <c r="K61" t="s">
        <v>18</v>
      </c>
      <c r="L61" s="3">
        <v>0</v>
      </c>
    </row>
    <row r="62" spans="1:12" x14ac:dyDescent="0.2">
      <c r="A62" s="1">
        <v>63</v>
      </c>
      <c r="B62" s="2">
        <v>30.681999999999999</v>
      </c>
      <c r="C62" s="3">
        <v>1671</v>
      </c>
      <c r="D62" s="1">
        <v>160</v>
      </c>
      <c r="E62" s="1">
        <v>2</v>
      </c>
      <c r="F62" s="1">
        <v>77</v>
      </c>
      <c r="G62" s="1">
        <v>7</v>
      </c>
      <c r="H62" t="s">
        <v>16</v>
      </c>
      <c r="I62" t="s">
        <v>13</v>
      </c>
      <c r="J62" t="s">
        <v>13</v>
      </c>
      <c r="K62" t="s">
        <v>15</v>
      </c>
      <c r="L62" s="3">
        <v>0</v>
      </c>
    </row>
    <row r="63" spans="1:12" x14ac:dyDescent="0.2">
      <c r="A63" s="1">
        <v>93</v>
      </c>
      <c r="B63" s="2">
        <v>30.733000000000001</v>
      </c>
      <c r="C63" s="3">
        <v>2832</v>
      </c>
      <c r="D63" s="1">
        <v>249</v>
      </c>
      <c r="E63" s="1">
        <v>4</v>
      </c>
      <c r="F63" s="1">
        <v>51</v>
      </c>
      <c r="G63" s="1">
        <v>13</v>
      </c>
      <c r="H63" t="s">
        <v>12</v>
      </c>
      <c r="I63" t="s">
        <v>13</v>
      </c>
      <c r="J63" t="s">
        <v>13</v>
      </c>
      <c r="K63" t="s">
        <v>15</v>
      </c>
      <c r="L63" s="3">
        <v>0</v>
      </c>
    </row>
    <row r="64" spans="1:12" x14ac:dyDescent="0.2">
      <c r="A64" s="1">
        <v>162</v>
      </c>
      <c r="B64" s="2">
        <v>31.353000000000002</v>
      </c>
      <c r="C64" s="3">
        <v>1705</v>
      </c>
      <c r="D64" s="1">
        <v>160</v>
      </c>
      <c r="E64" s="1">
        <v>3</v>
      </c>
      <c r="F64" s="1">
        <v>81</v>
      </c>
      <c r="G64" s="1">
        <v>14</v>
      </c>
      <c r="H64" t="s">
        <v>12</v>
      </c>
      <c r="I64" t="s">
        <v>13</v>
      </c>
      <c r="J64" t="s">
        <v>14</v>
      </c>
      <c r="K64" t="s">
        <v>15</v>
      </c>
      <c r="L64" s="3">
        <v>0</v>
      </c>
    </row>
    <row r="65" spans="1:12" x14ac:dyDescent="0.2">
      <c r="A65" s="1">
        <v>34</v>
      </c>
      <c r="B65" s="2">
        <v>31.367000000000001</v>
      </c>
      <c r="C65" s="3">
        <v>1829</v>
      </c>
      <c r="D65" s="1">
        <v>162</v>
      </c>
      <c r="E65" s="1">
        <v>4</v>
      </c>
      <c r="F65" s="1">
        <v>30</v>
      </c>
      <c r="G65" s="1">
        <v>10</v>
      </c>
      <c r="H65" t="s">
        <v>12</v>
      </c>
      <c r="I65" t="s">
        <v>13</v>
      </c>
      <c r="J65" t="s">
        <v>14</v>
      </c>
      <c r="K65" t="s">
        <v>15</v>
      </c>
      <c r="L65" s="3">
        <v>0</v>
      </c>
    </row>
    <row r="66" spans="1:12" x14ac:dyDescent="0.2">
      <c r="A66" s="1">
        <v>65</v>
      </c>
      <c r="B66" s="2">
        <v>32.164000000000001</v>
      </c>
      <c r="C66" s="3">
        <v>2937</v>
      </c>
      <c r="D66" s="1">
        <v>223</v>
      </c>
      <c r="E66" s="1">
        <v>2</v>
      </c>
      <c r="F66" s="1">
        <v>79</v>
      </c>
      <c r="G66" s="1">
        <v>15</v>
      </c>
      <c r="H66" t="s">
        <v>16</v>
      </c>
      <c r="I66" t="s">
        <v>13</v>
      </c>
      <c r="J66" t="s">
        <v>14</v>
      </c>
      <c r="K66" t="s">
        <v>18</v>
      </c>
      <c r="L66" s="3">
        <v>0</v>
      </c>
    </row>
    <row r="67" spans="1:12" x14ac:dyDescent="0.2">
      <c r="A67" s="1">
        <v>56</v>
      </c>
      <c r="B67" s="2">
        <v>32.915999999999997</v>
      </c>
      <c r="C67" s="3">
        <v>1786</v>
      </c>
      <c r="D67" s="1">
        <v>154</v>
      </c>
      <c r="E67" s="1">
        <v>2</v>
      </c>
      <c r="F67" s="1">
        <v>60</v>
      </c>
      <c r="G67" s="1">
        <v>8</v>
      </c>
      <c r="H67" t="s">
        <v>16</v>
      </c>
      <c r="I67" t="s">
        <v>13</v>
      </c>
      <c r="J67" t="s">
        <v>14</v>
      </c>
      <c r="K67" t="s">
        <v>17</v>
      </c>
      <c r="L67" s="3">
        <v>0</v>
      </c>
    </row>
    <row r="68" spans="1:12" x14ac:dyDescent="0.2">
      <c r="A68" s="1">
        <v>246</v>
      </c>
      <c r="B68" s="2">
        <v>34.509</v>
      </c>
      <c r="C68" s="3">
        <v>2001</v>
      </c>
      <c r="D68" s="1">
        <v>189</v>
      </c>
      <c r="E68" s="1">
        <v>5</v>
      </c>
      <c r="F68" s="1">
        <v>80</v>
      </c>
      <c r="G68" s="1">
        <v>18</v>
      </c>
      <c r="H68" t="s">
        <v>16</v>
      </c>
      <c r="I68" t="s">
        <v>13</v>
      </c>
      <c r="J68" t="s">
        <v>14</v>
      </c>
      <c r="K68" t="s">
        <v>18</v>
      </c>
      <c r="L68" s="3">
        <v>0</v>
      </c>
    </row>
    <row r="69" spans="1:12" x14ac:dyDescent="0.2">
      <c r="A69" s="1">
        <v>171</v>
      </c>
      <c r="B69" s="2">
        <v>34.771999999999998</v>
      </c>
      <c r="C69" s="3">
        <v>2021</v>
      </c>
      <c r="D69" s="1">
        <v>167</v>
      </c>
      <c r="E69" s="1">
        <v>3</v>
      </c>
      <c r="F69" s="1">
        <v>57</v>
      </c>
      <c r="G69" s="1">
        <v>9</v>
      </c>
      <c r="H69" t="s">
        <v>12</v>
      </c>
      <c r="I69" t="s">
        <v>13</v>
      </c>
      <c r="J69" t="s">
        <v>13</v>
      </c>
      <c r="K69" t="s">
        <v>17</v>
      </c>
      <c r="L69" s="3">
        <v>0</v>
      </c>
    </row>
    <row r="70" spans="1:12" x14ac:dyDescent="0.2">
      <c r="A70" s="1">
        <v>117</v>
      </c>
      <c r="B70" s="2">
        <v>35.177</v>
      </c>
      <c r="C70" s="3">
        <v>2117</v>
      </c>
      <c r="D70" s="1">
        <v>186</v>
      </c>
      <c r="E70" s="1">
        <v>3</v>
      </c>
      <c r="F70" s="1">
        <v>62</v>
      </c>
      <c r="G70" s="1">
        <v>16</v>
      </c>
      <c r="H70" t="s">
        <v>16</v>
      </c>
      <c r="I70" t="s">
        <v>13</v>
      </c>
      <c r="J70" t="s">
        <v>13</v>
      </c>
      <c r="K70" t="s">
        <v>15</v>
      </c>
      <c r="L70" s="3">
        <v>0</v>
      </c>
    </row>
    <row r="71" spans="1:12" x14ac:dyDescent="0.2">
      <c r="A71" s="1">
        <v>167</v>
      </c>
      <c r="B71" s="2">
        <v>35.691000000000003</v>
      </c>
      <c r="C71" s="3">
        <v>2880</v>
      </c>
      <c r="D71" s="1">
        <v>214</v>
      </c>
      <c r="E71" s="1">
        <v>2</v>
      </c>
      <c r="F71" s="1">
        <v>35</v>
      </c>
      <c r="G71" s="1">
        <v>15</v>
      </c>
      <c r="H71" t="s">
        <v>12</v>
      </c>
      <c r="I71" t="s">
        <v>13</v>
      </c>
      <c r="J71" t="s">
        <v>13</v>
      </c>
      <c r="K71" t="s">
        <v>18</v>
      </c>
      <c r="L71" s="3">
        <v>0</v>
      </c>
    </row>
    <row r="72" spans="1:12" x14ac:dyDescent="0.2">
      <c r="A72" s="1">
        <v>282</v>
      </c>
      <c r="B72" s="2">
        <v>36.142000000000003</v>
      </c>
      <c r="C72" s="3">
        <v>1852</v>
      </c>
      <c r="D72" s="1">
        <v>183</v>
      </c>
      <c r="E72" s="1">
        <v>3</v>
      </c>
      <c r="F72" s="1">
        <v>33</v>
      </c>
      <c r="G72" s="1">
        <v>13</v>
      </c>
      <c r="H72" t="s">
        <v>16</v>
      </c>
      <c r="I72" t="s">
        <v>13</v>
      </c>
      <c r="J72" t="s">
        <v>13</v>
      </c>
      <c r="K72" t="s">
        <v>18</v>
      </c>
      <c r="L72" s="3">
        <v>0</v>
      </c>
    </row>
    <row r="73" spans="1:12" x14ac:dyDescent="0.2">
      <c r="A73" s="1">
        <v>248</v>
      </c>
      <c r="B73" s="2">
        <v>36.363999999999997</v>
      </c>
      <c r="C73" s="3">
        <v>2220</v>
      </c>
      <c r="D73" s="1">
        <v>188</v>
      </c>
      <c r="E73" s="1">
        <v>3</v>
      </c>
      <c r="F73" s="1">
        <v>50</v>
      </c>
      <c r="G73" s="1">
        <v>19</v>
      </c>
      <c r="H73" t="s">
        <v>12</v>
      </c>
      <c r="I73" t="s">
        <v>13</v>
      </c>
      <c r="J73" t="s">
        <v>13</v>
      </c>
      <c r="K73" t="s">
        <v>15</v>
      </c>
      <c r="L73" s="3">
        <v>0</v>
      </c>
    </row>
    <row r="74" spans="1:12" x14ac:dyDescent="0.2">
      <c r="A74" s="1">
        <v>399</v>
      </c>
      <c r="B74" s="2">
        <v>37.728000000000002</v>
      </c>
      <c r="C74" s="3">
        <v>2525</v>
      </c>
      <c r="D74" s="1">
        <v>192</v>
      </c>
      <c r="E74" s="1">
        <v>1</v>
      </c>
      <c r="F74" s="1">
        <v>44</v>
      </c>
      <c r="G74" s="1">
        <v>13</v>
      </c>
      <c r="H74" t="s">
        <v>12</v>
      </c>
      <c r="I74" t="s">
        <v>13</v>
      </c>
      <c r="J74" t="s">
        <v>14</v>
      </c>
      <c r="K74" t="s">
        <v>15</v>
      </c>
      <c r="L74" s="3">
        <v>0</v>
      </c>
    </row>
    <row r="75" spans="1:12" x14ac:dyDescent="0.2">
      <c r="A75" s="1">
        <v>95</v>
      </c>
      <c r="B75" s="2">
        <v>38.009</v>
      </c>
      <c r="C75" s="3">
        <v>3075</v>
      </c>
      <c r="D75" s="1">
        <v>245</v>
      </c>
      <c r="E75" s="1">
        <v>3</v>
      </c>
      <c r="F75" s="1">
        <v>45</v>
      </c>
      <c r="G75" s="1">
        <v>15</v>
      </c>
      <c r="H75" t="s">
        <v>16</v>
      </c>
      <c r="I75" t="s">
        <v>13</v>
      </c>
      <c r="J75" t="s">
        <v>13</v>
      </c>
      <c r="K75" t="s">
        <v>18</v>
      </c>
      <c r="L75" s="3">
        <v>0</v>
      </c>
    </row>
    <row r="76" spans="1:12" x14ac:dyDescent="0.2">
      <c r="A76" s="1">
        <v>108</v>
      </c>
      <c r="B76" s="2">
        <v>39.11</v>
      </c>
      <c r="C76" s="3">
        <v>3189</v>
      </c>
      <c r="D76" s="1">
        <v>263</v>
      </c>
      <c r="E76" s="1">
        <v>3</v>
      </c>
      <c r="F76" s="1">
        <v>72</v>
      </c>
      <c r="G76" s="1">
        <v>12</v>
      </c>
      <c r="H76" t="s">
        <v>12</v>
      </c>
      <c r="I76" t="s">
        <v>13</v>
      </c>
      <c r="J76" t="s">
        <v>13</v>
      </c>
      <c r="K76" t="s">
        <v>17</v>
      </c>
      <c r="L76" s="3">
        <v>0</v>
      </c>
    </row>
    <row r="77" spans="1:12" x14ac:dyDescent="0.2">
      <c r="A77" s="1">
        <v>372</v>
      </c>
      <c r="B77" s="2">
        <v>39.116</v>
      </c>
      <c r="C77" s="3">
        <v>2150</v>
      </c>
      <c r="D77" s="1">
        <v>173</v>
      </c>
      <c r="E77" s="1">
        <v>4</v>
      </c>
      <c r="F77" s="1">
        <v>75</v>
      </c>
      <c r="G77" s="1">
        <v>15</v>
      </c>
      <c r="H77" t="s">
        <v>12</v>
      </c>
      <c r="I77" t="s">
        <v>13</v>
      </c>
      <c r="J77" t="s">
        <v>13</v>
      </c>
      <c r="K77" t="s">
        <v>15</v>
      </c>
      <c r="L77" s="3">
        <v>0</v>
      </c>
    </row>
    <row r="78" spans="1:12" x14ac:dyDescent="0.2">
      <c r="A78" s="1">
        <v>358</v>
      </c>
      <c r="B78" s="2">
        <v>39.609000000000002</v>
      </c>
      <c r="C78" s="3">
        <v>2539</v>
      </c>
      <c r="D78" s="1">
        <v>188</v>
      </c>
      <c r="E78" s="1">
        <v>1</v>
      </c>
      <c r="F78" s="1">
        <v>40</v>
      </c>
      <c r="G78" s="1">
        <v>14</v>
      </c>
      <c r="H78" t="s">
        <v>12</v>
      </c>
      <c r="I78" t="s">
        <v>13</v>
      </c>
      <c r="J78" t="s">
        <v>14</v>
      </c>
      <c r="K78" t="s">
        <v>17</v>
      </c>
      <c r="L78" s="3">
        <v>0</v>
      </c>
    </row>
    <row r="79" spans="1:12" x14ac:dyDescent="0.2">
      <c r="A79" s="1">
        <v>259</v>
      </c>
      <c r="B79" s="2">
        <v>41.4</v>
      </c>
      <c r="C79" s="3">
        <v>2561</v>
      </c>
      <c r="D79" s="1">
        <v>215</v>
      </c>
      <c r="E79" s="1">
        <v>2</v>
      </c>
      <c r="F79" s="1">
        <v>36</v>
      </c>
      <c r="G79" s="1">
        <v>14</v>
      </c>
      <c r="H79" t="s">
        <v>12</v>
      </c>
      <c r="I79" t="s">
        <v>13</v>
      </c>
      <c r="J79" t="s">
        <v>14</v>
      </c>
      <c r="K79" t="s">
        <v>15</v>
      </c>
      <c r="L79" s="3">
        <v>0</v>
      </c>
    </row>
    <row r="80" spans="1:12" x14ac:dyDescent="0.2">
      <c r="A80" s="1">
        <v>295</v>
      </c>
      <c r="B80" s="2">
        <v>42.914999999999999</v>
      </c>
      <c r="C80" s="3">
        <v>2532</v>
      </c>
      <c r="D80" s="1">
        <v>205</v>
      </c>
      <c r="E80" s="1">
        <v>4</v>
      </c>
      <c r="F80" s="1">
        <v>42</v>
      </c>
      <c r="G80" s="1">
        <v>13</v>
      </c>
      <c r="H80" t="s">
        <v>12</v>
      </c>
      <c r="I80" t="s">
        <v>13</v>
      </c>
      <c r="J80" t="s">
        <v>14</v>
      </c>
      <c r="K80" t="s">
        <v>17</v>
      </c>
      <c r="L80" s="3">
        <v>0</v>
      </c>
    </row>
    <row r="81" spans="1:12" x14ac:dyDescent="0.2">
      <c r="A81" s="1">
        <v>85</v>
      </c>
      <c r="B81" s="2">
        <v>43.54</v>
      </c>
      <c r="C81" s="3">
        <v>2906</v>
      </c>
      <c r="D81" s="1">
        <v>232</v>
      </c>
      <c r="E81" s="1">
        <v>4</v>
      </c>
      <c r="F81" s="1">
        <v>69</v>
      </c>
      <c r="G81" s="1">
        <v>11</v>
      </c>
      <c r="H81" t="s">
        <v>12</v>
      </c>
      <c r="I81" t="s">
        <v>13</v>
      </c>
      <c r="J81" t="s">
        <v>13</v>
      </c>
      <c r="K81" t="s">
        <v>15</v>
      </c>
      <c r="L81" s="3">
        <v>0</v>
      </c>
    </row>
    <row r="82" spans="1:12" x14ac:dyDescent="0.2">
      <c r="A82" s="1">
        <v>49</v>
      </c>
      <c r="B82" s="2">
        <v>44.521999999999998</v>
      </c>
      <c r="C82" s="3">
        <v>2252</v>
      </c>
      <c r="D82" s="1">
        <v>205</v>
      </c>
      <c r="E82" s="1">
        <v>6</v>
      </c>
      <c r="F82" s="1">
        <v>72</v>
      </c>
      <c r="G82" s="1">
        <v>15</v>
      </c>
      <c r="H82" t="s">
        <v>12</v>
      </c>
      <c r="I82" t="s">
        <v>13</v>
      </c>
      <c r="J82" t="s">
        <v>14</v>
      </c>
      <c r="K82" t="s">
        <v>17</v>
      </c>
      <c r="L82" s="3">
        <v>0</v>
      </c>
    </row>
    <row r="83" spans="1:12" x14ac:dyDescent="0.2">
      <c r="A83" s="1">
        <v>380</v>
      </c>
      <c r="B83" s="2">
        <v>53.308</v>
      </c>
      <c r="C83" s="3">
        <v>2860</v>
      </c>
      <c r="D83" s="1">
        <v>214</v>
      </c>
      <c r="E83" s="1">
        <v>1</v>
      </c>
      <c r="F83" s="1">
        <v>84</v>
      </c>
      <c r="G83" s="1">
        <v>10</v>
      </c>
      <c r="H83" t="s">
        <v>12</v>
      </c>
      <c r="I83" t="s">
        <v>13</v>
      </c>
      <c r="J83" t="s">
        <v>14</v>
      </c>
      <c r="K83" t="s">
        <v>15</v>
      </c>
      <c r="L83" s="3">
        <v>0</v>
      </c>
    </row>
    <row r="84" spans="1:12" x14ac:dyDescent="0.2">
      <c r="A84" s="1">
        <v>160</v>
      </c>
      <c r="B84" s="2">
        <v>53.319000000000003</v>
      </c>
      <c r="C84" s="3">
        <v>3000</v>
      </c>
      <c r="D84" s="1">
        <v>235</v>
      </c>
      <c r="E84" s="1">
        <v>3</v>
      </c>
      <c r="F84" s="1">
        <v>53</v>
      </c>
      <c r="G84" s="1">
        <v>13</v>
      </c>
      <c r="H84" t="s">
        <v>12</v>
      </c>
      <c r="I84" t="s">
        <v>13</v>
      </c>
      <c r="J84" t="s">
        <v>13</v>
      </c>
      <c r="K84" t="s">
        <v>17</v>
      </c>
      <c r="L84" s="3">
        <v>0</v>
      </c>
    </row>
    <row r="85" spans="1:12" x14ac:dyDescent="0.2">
      <c r="A85" s="1">
        <v>17</v>
      </c>
      <c r="B85" s="2">
        <v>53.597999999999999</v>
      </c>
      <c r="C85" s="3">
        <v>3714</v>
      </c>
      <c r="D85" s="1">
        <v>286</v>
      </c>
      <c r="E85" s="1">
        <v>3</v>
      </c>
      <c r="F85" s="1">
        <v>73</v>
      </c>
      <c r="G85" s="1">
        <v>17</v>
      </c>
      <c r="H85" t="s">
        <v>16</v>
      </c>
      <c r="I85" t="s">
        <v>13</v>
      </c>
      <c r="J85" t="s">
        <v>14</v>
      </c>
      <c r="K85" t="s">
        <v>18</v>
      </c>
      <c r="L85" s="3">
        <v>0</v>
      </c>
    </row>
    <row r="86" spans="1:12" x14ac:dyDescent="0.2">
      <c r="A86" s="1">
        <v>155</v>
      </c>
      <c r="B86" s="2">
        <v>55.055999999999997</v>
      </c>
      <c r="C86" s="3">
        <v>3155</v>
      </c>
      <c r="D86" s="1">
        <v>235</v>
      </c>
      <c r="E86" s="1">
        <v>2</v>
      </c>
      <c r="F86" s="1">
        <v>31</v>
      </c>
      <c r="G86" s="1">
        <v>16</v>
      </c>
      <c r="H86" t="s">
        <v>12</v>
      </c>
      <c r="I86" t="s">
        <v>13</v>
      </c>
      <c r="J86" t="s">
        <v>14</v>
      </c>
      <c r="K86" t="s">
        <v>18</v>
      </c>
      <c r="L86" s="3">
        <v>0</v>
      </c>
    </row>
    <row r="87" spans="1:12" x14ac:dyDescent="0.2">
      <c r="A87" s="1">
        <v>128</v>
      </c>
      <c r="B87" s="2">
        <v>57.201999999999998</v>
      </c>
      <c r="C87" s="3">
        <v>3411</v>
      </c>
      <c r="D87" s="1">
        <v>259</v>
      </c>
      <c r="E87" s="1">
        <v>3</v>
      </c>
      <c r="F87" s="1">
        <v>72</v>
      </c>
      <c r="G87" s="1">
        <v>11</v>
      </c>
      <c r="H87" t="s">
        <v>16</v>
      </c>
      <c r="I87" t="s">
        <v>13</v>
      </c>
      <c r="J87" t="s">
        <v>13</v>
      </c>
      <c r="K87" t="s">
        <v>15</v>
      </c>
      <c r="L87" s="3">
        <v>0</v>
      </c>
    </row>
    <row r="88" spans="1:12" x14ac:dyDescent="0.2">
      <c r="A88" s="1">
        <v>288</v>
      </c>
      <c r="B88" s="2">
        <v>60.448999999999998</v>
      </c>
      <c r="C88" s="3">
        <v>3098</v>
      </c>
      <c r="D88" s="1">
        <v>272</v>
      </c>
      <c r="E88" s="1">
        <v>4</v>
      </c>
      <c r="F88" s="1">
        <v>69</v>
      </c>
      <c r="G88" s="1">
        <v>8</v>
      </c>
      <c r="H88" t="s">
        <v>12</v>
      </c>
      <c r="I88" t="s">
        <v>13</v>
      </c>
      <c r="J88" t="s">
        <v>14</v>
      </c>
      <c r="K88" t="s">
        <v>15</v>
      </c>
      <c r="L88" s="3">
        <v>0</v>
      </c>
    </row>
    <row r="89" spans="1:12" x14ac:dyDescent="0.2">
      <c r="A89" s="1">
        <v>308</v>
      </c>
      <c r="B89" s="2">
        <v>75.406000000000006</v>
      </c>
      <c r="C89" s="3">
        <v>3874</v>
      </c>
      <c r="D89" s="1">
        <v>298</v>
      </c>
      <c r="E89" s="1">
        <v>3</v>
      </c>
      <c r="F89" s="1">
        <v>41</v>
      </c>
      <c r="G89" s="1">
        <v>14</v>
      </c>
      <c r="H89" t="s">
        <v>16</v>
      </c>
      <c r="I89" t="s">
        <v>13</v>
      </c>
      <c r="J89" t="s">
        <v>14</v>
      </c>
      <c r="K89" t="s">
        <v>17</v>
      </c>
      <c r="L89" s="3">
        <v>0</v>
      </c>
    </row>
    <row r="90" spans="1:12" x14ac:dyDescent="0.2">
      <c r="A90" s="1">
        <v>184</v>
      </c>
      <c r="B90" s="2">
        <v>80.861000000000004</v>
      </c>
      <c r="C90" s="3">
        <v>4090</v>
      </c>
      <c r="D90" s="1">
        <v>335</v>
      </c>
      <c r="E90" s="1">
        <v>3</v>
      </c>
      <c r="F90" s="1">
        <v>29</v>
      </c>
      <c r="G90" s="1">
        <v>15</v>
      </c>
      <c r="H90" t="s">
        <v>16</v>
      </c>
      <c r="I90" t="s">
        <v>13</v>
      </c>
      <c r="J90" t="s">
        <v>14</v>
      </c>
      <c r="K90" t="s">
        <v>17</v>
      </c>
      <c r="L90" s="3">
        <v>0</v>
      </c>
    </row>
    <row r="91" spans="1:12" x14ac:dyDescent="0.2">
      <c r="A91" s="1">
        <v>154</v>
      </c>
      <c r="B91" s="2">
        <v>92.111999999999995</v>
      </c>
      <c r="C91" s="3">
        <v>4612</v>
      </c>
      <c r="D91" s="1">
        <v>344</v>
      </c>
      <c r="E91" s="1">
        <v>3</v>
      </c>
      <c r="F91" s="1">
        <v>32</v>
      </c>
      <c r="G91" s="1">
        <v>17</v>
      </c>
      <c r="H91" t="s">
        <v>12</v>
      </c>
      <c r="I91" t="s">
        <v>13</v>
      </c>
      <c r="J91" t="s">
        <v>13</v>
      </c>
      <c r="K91" t="s">
        <v>15</v>
      </c>
      <c r="L91" s="3">
        <v>0</v>
      </c>
    </row>
    <row r="92" spans="1:12" x14ac:dyDescent="0.2">
      <c r="A92" s="1">
        <v>321</v>
      </c>
      <c r="B92" s="2">
        <v>16.279</v>
      </c>
      <c r="C92" s="3">
        <v>1160</v>
      </c>
      <c r="D92" s="1">
        <v>126</v>
      </c>
      <c r="E92" s="1">
        <v>3</v>
      </c>
      <c r="F92" s="1">
        <v>78</v>
      </c>
      <c r="G92" s="1">
        <v>13</v>
      </c>
      <c r="H92" t="s">
        <v>12</v>
      </c>
      <c r="I92" t="s">
        <v>14</v>
      </c>
      <c r="J92" t="s">
        <v>14</v>
      </c>
      <c r="K92" t="s">
        <v>18</v>
      </c>
      <c r="L92" s="3">
        <v>5</v>
      </c>
    </row>
    <row r="93" spans="1:12" x14ac:dyDescent="0.2">
      <c r="A93" s="1">
        <v>136</v>
      </c>
      <c r="B93" s="2">
        <v>44.472999999999999</v>
      </c>
      <c r="C93" s="3">
        <v>3500</v>
      </c>
      <c r="D93" s="1">
        <v>257</v>
      </c>
      <c r="E93" s="1">
        <v>3</v>
      </c>
      <c r="F93" s="1">
        <v>81</v>
      </c>
      <c r="G93" s="1">
        <v>16</v>
      </c>
      <c r="H93" t="s">
        <v>16</v>
      </c>
      <c r="I93" t="s">
        <v>13</v>
      </c>
      <c r="J93" t="s">
        <v>13</v>
      </c>
      <c r="K93" t="s">
        <v>18</v>
      </c>
      <c r="L93" s="3">
        <v>8</v>
      </c>
    </row>
    <row r="94" spans="1:12" x14ac:dyDescent="0.2">
      <c r="A94" s="1">
        <v>267</v>
      </c>
      <c r="B94" s="2">
        <v>88.83</v>
      </c>
      <c r="C94" s="3">
        <v>4952</v>
      </c>
      <c r="D94" s="1">
        <v>360</v>
      </c>
      <c r="E94" s="1">
        <v>4</v>
      </c>
      <c r="F94" s="1">
        <v>86</v>
      </c>
      <c r="G94" s="1">
        <v>16</v>
      </c>
      <c r="H94" t="s">
        <v>16</v>
      </c>
      <c r="I94" t="s">
        <v>13</v>
      </c>
      <c r="J94" t="s">
        <v>14</v>
      </c>
      <c r="K94" t="s">
        <v>15</v>
      </c>
      <c r="L94" s="3">
        <v>15</v>
      </c>
    </row>
    <row r="95" spans="1:12" x14ac:dyDescent="0.2">
      <c r="A95" s="1">
        <v>243</v>
      </c>
      <c r="B95" s="2">
        <v>20.917999999999999</v>
      </c>
      <c r="C95" s="3">
        <v>1233</v>
      </c>
      <c r="D95" s="1">
        <v>128</v>
      </c>
      <c r="E95" s="1">
        <v>3</v>
      </c>
      <c r="F95" s="1">
        <v>47</v>
      </c>
      <c r="G95" s="1">
        <v>18</v>
      </c>
      <c r="H95" t="s">
        <v>16</v>
      </c>
      <c r="I95" t="s">
        <v>14</v>
      </c>
      <c r="J95" t="s">
        <v>14</v>
      </c>
      <c r="K95" t="s">
        <v>17</v>
      </c>
      <c r="L95" s="3">
        <v>16</v>
      </c>
    </row>
    <row r="96" spans="1:12" x14ac:dyDescent="0.2">
      <c r="A96" s="1">
        <v>76</v>
      </c>
      <c r="B96" s="2">
        <v>33.017000000000003</v>
      </c>
      <c r="C96" s="3">
        <v>3180</v>
      </c>
      <c r="D96" s="1">
        <v>224</v>
      </c>
      <c r="E96" s="1">
        <v>2</v>
      </c>
      <c r="F96" s="1">
        <v>28</v>
      </c>
      <c r="G96" s="1">
        <v>16</v>
      </c>
      <c r="H96" t="s">
        <v>12</v>
      </c>
      <c r="I96" t="s">
        <v>13</v>
      </c>
      <c r="J96" t="s">
        <v>14</v>
      </c>
      <c r="K96" t="s">
        <v>18</v>
      </c>
      <c r="L96" s="3">
        <v>29</v>
      </c>
    </row>
    <row r="97" spans="1:12" x14ac:dyDescent="0.2">
      <c r="A97" s="1">
        <v>111</v>
      </c>
      <c r="B97" s="2">
        <v>34.536999999999999</v>
      </c>
      <c r="C97" s="3">
        <v>3271</v>
      </c>
      <c r="D97" s="1">
        <v>250</v>
      </c>
      <c r="E97" s="1">
        <v>3</v>
      </c>
      <c r="F97" s="1">
        <v>57</v>
      </c>
      <c r="G97" s="1">
        <v>17</v>
      </c>
      <c r="H97" t="s">
        <v>16</v>
      </c>
      <c r="I97" t="s">
        <v>13</v>
      </c>
      <c r="J97" t="s">
        <v>14</v>
      </c>
      <c r="K97" t="s">
        <v>17</v>
      </c>
      <c r="L97" s="3">
        <v>47</v>
      </c>
    </row>
    <row r="98" spans="1:12" x14ac:dyDescent="0.2">
      <c r="A98" s="1">
        <v>41</v>
      </c>
      <c r="B98" s="2">
        <v>34.950000000000003</v>
      </c>
      <c r="C98" s="3">
        <v>3327</v>
      </c>
      <c r="D98" s="1">
        <v>253</v>
      </c>
      <c r="E98" s="1">
        <v>3</v>
      </c>
      <c r="F98" s="1">
        <v>54</v>
      </c>
      <c r="G98" s="1">
        <v>14</v>
      </c>
      <c r="H98" t="s">
        <v>16</v>
      </c>
      <c r="I98" t="s">
        <v>13</v>
      </c>
      <c r="J98" t="s">
        <v>13</v>
      </c>
      <c r="K98" t="s">
        <v>18</v>
      </c>
      <c r="L98" s="3">
        <v>50</v>
      </c>
    </row>
    <row r="99" spans="1:12" x14ac:dyDescent="0.2">
      <c r="A99" s="1">
        <v>217</v>
      </c>
      <c r="B99" s="2">
        <v>15.476000000000001</v>
      </c>
      <c r="C99" s="3">
        <v>2762</v>
      </c>
      <c r="D99" s="1">
        <v>215</v>
      </c>
      <c r="E99" s="1">
        <v>3</v>
      </c>
      <c r="F99" s="1">
        <v>60</v>
      </c>
      <c r="G99" s="1">
        <v>18</v>
      </c>
      <c r="H99" t="s">
        <v>12</v>
      </c>
      <c r="I99" t="s">
        <v>13</v>
      </c>
      <c r="J99" t="s">
        <v>13</v>
      </c>
      <c r="K99" t="s">
        <v>17</v>
      </c>
      <c r="L99" s="3">
        <v>52</v>
      </c>
    </row>
    <row r="100" spans="1:12" x14ac:dyDescent="0.2">
      <c r="A100" s="1">
        <v>239</v>
      </c>
      <c r="B100" s="2">
        <v>26.532</v>
      </c>
      <c r="C100" s="3">
        <v>2910</v>
      </c>
      <c r="D100" s="1">
        <v>236</v>
      </c>
      <c r="E100" s="1">
        <v>6</v>
      </c>
      <c r="F100" s="1">
        <v>58</v>
      </c>
      <c r="G100" s="1">
        <v>19</v>
      </c>
      <c r="H100" t="s">
        <v>16</v>
      </c>
      <c r="I100" t="s">
        <v>13</v>
      </c>
      <c r="J100" t="s">
        <v>14</v>
      </c>
      <c r="K100" t="s">
        <v>15</v>
      </c>
      <c r="L100" s="3">
        <v>52</v>
      </c>
    </row>
    <row r="101" spans="1:12" x14ac:dyDescent="0.2">
      <c r="A101" s="1">
        <v>145</v>
      </c>
      <c r="B101" s="2">
        <v>17.391999999999999</v>
      </c>
      <c r="C101" s="3">
        <v>2748</v>
      </c>
      <c r="D101" s="1">
        <v>228</v>
      </c>
      <c r="E101" s="1">
        <v>3</v>
      </c>
      <c r="F101" s="1">
        <v>32</v>
      </c>
      <c r="G101" s="1">
        <v>14</v>
      </c>
      <c r="H101" t="s">
        <v>12</v>
      </c>
      <c r="I101" t="s">
        <v>13</v>
      </c>
      <c r="J101" t="s">
        <v>14</v>
      </c>
      <c r="K101" t="s">
        <v>15</v>
      </c>
      <c r="L101" s="3">
        <v>68</v>
      </c>
    </row>
    <row r="102" spans="1:12" x14ac:dyDescent="0.2">
      <c r="A102" s="1">
        <v>198</v>
      </c>
      <c r="B102" s="2">
        <v>50.698999999999998</v>
      </c>
      <c r="C102" s="3">
        <v>3977</v>
      </c>
      <c r="D102" s="1">
        <v>304</v>
      </c>
      <c r="E102" s="1">
        <v>2</v>
      </c>
      <c r="F102" s="1">
        <v>84</v>
      </c>
      <c r="G102" s="1">
        <v>17</v>
      </c>
      <c r="H102" t="s">
        <v>16</v>
      </c>
      <c r="I102" t="s">
        <v>13</v>
      </c>
      <c r="J102" t="s">
        <v>13</v>
      </c>
      <c r="K102" t="s">
        <v>18</v>
      </c>
      <c r="L102" s="3">
        <v>69</v>
      </c>
    </row>
    <row r="103" spans="1:12" x14ac:dyDescent="0.2">
      <c r="A103" s="1">
        <v>307</v>
      </c>
      <c r="B103" s="2">
        <v>45.12</v>
      </c>
      <c r="C103" s="3">
        <v>3762</v>
      </c>
      <c r="D103" s="1">
        <v>287</v>
      </c>
      <c r="E103" s="1">
        <v>3</v>
      </c>
      <c r="F103" s="1">
        <v>80</v>
      </c>
      <c r="G103" s="1">
        <v>8</v>
      </c>
      <c r="H103" t="s">
        <v>12</v>
      </c>
      <c r="I103" t="s">
        <v>13</v>
      </c>
      <c r="J103" t="s">
        <v>14</v>
      </c>
      <c r="K103" t="s">
        <v>15</v>
      </c>
      <c r="L103" s="3">
        <v>70</v>
      </c>
    </row>
    <row r="104" spans="1:12" x14ac:dyDescent="0.2">
      <c r="A104" s="1">
        <v>137</v>
      </c>
      <c r="B104" s="2">
        <v>54.662999999999997</v>
      </c>
      <c r="C104" s="3">
        <v>4116</v>
      </c>
      <c r="D104" s="1">
        <v>314</v>
      </c>
      <c r="E104" s="1">
        <v>2</v>
      </c>
      <c r="F104" s="1">
        <v>70</v>
      </c>
      <c r="G104" s="1">
        <v>8</v>
      </c>
      <c r="H104" t="s">
        <v>16</v>
      </c>
      <c r="I104" t="s">
        <v>13</v>
      </c>
      <c r="J104" t="s">
        <v>13</v>
      </c>
      <c r="K104" t="s">
        <v>18</v>
      </c>
      <c r="L104" s="3">
        <v>75</v>
      </c>
    </row>
    <row r="105" spans="1:12" x14ac:dyDescent="0.2">
      <c r="A105" s="1">
        <v>322</v>
      </c>
      <c r="B105" s="2">
        <v>25.077999999999999</v>
      </c>
      <c r="C105" s="3">
        <v>3096</v>
      </c>
      <c r="D105" s="1">
        <v>236</v>
      </c>
      <c r="E105" s="1">
        <v>2</v>
      </c>
      <c r="F105" s="1">
        <v>27</v>
      </c>
      <c r="G105" s="1">
        <v>15</v>
      </c>
      <c r="H105" t="s">
        <v>16</v>
      </c>
      <c r="I105" t="s">
        <v>13</v>
      </c>
      <c r="J105" t="s">
        <v>14</v>
      </c>
      <c r="K105" t="s">
        <v>15</v>
      </c>
      <c r="L105" s="3">
        <v>81</v>
      </c>
    </row>
    <row r="106" spans="1:12" x14ac:dyDescent="0.2">
      <c r="A106" s="1">
        <v>21</v>
      </c>
      <c r="B106" s="2">
        <v>17.7</v>
      </c>
      <c r="C106" s="3">
        <v>2860</v>
      </c>
      <c r="D106" s="1">
        <v>235</v>
      </c>
      <c r="E106" s="1">
        <v>4</v>
      </c>
      <c r="F106" s="1">
        <v>63</v>
      </c>
      <c r="G106" s="1">
        <v>16</v>
      </c>
      <c r="H106" t="s">
        <v>16</v>
      </c>
      <c r="I106" t="s">
        <v>13</v>
      </c>
      <c r="J106" t="s">
        <v>13</v>
      </c>
      <c r="K106" t="s">
        <v>17</v>
      </c>
      <c r="L106" s="3">
        <v>89</v>
      </c>
    </row>
    <row r="107" spans="1:12" x14ac:dyDescent="0.2">
      <c r="A107" s="1">
        <v>211</v>
      </c>
      <c r="B107" s="2">
        <v>24.542999999999999</v>
      </c>
      <c r="C107" s="3">
        <v>3206</v>
      </c>
      <c r="D107" s="1">
        <v>243</v>
      </c>
      <c r="E107" s="1">
        <v>2</v>
      </c>
      <c r="F107" s="1">
        <v>62</v>
      </c>
      <c r="G107" s="1">
        <v>12</v>
      </c>
      <c r="H107" t="s">
        <v>16</v>
      </c>
      <c r="I107" t="s">
        <v>13</v>
      </c>
      <c r="J107" t="s">
        <v>14</v>
      </c>
      <c r="K107" t="s">
        <v>15</v>
      </c>
      <c r="L107" s="3">
        <v>95</v>
      </c>
    </row>
    <row r="108" spans="1:12" x14ac:dyDescent="0.2">
      <c r="A108" s="1">
        <v>250</v>
      </c>
      <c r="B108" s="2">
        <v>22.574000000000002</v>
      </c>
      <c r="C108" s="3">
        <v>1551</v>
      </c>
      <c r="D108" s="1">
        <v>134</v>
      </c>
      <c r="E108" s="1">
        <v>3</v>
      </c>
      <c r="F108" s="1">
        <v>43</v>
      </c>
      <c r="G108" s="1">
        <v>13</v>
      </c>
      <c r="H108" t="s">
        <v>16</v>
      </c>
      <c r="I108" t="s">
        <v>14</v>
      </c>
      <c r="J108" t="s">
        <v>14</v>
      </c>
      <c r="K108" t="s">
        <v>15</v>
      </c>
      <c r="L108" s="3">
        <v>98</v>
      </c>
    </row>
    <row r="109" spans="1:12" x14ac:dyDescent="0.2">
      <c r="A109" s="1">
        <v>82</v>
      </c>
      <c r="B109" s="2">
        <v>53.48</v>
      </c>
      <c r="C109" s="3">
        <v>4263</v>
      </c>
      <c r="D109" s="1">
        <v>317</v>
      </c>
      <c r="E109" s="1">
        <v>1</v>
      </c>
      <c r="F109" s="1">
        <v>83</v>
      </c>
      <c r="G109" s="1">
        <v>15</v>
      </c>
      <c r="H109" t="s">
        <v>12</v>
      </c>
      <c r="I109" t="s">
        <v>13</v>
      </c>
      <c r="J109" t="s">
        <v>13</v>
      </c>
      <c r="K109" t="s">
        <v>15</v>
      </c>
      <c r="L109" s="3">
        <v>99</v>
      </c>
    </row>
    <row r="110" spans="1:12" x14ac:dyDescent="0.2">
      <c r="A110" s="1">
        <v>62</v>
      </c>
      <c r="B110" s="2">
        <v>21.238</v>
      </c>
      <c r="C110" s="3">
        <v>3089</v>
      </c>
      <c r="D110" s="1">
        <v>254</v>
      </c>
      <c r="E110" s="1">
        <v>3</v>
      </c>
      <c r="F110" s="1">
        <v>59</v>
      </c>
      <c r="G110" s="1">
        <v>10</v>
      </c>
      <c r="H110" t="s">
        <v>16</v>
      </c>
      <c r="I110" t="s">
        <v>13</v>
      </c>
      <c r="J110" t="s">
        <v>13</v>
      </c>
      <c r="K110" t="s">
        <v>15</v>
      </c>
      <c r="L110" s="3">
        <v>108</v>
      </c>
    </row>
    <row r="111" spans="1:12" x14ac:dyDescent="0.2">
      <c r="A111" s="1">
        <v>173</v>
      </c>
      <c r="B111" s="2">
        <v>76.347999999999999</v>
      </c>
      <c r="C111" s="3">
        <v>4697</v>
      </c>
      <c r="D111" s="1">
        <v>344</v>
      </c>
      <c r="E111" s="1">
        <v>4</v>
      </c>
      <c r="F111" s="1">
        <v>60</v>
      </c>
      <c r="G111" s="1">
        <v>18</v>
      </c>
      <c r="H111" t="s">
        <v>12</v>
      </c>
      <c r="I111" t="s">
        <v>13</v>
      </c>
      <c r="J111" t="s">
        <v>13</v>
      </c>
      <c r="K111" t="s">
        <v>17</v>
      </c>
      <c r="L111" s="3">
        <v>108</v>
      </c>
    </row>
    <row r="112" spans="1:12" x14ac:dyDescent="0.2">
      <c r="A112" s="1">
        <v>256</v>
      </c>
      <c r="B112" s="2">
        <v>58.063000000000002</v>
      </c>
      <c r="C112" s="3">
        <v>4221</v>
      </c>
      <c r="D112" s="1">
        <v>304</v>
      </c>
      <c r="E112" s="1">
        <v>3</v>
      </c>
      <c r="F112" s="1">
        <v>50</v>
      </c>
      <c r="G112" s="1">
        <v>8</v>
      </c>
      <c r="H112" t="s">
        <v>12</v>
      </c>
      <c r="I112" t="s">
        <v>13</v>
      </c>
      <c r="J112" t="s">
        <v>13</v>
      </c>
      <c r="K112" t="s">
        <v>18</v>
      </c>
      <c r="L112" s="3">
        <v>118</v>
      </c>
    </row>
    <row r="113" spans="1:12" x14ac:dyDescent="0.2">
      <c r="A113" s="1">
        <v>329</v>
      </c>
      <c r="B113" s="2">
        <v>41.192</v>
      </c>
      <c r="C113" s="3">
        <v>3673</v>
      </c>
      <c r="D113" s="1">
        <v>297</v>
      </c>
      <c r="E113" s="1">
        <v>3</v>
      </c>
      <c r="F113" s="1">
        <v>54</v>
      </c>
      <c r="G113" s="1">
        <v>16</v>
      </c>
      <c r="H113" t="s">
        <v>16</v>
      </c>
      <c r="I113" t="s">
        <v>13</v>
      </c>
      <c r="J113" t="s">
        <v>14</v>
      </c>
      <c r="K113" t="s">
        <v>15</v>
      </c>
      <c r="L113" s="3">
        <v>121</v>
      </c>
    </row>
    <row r="114" spans="1:12" x14ac:dyDescent="0.2">
      <c r="A114" s="1">
        <v>190</v>
      </c>
      <c r="B114" s="2">
        <v>58.350999999999999</v>
      </c>
      <c r="C114" s="3">
        <v>4411</v>
      </c>
      <c r="D114" s="1">
        <v>326</v>
      </c>
      <c r="E114" s="1">
        <v>2</v>
      </c>
      <c r="F114" s="1">
        <v>85</v>
      </c>
      <c r="G114" s="1">
        <v>16</v>
      </c>
      <c r="H114" t="s">
        <v>16</v>
      </c>
      <c r="I114" t="s">
        <v>13</v>
      </c>
      <c r="J114" t="s">
        <v>14</v>
      </c>
      <c r="K114" t="s">
        <v>15</v>
      </c>
      <c r="L114" s="3">
        <v>126</v>
      </c>
    </row>
    <row r="115" spans="1:12" x14ac:dyDescent="0.2">
      <c r="A115" s="1">
        <v>252</v>
      </c>
      <c r="B115" s="2">
        <v>28.474</v>
      </c>
      <c r="C115" s="3">
        <v>3202</v>
      </c>
      <c r="D115" s="1">
        <v>267</v>
      </c>
      <c r="E115" s="1">
        <v>5</v>
      </c>
      <c r="F115" s="1">
        <v>66</v>
      </c>
      <c r="G115" s="1">
        <v>12</v>
      </c>
      <c r="H115" t="s">
        <v>12</v>
      </c>
      <c r="I115" t="s">
        <v>13</v>
      </c>
      <c r="J115" t="s">
        <v>14</v>
      </c>
      <c r="K115" t="s">
        <v>15</v>
      </c>
      <c r="L115" s="3">
        <v>132</v>
      </c>
    </row>
    <row r="116" spans="1:12" x14ac:dyDescent="0.2">
      <c r="A116" s="1">
        <v>64</v>
      </c>
      <c r="B116" s="2">
        <v>14.132</v>
      </c>
      <c r="C116" s="3">
        <v>2998</v>
      </c>
      <c r="D116" s="1">
        <v>251</v>
      </c>
      <c r="E116" s="1">
        <v>4</v>
      </c>
      <c r="F116" s="1">
        <v>75</v>
      </c>
      <c r="G116" s="1">
        <v>17</v>
      </c>
      <c r="H116" t="s">
        <v>12</v>
      </c>
      <c r="I116" t="s">
        <v>13</v>
      </c>
      <c r="J116" t="s">
        <v>13</v>
      </c>
      <c r="K116" t="s">
        <v>15</v>
      </c>
      <c r="L116" s="3">
        <v>133</v>
      </c>
    </row>
    <row r="117" spans="1:12" x14ac:dyDescent="0.2">
      <c r="A117" s="1">
        <v>264</v>
      </c>
      <c r="B117" s="2">
        <v>29.725000000000001</v>
      </c>
      <c r="C117" s="3">
        <v>3536</v>
      </c>
      <c r="D117" s="1">
        <v>270</v>
      </c>
      <c r="E117" s="1">
        <v>2</v>
      </c>
      <c r="F117" s="1">
        <v>52</v>
      </c>
      <c r="G117" s="1">
        <v>15</v>
      </c>
      <c r="H117" t="s">
        <v>16</v>
      </c>
      <c r="I117" t="s">
        <v>13</v>
      </c>
      <c r="J117" t="s">
        <v>13</v>
      </c>
      <c r="K117" t="s">
        <v>18</v>
      </c>
      <c r="L117" s="3">
        <v>133</v>
      </c>
    </row>
    <row r="118" spans="1:12" x14ac:dyDescent="0.2">
      <c r="A118" s="1">
        <v>58</v>
      </c>
      <c r="B118" s="2">
        <v>76.272999999999996</v>
      </c>
      <c r="C118" s="3">
        <v>4779</v>
      </c>
      <c r="D118" s="1">
        <v>367</v>
      </c>
      <c r="E118" s="1">
        <v>4</v>
      </c>
      <c r="F118" s="1">
        <v>65</v>
      </c>
      <c r="G118" s="1">
        <v>14</v>
      </c>
      <c r="H118" t="s">
        <v>16</v>
      </c>
      <c r="I118" t="s">
        <v>13</v>
      </c>
      <c r="J118" t="s">
        <v>14</v>
      </c>
      <c r="K118" t="s">
        <v>15</v>
      </c>
      <c r="L118" s="3">
        <v>133</v>
      </c>
    </row>
    <row r="119" spans="1:12" x14ac:dyDescent="0.2">
      <c r="A119" s="1">
        <v>271</v>
      </c>
      <c r="B119" s="2">
        <v>15.866</v>
      </c>
      <c r="C119" s="3">
        <v>3085</v>
      </c>
      <c r="D119" s="1">
        <v>217</v>
      </c>
      <c r="E119" s="1">
        <v>1</v>
      </c>
      <c r="F119" s="1">
        <v>39</v>
      </c>
      <c r="G119" s="1">
        <v>13</v>
      </c>
      <c r="H119" t="s">
        <v>12</v>
      </c>
      <c r="I119" t="s">
        <v>13</v>
      </c>
      <c r="J119" t="s">
        <v>13</v>
      </c>
      <c r="K119" t="s">
        <v>15</v>
      </c>
      <c r="L119" s="3">
        <v>136</v>
      </c>
    </row>
    <row r="120" spans="1:12" x14ac:dyDescent="0.2">
      <c r="A120" s="1">
        <v>318</v>
      </c>
      <c r="B120" s="2">
        <v>68.462000000000003</v>
      </c>
      <c r="C120" s="3">
        <v>4712</v>
      </c>
      <c r="D120" s="1">
        <v>340</v>
      </c>
      <c r="E120" s="1">
        <v>2</v>
      </c>
      <c r="F120" s="1">
        <v>71</v>
      </c>
      <c r="G120" s="1">
        <v>16</v>
      </c>
      <c r="H120" t="s">
        <v>12</v>
      </c>
      <c r="I120" t="s">
        <v>13</v>
      </c>
      <c r="J120" t="s">
        <v>14</v>
      </c>
      <c r="K120" t="s">
        <v>15</v>
      </c>
      <c r="L120" s="3">
        <v>136</v>
      </c>
    </row>
    <row r="121" spans="1:12" x14ac:dyDescent="0.2">
      <c r="A121" s="1">
        <v>398</v>
      </c>
      <c r="B121" s="2">
        <v>57.872</v>
      </c>
      <c r="C121" s="3">
        <v>4171</v>
      </c>
      <c r="D121" s="1">
        <v>321</v>
      </c>
      <c r="E121" s="1">
        <v>5</v>
      </c>
      <c r="F121" s="1">
        <v>67</v>
      </c>
      <c r="G121" s="1">
        <v>12</v>
      </c>
      <c r="H121" t="s">
        <v>16</v>
      </c>
      <c r="I121" t="s">
        <v>13</v>
      </c>
      <c r="J121" t="s">
        <v>14</v>
      </c>
      <c r="K121" t="s">
        <v>15</v>
      </c>
      <c r="L121" s="3">
        <v>138</v>
      </c>
    </row>
    <row r="122" spans="1:12" x14ac:dyDescent="0.2">
      <c r="A122" s="1">
        <v>78</v>
      </c>
      <c r="B122" s="2">
        <v>20.936</v>
      </c>
      <c r="C122" s="3">
        <v>3254</v>
      </c>
      <c r="D122" s="1">
        <v>253</v>
      </c>
      <c r="E122" s="1">
        <v>1</v>
      </c>
      <c r="F122" s="1">
        <v>30</v>
      </c>
      <c r="G122" s="1">
        <v>15</v>
      </c>
      <c r="H122" t="s">
        <v>16</v>
      </c>
      <c r="I122" t="s">
        <v>13</v>
      </c>
      <c r="J122" t="s">
        <v>13</v>
      </c>
      <c r="K122" t="s">
        <v>17</v>
      </c>
      <c r="L122" s="3">
        <v>145</v>
      </c>
    </row>
    <row r="123" spans="1:12" x14ac:dyDescent="0.2">
      <c r="A123" s="1">
        <v>15</v>
      </c>
      <c r="B123" s="2">
        <v>19.143999999999998</v>
      </c>
      <c r="C123" s="3">
        <v>3291</v>
      </c>
      <c r="D123" s="1">
        <v>269</v>
      </c>
      <c r="E123" s="1">
        <v>2</v>
      </c>
      <c r="F123" s="1">
        <v>75</v>
      </c>
      <c r="G123" s="1">
        <v>13</v>
      </c>
      <c r="H123" t="s">
        <v>16</v>
      </c>
      <c r="I123" t="s">
        <v>13</v>
      </c>
      <c r="J123" t="s">
        <v>13</v>
      </c>
      <c r="K123" t="s">
        <v>18</v>
      </c>
      <c r="L123" s="3">
        <v>148</v>
      </c>
    </row>
    <row r="124" spans="1:12" x14ac:dyDescent="0.2">
      <c r="A124" s="1">
        <v>241</v>
      </c>
      <c r="B124" s="2">
        <v>29.704999999999998</v>
      </c>
      <c r="C124" s="3">
        <v>3351</v>
      </c>
      <c r="D124" s="1">
        <v>262</v>
      </c>
      <c r="E124" s="1">
        <v>5</v>
      </c>
      <c r="F124" s="1">
        <v>71</v>
      </c>
      <c r="G124" s="1">
        <v>14</v>
      </c>
      <c r="H124" t="s">
        <v>16</v>
      </c>
      <c r="I124" t="s">
        <v>13</v>
      </c>
      <c r="J124" t="s">
        <v>14</v>
      </c>
      <c r="K124" t="s">
        <v>17</v>
      </c>
      <c r="L124" s="3">
        <v>148</v>
      </c>
    </row>
    <row r="125" spans="1:12" x14ac:dyDescent="0.2">
      <c r="A125" s="1">
        <v>98</v>
      </c>
      <c r="B125" s="2">
        <v>26.067</v>
      </c>
      <c r="C125" s="3">
        <v>3388</v>
      </c>
      <c r="D125" s="1">
        <v>266</v>
      </c>
      <c r="E125" s="1">
        <v>4</v>
      </c>
      <c r="F125" s="1">
        <v>74</v>
      </c>
      <c r="G125" s="1">
        <v>17</v>
      </c>
      <c r="H125" t="s">
        <v>16</v>
      </c>
      <c r="I125" t="s">
        <v>13</v>
      </c>
      <c r="J125" t="s">
        <v>14</v>
      </c>
      <c r="K125" t="s">
        <v>18</v>
      </c>
      <c r="L125" s="3">
        <v>155</v>
      </c>
    </row>
    <row r="126" spans="1:12" x14ac:dyDescent="0.2">
      <c r="A126" s="1">
        <v>153</v>
      </c>
      <c r="B126" s="2">
        <v>41.418999999999997</v>
      </c>
      <c r="C126" s="3">
        <v>2120</v>
      </c>
      <c r="D126" s="1">
        <v>184</v>
      </c>
      <c r="E126" s="1">
        <v>4</v>
      </c>
      <c r="F126" s="1">
        <v>24</v>
      </c>
      <c r="G126" s="1">
        <v>11</v>
      </c>
      <c r="H126" t="s">
        <v>16</v>
      </c>
      <c r="I126" t="s">
        <v>14</v>
      </c>
      <c r="J126" t="s">
        <v>13</v>
      </c>
      <c r="K126" t="s">
        <v>15</v>
      </c>
      <c r="L126" s="3">
        <v>156</v>
      </c>
    </row>
    <row r="127" spans="1:12" x14ac:dyDescent="0.2">
      <c r="A127" s="1">
        <v>229</v>
      </c>
      <c r="B127" s="2">
        <v>69.165000000000006</v>
      </c>
      <c r="C127" s="3">
        <v>4668</v>
      </c>
      <c r="D127" s="1">
        <v>341</v>
      </c>
      <c r="E127" s="1">
        <v>2</v>
      </c>
      <c r="F127" s="1">
        <v>34</v>
      </c>
      <c r="G127" s="1">
        <v>11</v>
      </c>
      <c r="H127" t="s">
        <v>16</v>
      </c>
      <c r="I127" t="s">
        <v>13</v>
      </c>
      <c r="J127" t="s">
        <v>13</v>
      </c>
      <c r="K127" t="s">
        <v>18</v>
      </c>
      <c r="L127" s="3">
        <v>156</v>
      </c>
    </row>
    <row r="128" spans="1:12" x14ac:dyDescent="0.2">
      <c r="A128" s="1">
        <v>291</v>
      </c>
      <c r="B128" s="2">
        <v>26.37</v>
      </c>
      <c r="C128" s="3">
        <v>3235</v>
      </c>
      <c r="D128" s="1">
        <v>268</v>
      </c>
      <c r="E128" s="1">
        <v>5</v>
      </c>
      <c r="F128" s="1">
        <v>78</v>
      </c>
      <c r="G128" s="1">
        <v>11</v>
      </c>
      <c r="H128" t="s">
        <v>12</v>
      </c>
      <c r="I128" t="s">
        <v>13</v>
      </c>
      <c r="J128" t="s">
        <v>14</v>
      </c>
      <c r="K128" t="s">
        <v>17</v>
      </c>
      <c r="L128" s="3">
        <v>159</v>
      </c>
    </row>
    <row r="129" spans="1:12" x14ac:dyDescent="0.2">
      <c r="A129" s="1">
        <v>81</v>
      </c>
      <c r="B129" s="2">
        <v>27.369</v>
      </c>
      <c r="C129" s="3">
        <v>3449</v>
      </c>
      <c r="D129" s="1">
        <v>288</v>
      </c>
      <c r="E129" s="1">
        <v>3</v>
      </c>
      <c r="F129" s="1">
        <v>40</v>
      </c>
      <c r="G129" s="1">
        <v>9</v>
      </c>
      <c r="H129" t="s">
        <v>16</v>
      </c>
      <c r="I129" t="s">
        <v>13</v>
      </c>
      <c r="J129" t="s">
        <v>14</v>
      </c>
      <c r="K129" t="s">
        <v>15</v>
      </c>
      <c r="L129" s="3">
        <v>162</v>
      </c>
    </row>
    <row r="130" spans="1:12" x14ac:dyDescent="0.2">
      <c r="A130" s="1">
        <v>240</v>
      </c>
      <c r="B130" s="2">
        <v>27.952000000000002</v>
      </c>
      <c r="C130" s="3">
        <v>3557</v>
      </c>
      <c r="D130" s="1">
        <v>263</v>
      </c>
      <c r="E130" s="1">
        <v>1</v>
      </c>
      <c r="F130" s="1">
        <v>35</v>
      </c>
      <c r="G130" s="1">
        <v>13</v>
      </c>
      <c r="H130" t="s">
        <v>16</v>
      </c>
      <c r="I130" t="s">
        <v>13</v>
      </c>
      <c r="J130" t="s">
        <v>14</v>
      </c>
      <c r="K130" t="s">
        <v>17</v>
      </c>
      <c r="L130" s="3">
        <v>163</v>
      </c>
    </row>
    <row r="131" spans="1:12" x14ac:dyDescent="0.2">
      <c r="A131" s="1">
        <v>302</v>
      </c>
      <c r="B131" s="2">
        <v>31.335000000000001</v>
      </c>
      <c r="C131" s="3">
        <v>3526</v>
      </c>
      <c r="D131" s="1">
        <v>289</v>
      </c>
      <c r="E131" s="1">
        <v>3</v>
      </c>
      <c r="F131" s="1">
        <v>38</v>
      </c>
      <c r="G131" s="1">
        <v>7</v>
      </c>
      <c r="H131" t="s">
        <v>16</v>
      </c>
      <c r="I131" t="s">
        <v>13</v>
      </c>
      <c r="J131" t="s">
        <v>13</v>
      </c>
      <c r="K131" t="s">
        <v>15</v>
      </c>
      <c r="L131" s="3">
        <v>172</v>
      </c>
    </row>
    <row r="132" spans="1:12" x14ac:dyDescent="0.2">
      <c r="A132" s="1">
        <v>334</v>
      </c>
      <c r="B132" s="2">
        <v>21.010999999999999</v>
      </c>
      <c r="C132" s="3">
        <v>3402</v>
      </c>
      <c r="D132" s="1">
        <v>261</v>
      </c>
      <c r="E132" s="1">
        <v>2</v>
      </c>
      <c r="F132" s="1">
        <v>68</v>
      </c>
      <c r="G132" s="1">
        <v>17</v>
      </c>
      <c r="H132" t="s">
        <v>12</v>
      </c>
      <c r="I132" t="s">
        <v>13</v>
      </c>
      <c r="J132" t="s">
        <v>14</v>
      </c>
      <c r="K132" t="s">
        <v>18</v>
      </c>
      <c r="L132" s="3">
        <v>182</v>
      </c>
    </row>
    <row r="133" spans="1:12" x14ac:dyDescent="0.2">
      <c r="A133" s="1">
        <v>138</v>
      </c>
      <c r="B133" s="2">
        <v>36.354999999999997</v>
      </c>
      <c r="C133" s="3">
        <v>3613</v>
      </c>
      <c r="D133" s="1">
        <v>278</v>
      </c>
      <c r="E133" s="1">
        <v>4</v>
      </c>
      <c r="F133" s="1">
        <v>35</v>
      </c>
      <c r="G133" s="1">
        <v>9</v>
      </c>
      <c r="H133" t="s">
        <v>12</v>
      </c>
      <c r="I133" t="s">
        <v>13</v>
      </c>
      <c r="J133" t="s">
        <v>14</v>
      </c>
      <c r="K133" t="s">
        <v>17</v>
      </c>
      <c r="L133" s="3">
        <v>187</v>
      </c>
    </row>
    <row r="134" spans="1:12" x14ac:dyDescent="0.2">
      <c r="A134" s="1">
        <v>187</v>
      </c>
      <c r="B134" s="2">
        <v>36.472000000000001</v>
      </c>
      <c r="C134" s="3">
        <v>3806</v>
      </c>
      <c r="D134" s="1">
        <v>309</v>
      </c>
      <c r="E134" s="1">
        <v>2</v>
      </c>
      <c r="F134" s="1">
        <v>52</v>
      </c>
      <c r="G134" s="1">
        <v>13</v>
      </c>
      <c r="H134" t="s">
        <v>12</v>
      </c>
      <c r="I134" t="s">
        <v>13</v>
      </c>
      <c r="J134" t="s">
        <v>13</v>
      </c>
      <c r="K134" t="s">
        <v>18</v>
      </c>
      <c r="L134" s="3">
        <v>188</v>
      </c>
    </row>
    <row r="135" spans="1:12" x14ac:dyDescent="0.2">
      <c r="A135" s="1">
        <v>298</v>
      </c>
      <c r="B135" s="2">
        <v>55.054000000000002</v>
      </c>
      <c r="C135" s="3">
        <v>4381</v>
      </c>
      <c r="D135" s="1">
        <v>321</v>
      </c>
      <c r="E135" s="1">
        <v>3</v>
      </c>
      <c r="F135" s="1">
        <v>74</v>
      </c>
      <c r="G135" s="1">
        <v>17</v>
      </c>
      <c r="H135" t="s">
        <v>12</v>
      </c>
      <c r="I135" t="s">
        <v>13</v>
      </c>
      <c r="J135" t="s">
        <v>14</v>
      </c>
      <c r="K135" t="s">
        <v>17</v>
      </c>
      <c r="L135" s="3">
        <v>188</v>
      </c>
    </row>
    <row r="136" spans="1:12" x14ac:dyDescent="0.2">
      <c r="A136" s="1">
        <v>236</v>
      </c>
      <c r="B136" s="2">
        <v>10.503</v>
      </c>
      <c r="C136" s="3">
        <v>2923</v>
      </c>
      <c r="D136" s="1">
        <v>232</v>
      </c>
      <c r="E136" s="1">
        <v>3</v>
      </c>
      <c r="F136" s="1">
        <v>25</v>
      </c>
      <c r="G136" s="1">
        <v>18</v>
      </c>
      <c r="H136" t="s">
        <v>16</v>
      </c>
      <c r="I136" t="s">
        <v>13</v>
      </c>
      <c r="J136" t="s">
        <v>14</v>
      </c>
      <c r="K136" t="s">
        <v>18</v>
      </c>
      <c r="L136" s="3">
        <v>191</v>
      </c>
    </row>
    <row r="137" spans="1:12" x14ac:dyDescent="0.2">
      <c r="A137" s="1">
        <v>336</v>
      </c>
      <c r="B137" s="2">
        <v>24.314</v>
      </c>
      <c r="C137" s="3">
        <v>3409</v>
      </c>
      <c r="D137" s="1">
        <v>270</v>
      </c>
      <c r="E137" s="1">
        <v>2</v>
      </c>
      <c r="F137" s="1">
        <v>23</v>
      </c>
      <c r="G137" s="1">
        <v>7</v>
      </c>
      <c r="H137" t="s">
        <v>16</v>
      </c>
      <c r="I137" t="s">
        <v>13</v>
      </c>
      <c r="J137" t="s">
        <v>14</v>
      </c>
      <c r="K137" t="s">
        <v>15</v>
      </c>
      <c r="L137" s="3">
        <v>194</v>
      </c>
    </row>
    <row r="138" spans="1:12" x14ac:dyDescent="0.2">
      <c r="A138" s="1">
        <v>219</v>
      </c>
      <c r="B138" s="2">
        <v>10.627000000000001</v>
      </c>
      <c r="C138" s="3">
        <v>1647</v>
      </c>
      <c r="D138" s="1">
        <v>149</v>
      </c>
      <c r="E138" s="1">
        <v>2</v>
      </c>
      <c r="F138" s="1">
        <v>71</v>
      </c>
      <c r="G138" s="1">
        <v>10</v>
      </c>
      <c r="H138" t="s">
        <v>16</v>
      </c>
      <c r="I138" t="s">
        <v>14</v>
      </c>
      <c r="J138" t="s">
        <v>14</v>
      </c>
      <c r="K138" t="s">
        <v>17</v>
      </c>
      <c r="L138" s="3">
        <v>195</v>
      </c>
    </row>
    <row r="139" spans="1:12" x14ac:dyDescent="0.2">
      <c r="A139" s="1">
        <v>247</v>
      </c>
      <c r="B139" s="2">
        <v>19.588000000000001</v>
      </c>
      <c r="C139" s="3">
        <v>3211</v>
      </c>
      <c r="D139" s="1">
        <v>265</v>
      </c>
      <c r="E139" s="1">
        <v>4</v>
      </c>
      <c r="F139" s="1">
        <v>59</v>
      </c>
      <c r="G139" s="1">
        <v>14</v>
      </c>
      <c r="H139" t="s">
        <v>16</v>
      </c>
      <c r="I139" t="s">
        <v>13</v>
      </c>
      <c r="J139" t="s">
        <v>13</v>
      </c>
      <c r="K139" t="s">
        <v>17</v>
      </c>
      <c r="L139" s="3">
        <v>199</v>
      </c>
    </row>
    <row r="140" spans="1:12" x14ac:dyDescent="0.2">
      <c r="A140" s="1">
        <v>7</v>
      </c>
      <c r="B140" s="2">
        <v>20.995999999999999</v>
      </c>
      <c r="C140" s="3">
        <v>3388</v>
      </c>
      <c r="D140" s="1">
        <v>259</v>
      </c>
      <c r="E140" s="1">
        <v>2</v>
      </c>
      <c r="F140" s="1">
        <v>37</v>
      </c>
      <c r="G140" s="1">
        <v>12</v>
      </c>
      <c r="H140" t="s">
        <v>16</v>
      </c>
      <c r="I140" t="s">
        <v>13</v>
      </c>
      <c r="J140" t="s">
        <v>13</v>
      </c>
      <c r="K140" t="s">
        <v>18</v>
      </c>
      <c r="L140" s="3">
        <v>203</v>
      </c>
    </row>
    <row r="141" spans="1:12" x14ac:dyDescent="0.2">
      <c r="A141" s="1">
        <v>343</v>
      </c>
      <c r="B141" s="2">
        <v>14.595000000000001</v>
      </c>
      <c r="C141" s="3">
        <v>2955</v>
      </c>
      <c r="D141" s="1">
        <v>260</v>
      </c>
      <c r="E141" s="1">
        <v>5</v>
      </c>
      <c r="F141" s="1">
        <v>37</v>
      </c>
      <c r="G141" s="1">
        <v>9</v>
      </c>
      <c r="H141" t="s">
        <v>12</v>
      </c>
      <c r="I141" t="s">
        <v>13</v>
      </c>
      <c r="J141" t="s">
        <v>14</v>
      </c>
      <c r="K141" t="s">
        <v>18</v>
      </c>
      <c r="L141" s="3">
        <v>204</v>
      </c>
    </row>
    <row r="142" spans="1:12" x14ac:dyDescent="0.2">
      <c r="A142" s="1">
        <v>13</v>
      </c>
      <c r="B142" s="2">
        <v>80.616</v>
      </c>
      <c r="C142" s="3">
        <v>5308</v>
      </c>
      <c r="D142" s="1">
        <v>394</v>
      </c>
      <c r="E142" s="1">
        <v>1</v>
      </c>
      <c r="F142" s="1">
        <v>57</v>
      </c>
      <c r="G142" s="1">
        <v>7</v>
      </c>
      <c r="H142" t="s">
        <v>16</v>
      </c>
      <c r="I142" t="s">
        <v>13</v>
      </c>
      <c r="J142" t="s">
        <v>14</v>
      </c>
      <c r="K142" t="s">
        <v>17</v>
      </c>
      <c r="L142" s="3">
        <v>204</v>
      </c>
    </row>
    <row r="143" spans="1:12" x14ac:dyDescent="0.2">
      <c r="A143" s="1">
        <v>277</v>
      </c>
      <c r="B143" s="2">
        <v>23.106000000000002</v>
      </c>
      <c r="C143" s="3">
        <v>3476</v>
      </c>
      <c r="D143" s="1">
        <v>257</v>
      </c>
      <c r="E143" s="1">
        <v>2</v>
      </c>
      <c r="F143" s="1">
        <v>50</v>
      </c>
      <c r="G143" s="1">
        <v>15</v>
      </c>
      <c r="H143" t="s">
        <v>16</v>
      </c>
      <c r="I143" t="s">
        <v>13</v>
      </c>
      <c r="J143" t="s">
        <v>13</v>
      </c>
      <c r="K143" t="s">
        <v>15</v>
      </c>
      <c r="L143" s="3">
        <v>209</v>
      </c>
    </row>
    <row r="144" spans="1:12" x14ac:dyDescent="0.2">
      <c r="A144" s="1">
        <v>106</v>
      </c>
      <c r="B144" s="2">
        <v>12.031000000000001</v>
      </c>
      <c r="C144" s="3">
        <v>3182</v>
      </c>
      <c r="D144" s="1">
        <v>259</v>
      </c>
      <c r="E144" s="1">
        <v>2</v>
      </c>
      <c r="F144" s="1">
        <v>58</v>
      </c>
      <c r="G144" s="1">
        <v>18</v>
      </c>
      <c r="H144" t="s">
        <v>16</v>
      </c>
      <c r="I144" t="s">
        <v>13</v>
      </c>
      <c r="J144" t="s">
        <v>14</v>
      </c>
      <c r="K144" t="s">
        <v>15</v>
      </c>
      <c r="L144" s="3">
        <v>210</v>
      </c>
    </row>
    <row r="145" spans="1:12" x14ac:dyDescent="0.2">
      <c r="A145" s="1">
        <v>52</v>
      </c>
      <c r="B145" s="2">
        <v>39.704999999999998</v>
      </c>
      <c r="C145" s="3">
        <v>3969</v>
      </c>
      <c r="D145" s="1">
        <v>301</v>
      </c>
      <c r="E145" s="1">
        <v>2</v>
      </c>
      <c r="F145" s="1">
        <v>27</v>
      </c>
      <c r="G145" s="1">
        <v>20</v>
      </c>
      <c r="H145" t="s">
        <v>12</v>
      </c>
      <c r="I145" t="s">
        <v>13</v>
      </c>
      <c r="J145" t="s">
        <v>14</v>
      </c>
      <c r="K145" t="s">
        <v>18</v>
      </c>
      <c r="L145" s="3">
        <v>211</v>
      </c>
    </row>
    <row r="146" spans="1:12" x14ac:dyDescent="0.2">
      <c r="A146" s="1">
        <v>368</v>
      </c>
      <c r="B146" s="2">
        <v>23.792999999999999</v>
      </c>
      <c r="C146" s="3">
        <v>3615</v>
      </c>
      <c r="D146" s="1">
        <v>263</v>
      </c>
      <c r="E146" s="1">
        <v>2</v>
      </c>
      <c r="F146" s="1">
        <v>70</v>
      </c>
      <c r="G146" s="1">
        <v>14</v>
      </c>
      <c r="H146" t="s">
        <v>12</v>
      </c>
      <c r="I146" t="s">
        <v>13</v>
      </c>
      <c r="J146" t="s">
        <v>13</v>
      </c>
      <c r="K146" t="s">
        <v>18</v>
      </c>
      <c r="L146" s="3">
        <v>216</v>
      </c>
    </row>
    <row r="147" spans="1:12" x14ac:dyDescent="0.2">
      <c r="A147" s="1">
        <v>254</v>
      </c>
      <c r="B147" s="2">
        <v>85.424999999999997</v>
      </c>
      <c r="C147" s="3">
        <v>5182</v>
      </c>
      <c r="D147" s="1">
        <v>402</v>
      </c>
      <c r="E147" s="1">
        <v>6</v>
      </c>
      <c r="F147" s="1">
        <v>60</v>
      </c>
      <c r="G147" s="1">
        <v>12</v>
      </c>
      <c r="H147" t="s">
        <v>12</v>
      </c>
      <c r="I147" t="s">
        <v>13</v>
      </c>
      <c r="J147" t="s">
        <v>14</v>
      </c>
      <c r="K147" t="s">
        <v>18</v>
      </c>
      <c r="L147" s="3">
        <v>218</v>
      </c>
    </row>
    <row r="148" spans="1:12" x14ac:dyDescent="0.2">
      <c r="A148" s="1">
        <v>109</v>
      </c>
      <c r="B148" s="2">
        <v>107.986</v>
      </c>
      <c r="C148" s="3">
        <v>6033</v>
      </c>
      <c r="D148" s="1">
        <v>449</v>
      </c>
      <c r="E148" s="1">
        <v>4</v>
      </c>
      <c r="F148" s="1">
        <v>64</v>
      </c>
      <c r="G148" s="1">
        <v>14</v>
      </c>
      <c r="H148" t="s">
        <v>12</v>
      </c>
      <c r="I148" t="s">
        <v>13</v>
      </c>
      <c r="J148" t="s">
        <v>14</v>
      </c>
      <c r="K148" t="s">
        <v>15</v>
      </c>
      <c r="L148" s="3">
        <v>227</v>
      </c>
    </row>
    <row r="149" spans="1:12" x14ac:dyDescent="0.2">
      <c r="A149" s="1">
        <v>209</v>
      </c>
      <c r="B149" s="2">
        <v>51.344999999999999</v>
      </c>
      <c r="C149" s="3">
        <v>4327</v>
      </c>
      <c r="D149" s="1">
        <v>320</v>
      </c>
      <c r="E149" s="1">
        <v>3</v>
      </c>
      <c r="F149" s="1">
        <v>46</v>
      </c>
      <c r="G149" s="1">
        <v>15</v>
      </c>
      <c r="H149" t="s">
        <v>12</v>
      </c>
      <c r="I149" t="s">
        <v>13</v>
      </c>
      <c r="J149" t="s">
        <v>13</v>
      </c>
      <c r="K149" t="s">
        <v>18</v>
      </c>
      <c r="L149" s="3">
        <v>230</v>
      </c>
    </row>
    <row r="150" spans="1:12" x14ac:dyDescent="0.2">
      <c r="A150" s="1">
        <v>216</v>
      </c>
      <c r="B150" s="2">
        <v>41.024999999999999</v>
      </c>
      <c r="C150" s="3">
        <v>4229</v>
      </c>
      <c r="D150" s="1">
        <v>337</v>
      </c>
      <c r="E150" s="1">
        <v>3</v>
      </c>
      <c r="F150" s="1">
        <v>79</v>
      </c>
      <c r="G150" s="1">
        <v>19</v>
      </c>
      <c r="H150" t="s">
        <v>16</v>
      </c>
      <c r="I150" t="s">
        <v>13</v>
      </c>
      <c r="J150" t="s">
        <v>14</v>
      </c>
      <c r="K150" t="s">
        <v>15</v>
      </c>
      <c r="L150" s="3">
        <v>246</v>
      </c>
    </row>
    <row r="151" spans="1:12" x14ac:dyDescent="0.2">
      <c r="A151" s="1">
        <v>279</v>
      </c>
      <c r="B151" s="2">
        <v>128.04</v>
      </c>
      <c r="C151" s="3">
        <v>6982</v>
      </c>
      <c r="D151" s="1">
        <v>518</v>
      </c>
      <c r="E151" s="1">
        <v>2</v>
      </c>
      <c r="F151" s="1">
        <v>78</v>
      </c>
      <c r="G151" s="1">
        <v>11</v>
      </c>
      <c r="H151" t="s">
        <v>16</v>
      </c>
      <c r="I151" t="s">
        <v>13</v>
      </c>
      <c r="J151" t="s">
        <v>14</v>
      </c>
      <c r="K151" t="s">
        <v>15</v>
      </c>
      <c r="L151" s="3">
        <v>250</v>
      </c>
    </row>
    <row r="152" spans="1:12" x14ac:dyDescent="0.2">
      <c r="A152" s="1">
        <v>130</v>
      </c>
      <c r="B152" s="2">
        <v>18.145</v>
      </c>
      <c r="C152" s="3">
        <v>3461</v>
      </c>
      <c r="D152" s="1">
        <v>279</v>
      </c>
      <c r="E152" s="1">
        <v>3</v>
      </c>
      <c r="F152" s="1">
        <v>56</v>
      </c>
      <c r="G152" s="1">
        <v>15</v>
      </c>
      <c r="H152" t="s">
        <v>12</v>
      </c>
      <c r="I152" t="s">
        <v>13</v>
      </c>
      <c r="J152" t="s">
        <v>14</v>
      </c>
      <c r="K152" t="s">
        <v>18</v>
      </c>
      <c r="L152" s="3">
        <v>255</v>
      </c>
    </row>
    <row r="153" spans="1:12" x14ac:dyDescent="0.2">
      <c r="A153" s="1">
        <v>323</v>
      </c>
      <c r="B153" s="2">
        <v>27.228999999999999</v>
      </c>
      <c r="C153" s="3">
        <v>3484</v>
      </c>
      <c r="D153" s="1">
        <v>282</v>
      </c>
      <c r="E153" s="1">
        <v>6</v>
      </c>
      <c r="F153" s="1">
        <v>51</v>
      </c>
      <c r="G153" s="1">
        <v>11</v>
      </c>
      <c r="H153" t="s">
        <v>12</v>
      </c>
      <c r="I153" t="s">
        <v>13</v>
      </c>
      <c r="J153" t="s">
        <v>13</v>
      </c>
      <c r="K153" t="s">
        <v>15</v>
      </c>
      <c r="L153" s="3">
        <v>265</v>
      </c>
    </row>
    <row r="154" spans="1:12" x14ac:dyDescent="0.2">
      <c r="A154" s="1">
        <v>280</v>
      </c>
      <c r="B154" s="2">
        <v>54.319000000000003</v>
      </c>
      <c r="C154" s="3">
        <v>3063</v>
      </c>
      <c r="D154" s="1">
        <v>248</v>
      </c>
      <c r="E154" s="1">
        <v>3</v>
      </c>
      <c r="F154" s="1">
        <v>59</v>
      </c>
      <c r="G154" s="1">
        <v>8</v>
      </c>
      <c r="H154" t="s">
        <v>16</v>
      </c>
      <c r="I154" t="s">
        <v>14</v>
      </c>
      <c r="J154" t="s">
        <v>13</v>
      </c>
      <c r="K154" t="s">
        <v>15</v>
      </c>
      <c r="L154" s="3">
        <v>269</v>
      </c>
    </row>
    <row r="155" spans="1:12" x14ac:dyDescent="0.2">
      <c r="A155" s="1">
        <v>115</v>
      </c>
      <c r="B155" s="2">
        <v>16.481999999999999</v>
      </c>
      <c r="C155" s="3">
        <v>3326</v>
      </c>
      <c r="D155" s="1">
        <v>268</v>
      </c>
      <c r="E155" s="1">
        <v>4</v>
      </c>
      <c r="F155" s="1">
        <v>41</v>
      </c>
      <c r="G155" s="1">
        <v>15</v>
      </c>
      <c r="H155" t="s">
        <v>12</v>
      </c>
      <c r="I155" t="s">
        <v>13</v>
      </c>
      <c r="J155" t="s">
        <v>13</v>
      </c>
      <c r="K155" t="s">
        <v>15</v>
      </c>
      <c r="L155" s="3">
        <v>271</v>
      </c>
    </row>
    <row r="156" spans="1:12" x14ac:dyDescent="0.2">
      <c r="A156" s="1">
        <v>9</v>
      </c>
      <c r="B156" s="2">
        <v>15.125</v>
      </c>
      <c r="C156" s="3">
        <v>3300</v>
      </c>
      <c r="D156" s="1">
        <v>266</v>
      </c>
      <c r="E156" s="1">
        <v>5</v>
      </c>
      <c r="F156" s="1">
        <v>66</v>
      </c>
      <c r="G156" s="1">
        <v>13</v>
      </c>
      <c r="H156" t="s">
        <v>16</v>
      </c>
      <c r="I156" t="s">
        <v>13</v>
      </c>
      <c r="J156" t="s">
        <v>13</v>
      </c>
      <c r="K156" t="s">
        <v>15</v>
      </c>
      <c r="L156" s="3">
        <v>279</v>
      </c>
    </row>
    <row r="157" spans="1:12" x14ac:dyDescent="0.2">
      <c r="A157" s="1">
        <v>172</v>
      </c>
      <c r="B157" s="2">
        <v>36.933999999999997</v>
      </c>
      <c r="C157" s="3">
        <v>4270</v>
      </c>
      <c r="D157" s="1">
        <v>299</v>
      </c>
      <c r="E157" s="1">
        <v>1</v>
      </c>
      <c r="F157" s="1">
        <v>63</v>
      </c>
      <c r="G157" s="1">
        <v>9</v>
      </c>
      <c r="H157" t="s">
        <v>16</v>
      </c>
      <c r="I157" t="s">
        <v>13</v>
      </c>
      <c r="J157" t="s">
        <v>14</v>
      </c>
      <c r="K157" t="s">
        <v>15</v>
      </c>
      <c r="L157" s="3">
        <v>283</v>
      </c>
    </row>
    <row r="158" spans="1:12" x14ac:dyDescent="0.2">
      <c r="A158" s="1">
        <v>297</v>
      </c>
      <c r="B158" s="2">
        <v>65.896000000000001</v>
      </c>
      <c r="C158" s="3">
        <v>5140</v>
      </c>
      <c r="D158" s="1">
        <v>370</v>
      </c>
      <c r="E158" s="1">
        <v>1</v>
      </c>
      <c r="F158" s="1">
        <v>49</v>
      </c>
      <c r="G158" s="1">
        <v>17</v>
      </c>
      <c r="H158" t="s">
        <v>16</v>
      </c>
      <c r="I158" t="s">
        <v>13</v>
      </c>
      <c r="J158" t="s">
        <v>14</v>
      </c>
      <c r="K158" t="s">
        <v>15</v>
      </c>
      <c r="L158" s="3">
        <v>293</v>
      </c>
    </row>
    <row r="159" spans="1:12" x14ac:dyDescent="0.2">
      <c r="A159" s="1">
        <v>303</v>
      </c>
      <c r="B159" s="2">
        <v>59.854999999999997</v>
      </c>
      <c r="C159" s="3">
        <v>4964</v>
      </c>
      <c r="D159" s="1">
        <v>365</v>
      </c>
      <c r="E159" s="1">
        <v>1</v>
      </c>
      <c r="F159" s="1">
        <v>46</v>
      </c>
      <c r="G159" s="1">
        <v>13</v>
      </c>
      <c r="H159" t="s">
        <v>16</v>
      </c>
      <c r="I159" t="s">
        <v>13</v>
      </c>
      <c r="J159" t="s">
        <v>14</v>
      </c>
      <c r="K159" t="s">
        <v>15</v>
      </c>
      <c r="L159" s="3">
        <v>295</v>
      </c>
    </row>
    <row r="160" spans="1:12" x14ac:dyDescent="0.2">
      <c r="A160" s="1">
        <v>110</v>
      </c>
      <c r="B160" s="2">
        <v>13.561</v>
      </c>
      <c r="C160" s="3">
        <v>3261</v>
      </c>
      <c r="D160" s="1">
        <v>279</v>
      </c>
      <c r="E160" s="1">
        <v>5</v>
      </c>
      <c r="F160" s="1">
        <v>37</v>
      </c>
      <c r="G160" s="1">
        <v>19</v>
      </c>
      <c r="H160" t="s">
        <v>12</v>
      </c>
      <c r="I160" t="s">
        <v>13</v>
      </c>
      <c r="J160" t="s">
        <v>14</v>
      </c>
      <c r="K160" t="s">
        <v>17</v>
      </c>
      <c r="L160" s="3">
        <v>297</v>
      </c>
    </row>
    <row r="161" spans="1:12" x14ac:dyDescent="0.2">
      <c r="A161" s="1">
        <v>101</v>
      </c>
      <c r="B161" s="2">
        <v>21.152999999999999</v>
      </c>
      <c r="C161" s="3">
        <v>3736</v>
      </c>
      <c r="D161" s="1">
        <v>256</v>
      </c>
      <c r="E161" s="1">
        <v>1</v>
      </c>
      <c r="F161" s="1">
        <v>41</v>
      </c>
      <c r="G161" s="1">
        <v>11</v>
      </c>
      <c r="H161" t="s">
        <v>12</v>
      </c>
      <c r="I161" t="s">
        <v>13</v>
      </c>
      <c r="J161" t="s">
        <v>13</v>
      </c>
      <c r="K161" t="s">
        <v>15</v>
      </c>
      <c r="L161" s="3">
        <v>298</v>
      </c>
    </row>
    <row r="162" spans="1:12" x14ac:dyDescent="0.2">
      <c r="A162" s="1">
        <v>352</v>
      </c>
      <c r="B162" s="2">
        <v>61.62</v>
      </c>
      <c r="C162" s="3">
        <v>5140</v>
      </c>
      <c r="D162" s="1">
        <v>374</v>
      </c>
      <c r="E162" s="1">
        <v>1</v>
      </c>
      <c r="F162" s="1">
        <v>71</v>
      </c>
      <c r="G162" s="1">
        <v>9</v>
      </c>
      <c r="H162" t="s">
        <v>12</v>
      </c>
      <c r="I162" t="s">
        <v>13</v>
      </c>
      <c r="J162" t="s">
        <v>14</v>
      </c>
      <c r="K162" t="s">
        <v>15</v>
      </c>
      <c r="L162" s="3">
        <v>302</v>
      </c>
    </row>
    <row r="163" spans="1:12" x14ac:dyDescent="0.2">
      <c r="A163" s="1">
        <v>213</v>
      </c>
      <c r="B163" s="2">
        <v>39.145000000000003</v>
      </c>
      <c r="C163" s="3">
        <v>4351</v>
      </c>
      <c r="D163" s="1">
        <v>323</v>
      </c>
      <c r="E163" s="1">
        <v>2</v>
      </c>
      <c r="F163" s="1">
        <v>66</v>
      </c>
      <c r="G163" s="1">
        <v>13</v>
      </c>
      <c r="H163" t="s">
        <v>12</v>
      </c>
      <c r="I163" t="s">
        <v>13</v>
      </c>
      <c r="J163" t="s">
        <v>14</v>
      </c>
      <c r="K163" t="s">
        <v>15</v>
      </c>
      <c r="L163" s="3">
        <v>308</v>
      </c>
    </row>
    <row r="164" spans="1:12" x14ac:dyDescent="0.2">
      <c r="A164" s="1">
        <v>292</v>
      </c>
      <c r="B164" s="2">
        <v>24.088000000000001</v>
      </c>
      <c r="C164" s="3">
        <v>3665</v>
      </c>
      <c r="D164" s="1">
        <v>287</v>
      </c>
      <c r="E164" s="1">
        <v>4</v>
      </c>
      <c r="F164" s="1">
        <v>56</v>
      </c>
      <c r="G164" s="1">
        <v>13</v>
      </c>
      <c r="H164" t="s">
        <v>16</v>
      </c>
      <c r="I164" t="s">
        <v>13</v>
      </c>
      <c r="J164" t="s">
        <v>14</v>
      </c>
      <c r="K164" t="s">
        <v>15</v>
      </c>
      <c r="L164" s="3">
        <v>309</v>
      </c>
    </row>
    <row r="165" spans="1:12" x14ac:dyDescent="0.2">
      <c r="A165" s="1">
        <v>341</v>
      </c>
      <c r="B165" s="2">
        <v>27.794</v>
      </c>
      <c r="C165" s="3">
        <v>3807</v>
      </c>
      <c r="D165" s="1">
        <v>301</v>
      </c>
      <c r="E165" s="1">
        <v>4</v>
      </c>
      <c r="F165" s="1">
        <v>35</v>
      </c>
      <c r="G165" s="1">
        <v>8</v>
      </c>
      <c r="H165" t="s">
        <v>16</v>
      </c>
      <c r="I165" t="s">
        <v>13</v>
      </c>
      <c r="J165" t="s">
        <v>14</v>
      </c>
      <c r="K165" t="s">
        <v>18</v>
      </c>
      <c r="L165" s="3">
        <v>320</v>
      </c>
    </row>
    <row r="166" spans="1:12" x14ac:dyDescent="0.2">
      <c r="A166" s="1">
        <v>5</v>
      </c>
      <c r="B166" s="2">
        <v>55.881999999999998</v>
      </c>
      <c r="C166" s="3">
        <v>4897</v>
      </c>
      <c r="D166" s="1">
        <v>357</v>
      </c>
      <c r="E166" s="1">
        <v>2</v>
      </c>
      <c r="F166" s="1">
        <v>68</v>
      </c>
      <c r="G166" s="1">
        <v>16</v>
      </c>
      <c r="H166" t="s">
        <v>12</v>
      </c>
      <c r="I166" t="s">
        <v>13</v>
      </c>
      <c r="J166" t="s">
        <v>14</v>
      </c>
      <c r="K166" t="s">
        <v>15</v>
      </c>
      <c r="L166" s="3">
        <v>331</v>
      </c>
    </row>
    <row r="167" spans="1:12" x14ac:dyDescent="0.2">
      <c r="A167" s="1">
        <v>59</v>
      </c>
      <c r="B167" s="2">
        <v>10.353999999999999</v>
      </c>
      <c r="C167" s="3">
        <v>3480</v>
      </c>
      <c r="D167" s="1">
        <v>281</v>
      </c>
      <c r="E167" s="1">
        <v>2</v>
      </c>
      <c r="F167" s="1">
        <v>70</v>
      </c>
      <c r="G167" s="1">
        <v>17</v>
      </c>
      <c r="H167" t="s">
        <v>12</v>
      </c>
      <c r="I167" t="s">
        <v>13</v>
      </c>
      <c r="J167" t="s">
        <v>14</v>
      </c>
      <c r="K167" t="s">
        <v>15</v>
      </c>
      <c r="L167" s="3">
        <v>333</v>
      </c>
    </row>
    <row r="168" spans="1:12" x14ac:dyDescent="0.2">
      <c r="A168" s="1">
        <v>1</v>
      </c>
      <c r="B168" s="2">
        <v>14.891</v>
      </c>
      <c r="C168" s="3">
        <v>3606</v>
      </c>
      <c r="D168" s="1">
        <v>283</v>
      </c>
      <c r="E168" s="1">
        <v>2</v>
      </c>
      <c r="F168" s="1">
        <v>34</v>
      </c>
      <c r="G168" s="1">
        <v>11</v>
      </c>
      <c r="H168" t="s">
        <v>12</v>
      </c>
      <c r="I168" t="s">
        <v>13</v>
      </c>
      <c r="J168" t="s">
        <v>14</v>
      </c>
      <c r="K168" t="s">
        <v>15</v>
      </c>
      <c r="L168" s="3">
        <v>333</v>
      </c>
    </row>
    <row r="169" spans="1:12" x14ac:dyDescent="0.2">
      <c r="A169" s="1">
        <v>193</v>
      </c>
      <c r="B169" s="2">
        <v>28.507999999999999</v>
      </c>
      <c r="C169" s="3">
        <v>3933</v>
      </c>
      <c r="D169" s="1">
        <v>287</v>
      </c>
      <c r="E169" s="1">
        <v>4</v>
      </c>
      <c r="F169" s="1">
        <v>56</v>
      </c>
      <c r="G169" s="1">
        <v>14</v>
      </c>
      <c r="H169" t="s">
        <v>12</v>
      </c>
      <c r="I169" t="s">
        <v>13</v>
      </c>
      <c r="J169" t="s">
        <v>14</v>
      </c>
      <c r="K169" t="s">
        <v>17</v>
      </c>
      <c r="L169" s="3">
        <v>336</v>
      </c>
    </row>
    <row r="170" spans="1:12" x14ac:dyDescent="0.2">
      <c r="A170" s="1">
        <v>40</v>
      </c>
      <c r="B170" s="2">
        <v>13.647</v>
      </c>
      <c r="C170" s="3">
        <v>3461</v>
      </c>
      <c r="D170" s="1">
        <v>264</v>
      </c>
      <c r="E170" s="1">
        <v>4</v>
      </c>
      <c r="F170" s="1">
        <v>47</v>
      </c>
      <c r="G170" s="1">
        <v>14</v>
      </c>
      <c r="H170" t="s">
        <v>12</v>
      </c>
      <c r="I170" t="s">
        <v>13</v>
      </c>
      <c r="J170" t="s">
        <v>14</v>
      </c>
      <c r="K170" t="s">
        <v>15</v>
      </c>
      <c r="L170" s="3">
        <v>344</v>
      </c>
    </row>
    <row r="171" spans="1:12" x14ac:dyDescent="0.2">
      <c r="A171" s="1">
        <v>261</v>
      </c>
      <c r="B171" s="2">
        <v>67.936999999999998</v>
      </c>
      <c r="C171" s="3">
        <v>5184</v>
      </c>
      <c r="D171" s="1">
        <v>383</v>
      </c>
      <c r="E171" s="1">
        <v>4</v>
      </c>
      <c r="F171" s="1">
        <v>63</v>
      </c>
      <c r="G171" s="1">
        <v>12</v>
      </c>
      <c r="H171" t="s">
        <v>12</v>
      </c>
      <c r="I171" t="s">
        <v>13</v>
      </c>
      <c r="J171" t="s">
        <v>14</v>
      </c>
      <c r="K171" t="s">
        <v>17</v>
      </c>
      <c r="L171" s="3">
        <v>345</v>
      </c>
    </row>
    <row r="172" spans="1:12" x14ac:dyDescent="0.2">
      <c r="A172" s="1">
        <v>369</v>
      </c>
      <c r="B172" s="2">
        <v>89</v>
      </c>
      <c r="C172" s="3">
        <v>5759</v>
      </c>
      <c r="D172" s="1">
        <v>440</v>
      </c>
      <c r="E172" s="1">
        <v>3</v>
      </c>
      <c r="F172" s="1">
        <v>37</v>
      </c>
      <c r="G172" s="1">
        <v>6</v>
      </c>
      <c r="H172" t="s">
        <v>16</v>
      </c>
      <c r="I172" t="s">
        <v>13</v>
      </c>
      <c r="J172" t="s">
        <v>13</v>
      </c>
      <c r="K172" t="s">
        <v>15</v>
      </c>
      <c r="L172" s="3">
        <v>345</v>
      </c>
    </row>
    <row r="173" spans="1:12" x14ac:dyDescent="0.2">
      <c r="A173" s="1">
        <v>359</v>
      </c>
      <c r="B173" s="2">
        <v>30.111000000000001</v>
      </c>
      <c r="C173" s="3">
        <v>4336</v>
      </c>
      <c r="D173" s="1">
        <v>339</v>
      </c>
      <c r="E173" s="1">
        <v>1</v>
      </c>
      <c r="F173" s="1">
        <v>81</v>
      </c>
      <c r="G173" s="1">
        <v>18</v>
      </c>
      <c r="H173" t="s">
        <v>12</v>
      </c>
      <c r="I173" t="s">
        <v>13</v>
      </c>
      <c r="J173" t="s">
        <v>14</v>
      </c>
      <c r="K173" t="s">
        <v>15</v>
      </c>
      <c r="L173" s="3">
        <v>347</v>
      </c>
    </row>
    <row r="174" spans="1:12" x14ac:dyDescent="0.2">
      <c r="A174" s="1">
        <v>71</v>
      </c>
      <c r="B174" s="2">
        <v>24.888999999999999</v>
      </c>
      <c r="C174" s="3">
        <v>3954</v>
      </c>
      <c r="D174" s="1">
        <v>318</v>
      </c>
      <c r="E174" s="1">
        <v>4</v>
      </c>
      <c r="F174" s="1">
        <v>75</v>
      </c>
      <c r="G174" s="1">
        <v>12</v>
      </c>
      <c r="H174" t="s">
        <v>12</v>
      </c>
      <c r="I174" t="s">
        <v>13</v>
      </c>
      <c r="J174" t="s">
        <v>14</v>
      </c>
      <c r="K174" t="s">
        <v>15</v>
      </c>
      <c r="L174" s="3">
        <v>357</v>
      </c>
    </row>
    <row r="175" spans="1:12" x14ac:dyDescent="0.2">
      <c r="A175" s="1">
        <v>18</v>
      </c>
      <c r="B175" s="2">
        <v>36.496000000000002</v>
      </c>
      <c r="C175" s="3">
        <v>4378</v>
      </c>
      <c r="D175" s="1">
        <v>339</v>
      </c>
      <c r="E175" s="1">
        <v>3</v>
      </c>
      <c r="F175" s="1">
        <v>69</v>
      </c>
      <c r="G175" s="1">
        <v>15</v>
      </c>
      <c r="H175" t="s">
        <v>16</v>
      </c>
      <c r="I175" t="s">
        <v>13</v>
      </c>
      <c r="J175" t="s">
        <v>14</v>
      </c>
      <c r="K175" t="s">
        <v>17</v>
      </c>
      <c r="L175" s="3">
        <v>368</v>
      </c>
    </row>
    <row r="176" spans="1:12" x14ac:dyDescent="0.2">
      <c r="A176" s="1">
        <v>387</v>
      </c>
      <c r="B176" s="2">
        <v>19.253</v>
      </c>
      <c r="C176" s="3">
        <v>3683</v>
      </c>
      <c r="D176" s="1">
        <v>287</v>
      </c>
      <c r="E176" s="1">
        <v>4</v>
      </c>
      <c r="F176" s="1">
        <v>57</v>
      </c>
      <c r="G176" s="1">
        <v>10</v>
      </c>
      <c r="H176" t="s">
        <v>12</v>
      </c>
      <c r="I176" t="s">
        <v>13</v>
      </c>
      <c r="J176" t="s">
        <v>13</v>
      </c>
      <c r="K176" t="s">
        <v>18</v>
      </c>
      <c r="L176" s="3">
        <v>371</v>
      </c>
    </row>
    <row r="177" spans="1:12" x14ac:dyDescent="0.2">
      <c r="A177" s="1">
        <v>99</v>
      </c>
      <c r="B177" s="2">
        <v>36.295000000000002</v>
      </c>
      <c r="C177" s="3">
        <v>2963</v>
      </c>
      <c r="D177" s="1">
        <v>241</v>
      </c>
      <c r="E177" s="1">
        <v>2</v>
      </c>
      <c r="F177" s="1">
        <v>68</v>
      </c>
      <c r="G177" s="1">
        <v>14</v>
      </c>
      <c r="H177" t="s">
        <v>16</v>
      </c>
      <c r="I177" t="s">
        <v>14</v>
      </c>
      <c r="J177" t="s">
        <v>13</v>
      </c>
      <c r="K177" t="s">
        <v>18</v>
      </c>
      <c r="L177" s="3">
        <v>375</v>
      </c>
    </row>
    <row r="178" spans="1:12" x14ac:dyDescent="0.2">
      <c r="A178" s="1">
        <v>57</v>
      </c>
      <c r="B178" s="2">
        <v>57.1</v>
      </c>
      <c r="C178" s="3">
        <v>4742</v>
      </c>
      <c r="D178" s="1">
        <v>372</v>
      </c>
      <c r="E178" s="1">
        <v>7</v>
      </c>
      <c r="F178" s="1">
        <v>79</v>
      </c>
      <c r="G178" s="1">
        <v>18</v>
      </c>
      <c r="H178" t="s">
        <v>16</v>
      </c>
      <c r="I178" t="s">
        <v>13</v>
      </c>
      <c r="J178" t="s">
        <v>14</v>
      </c>
      <c r="K178" t="s">
        <v>17</v>
      </c>
      <c r="L178" s="3">
        <v>379</v>
      </c>
    </row>
    <row r="179" spans="1:12" x14ac:dyDescent="0.2">
      <c r="A179" s="1">
        <v>333</v>
      </c>
      <c r="B179" s="2">
        <v>62.328000000000003</v>
      </c>
      <c r="C179" s="3">
        <v>5228</v>
      </c>
      <c r="D179" s="1">
        <v>377</v>
      </c>
      <c r="E179" s="1">
        <v>3</v>
      </c>
      <c r="F179" s="1">
        <v>83</v>
      </c>
      <c r="G179" s="1">
        <v>15</v>
      </c>
      <c r="H179" t="s">
        <v>12</v>
      </c>
      <c r="I179" t="s">
        <v>13</v>
      </c>
      <c r="J179" t="s">
        <v>13</v>
      </c>
      <c r="K179" t="s">
        <v>15</v>
      </c>
      <c r="L179" s="3">
        <v>380</v>
      </c>
    </row>
    <row r="180" spans="1:12" x14ac:dyDescent="0.2">
      <c r="A180" s="1">
        <v>384</v>
      </c>
      <c r="B180" s="2">
        <v>14.292</v>
      </c>
      <c r="C180" s="3">
        <v>3274</v>
      </c>
      <c r="D180" s="1">
        <v>282</v>
      </c>
      <c r="E180" s="1">
        <v>9</v>
      </c>
      <c r="F180" s="1">
        <v>64</v>
      </c>
      <c r="G180" s="1">
        <v>9</v>
      </c>
      <c r="H180" t="s">
        <v>12</v>
      </c>
      <c r="I180" t="s">
        <v>13</v>
      </c>
      <c r="J180" t="s">
        <v>14</v>
      </c>
      <c r="K180" t="s">
        <v>15</v>
      </c>
      <c r="L180" s="3">
        <v>382</v>
      </c>
    </row>
    <row r="181" spans="1:12" x14ac:dyDescent="0.2">
      <c r="A181" s="1">
        <v>362</v>
      </c>
      <c r="B181" s="2">
        <v>53.216999999999999</v>
      </c>
      <c r="C181" s="3">
        <v>4943</v>
      </c>
      <c r="D181" s="1">
        <v>362</v>
      </c>
      <c r="E181" s="1">
        <v>2</v>
      </c>
      <c r="F181" s="1">
        <v>46</v>
      </c>
      <c r="G181" s="1">
        <v>16</v>
      </c>
      <c r="H181" t="s">
        <v>16</v>
      </c>
      <c r="I181" t="s">
        <v>13</v>
      </c>
      <c r="J181" t="s">
        <v>14</v>
      </c>
      <c r="K181" t="s">
        <v>17</v>
      </c>
      <c r="L181" s="3">
        <v>382</v>
      </c>
    </row>
    <row r="182" spans="1:12" x14ac:dyDescent="0.2">
      <c r="A182" s="1">
        <v>178</v>
      </c>
      <c r="B182" s="2">
        <v>22.379000000000001</v>
      </c>
      <c r="C182" s="3">
        <v>3965</v>
      </c>
      <c r="D182" s="1">
        <v>292</v>
      </c>
      <c r="E182" s="1">
        <v>2</v>
      </c>
      <c r="F182" s="1">
        <v>34</v>
      </c>
      <c r="G182" s="1">
        <v>14</v>
      </c>
      <c r="H182" t="s">
        <v>16</v>
      </c>
      <c r="I182" t="s">
        <v>13</v>
      </c>
      <c r="J182" t="s">
        <v>14</v>
      </c>
      <c r="K182" t="s">
        <v>17</v>
      </c>
      <c r="L182" s="3">
        <v>384</v>
      </c>
    </row>
    <row r="183" spans="1:12" x14ac:dyDescent="0.2">
      <c r="A183" s="1">
        <v>43</v>
      </c>
      <c r="B183" s="2">
        <v>44.158000000000001</v>
      </c>
      <c r="C183" s="3">
        <v>4763</v>
      </c>
      <c r="D183" s="1">
        <v>351</v>
      </c>
      <c r="E183" s="1">
        <v>2</v>
      </c>
      <c r="F183" s="1">
        <v>66</v>
      </c>
      <c r="G183" s="1">
        <v>13</v>
      </c>
      <c r="H183" t="s">
        <v>16</v>
      </c>
      <c r="I183" t="s">
        <v>13</v>
      </c>
      <c r="J183" t="s">
        <v>14</v>
      </c>
      <c r="K183" t="s">
        <v>17</v>
      </c>
      <c r="L183" s="3">
        <v>385</v>
      </c>
    </row>
    <row r="184" spans="1:12" x14ac:dyDescent="0.2">
      <c r="A184" s="1">
        <v>79</v>
      </c>
      <c r="B184" s="2">
        <v>110.968</v>
      </c>
      <c r="C184" s="3">
        <v>6662</v>
      </c>
      <c r="D184" s="1">
        <v>468</v>
      </c>
      <c r="E184" s="1">
        <v>3</v>
      </c>
      <c r="F184" s="1">
        <v>45</v>
      </c>
      <c r="G184" s="1">
        <v>11</v>
      </c>
      <c r="H184" t="s">
        <v>16</v>
      </c>
      <c r="I184" t="s">
        <v>13</v>
      </c>
      <c r="J184" t="s">
        <v>14</v>
      </c>
      <c r="K184" t="s">
        <v>15</v>
      </c>
      <c r="L184" s="3">
        <v>391</v>
      </c>
    </row>
    <row r="185" spans="1:12" x14ac:dyDescent="0.2">
      <c r="A185" s="1">
        <v>344</v>
      </c>
      <c r="B185" s="2">
        <v>10.734999999999999</v>
      </c>
      <c r="C185" s="3">
        <v>3746</v>
      </c>
      <c r="D185" s="1">
        <v>280</v>
      </c>
      <c r="E185" s="1">
        <v>2</v>
      </c>
      <c r="F185" s="1">
        <v>44</v>
      </c>
      <c r="G185" s="1">
        <v>17</v>
      </c>
      <c r="H185" t="s">
        <v>16</v>
      </c>
      <c r="I185" t="s">
        <v>13</v>
      </c>
      <c r="J185" t="s">
        <v>14</v>
      </c>
      <c r="K185" t="s">
        <v>15</v>
      </c>
      <c r="L185" s="3">
        <v>410</v>
      </c>
    </row>
    <row r="186" spans="1:12" x14ac:dyDescent="0.2">
      <c r="A186" s="1">
        <v>24</v>
      </c>
      <c r="B186" s="2">
        <v>64.027000000000001</v>
      </c>
      <c r="C186" s="3">
        <v>5179</v>
      </c>
      <c r="D186" s="1">
        <v>398</v>
      </c>
      <c r="E186" s="1">
        <v>5</v>
      </c>
      <c r="F186" s="1">
        <v>48</v>
      </c>
      <c r="G186" s="1">
        <v>8</v>
      </c>
      <c r="H186" t="s">
        <v>12</v>
      </c>
      <c r="I186" t="s">
        <v>13</v>
      </c>
      <c r="J186" t="s">
        <v>14</v>
      </c>
      <c r="K186" t="s">
        <v>18</v>
      </c>
      <c r="L186" s="3">
        <v>411</v>
      </c>
    </row>
    <row r="187" spans="1:12" x14ac:dyDescent="0.2">
      <c r="A187" s="1">
        <v>355</v>
      </c>
      <c r="B187" s="2">
        <v>12.068</v>
      </c>
      <c r="C187" s="3">
        <v>3873</v>
      </c>
      <c r="D187" s="1">
        <v>292</v>
      </c>
      <c r="E187" s="1">
        <v>1</v>
      </c>
      <c r="F187" s="1">
        <v>44</v>
      </c>
      <c r="G187" s="1">
        <v>18</v>
      </c>
      <c r="H187" t="s">
        <v>16</v>
      </c>
      <c r="I187" t="s">
        <v>13</v>
      </c>
      <c r="J187" t="s">
        <v>14</v>
      </c>
      <c r="K187" t="s">
        <v>17</v>
      </c>
      <c r="L187" s="3">
        <v>413</v>
      </c>
    </row>
    <row r="188" spans="1:12" x14ac:dyDescent="0.2">
      <c r="A188" s="1">
        <v>304</v>
      </c>
      <c r="B188" s="2">
        <v>44.061</v>
      </c>
      <c r="C188" s="3">
        <v>4970</v>
      </c>
      <c r="D188" s="1">
        <v>352</v>
      </c>
      <c r="E188" s="1">
        <v>1</v>
      </c>
      <c r="F188" s="1">
        <v>79</v>
      </c>
      <c r="G188" s="1">
        <v>11</v>
      </c>
      <c r="H188" t="s">
        <v>12</v>
      </c>
      <c r="I188" t="s">
        <v>13</v>
      </c>
      <c r="J188" t="s">
        <v>14</v>
      </c>
      <c r="K188" t="s">
        <v>18</v>
      </c>
      <c r="L188" s="3">
        <v>414</v>
      </c>
    </row>
    <row r="189" spans="1:12" x14ac:dyDescent="0.2">
      <c r="A189" s="1">
        <v>325</v>
      </c>
      <c r="B189" s="2">
        <v>31.029</v>
      </c>
      <c r="C189" s="3">
        <v>2863</v>
      </c>
      <c r="D189" s="1">
        <v>223</v>
      </c>
      <c r="E189" s="1">
        <v>2</v>
      </c>
      <c r="F189" s="1">
        <v>66</v>
      </c>
      <c r="G189" s="1">
        <v>17</v>
      </c>
      <c r="H189" t="s">
        <v>12</v>
      </c>
      <c r="I189" t="s">
        <v>14</v>
      </c>
      <c r="J189" t="s">
        <v>14</v>
      </c>
      <c r="K189" t="s">
        <v>17</v>
      </c>
      <c r="L189" s="3">
        <v>415</v>
      </c>
    </row>
    <row r="190" spans="1:12" x14ac:dyDescent="0.2">
      <c r="A190" s="1">
        <v>36</v>
      </c>
      <c r="B190" s="2">
        <v>23.35</v>
      </c>
      <c r="C190" s="3">
        <v>2558</v>
      </c>
      <c r="D190" s="1">
        <v>220</v>
      </c>
      <c r="E190" s="1">
        <v>3</v>
      </c>
      <c r="F190" s="1">
        <v>49</v>
      </c>
      <c r="G190" s="1">
        <v>12</v>
      </c>
      <c r="H190" t="s">
        <v>16</v>
      </c>
      <c r="I190" t="s">
        <v>14</v>
      </c>
      <c r="J190" t="s">
        <v>13</v>
      </c>
      <c r="K190" t="s">
        <v>15</v>
      </c>
      <c r="L190" s="3">
        <v>419</v>
      </c>
    </row>
    <row r="191" spans="1:12" x14ac:dyDescent="0.2">
      <c r="A191" s="1">
        <v>181</v>
      </c>
      <c r="B191" s="2">
        <v>10.635</v>
      </c>
      <c r="C191" s="3">
        <v>3584</v>
      </c>
      <c r="D191" s="1">
        <v>294</v>
      </c>
      <c r="E191" s="1">
        <v>5</v>
      </c>
      <c r="F191" s="1">
        <v>69</v>
      </c>
      <c r="G191" s="1">
        <v>16</v>
      </c>
      <c r="H191" t="s">
        <v>12</v>
      </c>
      <c r="I191" t="s">
        <v>13</v>
      </c>
      <c r="J191" t="s">
        <v>14</v>
      </c>
      <c r="K191" t="s">
        <v>17</v>
      </c>
      <c r="L191" s="3">
        <v>423</v>
      </c>
    </row>
    <row r="192" spans="1:12" x14ac:dyDescent="0.2">
      <c r="A192" s="1">
        <v>354</v>
      </c>
      <c r="B192" s="2">
        <v>41.868000000000002</v>
      </c>
      <c r="C192" s="3">
        <v>4716</v>
      </c>
      <c r="D192" s="1">
        <v>342</v>
      </c>
      <c r="E192" s="1">
        <v>2</v>
      </c>
      <c r="F192" s="1">
        <v>47</v>
      </c>
      <c r="G192" s="1">
        <v>18</v>
      </c>
      <c r="H192" t="s">
        <v>12</v>
      </c>
      <c r="I192" t="s">
        <v>13</v>
      </c>
      <c r="J192" t="s">
        <v>13</v>
      </c>
      <c r="K192" t="s">
        <v>15</v>
      </c>
      <c r="L192" s="3">
        <v>425</v>
      </c>
    </row>
    <row r="193" spans="1:12" x14ac:dyDescent="0.2">
      <c r="A193" s="1">
        <v>342</v>
      </c>
      <c r="B193" s="2">
        <v>13.234</v>
      </c>
      <c r="C193" s="3">
        <v>3922</v>
      </c>
      <c r="D193" s="1">
        <v>299</v>
      </c>
      <c r="E193" s="1">
        <v>2</v>
      </c>
      <c r="F193" s="1">
        <v>77</v>
      </c>
      <c r="G193" s="1">
        <v>17</v>
      </c>
      <c r="H193" t="s">
        <v>16</v>
      </c>
      <c r="I193" t="s">
        <v>13</v>
      </c>
      <c r="J193" t="s">
        <v>14</v>
      </c>
      <c r="K193" t="s">
        <v>15</v>
      </c>
      <c r="L193" s="3">
        <v>426</v>
      </c>
    </row>
    <row r="194" spans="1:12" x14ac:dyDescent="0.2">
      <c r="A194" s="1">
        <v>157</v>
      </c>
      <c r="B194" s="2">
        <v>31.811</v>
      </c>
      <c r="C194" s="3">
        <v>4284</v>
      </c>
      <c r="D194" s="1">
        <v>338</v>
      </c>
      <c r="E194" s="1">
        <v>5</v>
      </c>
      <c r="F194" s="1">
        <v>75</v>
      </c>
      <c r="G194" s="1">
        <v>13</v>
      </c>
      <c r="H194" t="s">
        <v>16</v>
      </c>
      <c r="I194" t="s">
        <v>13</v>
      </c>
      <c r="J194" t="s">
        <v>14</v>
      </c>
      <c r="K194" t="s">
        <v>15</v>
      </c>
      <c r="L194" s="3">
        <v>429</v>
      </c>
    </row>
    <row r="195" spans="1:12" x14ac:dyDescent="0.2">
      <c r="A195" s="1">
        <v>102</v>
      </c>
      <c r="B195" s="2">
        <v>17.975999999999999</v>
      </c>
      <c r="C195" s="3">
        <v>2433</v>
      </c>
      <c r="D195" s="1">
        <v>190</v>
      </c>
      <c r="E195" s="1">
        <v>3</v>
      </c>
      <c r="F195" s="1">
        <v>70</v>
      </c>
      <c r="G195" s="1">
        <v>16</v>
      </c>
      <c r="H195" t="s">
        <v>16</v>
      </c>
      <c r="I195" t="s">
        <v>14</v>
      </c>
      <c r="J195" t="s">
        <v>13</v>
      </c>
      <c r="K195" t="s">
        <v>15</v>
      </c>
      <c r="L195" s="3">
        <v>431</v>
      </c>
    </row>
    <row r="196" spans="1:12" x14ac:dyDescent="0.2">
      <c r="A196" s="1">
        <v>272</v>
      </c>
      <c r="B196" s="2">
        <v>44.978000000000002</v>
      </c>
      <c r="C196" s="3">
        <v>4866</v>
      </c>
      <c r="D196" s="1">
        <v>347</v>
      </c>
      <c r="E196" s="1">
        <v>1</v>
      </c>
      <c r="F196" s="1">
        <v>30</v>
      </c>
      <c r="G196" s="1">
        <v>10</v>
      </c>
      <c r="H196" t="s">
        <v>16</v>
      </c>
      <c r="I196" t="s">
        <v>13</v>
      </c>
      <c r="J196" t="s">
        <v>13</v>
      </c>
      <c r="K196" t="s">
        <v>15</v>
      </c>
      <c r="L196" s="3">
        <v>436</v>
      </c>
    </row>
    <row r="197" spans="1:12" x14ac:dyDescent="0.2">
      <c r="A197" s="1">
        <v>238</v>
      </c>
      <c r="B197" s="2">
        <v>60.579000000000001</v>
      </c>
      <c r="C197" s="3">
        <v>5149</v>
      </c>
      <c r="D197" s="1">
        <v>388</v>
      </c>
      <c r="E197" s="1">
        <v>5</v>
      </c>
      <c r="F197" s="1">
        <v>38</v>
      </c>
      <c r="G197" s="1">
        <v>15</v>
      </c>
      <c r="H197" t="s">
        <v>12</v>
      </c>
      <c r="I197" t="s">
        <v>13</v>
      </c>
      <c r="J197" t="s">
        <v>14</v>
      </c>
      <c r="K197" t="s">
        <v>17</v>
      </c>
      <c r="L197" s="3">
        <v>443</v>
      </c>
    </row>
    <row r="198" spans="1:12" x14ac:dyDescent="0.2">
      <c r="A198" s="1">
        <v>186</v>
      </c>
      <c r="B198" s="2">
        <v>30.42</v>
      </c>
      <c r="C198" s="3">
        <v>4442</v>
      </c>
      <c r="D198" s="1">
        <v>316</v>
      </c>
      <c r="E198" s="1">
        <v>1</v>
      </c>
      <c r="F198" s="1">
        <v>30</v>
      </c>
      <c r="G198" s="1">
        <v>14</v>
      </c>
      <c r="H198" t="s">
        <v>16</v>
      </c>
      <c r="I198" t="s">
        <v>13</v>
      </c>
      <c r="J198" t="s">
        <v>13</v>
      </c>
      <c r="K198" t="s">
        <v>18</v>
      </c>
      <c r="L198" s="3">
        <v>450</v>
      </c>
    </row>
    <row r="199" spans="1:12" x14ac:dyDescent="0.2">
      <c r="A199" s="1">
        <v>179</v>
      </c>
      <c r="B199" s="2">
        <v>28.315999999999999</v>
      </c>
      <c r="C199" s="3">
        <v>4391</v>
      </c>
      <c r="D199" s="1">
        <v>316</v>
      </c>
      <c r="E199" s="1">
        <v>2</v>
      </c>
      <c r="F199" s="1">
        <v>29</v>
      </c>
      <c r="G199" s="1">
        <v>10</v>
      </c>
      <c r="H199" t="s">
        <v>16</v>
      </c>
      <c r="I199" t="s">
        <v>13</v>
      </c>
      <c r="J199" t="s">
        <v>13</v>
      </c>
      <c r="K199" t="s">
        <v>15</v>
      </c>
      <c r="L199" s="3">
        <v>453</v>
      </c>
    </row>
    <row r="200" spans="1:12" x14ac:dyDescent="0.2">
      <c r="A200" s="1">
        <v>122</v>
      </c>
      <c r="B200" s="2">
        <v>148.08000000000001</v>
      </c>
      <c r="C200" s="3">
        <v>8157</v>
      </c>
      <c r="D200" s="1">
        <v>599</v>
      </c>
      <c r="E200" s="1">
        <v>2</v>
      </c>
      <c r="F200" s="1">
        <v>83</v>
      </c>
      <c r="G200" s="1">
        <v>13</v>
      </c>
      <c r="H200" t="s">
        <v>12</v>
      </c>
      <c r="I200" t="s">
        <v>13</v>
      </c>
      <c r="J200" t="s">
        <v>14</v>
      </c>
      <c r="K200" t="s">
        <v>15</v>
      </c>
      <c r="L200" s="3">
        <v>454</v>
      </c>
    </row>
    <row r="201" spans="1:12" x14ac:dyDescent="0.2">
      <c r="A201" s="1">
        <v>205</v>
      </c>
      <c r="B201" s="2">
        <v>57.337000000000003</v>
      </c>
      <c r="C201" s="3">
        <v>5310</v>
      </c>
      <c r="D201" s="1">
        <v>392</v>
      </c>
      <c r="E201" s="1">
        <v>2</v>
      </c>
      <c r="F201" s="1">
        <v>45</v>
      </c>
      <c r="G201" s="1">
        <v>7</v>
      </c>
      <c r="H201" t="s">
        <v>16</v>
      </c>
      <c r="I201" t="s">
        <v>13</v>
      </c>
      <c r="J201" t="s">
        <v>13</v>
      </c>
      <c r="K201" t="s">
        <v>15</v>
      </c>
      <c r="L201" s="3">
        <v>456</v>
      </c>
    </row>
    <row r="202" spans="1:12" x14ac:dyDescent="0.2">
      <c r="A202" s="1">
        <v>316</v>
      </c>
      <c r="B202" s="2">
        <v>14.478999999999999</v>
      </c>
      <c r="C202" s="3">
        <v>3907</v>
      </c>
      <c r="D202" s="1">
        <v>296</v>
      </c>
      <c r="E202" s="1">
        <v>3</v>
      </c>
      <c r="F202" s="1">
        <v>43</v>
      </c>
      <c r="G202" s="1">
        <v>16</v>
      </c>
      <c r="H202" t="s">
        <v>12</v>
      </c>
      <c r="I202" t="s">
        <v>13</v>
      </c>
      <c r="J202" t="s">
        <v>14</v>
      </c>
      <c r="K202" t="s">
        <v>15</v>
      </c>
      <c r="L202" s="3">
        <v>463</v>
      </c>
    </row>
    <row r="203" spans="1:12" x14ac:dyDescent="0.2">
      <c r="A203" s="1">
        <v>263</v>
      </c>
      <c r="B203" s="2">
        <v>10.587999999999999</v>
      </c>
      <c r="C203" s="3">
        <v>4049</v>
      </c>
      <c r="D203" s="1">
        <v>296</v>
      </c>
      <c r="E203" s="1">
        <v>1</v>
      </c>
      <c r="F203" s="1">
        <v>66</v>
      </c>
      <c r="G203" s="1">
        <v>13</v>
      </c>
      <c r="H203" t="s">
        <v>16</v>
      </c>
      <c r="I203" t="s">
        <v>13</v>
      </c>
      <c r="J203" t="s">
        <v>14</v>
      </c>
      <c r="K203" t="s">
        <v>15</v>
      </c>
      <c r="L203" s="3">
        <v>465</v>
      </c>
    </row>
    <row r="204" spans="1:12" x14ac:dyDescent="0.2">
      <c r="A204" s="1">
        <v>28</v>
      </c>
      <c r="B204" s="2">
        <v>32.792999999999999</v>
      </c>
      <c r="C204" s="3">
        <v>4534</v>
      </c>
      <c r="D204" s="1">
        <v>333</v>
      </c>
      <c r="E204" s="1">
        <v>2</v>
      </c>
      <c r="F204" s="1">
        <v>44</v>
      </c>
      <c r="G204" s="1">
        <v>16</v>
      </c>
      <c r="H204" t="s">
        <v>12</v>
      </c>
      <c r="I204" t="s">
        <v>13</v>
      </c>
      <c r="J204" t="s">
        <v>13</v>
      </c>
      <c r="K204" t="s">
        <v>18</v>
      </c>
      <c r="L204" s="3">
        <v>467</v>
      </c>
    </row>
    <row r="205" spans="1:12" x14ac:dyDescent="0.2">
      <c r="A205" s="1">
        <v>332</v>
      </c>
      <c r="B205" s="2">
        <v>12.581</v>
      </c>
      <c r="C205" s="3">
        <v>3976</v>
      </c>
      <c r="D205" s="1">
        <v>291</v>
      </c>
      <c r="E205" s="1">
        <v>2</v>
      </c>
      <c r="F205" s="1">
        <v>48</v>
      </c>
      <c r="G205" s="1">
        <v>16</v>
      </c>
      <c r="H205" t="s">
        <v>12</v>
      </c>
      <c r="I205" t="s">
        <v>13</v>
      </c>
      <c r="J205" t="s">
        <v>14</v>
      </c>
      <c r="K205" t="s">
        <v>15</v>
      </c>
      <c r="L205" s="3">
        <v>474</v>
      </c>
    </row>
    <row r="206" spans="1:12" x14ac:dyDescent="0.2">
      <c r="A206" s="1">
        <v>397</v>
      </c>
      <c r="B206" s="2">
        <v>13.364000000000001</v>
      </c>
      <c r="C206" s="3">
        <v>3838</v>
      </c>
      <c r="D206" s="1">
        <v>296</v>
      </c>
      <c r="E206" s="1">
        <v>5</v>
      </c>
      <c r="F206" s="1">
        <v>65</v>
      </c>
      <c r="G206" s="1">
        <v>17</v>
      </c>
      <c r="H206" t="s">
        <v>12</v>
      </c>
      <c r="I206" t="s">
        <v>13</v>
      </c>
      <c r="J206" t="s">
        <v>13</v>
      </c>
      <c r="K206" t="s">
        <v>18</v>
      </c>
      <c r="L206" s="3">
        <v>480</v>
      </c>
    </row>
    <row r="207" spans="1:12" x14ac:dyDescent="0.2">
      <c r="A207" s="1">
        <v>293</v>
      </c>
      <c r="B207" s="2">
        <v>51.531999999999996</v>
      </c>
      <c r="C207" s="3">
        <v>5096</v>
      </c>
      <c r="D207" s="1">
        <v>380</v>
      </c>
      <c r="E207" s="1">
        <v>2</v>
      </c>
      <c r="F207" s="1">
        <v>31</v>
      </c>
      <c r="G207" s="1">
        <v>15</v>
      </c>
      <c r="H207" t="s">
        <v>12</v>
      </c>
      <c r="I207" t="s">
        <v>13</v>
      </c>
      <c r="J207" t="s">
        <v>14</v>
      </c>
      <c r="K207" t="s">
        <v>15</v>
      </c>
      <c r="L207" s="3">
        <v>481</v>
      </c>
    </row>
    <row r="208" spans="1:12" x14ac:dyDescent="0.2">
      <c r="A208" s="1">
        <v>228</v>
      </c>
      <c r="B208" s="2">
        <v>66.989000000000004</v>
      </c>
      <c r="C208" s="3">
        <v>5614</v>
      </c>
      <c r="D208" s="1">
        <v>430</v>
      </c>
      <c r="E208" s="1">
        <v>3</v>
      </c>
      <c r="F208" s="1">
        <v>47</v>
      </c>
      <c r="G208" s="1">
        <v>14</v>
      </c>
      <c r="H208" t="s">
        <v>16</v>
      </c>
      <c r="I208" t="s">
        <v>13</v>
      </c>
      <c r="J208" t="s">
        <v>14</v>
      </c>
      <c r="K208" t="s">
        <v>15</v>
      </c>
      <c r="L208" s="3">
        <v>482</v>
      </c>
    </row>
    <row r="209" spans="1:12" x14ac:dyDescent="0.2">
      <c r="A209" s="1">
        <v>290</v>
      </c>
      <c r="B209" s="2">
        <v>10.852</v>
      </c>
      <c r="C209" s="3">
        <v>3907</v>
      </c>
      <c r="D209" s="1">
        <v>296</v>
      </c>
      <c r="E209" s="1">
        <v>2</v>
      </c>
      <c r="F209" s="1">
        <v>30</v>
      </c>
      <c r="G209" s="1">
        <v>9</v>
      </c>
      <c r="H209" t="s">
        <v>12</v>
      </c>
      <c r="I209" t="s">
        <v>13</v>
      </c>
      <c r="J209" t="s">
        <v>13</v>
      </c>
      <c r="K209" t="s">
        <v>15</v>
      </c>
      <c r="L209" s="3">
        <v>485</v>
      </c>
    </row>
    <row r="210" spans="1:12" x14ac:dyDescent="0.2">
      <c r="A210" s="1">
        <v>237</v>
      </c>
      <c r="B210" s="2">
        <v>42.529000000000003</v>
      </c>
      <c r="C210" s="3">
        <v>4986</v>
      </c>
      <c r="D210" s="1">
        <v>369</v>
      </c>
      <c r="E210" s="1">
        <v>2</v>
      </c>
      <c r="F210" s="1">
        <v>37</v>
      </c>
      <c r="G210" s="1">
        <v>11</v>
      </c>
      <c r="H210" t="s">
        <v>12</v>
      </c>
      <c r="I210" t="s">
        <v>13</v>
      </c>
      <c r="J210" t="s">
        <v>14</v>
      </c>
      <c r="K210" t="s">
        <v>17</v>
      </c>
      <c r="L210" s="3">
        <v>489</v>
      </c>
    </row>
    <row r="211" spans="1:12" x14ac:dyDescent="0.2">
      <c r="A211" s="1">
        <v>83</v>
      </c>
      <c r="B211" s="2">
        <v>23.672000000000001</v>
      </c>
      <c r="C211" s="3">
        <v>4433</v>
      </c>
      <c r="D211" s="1">
        <v>344</v>
      </c>
      <c r="E211" s="1">
        <v>3</v>
      </c>
      <c r="F211" s="1">
        <v>63</v>
      </c>
      <c r="G211" s="1">
        <v>11</v>
      </c>
      <c r="H211" t="s">
        <v>12</v>
      </c>
      <c r="I211" t="s">
        <v>13</v>
      </c>
      <c r="J211" t="s">
        <v>13</v>
      </c>
      <c r="K211" t="s">
        <v>15</v>
      </c>
      <c r="L211" s="3">
        <v>503</v>
      </c>
    </row>
    <row r="212" spans="1:12" x14ac:dyDescent="0.2">
      <c r="A212" s="1">
        <v>350</v>
      </c>
      <c r="B212" s="2">
        <v>48.576999999999998</v>
      </c>
      <c r="C212" s="3">
        <v>5145</v>
      </c>
      <c r="D212" s="1">
        <v>389</v>
      </c>
      <c r="E212" s="1">
        <v>3</v>
      </c>
      <c r="F212" s="1">
        <v>71</v>
      </c>
      <c r="G212" s="1">
        <v>13</v>
      </c>
      <c r="H212" t="s">
        <v>16</v>
      </c>
      <c r="I212" t="s">
        <v>13</v>
      </c>
      <c r="J212" t="s">
        <v>14</v>
      </c>
      <c r="K212" t="s">
        <v>17</v>
      </c>
      <c r="L212" s="3">
        <v>503</v>
      </c>
    </row>
    <row r="213" spans="1:12" x14ac:dyDescent="0.2">
      <c r="A213" s="1">
        <v>116</v>
      </c>
      <c r="B213" s="2">
        <v>40.442</v>
      </c>
      <c r="C213" s="3">
        <v>4828</v>
      </c>
      <c r="D213" s="1">
        <v>369</v>
      </c>
      <c r="E213" s="1">
        <v>5</v>
      </c>
      <c r="F213" s="1">
        <v>81</v>
      </c>
      <c r="G213" s="1">
        <v>8</v>
      </c>
      <c r="H213" t="s">
        <v>16</v>
      </c>
      <c r="I213" t="s">
        <v>13</v>
      </c>
      <c r="J213" t="s">
        <v>13</v>
      </c>
      <c r="K213" t="s">
        <v>18</v>
      </c>
      <c r="L213" s="3">
        <v>510</v>
      </c>
    </row>
    <row r="214" spans="1:12" x14ac:dyDescent="0.2">
      <c r="A214" s="1">
        <v>182</v>
      </c>
      <c r="B214" s="2">
        <v>46.101999999999997</v>
      </c>
      <c r="C214" s="3">
        <v>5180</v>
      </c>
      <c r="D214" s="1">
        <v>382</v>
      </c>
      <c r="E214" s="1">
        <v>3</v>
      </c>
      <c r="F214" s="1">
        <v>81</v>
      </c>
      <c r="G214" s="1">
        <v>12</v>
      </c>
      <c r="H214" t="s">
        <v>12</v>
      </c>
      <c r="I214" t="s">
        <v>13</v>
      </c>
      <c r="J214" t="s">
        <v>14</v>
      </c>
      <c r="K214" t="s">
        <v>18</v>
      </c>
      <c r="L214" s="3">
        <v>516</v>
      </c>
    </row>
    <row r="215" spans="1:12" x14ac:dyDescent="0.2">
      <c r="A215" s="1">
        <v>33</v>
      </c>
      <c r="B215" s="2">
        <v>134.18100000000001</v>
      </c>
      <c r="C215" s="3">
        <v>7838</v>
      </c>
      <c r="D215" s="1">
        <v>563</v>
      </c>
      <c r="E215" s="1">
        <v>2</v>
      </c>
      <c r="F215" s="1">
        <v>48</v>
      </c>
      <c r="G215" s="1">
        <v>13</v>
      </c>
      <c r="H215" t="s">
        <v>16</v>
      </c>
      <c r="I215" t="s">
        <v>13</v>
      </c>
      <c r="J215" t="s">
        <v>13</v>
      </c>
      <c r="K215" t="s">
        <v>15</v>
      </c>
      <c r="L215" s="3">
        <v>526</v>
      </c>
    </row>
    <row r="216" spans="1:12" x14ac:dyDescent="0.2">
      <c r="A216" s="1">
        <v>276</v>
      </c>
      <c r="B216" s="2">
        <v>163.32900000000001</v>
      </c>
      <c r="C216" s="3">
        <v>8732</v>
      </c>
      <c r="D216" s="1">
        <v>636</v>
      </c>
      <c r="E216" s="1">
        <v>3</v>
      </c>
      <c r="F216" s="1">
        <v>50</v>
      </c>
      <c r="G216" s="1">
        <v>14</v>
      </c>
      <c r="H216" t="s">
        <v>12</v>
      </c>
      <c r="I216" t="s">
        <v>13</v>
      </c>
      <c r="J216" t="s">
        <v>14</v>
      </c>
      <c r="K216" t="s">
        <v>15</v>
      </c>
      <c r="L216" s="3">
        <v>529</v>
      </c>
    </row>
    <row r="217" spans="1:12" x14ac:dyDescent="0.2">
      <c r="A217" s="1">
        <v>39</v>
      </c>
      <c r="B217" s="2">
        <v>11.795</v>
      </c>
      <c r="C217" s="3">
        <v>3899</v>
      </c>
      <c r="D217" s="1">
        <v>300</v>
      </c>
      <c r="E217" s="1">
        <v>4</v>
      </c>
      <c r="F217" s="1">
        <v>25</v>
      </c>
      <c r="G217" s="1">
        <v>10</v>
      </c>
      <c r="H217" t="s">
        <v>16</v>
      </c>
      <c r="I217" t="s">
        <v>13</v>
      </c>
      <c r="J217" t="s">
        <v>13</v>
      </c>
      <c r="K217" t="s">
        <v>15</v>
      </c>
      <c r="L217" s="3">
        <v>531</v>
      </c>
    </row>
    <row r="218" spans="1:12" x14ac:dyDescent="0.2">
      <c r="A218" s="1">
        <v>278</v>
      </c>
      <c r="B218" s="2">
        <v>41.531999999999996</v>
      </c>
      <c r="C218" s="3">
        <v>5000</v>
      </c>
      <c r="D218" s="1">
        <v>353</v>
      </c>
      <c r="E218" s="1">
        <v>2</v>
      </c>
      <c r="F218" s="1">
        <v>50</v>
      </c>
      <c r="G218" s="1">
        <v>12</v>
      </c>
      <c r="H218" t="s">
        <v>12</v>
      </c>
      <c r="I218" t="s">
        <v>13</v>
      </c>
      <c r="J218" t="s">
        <v>14</v>
      </c>
      <c r="K218" t="s">
        <v>15</v>
      </c>
      <c r="L218" s="3">
        <v>531</v>
      </c>
    </row>
    <row r="219" spans="1:12" x14ac:dyDescent="0.2">
      <c r="A219" s="1">
        <v>60</v>
      </c>
      <c r="B219" s="2">
        <v>51.872</v>
      </c>
      <c r="C219" s="3">
        <v>5294</v>
      </c>
      <c r="D219" s="1">
        <v>390</v>
      </c>
      <c r="E219" s="1">
        <v>4</v>
      </c>
      <c r="F219" s="1">
        <v>81</v>
      </c>
      <c r="G219" s="1">
        <v>17</v>
      </c>
      <c r="H219" t="s">
        <v>16</v>
      </c>
      <c r="I219" t="s">
        <v>13</v>
      </c>
      <c r="J219" t="s">
        <v>13</v>
      </c>
      <c r="K219" t="s">
        <v>15</v>
      </c>
      <c r="L219" s="3">
        <v>531</v>
      </c>
    </row>
    <row r="220" spans="1:12" x14ac:dyDescent="0.2">
      <c r="A220" s="1">
        <v>77</v>
      </c>
      <c r="B220" s="2">
        <v>30.622</v>
      </c>
      <c r="C220" s="3">
        <v>3293</v>
      </c>
      <c r="D220" s="1">
        <v>251</v>
      </c>
      <c r="E220" s="1">
        <v>1</v>
      </c>
      <c r="F220" s="1">
        <v>68</v>
      </c>
      <c r="G220" s="1">
        <v>16</v>
      </c>
      <c r="H220" t="s">
        <v>12</v>
      </c>
      <c r="I220" t="s">
        <v>14</v>
      </c>
      <c r="J220" t="s">
        <v>13</v>
      </c>
      <c r="K220" t="s">
        <v>15</v>
      </c>
      <c r="L220" s="3">
        <v>532</v>
      </c>
    </row>
    <row r="221" spans="1:12" x14ac:dyDescent="0.2">
      <c r="A221" s="1">
        <v>152</v>
      </c>
      <c r="B221" s="2">
        <v>35.863999999999997</v>
      </c>
      <c r="C221" s="3">
        <v>4831</v>
      </c>
      <c r="D221" s="1">
        <v>353</v>
      </c>
      <c r="E221" s="1">
        <v>3</v>
      </c>
      <c r="F221" s="1">
        <v>66</v>
      </c>
      <c r="G221" s="1">
        <v>13</v>
      </c>
      <c r="H221" t="s">
        <v>16</v>
      </c>
      <c r="I221" t="s">
        <v>13</v>
      </c>
      <c r="J221" t="s">
        <v>14</v>
      </c>
      <c r="K221" t="s">
        <v>15</v>
      </c>
      <c r="L221" s="3">
        <v>534</v>
      </c>
    </row>
    <row r="222" spans="1:12" x14ac:dyDescent="0.2">
      <c r="A222" s="1">
        <v>191</v>
      </c>
      <c r="B222" s="2">
        <v>55.186999999999998</v>
      </c>
      <c r="C222" s="3">
        <v>5352</v>
      </c>
      <c r="D222" s="1">
        <v>385</v>
      </c>
      <c r="E222" s="1">
        <v>4</v>
      </c>
      <c r="F222" s="1">
        <v>50</v>
      </c>
      <c r="G222" s="1">
        <v>17</v>
      </c>
      <c r="H222" t="s">
        <v>16</v>
      </c>
      <c r="I222" t="s">
        <v>13</v>
      </c>
      <c r="J222" t="s">
        <v>14</v>
      </c>
      <c r="K222" t="s">
        <v>15</v>
      </c>
      <c r="L222" s="3">
        <v>538</v>
      </c>
    </row>
    <row r="223" spans="1:12" x14ac:dyDescent="0.2">
      <c r="A223" s="1">
        <v>281</v>
      </c>
      <c r="B223" s="2">
        <v>53.401000000000003</v>
      </c>
      <c r="C223" s="3">
        <v>5319</v>
      </c>
      <c r="D223" s="1">
        <v>377</v>
      </c>
      <c r="E223" s="1">
        <v>3</v>
      </c>
      <c r="F223" s="1">
        <v>35</v>
      </c>
      <c r="G223" s="1">
        <v>12</v>
      </c>
      <c r="H223" t="s">
        <v>16</v>
      </c>
      <c r="I223" t="s">
        <v>13</v>
      </c>
      <c r="J223" t="s">
        <v>13</v>
      </c>
      <c r="K223" t="s">
        <v>18</v>
      </c>
      <c r="L223" s="3">
        <v>541</v>
      </c>
    </row>
    <row r="224" spans="1:12" x14ac:dyDescent="0.2">
      <c r="A224" s="1">
        <v>165</v>
      </c>
      <c r="B224" s="2">
        <v>76.781999999999996</v>
      </c>
      <c r="C224" s="3">
        <v>5977</v>
      </c>
      <c r="D224" s="1">
        <v>429</v>
      </c>
      <c r="E224" s="1">
        <v>4</v>
      </c>
      <c r="F224" s="1">
        <v>44</v>
      </c>
      <c r="G224" s="1">
        <v>12</v>
      </c>
      <c r="H224" t="s">
        <v>12</v>
      </c>
      <c r="I224" t="s">
        <v>13</v>
      </c>
      <c r="J224" t="s">
        <v>14</v>
      </c>
      <c r="K224" t="s">
        <v>17</v>
      </c>
      <c r="L224" s="3">
        <v>548</v>
      </c>
    </row>
    <row r="225" spans="1:12" x14ac:dyDescent="0.2">
      <c r="A225" s="1">
        <v>266</v>
      </c>
      <c r="B225" s="2">
        <v>40.884999999999998</v>
      </c>
      <c r="C225" s="3">
        <v>5013</v>
      </c>
      <c r="D225" s="1">
        <v>379</v>
      </c>
      <c r="E225" s="1">
        <v>3</v>
      </c>
      <c r="F225" s="1">
        <v>46</v>
      </c>
      <c r="G225" s="1">
        <v>13</v>
      </c>
      <c r="H225" t="s">
        <v>16</v>
      </c>
      <c r="I225" t="s">
        <v>13</v>
      </c>
      <c r="J225" t="s">
        <v>14</v>
      </c>
      <c r="K225" t="s">
        <v>18</v>
      </c>
      <c r="L225" s="3">
        <v>549</v>
      </c>
    </row>
    <row r="226" spans="1:12" x14ac:dyDescent="0.2">
      <c r="A226" s="1">
        <v>396</v>
      </c>
      <c r="B226" s="2">
        <v>12.096</v>
      </c>
      <c r="C226" s="3">
        <v>4100</v>
      </c>
      <c r="D226" s="1">
        <v>307</v>
      </c>
      <c r="E226" s="1">
        <v>3</v>
      </c>
      <c r="F226" s="1">
        <v>32</v>
      </c>
      <c r="G226" s="1">
        <v>13</v>
      </c>
      <c r="H226" t="s">
        <v>12</v>
      </c>
      <c r="I226" t="s">
        <v>13</v>
      </c>
      <c r="J226" t="s">
        <v>14</v>
      </c>
      <c r="K226" t="s">
        <v>15</v>
      </c>
      <c r="L226" s="3">
        <v>560</v>
      </c>
    </row>
    <row r="227" spans="1:12" x14ac:dyDescent="0.2">
      <c r="A227" s="1">
        <v>166</v>
      </c>
      <c r="B227" s="2">
        <v>25.382999999999999</v>
      </c>
      <c r="C227" s="3">
        <v>4527</v>
      </c>
      <c r="D227" s="1">
        <v>367</v>
      </c>
      <c r="E227" s="1">
        <v>4</v>
      </c>
      <c r="F227" s="1">
        <v>46</v>
      </c>
      <c r="G227" s="1">
        <v>11</v>
      </c>
      <c r="H227" t="s">
        <v>12</v>
      </c>
      <c r="I227" t="s">
        <v>13</v>
      </c>
      <c r="J227" t="s">
        <v>14</v>
      </c>
      <c r="K227" t="s">
        <v>15</v>
      </c>
      <c r="L227" s="3">
        <v>570</v>
      </c>
    </row>
    <row r="228" spans="1:12" x14ac:dyDescent="0.2">
      <c r="A228" s="1">
        <v>200</v>
      </c>
      <c r="B228" s="2">
        <v>10.403</v>
      </c>
      <c r="C228" s="3">
        <v>4159</v>
      </c>
      <c r="D228" s="1">
        <v>310</v>
      </c>
      <c r="E228" s="1">
        <v>3</v>
      </c>
      <c r="F228" s="1">
        <v>43</v>
      </c>
      <c r="G228" s="1">
        <v>7</v>
      </c>
      <c r="H228" t="s">
        <v>12</v>
      </c>
      <c r="I228" t="s">
        <v>13</v>
      </c>
      <c r="J228" t="s">
        <v>14</v>
      </c>
      <c r="K228" t="s">
        <v>17</v>
      </c>
      <c r="L228" s="3">
        <v>571</v>
      </c>
    </row>
    <row r="229" spans="1:12" x14ac:dyDescent="0.2">
      <c r="A229" s="1">
        <v>224</v>
      </c>
      <c r="B229" s="2">
        <v>27.512</v>
      </c>
      <c r="C229" s="3">
        <v>4613</v>
      </c>
      <c r="D229" s="1">
        <v>344</v>
      </c>
      <c r="E229" s="1">
        <v>5</v>
      </c>
      <c r="F229" s="1">
        <v>72</v>
      </c>
      <c r="G229" s="1">
        <v>17</v>
      </c>
      <c r="H229" t="s">
        <v>12</v>
      </c>
      <c r="I229" t="s">
        <v>13</v>
      </c>
      <c r="J229" t="s">
        <v>14</v>
      </c>
      <c r="K229" t="s">
        <v>17</v>
      </c>
      <c r="L229" s="3">
        <v>573</v>
      </c>
    </row>
    <row r="230" spans="1:12" x14ac:dyDescent="0.2">
      <c r="A230" s="1">
        <v>364</v>
      </c>
      <c r="B230" s="2">
        <v>64.173000000000002</v>
      </c>
      <c r="C230" s="3">
        <v>6127</v>
      </c>
      <c r="D230" s="1">
        <v>433</v>
      </c>
      <c r="E230" s="1">
        <v>1</v>
      </c>
      <c r="F230" s="1">
        <v>80</v>
      </c>
      <c r="G230" s="1">
        <v>10</v>
      </c>
      <c r="H230" t="s">
        <v>12</v>
      </c>
      <c r="I230" t="s">
        <v>13</v>
      </c>
      <c r="J230" t="s">
        <v>14</v>
      </c>
      <c r="K230" t="s">
        <v>15</v>
      </c>
      <c r="L230" s="3">
        <v>578</v>
      </c>
    </row>
    <row r="231" spans="1:12" x14ac:dyDescent="0.2">
      <c r="A231" s="1">
        <v>89</v>
      </c>
      <c r="B231" s="2">
        <v>15.56</v>
      </c>
      <c r="C231" s="3">
        <v>4307</v>
      </c>
      <c r="D231" s="1">
        <v>352</v>
      </c>
      <c r="E231" s="1">
        <v>4</v>
      </c>
      <c r="F231" s="1">
        <v>57</v>
      </c>
      <c r="G231" s="1">
        <v>8</v>
      </c>
      <c r="H231" t="s">
        <v>12</v>
      </c>
      <c r="I231" t="s">
        <v>13</v>
      </c>
      <c r="J231" t="s">
        <v>14</v>
      </c>
      <c r="K231" t="s">
        <v>18</v>
      </c>
      <c r="L231" s="3">
        <v>579</v>
      </c>
    </row>
    <row r="232" spans="1:12" x14ac:dyDescent="0.2">
      <c r="A232" s="1">
        <v>301</v>
      </c>
      <c r="B232" s="2">
        <v>21.786000000000001</v>
      </c>
      <c r="C232" s="3">
        <v>4632</v>
      </c>
      <c r="D232" s="1">
        <v>355</v>
      </c>
      <c r="E232" s="1">
        <v>1</v>
      </c>
      <c r="F232" s="1">
        <v>50</v>
      </c>
      <c r="G232" s="1">
        <v>17</v>
      </c>
      <c r="H232" t="s">
        <v>12</v>
      </c>
      <c r="I232" t="s">
        <v>13</v>
      </c>
      <c r="J232" t="s">
        <v>14</v>
      </c>
      <c r="K232" t="s">
        <v>15</v>
      </c>
      <c r="L232" s="3">
        <v>580</v>
      </c>
    </row>
    <row r="233" spans="1:12" x14ac:dyDescent="0.2">
      <c r="A233" s="1">
        <v>3</v>
      </c>
      <c r="B233" s="2">
        <v>104.593</v>
      </c>
      <c r="C233" s="3">
        <v>7075</v>
      </c>
      <c r="D233" s="1">
        <v>514</v>
      </c>
      <c r="E233" s="1">
        <v>4</v>
      </c>
      <c r="F233" s="1">
        <v>71</v>
      </c>
      <c r="G233" s="1">
        <v>11</v>
      </c>
      <c r="H233" t="s">
        <v>12</v>
      </c>
      <c r="I233" t="s">
        <v>13</v>
      </c>
      <c r="J233" t="s">
        <v>13</v>
      </c>
      <c r="K233" t="s">
        <v>17</v>
      </c>
      <c r="L233" s="3">
        <v>580</v>
      </c>
    </row>
    <row r="234" spans="1:12" x14ac:dyDescent="0.2">
      <c r="A234" s="1">
        <v>151</v>
      </c>
      <c r="B234" s="2">
        <v>63.930999999999997</v>
      </c>
      <c r="C234" s="3">
        <v>5728</v>
      </c>
      <c r="D234" s="1">
        <v>435</v>
      </c>
      <c r="E234" s="1">
        <v>3</v>
      </c>
      <c r="F234" s="1">
        <v>28</v>
      </c>
      <c r="G234" s="1">
        <v>14</v>
      </c>
      <c r="H234" t="s">
        <v>16</v>
      </c>
      <c r="I234" t="s">
        <v>13</v>
      </c>
      <c r="J234" t="s">
        <v>14</v>
      </c>
      <c r="K234" t="s">
        <v>18</v>
      </c>
      <c r="L234" s="3">
        <v>581</v>
      </c>
    </row>
    <row r="235" spans="1:12" x14ac:dyDescent="0.2">
      <c r="A235" s="1">
        <v>353</v>
      </c>
      <c r="B235" s="2">
        <v>104.483</v>
      </c>
      <c r="C235" s="3">
        <v>7140</v>
      </c>
      <c r="D235" s="1">
        <v>507</v>
      </c>
      <c r="E235" s="1">
        <v>2</v>
      </c>
      <c r="F235" s="1">
        <v>41</v>
      </c>
      <c r="G235" s="1">
        <v>14</v>
      </c>
      <c r="H235" t="s">
        <v>12</v>
      </c>
      <c r="I235" t="s">
        <v>13</v>
      </c>
      <c r="J235" t="s">
        <v>14</v>
      </c>
      <c r="K235" t="s">
        <v>18</v>
      </c>
      <c r="L235" s="3">
        <v>583</v>
      </c>
    </row>
    <row r="236" spans="1:12" x14ac:dyDescent="0.2">
      <c r="A236" s="1">
        <v>375</v>
      </c>
      <c r="B236" s="2">
        <v>29.4</v>
      </c>
      <c r="C236" s="3">
        <v>4840</v>
      </c>
      <c r="D236" s="1">
        <v>368</v>
      </c>
      <c r="E236" s="1">
        <v>3</v>
      </c>
      <c r="F236" s="1">
        <v>76</v>
      </c>
      <c r="G236" s="1">
        <v>18</v>
      </c>
      <c r="H236" t="s">
        <v>16</v>
      </c>
      <c r="I236" t="s">
        <v>13</v>
      </c>
      <c r="J236" t="s">
        <v>14</v>
      </c>
      <c r="K236" t="s">
        <v>15</v>
      </c>
      <c r="L236" s="3">
        <v>588</v>
      </c>
    </row>
    <row r="237" spans="1:12" x14ac:dyDescent="0.2">
      <c r="A237" s="1">
        <v>335</v>
      </c>
      <c r="B237" s="2">
        <v>24.23</v>
      </c>
      <c r="C237" s="3">
        <v>4756</v>
      </c>
      <c r="D237" s="1">
        <v>351</v>
      </c>
      <c r="E237" s="1">
        <v>2</v>
      </c>
      <c r="F237" s="1">
        <v>64</v>
      </c>
      <c r="G237" s="1">
        <v>15</v>
      </c>
      <c r="H237" t="s">
        <v>16</v>
      </c>
      <c r="I237" t="s">
        <v>13</v>
      </c>
      <c r="J237" t="s">
        <v>14</v>
      </c>
      <c r="K237" t="s">
        <v>15</v>
      </c>
      <c r="L237" s="3">
        <v>594</v>
      </c>
    </row>
    <row r="238" spans="1:12" x14ac:dyDescent="0.2">
      <c r="A238" s="1">
        <v>74</v>
      </c>
      <c r="B238" s="2">
        <v>23.989000000000001</v>
      </c>
      <c r="C238" s="3">
        <v>4523</v>
      </c>
      <c r="D238" s="1">
        <v>338</v>
      </c>
      <c r="E238" s="1">
        <v>4</v>
      </c>
      <c r="F238" s="1">
        <v>31</v>
      </c>
      <c r="G238" s="1">
        <v>15</v>
      </c>
      <c r="H238" t="s">
        <v>12</v>
      </c>
      <c r="I238" t="s">
        <v>13</v>
      </c>
      <c r="J238" t="s">
        <v>13</v>
      </c>
      <c r="K238" t="s">
        <v>15</v>
      </c>
      <c r="L238" s="3">
        <v>601</v>
      </c>
    </row>
    <row r="239" spans="1:12" x14ac:dyDescent="0.2">
      <c r="A239" s="1">
        <v>66</v>
      </c>
      <c r="B239" s="2">
        <v>12</v>
      </c>
      <c r="C239" s="3">
        <v>4160</v>
      </c>
      <c r="D239" s="1">
        <v>320</v>
      </c>
      <c r="E239" s="1">
        <v>4</v>
      </c>
      <c r="F239" s="1">
        <v>28</v>
      </c>
      <c r="G239" s="1">
        <v>14</v>
      </c>
      <c r="H239" t="s">
        <v>16</v>
      </c>
      <c r="I239" t="s">
        <v>13</v>
      </c>
      <c r="J239" t="s">
        <v>14</v>
      </c>
      <c r="K239" t="s">
        <v>15</v>
      </c>
      <c r="L239" s="3">
        <v>602</v>
      </c>
    </row>
    <row r="240" spans="1:12" x14ac:dyDescent="0.2">
      <c r="A240" s="1">
        <v>142</v>
      </c>
      <c r="B240" s="2">
        <v>91.876000000000005</v>
      </c>
      <c r="C240" s="3">
        <v>6754</v>
      </c>
      <c r="D240" s="1">
        <v>483</v>
      </c>
      <c r="E240" s="1">
        <v>2</v>
      </c>
      <c r="F240" s="1">
        <v>33</v>
      </c>
      <c r="G240" s="1">
        <v>10</v>
      </c>
      <c r="H240" t="s">
        <v>12</v>
      </c>
      <c r="I240" t="s">
        <v>13</v>
      </c>
      <c r="J240" t="s">
        <v>14</v>
      </c>
      <c r="K240" t="s">
        <v>15</v>
      </c>
      <c r="L240" s="3">
        <v>605</v>
      </c>
    </row>
    <row r="241" spans="1:12" x14ac:dyDescent="0.2">
      <c r="A241" s="1">
        <v>339</v>
      </c>
      <c r="B241" s="2">
        <v>41.365000000000002</v>
      </c>
      <c r="C241" s="3">
        <v>5303</v>
      </c>
      <c r="D241" s="1">
        <v>377</v>
      </c>
      <c r="E241" s="1">
        <v>1</v>
      </c>
      <c r="F241" s="1">
        <v>45</v>
      </c>
      <c r="G241" s="1">
        <v>14</v>
      </c>
      <c r="H241" t="s">
        <v>12</v>
      </c>
      <c r="I241" t="s">
        <v>13</v>
      </c>
      <c r="J241" t="s">
        <v>13</v>
      </c>
      <c r="K241" t="s">
        <v>15</v>
      </c>
      <c r="L241" s="3">
        <v>606</v>
      </c>
    </row>
    <row r="242" spans="1:12" x14ac:dyDescent="0.2">
      <c r="A242" s="1">
        <v>53</v>
      </c>
      <c r="B242" s="2">
        <v>44.204999999999998</v>
      </c>
      <c r="C242" s="3">
        <v>5441</v>
      </c>
      <c r="D242" s="1">
        <v>394</v>
      </c>
      <c r="E242" s="1">
        <v>1</v>
      </c>
      <c r="F242" s="1">
        <v>32</v>
      </c>
      <c r="G242" s="1">
        <v>12</v>
      </c>
      <c r="H242" t="s">
        <v>12</v>
      </c>
      <c r="I242" t="s">
        <v>13</v>
      </c>
      <c r="J242" t="s">
        <v>14</v>
      </c>
      <c r="K242" t="s">
        <v>15</v>
      </c>
      <c r="L242" s="3">
        <v>607</v>
      </c>
    </row>
    <row r="243" spans="1:12" x14ac:dyDescent="0.2">
      <c r="A243" s="1">
        <v>360</v>
      </c>
      <c r="B243" s="2">
        <v>12.335000000000001</v>
      </c>
      <c r="C243" s="3">
        <v>4471</v>
      </c>
      <c r="D243" s="1">
        <v>344</v>
      </c>
      <c r="E243" s="1">
        <v>3</v>
      </c>
      <c r="F243" s="1">
        <v>79</v>
      </c>
      <c r="G243" s="1">
        <v>12</v>
      </c>
      <c r="H243" t="s">
        <v>12</v>
      </c>
      <c r="I243" t="s">
        <v>13</v>
      </c>
      <c r="J243" t="s">
        <v>14</v>
      </c>
      <c r="K243" t="s">
        <v>18</v>
      </c>
      <c r="L243" s="3">
        <v>611</v>
      </c>
    </row>
    <row r="244" spans="1:12" x14ac:dyDescent="0.2">
      <c r="A244" s="1">
        <v>61</v>
      </c>
      <c r="B244" s="2">
        <v>35.51</v>
      </c>
      <c r="C244" s="3">
        <v>5198</v>
      </c>
      <c r="D244" s="1">
        <v>364</v>
      </c>
      <c r="E244" s="1">
        <v>2</v>
      </c>
      <c r="F244" s="1">
        <v>35</v>
      </c>
      <c r="G244" s="1">
        <v>20</v>
      </c>
      <c r="H244" t="s">
        <v>16</v>
      </c>
      <c r="I244" t="s">
        <v>13</v>
      </c>
      <c r="J244" t="s">
        <v>13</v>
      </c>
      <c r="K244" t="s">
        <v>17</v>
      </c>
      <c r="L244" s="3">
        <v>631</v>
      </c>
    </row>
    <row r="245" spans="1:12" x14ac:dyDescent="0.2">
      <c r="A245" s="1">
        <v>345</v>
      </c>
      <c r="B245" s="2">
        <v>48.218000000000004</v>
      </c>
      <c r="C245" s="3">
        <v>5199</v>
      </c>
      <c r="D245" s="1">
        <v>401</v>
      </c>
      <c r="E245" s="1">
        <v>7</v>
      </c>
      <c r="F245" s="1">
        <v>39</v>
      </c>
      <c r="G245" s="1">
        <v>10</v>
      </c>
      <c r="H245" t="s">
        <v>12</v>
      </c>
      <c r="I245" t="s">
        <v>13</v>
      </c>
      <c r="J245" t="s">
        <v>14</v>
      </c>
      <c r="K245" t="s">
        <v>17</v>
      </c>
      <c r="L245" s="3">
        <v>633</v>
      </c>
    </row>
    <row r="246" spans="1:12" x14ac:dyDescent="0.2">
      <c r="A246" s="1">
        <v>214</v>
      </c>
      <c r="B246" s="2">
        <v>39.421999999999997</v>
      </c>
      <c r="C246" s="3">
        <v>5245</v>
      </c>
      <c r="D246" s="1">
        <v>383</v>
      </c>
      <c r="E246" s="1">
        <v>2</v>
      </c>
      <c r="F246" s="1">
        <v>44</v>
      </c>
      <c r="G246" s="1">
        <v>19</v>
      </c>
      <c r="H246" t="s">
        <v>12</v>
      </c>
      <c r="I246" t="s">
        <v>13</v>
      </c>
      <c r="J246" t="s">
        <v>13</v>
      </c>
      <c r="K246" t="s">
        <v>18</v>
      </c>
      <c r="L246" s="3">
        <v>637</v>
      </c>
    </row>
    <row r="247" spans="1:12" x14ac:dyDescent="0.2">
      <c r="A247" s="1">
        <v>206</v>
      </c>
      <c r="B247" s="2">
        <v>10.792999999999999</v>
      </c>
      <c r="C247" s="3">
        <v>3878</v>
      </c>
      <c r="D247" s="1">
        <v>321</v>
      </c>
      <c r="E247" s="1">
        <v>8</v>
      </c>
      <c r="F247" s="1">
        <v>29</v>
      </c>
      <c r="G247" s="1">
        <v>13</v>
      </c>
      <c r="H247" t="s">
        <v>12</v>
      </c>
      <c r="I247" t="s">
        <v>13</v>
      </c>
      <c r="J247" t="s">
        <v>13</v>
      </c>
      <c r="K247" t="s">
        <v>15</v>
      </c>
      <c r="L247" s="3">
        <v>638</v>
      </c>
    </row>
    <row r="248" spans="1:12" x14ac:dyDescent="0.2">
      <c r="A248" s="1">
        <v>146</v>
      </c>
      <c r="B248" s="2">
        <v>19.529</v>
      </c>
      <c r="C248" s="3">
        <v>4673</v>
      </c>
      <c r="D248" s="1">
        <v>341</v>
      </c>
      <c r="E248" s="1">
        <v>2</v>
      </c>
      <c r="F248" s="1">
        <v>51</v>
      </c>
      <c r="G248" s="1">
        <v>14</v>
      </c>
      <c r="H248" t="s">
        <v>12</v>
      </c>
      <c r="I248" t="s">
        <v>13</v>
      </c>
      <c r="J248" t="s">
        <v>13</v>
      </c>
      <c r="K248" t="s">
        <v>17</v>
      </c>
      <c r="L248" s="3">
        <v>642</v>
      </c>
    </row>
    <row r="249" spans="1:12" x14ac:dyDescent="0.2">
      <c r="A249" s="1">
        <v>265</v>
      </c>
      <c r="B249" s="2">
        <v>27.998999999999999</v>
      </c>
      <c r="C249" s="3">
        <v>5107</v>
      </c>
      <c r="D249" s="1">
        <v>380</v>
      </c>
      <c r="E249" s="1">
        <v>1</v>
      </c>
      <c r="F249" s="1">
        <v>55</v>
      </c>
      <c r="G249" s="1">
        <v>10</v>
      </c>
      <c r="H249" t="s">
        <v>12</v>
      </c>
      <c r="I249" t="s">
        <v>13</v>
      </c>
      <c r="J249" t="s">
        <v>14</v>
      </c>
      <c r="K249" t="s">
        <v>15</v>
      </c>
      <c r="L249" s="3">
        <v>651</v>
      </c>
    </row>
    <row r="250" spans="1:12" x14ac:dyDescent="0.2">
      <c r="A250" s="1">
        <v>220</v>
      </c>
      <c r="B250" s="2">
        <v>38.954000000000001</v>
      </c>
      <c r="C250" s="3">
        <v>5222</v>
      </c>
      <c r="D250" s="1">
        <v>370</v>
      </c>
      <c r="E250" s="1">
        <v>4</v>
      </c>
      <c r="F250" s="1">
        <v>76</v>
      </c>
      <c r="G250" s="1">
        <v>13</v>
      </c>
      <c r="H250" t="s">
        <v>16</v>
      </c>
      <c r="I250" t="s">
        <v>13</v>
      </c>
      <c r="J250" t="s">
        <v>13</v>
      </c>
      <c r="K250" t="s">
        <v>15</v>
      </c>
      <c r="L250" s="3">
        <v>653</v>
      </c>
    </row>
    <row r="251" spans="1:12" x14ac:dyDescent="0.2">
      <c r="A251" s="1">
        <v>159</v>
      </c>
      <c r="B251" s="2">
        <v>42.356999999999999</v>
      </c>
      <c r="C251" s="3">
        <v>5550</v>
      </c>
      <c r="D251" s="1">
        <v>406</v>
      </c>
      <c r="E251" s="1">
        <v>2</v>
      </c>
      <c r="F251" s="1">
        <v>83</v>
      </c>
      <c r="G251" s="1">
        <v>12</v>
      </c>
      <c r="H251" t="s">
        <v>16</v>
      </c>
      <c r="I251" t="s">
        <v>13</v>
      </c>
      <c r="J251" t="s">
        <v>14</v>
      </c>
      <c r="K251" t="s">
        <v>17</v>
      </c>
      <c r="L251" s="3">
        <v>653</v>
      </c>
    </row>
    <row r="252" spans="1:12" x14ac:dyDescent="0.2">
      <c r="A252" s="1">
        <v>51</v>
      </c>
      <c r="B252" s="2">
        <v>36.362000000000002</v>
      </c>
      <c r="C252" s="3">
        <v>5183</v>
      </c>
      <c r="D252" s="1">
        <v>376</v>
      </c>
      <c r="E252" s="1">
        <v>3</v>
      </c>
      <c r="F252" s="1">
        <v>49</v>
      </c>
      <c r="G252" s="1">
        <v>15</v>
      </c>
      <c r="H252" t="s">
        <v>12</v>
      </c>
      <c r="I252" t="s">
        <v>13</v>
      </c>
      <c r="J252" t="s">
        <v>14</v>
      </c>
      <c r="K252" t="s">
        <v>18</v>
      </c>
      <c r="L252" s="3">
        <v>654</v>
      </c>
    </row>
    <row r="253" spans="1:12" x14ac:dyDescent="0.2">
      <c r="A253" s="1">
        <v>27</v>
      </c>
      <c r="B253" s="2">
        <v>42.470999999999997</v>
      </c>
      <c r="C253" s="3">
        <v>3625</v>
      </c>
      <c r="D253" s="1">
        <v>289</v>
      </c>
      <c r="E253" s="1">
        <v>6</v>
      </c>
      <c r="F253" s="1">
        <v>44</v>
      </c>
      <c r="G253" s="1">
        <v>12</v>
      </c>
      <c r="H253" t="s">
        <v>16</v>
      </c>
      <c r="I253" t="s">
        <v>14</v>
      </c>
      <c r="J253" t="s">
        <v>13</v>
      </c>
      <c r="K253" t="s">
        <v>15</v>
      </c>
      <c r="L253" s="3">
        <v>654</v>
      </c>
    </row>
    <row r="254" spans="1:12" x14ac:dyDescent="0.2">
      <c r="A254" s="1">
        <v>232</v>
      </c>
      <c r="B254" s="2">
        <v>25.123999999999999</v>
      </c>
      <c r="C254" s="3">
        <v>4776</v>
      </c>
      <c r="D254" s="1">
        <v>378</v>
      </c>
      <c r="E254" s="1">
        <v>4</v>
      </c>
      <c r="F254" s="1">
        <v>29</v>
      </c>
      <c r="G254" s="1">
        <v>12</v>
      </c>
      <c r="H254" t="s">
        <v>12</v>
      </c>
      <c r="I254" t="s">
        <v>13</v>
      </c>
      <c r="J254" t="s">
        <v>14</v>
      </c>
      <c r="K254" t="s">
        <v>15</v>
      </c>
      <c r="L254" s="3">
        <v>657</v>
      </c>
    </row>
    <row r="255" spans="1:12" x14ac:dyDescent="0.2">
      <c r="A255" s="1">
        <v>231</v>
      </c>
      <c r="B255" s="2">
        <v>33.213999999999999</v>
      </c>
      <c r="C255" s="3">
        <v>5137</v>
      </c>
      <c r="D255" s="1">
        <v>387</v>
      </c>
      <c r="E255" s="1">
        <v>3</v>
      </c>
      <c r="F255" s="1">
        <v>59</v>
      </c>
      <c r="G255" s="1">
        <v>9</v>
      </c>
      <c r="H255" t="s">
        <v>12</v>
      </c>
      <c r="I255" t="s">
        <v>13</v>
      </c>
      <c r="J255" t="s">
        <v>13</v>
      </c>
      <c r="K255" t="s">
        <v>18</v>
      </c>
      <c r="L255" s="3">
        <v>661</v>
      </c>
    </row>
    <row r="256" spans="1:12" x14ac:dyDescent="0.2">
      <c r="A256" s="1">
        <v>381</v>
      </c>
      <c r="B256" s="2">
        <v>115.123</v>
      </c>
      <c r="C256" s="3">
        <v>7760</v>
      </c>
      <c r="D256" s="1">
        <v>538</v>
      </c>
      <c r="E256" s="1">
        <v>3</v>
      </c>
      <c r="F256" s="1">
        <v>83</v>
      </c>
      <c r="G256" s="1">
        <v>14</v>
      </c>
      <c r="H256" t="s">
        <v>16</v>
      </c>
      <c r="I256" t="s">
        <v>13</v>
      </c>
      <c r="J256" t="s">
        <v>13</v>
      </c>
      <c r="K256" t="s">
        <v>18</v>
      </c>
      <c r="L256" s="3">
        <v>661</v>
      </c>
    </row>
    <row r="257" spans="1:12" x14ac:dyDescent="0.2">
      <c r="A257" s="1">
        <v>73</v>
      </c>
      <c r="B257" s="2">
        <v>22.939</v>
      </c>
      <c r="C257" s="3">
        <v>4923</v>
      </c>
      <c r="D257" s="1">
        <v>355</v>
      </c>
      <c r="E257" s="1">
        <v>1</v>
      </c>
      <c r="F257" s="1">
        <v>47</v>
      </c>
      <c r="G257" s="1">
        <v>18</v>
      </c>
      <c r="H257" t="s">
        <v>16</v>
      </c>
      <c r="I257" t="s">
        <v>13</v>
      </c>
      <c r="J257" t="s">
        <v>14</v>
      </c>
      <c r="K257" t="s">
        <v>17</v>
      </c>
      <c r="L257" s="3">
        <v>663</v>
      </c>
    </row>
    <row r="258" spans="1:12" x14ac:dyDescent="0.2">
      <c r="A258" s="1">
        <v>143</v>
      </c>
      <c r="B258" s="2">
        <v>103.893</v>
      </c>
      <c r="C258" s="3">
        <v>7416</v>
      </c>
      <c r="D258" s="1">
        <v>549</v>
      </c>
      <c r="E258" s="1">
        <v>3</v>
      </c>
      <c r="F258" s="1">
        <v>84</v>
      </c>
      <c r="G258" s="1">
        <v>17</v>
      </c>
      <c r="H258" t="s">
        <v>12</v>
      </c>
      <c r="I258" t="s">
        <v>13</v>
      </c>
      <c r="J258" t="s">
        <v>13</v>
      </c>
      <c r="K258" t="s">
        <v>17</v>
      </c>
      <c r="L258" s="3">
        <v>669</v>
      </c>
    </row>
    <row r="259" spans="1:12" x14ac:dyDescent="0.2">
      <c r="A259" s="1">
        <v>26</v>
      </c>
      <c r="B259" s="2">
        <v>14.09</v>
      </c>
      <c r="C259" s="3">
        <v>4323</v>
      </c>
      <c r="D259" s="1">
        <v>326</v>
      </c>
      <c r="E259" s="1">
        <v>5</v>
      </c>
      <c r="F259" s="1">
        <v>25</v>
      </c>
      <c r="G259" s="1">
        <v>16</v>
      </c>
      <c r="H259" t="s">
        <v>16</v>
      </c>
      <c r="I259" t="s">
        <v>13</v>
      </c>
      <c r="J259" t="s">
        <v>14</v>
      </c>
      <c r="K259" t="s">
        <v>18</v>
      </c>
      <c r="L259" s="3">
        <v>671</v>
      </c>
    </row>
    <row r="260" spans="1:12" x14ac:dyDescent="0.2">
      <c r="A260" s="1">
        <v>309</v>
      </c>
      <c r="B260" s="2">
        <v>14.956</v>
      </c>
      <c r="C260" s="3">
        <v>4640</v>
      </c>
      <c r="D260" s="1">
        <v>332</v>
      </c>
      <c r="E260" s="1">
        <v>2</v>
      </c>
      <c r="F260" s="1">
        <v>33</v>
      </c>
      <c r="G260" s="1">
        <v>6</v>
      </c>
      <c r="H260" t="s">
        <v>12</v>
      </c>
      <c r="I260" t="s">
        <v>13</v>
      </c>
      <c r="J260" t="s">
        <v>13</v>
      </c>
      <c r="K260" t="s">
        <v>17</v>
      </c>
      <c r="L260" s="3">
        <v>681</v>
      </c>
    </row>
    <row r="261" spans="1:12" x14ac:dyDescent="0.2">
      <c r="A261" s="1">
        <v>215</v>
      </c>
      <c r="B261" s="2">
        <v>34.908999999999999</v>
      </c>
      <c r="C261" s="3">
        <v>5289</v>
      </c>
      <c r="D261" s="1">
        <v>410</v>
      </c>
      <c r="E261" s="1">
        <v>2</v>
      </c>
      <c r="F261" s="1">
        <v>62</v>
      </c>
      <c r="G261" s="1">
        <v>16</v>
      </c>
      <c r="H261" t="s">
        <v>16</v>
      </c>
      <c r="I261" t="s">
        <v>13</v>
      </c>
      <c r="J261" t="s">
        <v>14</v>
      </c>
      <c r="K261" t="s">
        <v>15</v>
      </c>
      <c r="L261" s="3">
        <v>681</v>
      </c>
    </row>
    <row r="262" spans="1:12" x14ac:dyDescent="0.2">
      <c r="A262" s="1">
        <v>233</v>
      </c>
      <c r="B262" s="2">
        <v>15.741</v>
      </c>
      <c r="C262" s="3">
        <v>4788</v>
      </c>
      <c r="D262" s="1">
        <v>360</v>
      </c>
      <c r="E262" s="1">
        <v>1</v>
      </c>
      <c r="F262" s="1">
        <v>39</v>
      </c>
      <c r="G262" s="1">
        <v>14</v>
      </c>
      <c r="H262" t="s">
        <v>12</v>
      </c>
      <c r="I262" t="s">
        <v>13</v>
      </c>
      <c r="J262" t="s">
        <v>14</v>
      </c>
      <c r="K262" t="s">
        <v>17</v>
      </c>
      <c r="L262" s="3">
        <v>689</v>
      </c>
    </row>
    <row r="263" spans="1:12" x14ac:dyDescent="0.2">
      <c r="A263" s="1">
        <v>225</v>
      </c>
      <c r="B263" s="2">
        <v>121.709</v>
      </c>
      <c r="C263" s="3">
        <v>7818</v>
      </c>
      <c r="D263" s="1">
        <v>584</v>
      </c>
      <c r="E263" s="1">
        <v>4</v>
      </c>
      <c r="F263" s="1">
        <v>50</v>
      </c>
      <c r="G263" s="1">
        <v>6</v>
      </c>
      <c r="H263" t="s">
        <v>12</v>
      </c>
      <c r="I263" t="s">
        <v>13</v>
      </c>
      <c r="J263" t="s">
        <v>14</v>
      </c>
      <c r="K263" t="s">
        <v>15</v>
      </c>
      <c r="L263" s="3">
        <v>701</v>
      </c>
    </row>
    <row r="264" spans="1:12" x14ac:dyDescent="0.2">
      <c r="A264" s="1">
        <v>144</v>
      </c>
      <c r="B264" s="2">
        <v>19.635999999999999</v>
      </c>
      <c r="C264" s="3">
        <v>4896</v>
      </c>
      <c r="D264" s="1">
        <v>387</v>
      </c>
      <c r="E264" s="1">
        <v>3</v>
      </c>
      <c r="F264" s="1">
        <v>64</v>
      </c>
      <c r="G264" s="1">
        <v>10</v>
      </c>
      <c r="H264" t="s">
        <v>16</v>
      </c>
      <c r="I264" t="s">
        <v>13</v>
      </c>
      <c r="J264" t="s">
        <v>13</v>
      </c>
      <c r="K264" t="s">
        <v>18</v>
      </c>
      <c r="L264" s="3">
        <v>710</v>
      </c>
    </row>
    <row r="265" spans="1:12" x14ac:dyDescent="0.2">
      <c r="A265" s="1">
        <v>363</v>
      </c>
      <c r="B265" s="2">
        <v>26.161999999999999</v>
      </c>
      <c r="C265" s="3">
        <v>5101</v>
      </c>
      <c r="D265" s="1">
        <v>382</v>
      </c>
      <c r="E265" s="1">
        <v>3</v>
      </c>
      <c r="F265" s="1">
        <v>62</v>
      </c>
      <c r="G265" s="1">
        <v>19</v>
      </c>
      <c r="H265" t="s">
        <v>16</v>
      </c>
      <c r="I265" t="s">
        <v>13</v>
      </c>
      <c r="J265" t="s">
        <v>13</v>
      </c>
      <c r="K265" t="s">
        <v>18</v>
      </c>
      <c r="L265" s="3">
        <v>710</v>
      </c>
    </row>
    <row r="266" spans="1:12" x14ac:dyDescent="0.2">
      <c r="A266" s="1">
        <v>300</v>
      </c>
      <c r="B266" s="2">
        <v>24.919</v>
      </c>
      <c r="C266" s="3">
        <v>5051</v>
      </c>
      <c r="D266" s="1">
        <v>372</v>
      </c>
      <c r="E266" s="1">
        <v>3</v>
      </c>
      <c r="F266" s="1">
        <v>76</v>
      </c>
      <c r="G266" s="1">
        <v>11</v>
      </c>
      <c r="H266" t="s">
        <v>16</v>
      </c>
      <c r="I266" t="s">
        <v>13</v>
      </c>
      <c r="J266" t="s">
        <v>14</v>
      </c>
      <c r="K266" t="s">
        <v>18</v>
      </c>
      <c r="L266" s="3">
        <v>711</v>
      </c>
    </row>
    <row r="267" spans="1:12" x14ac:dyDescent="0.2">
      <c r="A267" s="1">
        <v>361</v>
      </c>
      <c r="B267" s="2">
        <v>53.566000000000003</v>
      </c>
      <c r="C267" s="3">
        <v>5891</v>
      </c>
      <c r="D267" s="1">
        <v>434</v>
      </c>
      <c r="E267" s="1">
        <v>4</v>
      </c>
      <c r="F267" s="1">
        <v>82</v>
      </c>
      <c r="G267" s="1">
        <v>10</v>
      </c>
      <c r="H267" t="s">
        <v>16</v>
      </c>
      <c r="I267" t="s">
        <v>13</v>
      </c>
      <c r="J267" t="s">
        <v>13</v>
      </c>
      <c r="K267" t="s">
        <v>15</v>
      </c>
      <c r="L267" s="3">
        <v>712</v>
      </c>
    </row>
    <row r="268" spans="1:12" x14ac:dyDescent="0.2">
      <c r="A268" s="1">
        <v>379</v>
      </c>
      <c r="B268" s="2">
        <v>19.349</v>
      </c>
      <c r="C268" s="3">
        <v>4941</v>
      </c>
      <c r="D268" s="1">
        <v>366</v>
      </c>
      <c r="E268" s="1">
        <v>1</v>
      </c>
      <c r="F268" s="1">
        <v>33</v>
      </c>
      <c r="G268" s="1">
        <v>19</v>
      </c>
      <c r="H268" t="s">
        <v>12</v>
      </c>
      <c r="I268" t="s">
        <v>13</v>
      </c>
      <c r="J268" t="s">
        <v>14</v>
      </c>
      <c r="K268" t="s">
        <v>15</v>
      </c>
      <c r="L268" s="3">
        <v>717</v>
      </c>
    </row>
    <row r="269" spans="1:12" x14ac:dyDescent="0.2">
      <c r="A269" s="1">
        <v>392</v>
      </c>
      <c r="B269" s="2">
        <v>73.326999999999998</v>
      </c>
      <c r="C269" s="3">
        <v>6555</v>
      </c>
      <c r="D269" s="1">
        <v>472</v>
      </c>
      <c r="E269" s="1">
        <v>2</v>
      </c>
      <c r="F269" s="1">
        <v>43</v>
      </c>
      <c r="G269" s="1">
        <v>15</v>
      </c>
      <c r="H269" t="s">
        <v>16</v>
      </c>
      <c r="I269" t="s">
        <v>13</v>
      </c>
      <c r="J269" t="s">
        <v>13</v>
      </c>
      <c r="K269" t="s">
        <v>15</v>
      </c>
      <c r="L269" s="3">
        <v>721</v>
      </c>
    </row>
    <row r="270" spans="1:12" x14ac:dyDescent="0.2">
      <c r="A270" s="1">
        <v>174</v>
      </c>
      <c r="B270" s="2">
        <v>14.887</v>
      </c>
      <c r="C270" s="3">
        <v>4745</v>
      </c>
      <c r="D270" s="1">
        <v>339</v>
      </c>
      <c r="E270" s="1">
        <v>3</v>
      </c>
      <c r="F270" s="1">
        <v>58</v>
      </c>
      <c r="G270" s="1">
        <v>12</v>
      </c>
      <c r="H270" t="s">
        <v>12</v>
      </c>
      <c r="I270" t="s">
        <v>13</v>
      </c>
      <c r="J270" t="s">
        <v>14</v>
      </c>
      <c r="K270" t="s">
        <v>18</v>
      </c>
      <c r="L270" s="3">
        <v>724</v>
      </c>
    </row>
    <row r="271" spans="1:12" x14ac:dyDescent="0.2">
      <c r="A271" s="1">
        <v>273</v>
      </c>
      <c r="B271" s="2">
        <v>30.413</v>
      </c>
      <c r="C271" s="3">
        <v>3690</v>
      </c>
      <c r="D271" s="1">
        <v>299</v>
      </c>
      <c r="E271" s="1">
        <v>2</v>
      </c>
      <c r="F271" s="1">
        <v>25</v>
      </c>
      <c r="G271" s="1">
        <v>15</v>
      </c>
      <c r="H271" t="s">
        <v>16</v>
      </c>
      <c r="I271" t="s">
        <v>14</v>
      </c>
      <c r="J271" t="s">
        <v>13</v>
      </c>
      <c r="K271" t="s">
        <v>17</v>
      </c>
      <c r="L271" s="3">
        <v>728</v>
      </c>
    </row>
    <row r="272" spans="1:12" x14ac:dyDescent="0.2">
      <c r="A272" s="1">
        <v>326</v>
      </c>
      <c r="B272" s="2">
        <v>17.765000000000001</v>
      </c>
      <c r="C272" s="3">
        <v>5072</v>
      </c>
      <c r="D272" s="1">
        <v>364</v>
      </c>
      <c r="E272" s="1">
        <v>1</v>
      </c>
      <c r="F272" s="1">
        <v>66</v>
      </c>
      <c r="G272" s="1">
        <v>12</v>
      </c>
      <c r="H272" t="s">
        <v>16</v>
      </c>
      <c r="I272" t="s">
        <v>13</v>
      </c>
      <c r="J272" t="s">
        <v>14</v>
      </c>
      <c r="K272" t="s">
        <v>15</v>
      </c>
      <c r="L272" s="3">
        <v>732</v>
      </c>
    </row>
    <row r="273" spans="1:12" x14ac:dyDescent="0.2">
      <c r="A273" s="1">
        <v>210</v>
      </c>
      <c r="B273" s="2">
        <v>151.947</v>
      </c>
      <c r="C273" s="3">
        <v>9156</v>
      </c>
      <c r="D273" s="1">
        <v>642</v>
      </c>
      <c r="E273" s="1">
        <v>2</v>
      </c>
      <c r="F273" s="1">
        <v>91</v>
      </c>
      <c r="G273" s="1">
        <v>11</v>
      </c>
      <c r="H273" t="s">
        <v>16</v>
      </c>
      <c r="I273" t="s">
        <v>13</v>
      </c>
      <c r="J273" t="s">
        <v>14</v>
      </c>
      <c r="K273" t="s">
        <v>18</v>
      </c>
      <c r="L273" s="3">
        <v>732</v>
      </c>
    </row>
    <row r="274" spans="1:12" x14ac:dyDescent="0.2">
      <c r="A274" s="1">
        <v>395</v>
      </c>
      <c r="B274" s="2">
        <v>49.793999999999997</v>
      </c>
      <c r="C274" s="3">
        <v>5758</v>
      </c>
      <c r="D274" s="1">
        <v>410</v>
      </c>
      <c r="E274" s="1">
        <v>4</v>
      </c>
      <c r="F274" s="1">
        <v>40</v>
      </c>
      <c r="G274" s="1">
        <v>8</v>
      </c>
      <c r="H274" t="s">
        <v>12</v>
      </c>
      <c r="I274" t="s">
        <v>13</v>
      </c>
      <c r="J274" t="s">
        <v>13</v>
      </c>
      <c r="K274" t="s">
        <v>15</v>
      </c>
      <c r="L274" s="3">
        <v>734</v>
      </c>
    </row>
    <row r="275" spans="1:12" x14ac:dyDescent="0.2">
      <c r="A275" s="1">
        <v>105</v>
      </c>
      <c r="B275" s="2">
        <v>15.846</v>
      </c>
      <c r="C275" s="3">
        <v>4768</v>
      </c>
      <c r="D275" s="1">
        <v>365</v>
      </c>
      <c r="E275" s="1">
        <v>4</v>
      </c>
      <c r="F275" s="1">
        <v>53</v>
      </c>
      <c r="G275" s="1">
        <v>12</v>
      </c>
      <c r="H275" t="s">
        <v>16</v>
      </c>
      <c r="I275" t="s">
        <v>13</v>
      </c>
      <c r="J275" t="s">
        <v>13</v>
      </c>
      <c r="K275" t="s">
        <v>15</v>
      </c>
      <c r="L275" s="3">
        <v>745</v>
      </c>
    </row>
    <row r="276" spans="1:12" x14ac:dyDescent="0.2">
      <c r="A276" s="1">
        <v>197</v>
      </c>
      <c r="B276" s="2">
        <v>93.039000000000001</v>
      </c>
      <c r="C276" s="3">
        <v>7398</v>
      </c>
      <c r="D276" s="1">
        <v>517</v>
      </c>
      <c r="E276" s="1">
        <v>1</v>
      </c>
      <c r="F276" s="1">
        <v>67</v>
      </c>
      <c r="G276" s="1">
        <v>12</v>
      </c>
      <c r="H276" t="s">
        <v>12</v>
      </c>
      <c r="I276" t="s">
        <v>13</v>
      </c>
      <c r="J276" t="s">
        <v>14</v>
      </c>
      <c r="K276" t="s">
        <v>18</v>
      </c>
      <c r="L276" s="3">
        <v>749</v>
      </c>
    </row>
    <row r="277" spans="1:12" x14ac:dyDescent="0.2">
      <c r="A277" s="1">
        <v>37</v>
      </c>
      <c r="B277" s="2">
        <v>62.412999999999997</v>
      </c>
      <c r="C277" s="3">
        <v>6457</v>
      </c>
      <c r="D277" s="1">
        <v>455</v>
      </c>
      <c r="E277" s="1">
        <v>2</v>
      </c>
      <c r="F277" s="1">
        <v>71</v>
      </c>
      <c r="G277" s="1">
        <v>11</v>
      </c>
      <c r="H277" t="s">
        <v>16</v>
      </c>
      <c r="I277" t="s">
        <v>13</v>
      </c>
      <c r="J277" t="s">
        <v>14</v>
      </c>
      <c r="K277" t="s">
        <v>15</v>
      </c>
      <c r="L277" s="3">
        <v>762</v>
      </c>
    </row>
    <row r="278" spans="1:12" x14ac:dyDescent="0.2">
      <c r="A278" s="1">
        <v>377</v>
      </c>
      <c r="B278" s="2">
        <v>87.625</v>
      </c>
      <c r="C278" s="3">
        <v>7167</v>
      </c>
      <c r="D278" s="1">
        <v>515</v>
      </c>
      <c r="E278" s="1">
        <v>2</v>
      </c>
      <c r="F278" s="1">
        <v>46</v>
      </c>
      <c r="G278" s="1">
        <v>10</v>
      </c>
      <c r="H278" t="s">
        <v>16</v>
      </c>
      <c r="I278" t="s">
        <v>13</v>
      </c>
      <c r="J278" t="s">
        <v>13</v>
      </c>
      <c r="K278" t="s">
        <v>18</v>
      </c>
      <c r="L278" s="3">
        <v>767</v>
      </c>
    </row>
    <row r="279" spans="1:12" x14ac:dyDescent="0.2">
      <c r="A279" s="1">
        <v>114</v>
      </c>
      <c r="B279" s="2">
        <v>69.251000000000005</v>
      </c>
      <c r="C279" s="3">
        <v>6386</v>
      </c>
      <c r="D279" s="1">
        <v>474</v>
      </c>
      <c r="E279" s="1">
        <v>4</v>
      </c>
      <c r="F279" s="1">
        <v>30</v>
      </c>
      <c r="G279" s="1">
        <v>12</v>
      </c>
      <c r="H279" t="s">
        <v>16</v>
      </c>
      <c r="I279" t="s">
        <v>13</v>
      </c>
      <c r="J279" t="s">
        <v>14</v>
      </c>
      <c r="K279" t="s">
        <v>17</v>
      </c>
      <c r="L279" s="3">
        <v>768</v>
      </c>
    </row>
    <row r="280" spans="1:12" x14ac:dyDescent="0.2">
      <c r="A280" s="1">
        <v>270</v>
      </c>
      <c r="B280" s="2">
        <v>39.055</v>
      </c>
      <c r="C280" s="3">
        <v>5565</v>
      </c>
      <c r="D280" s="1">
        <v>410</v>
      </c>
      <c r="E280" s="1">
        <v>4</v>
      </c>
      <c r="F280" s="1">
        <v>48</v>
      </c>
      <c r="G280" s="1">
        <v>18</v>
      </c>
      <c r="H280" t="s">
        <v>16</v>
      </c>
      <c r="I280" t="s">
        <v>13</v>
      </c>
      <c r="J280" t="s">
        <v>14</v>
      </c>
      <c r="K280" t="s">
        <v>15</v>
      </c>
      <c r="L280" s="3">
        <v>772</v>
      </c>
    </row>
    <row r="281" spans="1:12" x14ac:dyDescent="0.2">
      <c r="A281" s="1">
        <v>183</v>
      </c>
      <c r="B281" s="2">
        <v>58.929000000000002</v>
      </c>
      <c r="C281" s="3">
        <v>6420</v>
      </c>
      <c r="D281" s="1">
        <v>459</v>
      </c>
      <c r="E281" s="1">
        <v>2</v>
      </c>
      <c r="F281" s="1">
        <v>66</v>
      </c>
      <c r="G281" s="1">
        <v>9</v>
      </c>
      <c r="H281" t="s">
        <v>16</v>
      </c>
      <c r="I281" t="s">
        <v>13</v>
      </c>
      <c r="J281" t="s">
        <v>14</v>
      </c>
      <c r="K281" t="s">
        <v>18</v>
      </c>
      <c r="L281" s="3">
        <v>789</v>
      </c>
    </row>
    <row r="282" spans="1:12" x14ac:dyDescent="0.2">
      <c r="A282" s="1">
        <v>366</v>
      </c>
      <c r="B282" s="2">
        <v>113.77200000000001</v>
      </c>
      <c r="C282" s="3">
        <v>6442</v>
      </c>
      <c r="D282" s="1">
        <v>489</v>
      </c>
      <c r="E282" s="1">
        <v>4</v>
      </c>
      <c r="F282" s="1">
        <v>69</v>
      </c>
      <c r="G282" s="1">
        <v>15</v>
      </c>
      <c r="H282" t="s">
        <v>12</v>
      </c>
      <c r="I282" t="s">
        <v>14</v>
      </c>
      <c r="J282" t="s">
        <v>14</v>
      </c>
      <c r="K282" t="s">
        <v>15</v>
      </c>
      <c r="L282" s="3">
        <v>790</v>
      </c>
    </row>
    <row r="283" spans="1:12" x14ac:dyDescent="0.2">
      <c r="A283" s="1">
        <v>48</v>
      </c>
      <c r="B283" s="2">
        <v>44.646000000000001</v>
      </c>
      <c r="C283" s="3">
        <v>4431</v>
      </c>
      <c r="D283" s="1">
        <v>320</v>
      </c>
      <c r="E283" s="1">
        <v>2</v>
      </c>
      <c r="F283" s="1">
        <v>49</v>
      </c>
      <c r="G283" s="1">
        <v>15</v>
      </c>
      <c r="H283" t="s">
        <v>12</v>
      </c>
      <c r="I283" t="s">
        <v>14</v>
      </c>
      <c r="J283" t="s">
        <v>14</v>
      </c>
      <c r="K283" t="s">
        <v>15</v>
      </c>
      <c r="L283" s="3">
        <v>797</v>
      </c>
    </row>
    <row r="284" spans="1:12" x14ac:dyDescent="0.2">
      <c r="A284" s="1">
        <v>212</v>
      </c>
      <c r="B284" s="2">
        <v>29.567</v>
      </c>
      <c r="C284" s="3">
        <v>5309</v>
      </c>
      <c r="D284" s="1">
        <v>397</v>
      </c>
      <c r="E284" s="1">
        <v>3</v>
      </c>
      <c r="F284" s="1">
        <v>25</v>
      </c>
      <c r="G284" s="1">
        <v>15</v>
      </c>
      <c r="H284" t="s">
        <v>12</v>
      </c>
      <c r="I284" t="s">
        <v>13</v>
      </c>
      <c r="J284" t="s">
        <v>13</v>
      </c>
      <c r="K284" t="s">
        <v>15</v>
      </c>
      <c r="L284" s="3">
        <v>799</v>
      </c>
    </row>
    <row r="285" spans="1:12" x14ac:dyDescent="0.2">
      <c r="A285" s="1">
        <v>196</v>
      </c>
      <c r="B285" s="2">
        <v>23.882999999999999</v>
      </c>
      <c r="C285" s="3">
        <v>5384</v>
      </c>
      <c r="D285" s="1">
        <v>398</v>
      </c>
      <c r="E285" s="1">
        <v>2</v>
      </c>
      <c r="F285" s="1">
        <v>73</v>
      </c>
      <c r="G285" s="1">
        <v>16</v>
      </c>
      <c r="H285" t="s">
        <v>16</v>
      </c>
      <c r="I285" t="s">
        <v>13</v>
      </c>
      <c r="J285" t="s">
        <v>14</v>
      </c>
      <c r="K285" t="s">
        <v>18</v>
      </c>
      <c r="L285" s="3">
        <v>802</v>
      </c>
    </row>
    <row r="286" spans="1:12" x14ac:dyDescent="0.2">
      <c r="A286" s="1">
        <v>147</v>
      </c>
      <c r="B286" s="2">
        <v>17.055</v>
      </c>
      <c r="C286" s="3">
        <v>5110</v>
      </c>
      <c r="D286" s="1">
        <v>371</v>
      </c>
      <c r="E286" s="1">
        <v>3</v>
      </c>
      <c r="F286" s="1">
        <v>55</v>
      </c>
      <c r="G286" s="1">
        <v>15</v>
      </c>
      <c r="H286" t="s">
        <v>16</v>
      </c>
      <c r="I286" t="s">
        <v>13</v>
      </c>
      <c r="J286" t="s">
        <v>14</v>
      </c>
      <c r="K286" t="s">
        <v>15</v>
      </c>
      <c r="L286" s="3">
        <v>805</v>
      </c>
    </row>
    <row r="287" spans="1:12" x14ac:dyDescent="0.2">
      <c r="A287" s="1">
        <v>390</v>
      </c>
      <c r="B287" s="2">
        <v>83.947999999999993</v>
      </c>
      <c r="C287" s="3">
        <v>7100</v>
      </c>
      <c r="D287" s="1">
        <v>503</v>
      </c>
      <c r="E287" s="1">
        <v>2</v>
      </c>
      <c r="F287" s="1">
        <v>44</v>
      </c>
      <c r="G287" s="1">
        <v>18</v>
      </c>
      <c r="H287" t="s">
        <v>12</v>
      </c>
      <c r="I287" t="s">
        <v>13</v>
      </c>
      <c r="J287" t="s">
        <v>13</v>
      </c>
      <c r="K287" t="s">
        <v>15</v>
      </c>
      <c r="L287" s="3">
        <v>806</v>
      </c>
    </row>
    <row r="288" spans="1:12" x14ac:dyDescent="0.2">
      <c r="A288" s="1">
        <v>92</v>
      </c>
      <c r="B288" s="2">
        <v>48.497999999999998</v>
      </c>
      <c r="C288" s="3">
        <v>6040</v>
      </c>
      <c r="D288" s="1">
        <v>456</v>
      </c>
      <c r="E288" s="1">
        <v>3</v>
      </c>
      <c r="F288" s="1">
        <v>47</v>
      </c>
      <c r="G288" s="1">
        <v>16</v>
      </c>
      <c r="H288" t="s">
        <v>12</v>
      </c>
      <c r="I288" t="s">
        <v>13</v>
      </c>
      <c r="J288" t="s">
        <v>14</v>
      </c>
      <c r="K288" t="s">
        <v>15</v>
      </c>
      <c r="L288" s="3">
        <v>812</v>
      </c>
    </row>
    <row r="289" spans="1:12" x14ac:dyDescent="0.2">
      <c r="A289" s="1">
        <v>87</v>
      </c>
      <c r="B289" s="2">
        <v>55.366999999999997</v>
      </c>
      <c r="C289" s="3">
        <v>6340</v>
      </c>
      <c r="D289" s="1">
        <v>448</v>
      </c>
      <c r="E289" s="1">
        <v>1</v>
      </c>
      <c r="F289" s="1">
        <v>33</v>
      </c>
      <c r="G289" s="1">
        <v>15</v>
      </c>
      <c r="H289" t="s">
        <v>12</v>
      </c>
      <c r="I289" t="s">
        <v>13</v>
      </c>
      <c r="J289" t="s">
        <v>14</v>
      </c>
      <c r="K289" t="s">
        <v>15</v>
      </c>
      <c r="L289" s="3">
        <v>815</v>
      </c>
    </row>
    <row r="290" spans="1:12" x14ac:dyDescent="0.2">
      <c r="A290" s="1">
        <v>69</v>
      </c>
      <c r="B290" s="2">
        <v>27.847000000000001</v>
      </c>
      <c r="C290" s="3">
        <v>5619</v>
      </c>
      <c r="D290" s="1">
        <v>418</v>
      </c>
      <c r="E290" s="1">
        <v>2</v>
      </c>
      <c r="F290" s="1">
        <v>78</v>
      </c>
      <c r="G290" s="1">
        <v>15</v>
      </c>
      <c r="H290" t="s">
        <v>16</v>
      </c>
      <c r="I290" t="s">
        <v>13</v>
      </c>
      <c r="J290" t="s">
        <v>14</v>
      </c>
      <c r="K290" t="s">
        <v>15</v>
      </c>
      <c r="L290" s="3">
        <v>822</v>
      </c>
    </row>
    <row r="291" spans="1:12" x14ac:dyDescent="0.2">
      <c r="A291" s="1">
        <v>313</v>
      </c>
      <c r="B291" s="2">
        <v>27.824999999999999</v>
      </c>
      <c r="C291" s="3">
        <v>5227</v>
      </c>
      <c r="D291" s="1">
        <v>386</v>
      </c>
      <c r="E291" s="1">
        <v>6</v>
      </c>
      <c r="F291" s="1">
        <v>63</v>
      </c>
      <c r="G291" s="1">
        <v>11</v>
      </c>
      <c r="H291" t="s">
        <v>12</v>
      </c>
      <c r="I291" t="s">
        <v>13</v>
      </c>
      <c r="J291" t="s">
        <v>14</v>
      </c>
      <c r="K291" t="s">
        <v>15</v>
      </c>
      <c r="L291" s="3">
        <v>823</v>
      </c>
    </row>
    <row r="292" spans="1:12" x14ac:dyDescent="0.2">
      <c r="A292" s="1">
        <v>201</v>
      </c>
      <c r="B292" s="2">
        <v>23.949000000000002</v>
      </c>
      <c r="C292" s="3">
        <v>5343</v>
      </c>
      <c r="D292" s="1">
        <v>383</v>
      </c>
      <c r="E292" s="1">
        <v>2</v>
      </c>
      <c r="F292" s="1">
        <v>40</v>
      </c>
      <c r="G292" s="1">
        <v>18</v>
      </c>
      <c r="H292" t="s">
        <v>12</v>
      </c>
      <c r="I292" t="s">
        <v>13</v>
      </c>
      <c r="J292" t="s">
        <v>14</v>
      </c>
      <c r="K292" t="s">
        <v>18</v>
      </c>
      <c r="L292" s="3">
        <v>829</v>
      </c>
    </row>
    <row r="293" spans="1:12" x14ac:dyDescent="0.2">
      <c r="A293" s="1">
        <v>135</v>
      </c>
      <c r="B293" s="2">
        <v>34.664000000000001</v>
      </c>
      <c r="C293" s="3">
        <v>5835</v>
      </c>
      <c r="D293" s="1">
        <v>452</v>
      </c>
      <c r="E293" s="1">
        <v>3</v>
      </c>
      <c r="F293" s="1">
        <v>77</v>
      </c>
      <c r="G293" s="1">
        <v>15</v>
      </c>
      <c r="H293" t="s">
        <v>16</v>
      </c>
      <c r="I293" t="s">
        <v>13</v>
      </c>
      <c r="J293" t="s">
        <v>14</v>
      </c>
      <c r="K293" t="s">
        <v>18</v>
      </c>
      <c r="L293" s="3">
        <v>835</v>
      </c>
    </row>
    <row r="294" spans="1:12" x14ac:dyDescent="0.2">
      <c r="A294" s="1">
        <v>161</v>
      </c>
      <c r="B294" s="2">
        <v>12.238</v>
      </c>
      <c r="C294" s="3">
        <v>4865</v>
      </c>
      <c r="D294" s="1">
        <v>381</v>
      </c>
      <c r="E294" s="1">
        <v>5</v>
      </c>
      <c r="F294" s="1">
        <v>67</v>
      </c>
      <c r="G294" s="1">
        <v>11</v>
      </c>
      <c r="H294" t="s">
        <v>16</v>
      </c>
      <c r="I294" t="s">
        <v>13</v>
      </c>
      <c r="J294" t="s">
        <v>13</v>
      </c>
      <c r="K294" t="s">
        <v>15</v>
      </c>
      <c r="L294" s="3">
        <v>836</v>
      </c>
    </row>
    <row r="295" spans="1:12" x14ac:dyDescent="0.2">
      <c r="A295" s="1">
        <v>373</v>
      </c>
      <c r="B295" s="2">
        <v>19.782</v>
      </c>
      <c r="C295" s="3">
        <v>3782</v>
      </c>
      <c r="D295" s="1">
        <v>293</v>
      </c>
      <c r="E295" s="1">
        <v>2</v>
      </c>
      <c r="F295" s="1">
        <v>46</v>
      </c>
      <c r="G295" s="1">
        <v>16</v>
      </c>
      <c r="H295" t="s">
        <v>16</v>
      </c>
      <c r="I295" t="s">
        <v>14</v>
      </c>
      <c r="J295" t="s">
        <v>13</v>
      </c>
      <c r="K295" t="s">
        <v>15</v>
      </c>
      <c r="L295" s="3">
        <v>840</v>
      </c>
    </row>
    <row r="296" spans="1:12" x14ac:dyDescent="0.2">
      <c r="A296" s="1">
        <v>314</v>
      </c>
      <c r="B296" s="2">
        <v>92.385999999999996</v>
      </c>
      <c r="C296" s="3">
        <v>7685</v>
      </c>
      <c r="D296" s="1">
        <v>534</v>
      </c>
      <c r="E296" s="1">
        <v>2</v>
      </c>
      <c r="F296" s="1">
        <v>75</v>
      </c>
      <c r="G296" s="1">
        <v>18</v>
      </c>
      <c r="H296" t="s">
        <v>16</v>
      </c>
      <c r="I296" t="s">
        <v>13</v>
      </c>
      <c r="J296" t="s">
        <v>14</v>
      </c>
      <c r="K296" t="s">
        <v>17</v>
      </c>
      <c r="L296" s="3">
        <v>843</v>
      </c>
    </row>
    <row r="297" spans="1:12" x14ac:dyDescent="0.2">
      <c r="A297" s="1">
        <v>312</v>
      </c>
      <c r="B297" s="2">
        <v>23.375</v>
      </c>
      <c r="C297" s="3">
        <v>5429</v>
      </c>
      <c r="D297" s="1">
        <v>396</v>
      </c>
      <c r="E297" s="1">
        <v>3</v>
      </c>
      <c r="F297" s="1">
        <v>57</v>
      </c>
      <c r="G297" s="1">
        <v>15</v>
      </c>
      <c r="H297" t="s">
        <v>16</v>
      </c>
      <c r="I297" t="s">
        <v>13</v>
      </c>
      <c r="J297" t="s">
        <v>14</v>
      </c>
      <c r="K297" t="s">
        <v>15</v>
      </c>
      <c r="L297" s="3">
        <v>844</v>
      </c>
    </row>
    <row r="298" spans="1:12" x14ac:dyDescent="0.2">
      <c r="A298" s="1">
        <v>330</v>
      </c>
      <c r="B298" s="2">
        <v>94.192999999999998</v>
      </c>
      <c r="C298" s="3">
        <v>7576</v>
      </c>
      <c r="D298" s="1">
        <v>527</v>
      </c>
      <c r="E298" s="1">
        <v>2</v>
      </c>
      <c r="F298" s="1">
        <v>44</v>
      </c>
      <c r="G298" s="1">
        <v>16</v>
      </c>
      <c r="H298" t="s">
        <v>16</v>
      </c>
      <c r="I298" t="s">
        <v>13</v>
      </c>
      <c r="J298" t="s">
        <v>14</v>
      </c>
      <c r="K298" t="s">
        <v>15</v>
      </c>
      <c r="L298" s="3">
        <v>846</v>
      </c>
    </row>
    <row r="299" spans="1:12" x14ac:dyDescent="0.2">
      <c r="A299" s="1">
        <v>382</v>
      </c>
      <c r="B299" s="2">
        <v>101.788</v>
      </c>
      <c r="C299" s="3">
        <v>8029</v>
      </c>
      <c r="D299" s="1">
        <v>574</v>
      </c>
      <c r="E299" s="1">
        <v>2</v>
      </c>
      <c r="F299" s="1">
        <v>84</v>
      </c>
      <c r="G299" s="1">
        <v>11</v>
      </c>
      <c r="H299" t="s">
        <v>12</v>
      </c>
      <c r="I299" t="s">
        <v>13</v>
      </c>
      <c r="J299" t="s">
        <v>14</v>
      </c>
      <c r="K299" t="s">
        <v>15</v>
      </c>
      <c r="L299" s="3">
        <v>849</v>
      </c>
    </row>
    <row r="300" spans="1:12" x14ac:dyDescent="0.2">
      <c r="A300" s="1">
        <v>244</v>
      </c>
      <c r="B300" s="2">
        <v>58.164999999999999</v>
      </c>
      <c r="C300" s="3">
        <v>6617</v>
      </c>
      <c r="D300" s="1">
        <v>460</v>
      </c>
      <c r="E300" s="1">
        <v>1</v>
      </c>
      <c r="F300" s="1">
        <v>56</v>
      </c>
      <c r="G300" s="1">
        <v>12</v>
      </c>
      <c r="H300" t="s">
        <v>16</v>
      </c>
      <c r="I300" t="s">
        <v>13</v>
      </c>
      <c r="J300" t="s">
        <v>14</v>
      </c>
      <c r="K300" t="s">
        <v>15</v>
      </c>
      <c r="L300" s="3">
        <v>856</v>
      </c>
    </row>
    <row r="301" spans="1:12" x14ac:dyDescent="0.2">
      <c r="A301" s="1">
        <v>289</v>
      </c>
      <c r="B301" s="2">
        <v>16.710999999999999</v>
      </c>
      <c r="C301" s="3">
        <v>5274</v>
      </c>
      <c r="D301" s="1">
        <v>387</v>
      </c>
      <c r="E301" s="1">
        <v>3</v>
      </c>
      <c r="F301" s="1">
        <v>42</v>
      </c>
      <c r="G301" s="1">
        <v>16</v>
      </c>
      <c r="H301" t="s">
        <v>16</v>
      </c>
      <c r="I301" t="s">
        <v>13</v>
      </c>
      <c r="J301" t="s">
        <v>14</v>
      </c>
      <c r="K301" t="s">
        <v>17</v>
      </c>
      <c r="L301" s="3">
        <v>863</v>
      </c>
    </row>
    <row r="302" spans="1:12" x14ac:dyDescent="0.2">
      <c r="A302" s="1">
        <v>31</v>
      </c>
      <c r="B302" s="2">
        <v>34.142000000000003</v>
      </c>
      <c r="C302" s="3">
        <v>5666</v>
      </c>
      <c r="D302" s="1">
        <v>413</v>
      </c>
      <c r="E302" s="1">
        <v>4</v>
      </c>
      <c r="F302" s="1">
        <v>47</v>
      </c>
      <c r="G302" s="1">
        <v>5</v>
      </c>
      <c r="H302" t="s">
        <v>16</v>
      </c>
      <c r="I302" t="s">
        <v>13</v>
      </c>
      <c r="J302" t="s">
        <v>14</v>
      </c>
      <c r="K302" t="s">
        <v>15</v>
      </c>
      <c r="L302" s="3">
        <v>863</v>
      </c>
    </row>
    <row r="303" spans="1:12" x14ac:dyDescent="0.2">
      <c r="A303" s="1">
        <v>131</v>
      </c>
      <c r="B303" s="2">
        <v>23.792999999999999</v>
      </c>
      <c r="C303" s="3">
        <v>3821</v>
      </c>
      <c r="D303" s="1">
        <v>281</v>
      </c>
      <c r="E303" s="1">
        <v>4</v>
      </c>
      <c r="F303" s="1">
        <v>56</v>
      </c>
      <c r="G303" s="1">
        <v>12</v>
      </c>
      <c r="H303" t="s">
        <v>16</v>
      </c>
      <c r="I303" t="s">
        <v>14</v>
      </c>
      <c r="J303" t="s">
        <v>14</v>
      </c>
      <c r="K303" t="s">
        <v>18</v>
      </c>
      <c r="L303" s="3">
        <v>868</v>
      </c>
    </row>
    <row r="304" spans="1:12" x14ac:dyDescent="0.2">
      <c r="A304" s="1">
        <v>8</v>
      </c>
      <c r="B304" s="2">
        <v>71.408000000000001</v>
      </c>
      <c r="C304" s="3">
        <v>7114</v>
      </c>
      <c r="D304" s="1">
        <v>512</v>
      </c>
      <c r="E304" s="1">
        <v>2</v>
      </c>
      <c r="F304" s="1">
        <v>87</v>
      </c>
      <c r="G304" s="1">
        <v>9</v>
      </c>
      <c r="H304" t="s">
        <v>12</v>
      </c>
      <c r="I304" t="s">
        <v>13</v>
      </c>
      <c r="J304" t="s">
        <v>13</v>
      </c>
      <c r="K304" t="s">
        <v>17</v>
      </c>
      <c r="L304" s="3">
        <v>872</v>
      </c>
    </row>
    <row r="305" spans="1:12" x14ac:dyDescent="0.2">
      <c r="A305" s="1">
        <v>310</v>
      </c>
      <c r="B305" s="2">
        <v>75.257000000000005</v>
      </c>
      <c r="C305" s="3">
        <v>7010</v>
      </c>
      <c r="D305" s="1">
        <v>494</v>
      </c>
      <c r="E305" s="1">
        <v>3</v>
      </c>
      <c r="F305" s="1">
        <v>34</v>
      </c>
      <c r="G305" s="1">
        <v>18</v>
      </c>
      <c r="H305" t="s">
        <v>16</v>
      </c>
      <c r="I305" t="s">
        <v>13</v>
      </c>
      <c r="J305" t="s">
        <v>14</v>
      </c>
      <c r="K305" t="s">
        <v>15</v>
      </c>
      <c r="L305" s="3">
        <v>885</v>
      </c>
    </row>
    <row r="306" spans="1:12" x14ac:dyDescent="0.2">
      <c r="A306" s="1">
        <v>68</v>
      </c>
      <c r="B306" s="2">
        <v>11.186999999999999</v>
      </c>
      <c r="C306" s="3">
        <v>5099</v>
      </c>
      <c r="D306" s="1">
        <v>380</v>
      </c>
      <c r="E306" s="1">
        <v>4</v>
      </c>
      <c r="F306" s="1">
        <v>69</v>
      </c>
      <c r="G306" s="1">
        <v>16</v>
      </c>
      <c r="H306" t="s">
        <v>16</v>
      </c>
      <c r="I306" t="s">
        <v>13</v>
      </c>
      <c r="J306" t="s">
        <v>13</v>
      </c>
      <c r="K306" t="s">
        <v>18</v>
      </c>
      <c r="L306" s="3">
        <v>889</v>
      </c>
    </row>
    <row r="307" spans="1:12" x14ac:dyDescent="0.2">
      <c r="A307" s="1">
        <v>284</v>
      </c>
      <c r="B307" s="2">
        <v>49.927</v>
      </c>
      <c r="C307" s="3">
        <v>6396</v>
      </c>
      <c r="D307" s="1">
        <v>485</v>
      </c>
      <c r="E307" s="1">
        <v>3</v>
      </c>
      <c r="F307" s="1">
        <v>75</v>
      </c>
      <c r="G307" s="1">
        <v>17</v>
      </c>
      <c r="H307" t="s">
        <v>16</v>
      </c>
      <c r="I307" t="s">
        <v>13</v>
      </c>
      <c r="J307" t="s">
        <v>14</v>
      </c>
      <c r="K307" t="s">
        <v>15</v>
      </c>
      <c r="L307" s="3">
        <v>890</v>
      </c>
    </row>
    <row r="308" spans="1:12" x14ac:dyDescent="0.2">
      <c r="A308" s="1">
        <v>19</v>
      </c>
      <c r="B308" s="2">
        <v>49.57</v>
      </c>
      <c r="C308" s="3">
        <v>6384</v>
      </c>
      <c r="D308" s="1">
        <v>448</v>
      </c>
      <c r="E308" s="1">
        <v>1</v>
      </c>
      <c r="F308" s="1">
        <v>28</v>
      </c>
      <c r="G308" s="1">
        <v>9</v>
      </c>
      <c r="H308" t="s">
        <v>16</v>
      </c>
      <c r="I308" t="s">
        <v>13</v>
      </c>
      <c r="J308" t="s">
        <v>14</v>
      </c>
      <c r="K308" t="s">
        <v>17</v>
      </c>
      <c r="L308" s="3">
        <v>891</v>
      </c>
    </row>
    <row r="309" spans="1:12" x14ac:dyDescent="0.2">
      <c r="A309" s="1">
        <v>50</v>
      </c>
      <c r="B309" s="2">
        <v>43.478999999999999</v>
      </c>
      <c r="C309" s="3">
        <v>4569</v>
      </c>
      <c r="D309" s="1">
        <v>354</v>
      </c>
      <c r="E309" s="1">
        <v>4</v>
      </c>
      <c r="F309" s="1">
        <v>49</v>
      </c>
      <c r="G309" s="1">
        <v>13</v>
      </c>
      <c r="H309" t="s">
        <v>12</v>
      </c>
      <c r="I309" t="s">
        <v>14</v>
      </c>
      <c r="J309" t="s">
        <v>14</v>
      </c>
      <c r="K309" t="s">
        <v>18</v>
      </c>
      <c r="L309" s="3">
        <v>902</v>
      </c>
    </row>
    <row r="310" spans="1:12" x14ac:dyDescent="0.2">
      <c r="A310" s="1">
        <v>2</v>
      </c>
      <c r="B310" s="2">
        <v>106.02500000000001</v>
      </c>
      <c r="C310" s="3">
        <v>6645</v>
      </c>
      <c r="D310" s="1">
        <v>483</v>
      </c>
      <c r="E310" s="1">
        <v>3</v>
      </c>
      <c r="F310" s="1">
        <v>82</v>
      </c>
      <c r="G310" s="1">
        <v>15</v>
      </c>
      <c r="H310" t="s">
        <v>16</v>
      </c>
      <c r="I310" t="s">
        <v>14</v>
      </c>
      <c r="J310" t="s">
        <v>14</v>
      </c>
      <c r="K310" t="s">
        <v>17</v>
      </c>
      <c r="L310" s="3">
        <v>903</v>
      </c>
    </row>
    <row r="311" spans="1:12" x14ac:dyDescent="0.2">
      <c r="A311" s="1">
        <v>123</v>
      </c>
      <c r="B311" s="2">
        <v>62.601999999999997</v>
      </c>
      <c r="C311" s="3">
        <v>7056</v>
      </c>
      <c r="D311" s="1">
        <v>481</v>
      </c>
      <c r="E311" s="1">
        <v>1</v>
      </c>
      <c r="F311" s="1">
        <v>84</v>
      </c>
      <c r="G311" s="1">
        <v>11</v>
      </c>
      <c r="H311" t="s">
        <v>16</v>
      </c>
      <c r="I311" t="s">
        <v>13</v>
      </c>
      <c r="J311" t="s">
        <v>13</v>
      </c>
      <c r="K311" t="s">
        <v>15</v>
      </c>
      <c r="L311" s="3">
        <v>904</v>
      </c>
    </row>
    <row r="312" spans="1:12" x14ac:dyDescent="0.2">
      <c r="A312" s="1">
        <v>386</v>
      </c>
      <c r="B312" s="2">
        <v>26.4</v>
      </c>
      <c r="C312" s="3">
        <v>5640</v>
      </c>
      <c r="D312" s="1">
        <v>398</v>
      </c>
      <c r="E312" s="1">
        <v>3</v>
      </c>
      <c r="F312" s="1">
        <v>58</v>
      </c>
      <c r="G312" s="1">
        <v>15</v>
      </c>
      <c r="H312" t="s">
        <v>16</v>
      </c>
      <c r="I312" t="s">
        <v>13</v>
      </c>
      <c r="J312" t="s">
        <v>13</v>
      </c>
      <c r="K312" t="s">
        <v>17</v>
      </c>
      <c r="L312" s="3">
        <v>905</v>
      </c>
    </row>
    <row r="313" spans="1:12" x14ac:dyDescent="0.2">
      <c r="A313" s="1">
        <v>305</v>
      </c>
      <c r="B313" s="2">
        <v>82.706000000000003</v>
      </c>
      <c r="C313" s="3">
        <v>7506</v>
      </c>
      <c r="D313" s="1">
        <v>536</v>
      </c>
      <c r="E313" s="1">
        <v>2</v>
      </c>
      <c r="F313" s="1">
        <v>64</v>
      </c>
      <c r="G313" s="1">
        <v>13</v>
      </c>
      <c r="H313" t="s">
        <v>16</v>
      </c>
      <c r="I313" t="s">
        <v>13</v>
      </c>
      <c r="J313" t="s">
        <v>14</v>
      </c>
      <c r="K313" t="s">
        <v>17</v>
      </c>
      <c r="L313" s="3">
        <v>905</v>
      </c>
    </row>
    <row r="314" spans="1:12" x14ac:dyDescent="0.2">
      <c r="A314" s="1">
        <v>347</v>
      </c>
      <c r="B314" s="2">
        <v>21.550999999999998</v>
      </c>
      <c r="C314" s="3">
        <v>5380</v>
      </c>
      <c r="D314" s="1">
        <v>420</v>
      </c>
      <c r="E314" s="1">
        <v>5</v>
      </c>
      <c r="F314" s="1">
        <v>51</v>
      </c>
      <c r="G314" s="1">
        <v>18</v>
      </c>
      <c r="H314" t="s">
        <v>12</v>
      </c>
      <c r="I314" t="s">
        <v>13</v>
      </c>
      <c r="J314" t="s">
        <v>14</v>
      </c>
      <c r="K314" t="s">
        <v>17</v>
      </c>
      <c r="L314" s="3">
        <v>907</v>
      </c>
    </row>
    <row r="315" spans="1:12" x14ac:dyDescent="0.2">
      <c r="A315" s="1">
        <v>133</v>
      </c>
      <c r="B315" s="2">
        <v>23.283000000000001</v>
      </c>
      <c r="C315" s="3">
        <v>5443</v>
      </c>
      <c r="D315" s="1">
        <v>407</v>
      </c>
      <c r="E315" s="1">
        <v>4</v>
      </c>
      <c r="F315" s="1">
        <v>49</v>
      </c>
      <c r="G315" s="1">
        <v>13</v>
      </c>
      <c r="H315" t="s">
        <v>12</v>
      </c>
      <c r="I315" t="s">
        <v>13</v>
      </c>
      <c r="J315" t="s">
        <v>14</v>
      </c>
      <c r="K315" t="s">
        <v>18</v>
      </c>
      <c r="L315" s="3">
        <v>912</v>
      </c>
    </row>
    <row r="316" spans="1:12" x14ac:dyDescent="0.2">
      <c r="A316" s="1">
        <v>30</v>
      </c>
      <c r="B316" s="2">
        <v>26.812999999999999</v>
      </c>
      <c r="C316" s="3">
        <v>5611</v>
      </c>
      <c r="D316" s="1">
        <v>411</v>
      </c>
      <c r="E316" s="1">
        <v>4</v>
      </c>
      <c r="F316" s="1">
        <v>55</v>
      </c>
      <c r="G316" s="1">
        <v>16</v>
      </c>
      <c r="H316" t="s">
        <v>16</v>
      </c>
      <c r="I316" t="s">
        <v>13</v>
      </c>
      <c r="J316" t="s">
        <v>13</v>
      </c>
      <c r="K316" t="s">
        <v>15</v>
      </c>
      <c r="L316" s="3">
        <v>915</v>
      </c>
    </row>
    <row r="317" spans="1:12" x14ac:dyDescent="0.2">
      <c r="A317" s="1">
        <v>337</v>
      </c>
      <c r="B317" s="2">
        <v>32.856000000000002</v>
      </c>
      <c r="C317" s="3">
        <v>5884</v>
      </c>
      <c r="D317" s="1">
        <v>438</v>
      </c>
      <c r="E317" s="1">
        <v>4</v>
      </c>
      <c r="F317" s="1">
        <v>68</v>
      </c>
      <c r="G317" s="1">
        <v>13</v>
      </c>
      <c r="H317" t="s">
        <v>12</v>
      </c>
      <c r="I317" t="s">
        <v>13</v>
      </c>
      <c r="J317" t="s">
        <v>13</v>
      </c>
      <c r="K317" t="s">
        <v>15</v>
      </c>
      <c r="L317" s="3">
        <v>926</v>
      </c>
    </row>
    <row r="318" spans="1:12" x14ac:dyDescent="0.2">
      <c r="A318" s="1">
        <v>189</v>
      </c>
      <c r="B318" s="2">
        <v>83.869</v>
      </c>
      <c r="C318" s="3">
        <v>7667</v>
      </c>
      <c r="D318" s="1">
        <v>554</v>
      </c>
      <c r="E318" s="1">
        <v>2</v>
      </c>
      <c r="F318" s="1">
        <v>83</v>
      </c>
      <c r="G318" s="1">
        <v>11</v>
      </c>
      <c r="H318" t="s">
        <v>12</v>
      </c>
      <c r="I318" t="s">
        <v>13</v>
      </c>
      <c r="J318" t="s">
        <v>13</v>
      </c>
      <c r="K318" t="s">
        <v>18</v>
      </c>
      <c r="L318" s="3">
        <v>930</v>
      </c>
    </row>
    <row r="319" spans="1:12" x14ac:dyDescent="0.2">
      <c r="A319" s="1">
        <v>94</v>
      </c>
      <c r="B319" s="2">
        <v>16.478999999999999</v>
      </c>
      <c r="C319" s="3">
        <v>5435</v>
      </c>
      <c r="D319" s="1">
        <v>388</v>
      </c>
      <c r="E319" s="1">
        <v>2</v>
      </c>
      <c r="F319" s="1">
        <v>26</v>
      </c>
      <c r="G319" s="1">
        <v>16</v>
      </c>
      <c r="H319" t="s">
        <v>12</v>
      </c>
      <c r="I319" t="s">
        <v>13</v>
      </c>
      <c r="J319" t="s">
        <v>13</v>
      </c>
      <c r="K319" t="s">
        <v>18</v>
      </c>
      <c r="L319" s="3">
        <v>937</v>
      </c>
    </row>
    <row r="320" spans="1:12" x14ac:dyDescent="0.2">
      <c r="A320" s="1">
        <v>268</v>
      </c>
      <c r="B320" s="2">
        <v>29.638000000000002</v>
      </c>
      <c r="C320" s="3">
        <v>5833</v>
      </c>
      <c r="D320" s="1">
        <v>433</v>
      </c>
      <c r="E320" s="1">
        <v>3</v>
      </c>
      <c r="F320" s="1">
        <v>29</v>
      </c>
      <c r="G320" s="1">
        <v>15</v>
      </c>
      <c r="H320" t="s">
        <v>16</v>
      </c>
      <c r="I320" t="s">
        <v>13</v>
      </c>
      <c r="J320" t="s">
        <v>14</v>
      </c>
      <c r="K320" t="s">
        <v>17</v>
      </c>
      <c r="L320" s="3">
        <v>942</v>
      </c>
    </row>
    <row r="321" spans="1:12" x14ac:dyDescent="0.2">
      <c r="A321" s="1">
        <v>75</v>
      </c>
      <c r="B321" s="2">
        <v>16.103000000000002</v>
      </c>
      <c r="C321" s="3">
        <v>5390</v>
      </c>
      <c r="D321" s="1">
        <v>418</v>
      </c>
      <c r="E321" s="1">
        <v>4</v>
      </c>
      <c r="F321" s="1">
        <v>45</v>
      </c>
      <c r="G321" s="1">
        <v>10</v>
      </c>
      <c r="H321" t="s">
        <v>16</v>
      </c>
      <c r="I321" t="s">
        <v>13</v>
      </c>
      <c r="J321" t="s">
        <v>14</v>
      </c>
      <c r="K321" t="s">
        <v>15</v>
      </c>
      <c r="L321" s="3">
        <v>945</v>
      </c>
    </row>
    <row r="322" spans="1:12" x14ac:dyDescent="0.2">
      <c r="A322" s="1">
        <v>218</v>
      </c>
      <c r="B322" s="2">
        <v>12.456</v>
      </c>
      <c r="C322" s="3">
        <v>5395</v>
      </c>
      <c r="D322" s="1">
        <v>392</v>
      </c>
      <c r="E322" s="1">
        <v>3</v>
      </c>
      <c r="F322" s="1">
        <v>65</v>
      </c>
      <c r="G322" s="1">
        <v>14</v>
      </c>
      <c r="H322" t="s">
        <v>12</v>
      </c>
      <c r="I322" t="s">
        <v>13</v>
      </c>
      <c r="J322" t="s">
        <v>14</v>
      </c>
      <c r="K322" t="s">
        <v>15</v>
      </c>
      <c r="L322" s="3">
        <v>955</v>
      </c>
    </row>
    <row r="323" spans="1:12" x14ac:dyDescent="0.2">
      <c r="A323" s="1">
        <v>54</v>
      </c>
      <c r="B323" s="2">
        <v>16.303999999999998</v>
      </c>
      <c r="C323" s="3">
        <v>5466</v>
      </c>
      <c r="D323" s="1">
        <v>413</v>
      </c>
      <c r="E323" s="1">
        <v>4</v>
      </c>
      <c r="F323" s="1">
        <v>66</v>
      </c>
      <c r="G323" s="1">
        <v>10</v>
      </c>
      <c r="H323" t="s">
        <v>12</v>
      </c>
      <c r="I323" t="s">
        <v>13</v>
      </c>
      <c r="J323" t="s">
        <v>14</v>
      </c>
      <c r="K323" t="s">
        <v>17</v>
      </c>
      <c r="L323" s="3">
        <v>957</v>
      </c>
    </row>
    <row r="324" spans="1:12" x14ac:dyDescent="0.2">
      <c r="A324" s="1">
        <v>357</v>
      </c>
      <c r="B324" s="2">
        <v>34.479999999999997</v>
      </c>
      <c r="C324" s="3">
        <v>6090</v>
      </c>
      <c r="D324" s="1">
        <v>442</v>
      </c>
      <c r="E324" s="1">
        <v>3</v>
      </c>
      <c r="F324" s="1">
        <v>36</v>
      </c>
      <c r="G324" s="1">
        <v>14</v>
      </c>
      <c r="H324" t="s">
        <v>12</v>
      </c>
      <c r="I324" t="s">
        <v>13</v>
      </c>
      <c r="J324" t="s">
        <v>13</v>
      </c>
      <c r="K324" t="s">
        <v>15</v>
      </c>
      <c r="L324" s="3">
        <v>962</v>
      </c>
    </row>
    <row r="325" spans="1:12" x14ac:dyDescent="0.2">
      <c r="A325" s="1">
        <v>4</v>
      </c>
      <c r="B325" s="2">
        <v>148.92400000000001</v>
      </c>
      <c r="C325" s="3">
        <v>9504</v>
      </c>
      <c r="D325" s="1">
        <v>681</v>
      </c>
      <c r="E325" s="1">
        <v>3</v>
      </c>
      <c r="F325" s="1">
        <v>36</v>
      </c>
      <c r="G325" s="1">
        <v>11</v>
      </c>
      <c r="H325" t="s">
        <v>16</v>
      </c>
      <c r="I325" t="s">
        <v>13</v>
      </c>
      <c r="J325" t="s">
        <v>13</v>
      </c>
      <c r="K325" t="s">
        <v>17</v>
      </c>
      <c r="L325" s="3">
        <v>964</v>
      </c>
    </row>
    <row r="326" spans="1:12" x14ac:dyDescent="0.2">
      <c r="A326" s="1">
        <v>400</v>
      </c>
      <c r="B326" s="2">
        <v>18.701000000000001</v>
      </c>
      <c r="C326" s="3">
        <v>5524</v>
      </c>
      <c r="D326" s="1">
        <v>415</v>
      </c>
      <c r="E326" s="1">
        <v>5</v>
      </c>
      <c r="F326" s="1">
        <v>64</v>
      </c>
      <c r="G326" s="1">
        <v>7</v>
      </c>
      <c r="H326" t="s">
        <v>16</v>
      </c>
      <c r="I326" t="s">
        <v>13</v>
      </c>
      <c r="J326" t="s">
        <v>13</v>
      </c>
      <c r="K326" t="s">
        <v>17</v>
      </c>
      <c r="L326" s="3">
        <v>966</v>
      </c>
    </row>
    <row r="327" spans="1:12" x14ac:dyDescent="0.2">
      <c r="A327" s="1">
        <v>275</v>
      </c>
      <c r="B327" s="2">
        <v>30.55</v>
      </c>
      <c r="C327" s="3">
        <v>5869</v>
      </c>
      <c r="D327" s="1">
        <v>439</v>
      </c>
      <c r="E327" s="1">
        <v>5</v>
      </c>
      <c r="F327" s="1">
        <v>81</v>
      </c>
      <c r="G327" s="1">
        <v>9</v>
      </c>
      <c r="H327" t="s">
        <v>16</v>
      </c>
      <c r="I327" t="s">
        <v>13</v>
      </c>
      <c r="J327" t="s">
        <v>13</v>
      </c>
      <c r="K327" t="s">
        <v>18</v>
      </c>
      <c r="L327" s="3">
        <v>967</v>
      </c>
    </row>
    <row r="328" spans="1:12" x14ac:dyDescent="0.2">
      <c r="A328" s="1">
        <v>22</v>
      </c>
      <c r="B328" s="2">
        <v>37.347999999999999</v>
      </c>
      <c r="C328" s="3">
        <v>6378</v>
      </c>
      <c r="D328" s="1">
        <v>458</v>
      </c>
      <c r="E328" s="1">
        <v>1</v>
      </c>
      <c r="F328" s="1">
        <v>72</v>
      </c>
      <c r="G328" s="1">
        <v>17</v>
      </c>
      <c r="H328" t="s">
        <v>16</v>
      </c>
      <c r="I328" t="s">
        <v>13</v>
      </c>
      <c r="J328" t="s">
        <v>13</v>
      </c>
      <c r="K328" t="s">
        <v>15</v>
      </c>
      <c r="L328" s="3">
        <v>968</v>
      </c>
    </row>
    <row r="329" spans="1:12" x14ac:dyDescent="0.2">
      <c r="A329" s="1">
        <v>44</v>
      </c>
      <c r="B329" s="2">
        <v>36.929000000000002</v>
      </c>
      <c r="C329" s="3">
        <v>6257</v>
      </c>
      <c r="D329" s="1">
        <v>445</v>
      </c>
      <c r="E329" s="1">
        <v>1</v>
      </c>
      <c r="F329" s="1">
        <v>24</v>
      </c>
      <c r="G329" s="1">
        <v>14</v>
      </c>
      <c r="H329" t="s">
        <v>16</v>
      </c>
      <c r="I329" t="s">
        <v>13</v>
      </c>
      <c r="J329" t="s">
        <v>14</v>
      </c>
      <c r="K329" t="s">
        <v>17</v>
      </c>
      <c r="L329" s="3">
        <v>976</v>
      </c>
    </row>
    <row r="330" spans="1:12" x14ac:dyDescent="0.2">
      <c r="A330" s="1">
        <v>328</v>
      </c>
      <c r="B330" s="2">
        <v>49.165999999999997</v>
      </c>
      <c r="C330" s="3">
        <v>6662</v>
      </c>
      <c r="D330" s="1">
        <v>508</v>
      </c>
      <c r="E330" s="1">
        <v>3</v>
      </c>
      <c r="F330" s="1">
        <v>68</v>
      </c>
      <c r="G330" s="1">
        <v>14</v>
      </c>
      <c r="H330" t="s">
        <v>16</v>
      </c>
      <c r="I330" t="s">
        <v>13</v>
      </c>
      <c r="J330" t="s">
        <v>13</v>
      </c>
      <c r="K330" t="s">
        <v>17</v>
      </c>
      <c r="L330" s="3">
        <v>984</v>
      </c>
    </row>
    <row r="331" spans="1:12" x14ac:dyDescent="0.2">
      <c r="A331" s="1">
        <v>371</v>
      </c>
      <c r="B331" s="2">
        <v>35.61</v>
      </c>
      <c r="C331" s="3">
        <v>6135</v>
      </c>
      <c r="D331" s="1">
        <v>466</v>
      </c>
      <c r="E331" s="1">
        <v>4</v>
      </c>
      <c r="F331" s="1">
        <v>40</v>
      </c>
      <c r="G331" s="1">
        <v>12</v>
      </c>
      <c r="H331" t="s">
        <v>12</v>
      </c>
      <c r="I331" t="s">
        <v>13</v>
      </c>
      <c r="J331" t="s">
        <v>13</v>
      </c>
      <c r="K331" t="s">
        <v>15</v>
      </c>
      <c r="L331" s="3">
        <v>992</v>
      </c>
    </row>
    <row r="332" spans="1:12" x14ac:dyDescent="0.2">
      <c r="A332" s="1">
        <v>46</v>
      </c>
      <c r="B332" s="2">
        <v>77.38</v>
      </c>
      <c r="C332" s="3">
        <v>7569</v>
      </c>
      <c r="D332" s="1">
        <v>564</v>
      </c>
      <c r="E332" s="1">
        <v>3</v>
      </c>
      <c r="F332" s="1">
        <v>50</v>
      </c>
      <c r="G332" s="1">
        <v>12</v>
      </c>
      <c r="H332" t="s">
        <v>16</v>
      </c>
      <c r="I332" t="s">
        <v>13</v>
      </c>
      <c r="J332" t="s">
        <v>14</v>
      </c>
      <c r="K332" t="s">
        <v>15</v>
      </c>
      <c r="L332" s="3">
        <v>997</v>
      </c>
    </row>
    <row r="333" spans="1:12" x14ac:dyDescent="0.2">
      <c r="A333" s="1">
        <v>376</v>
      </c>
      <c r="B333" s="2">
        <v>20.974</v>
      </c>
      <c r="C333" s="3">
        <v>5673</v>
      </c>
      <c r="D333" s="1">
        <v>413</v>
      </c>
      <c r="E333" s="1">
        <v>5</v>
      </c>
      <c r="F333" s="1">
        <v>44</v>
      </c>
      <c r="G333" s="1">
        <v>16</v>
      </c>
      <c r="H333" t="s">
        <v>16</v>
      </c>
      <c r="I333" t="s">
        <v>13</v>
      </c>
      <c r="J333" t="s">
        <v>14</v>
      </c>
      <c r="K333" t="s">
        <v>15</v>
      </c>
      <c r="L333" s="3">
        <v>1000</v>
      </c>
    </row>
    <row r="334" spans="1:12" x14ac:dyDescent="0.2">
      <c r="A334" s="1">
        <v>374</v>
      </c>
      <c r="B334" s="2">
        <v>55.411999999999999</v>
      </c>
      <c r="C334" s="3">
        <v>5354</v>
      </c>
      <c r="D334" s="1">
        <v>383</v>
      </c>
      <c r="E334" s="1">
        <v>2</v>
      </c>
      <c r="F334" s="1">
        <v>37</v>
      </c>
      <c r="G334" s="1">
        <v>16</v>
      </c>
      <c r="H334" t="s">
        <v>16</v>
      </c>
      <c r="I334" t="s">
        <v>14</v>
      </c>
      <c r="J334" t="s">
        <v>14</v>
      </c>
      <c r="K334" t="s">
        <v>15</v>
      </c>
      <c r="L334" s="3">
        <v>1003</v>
      </c>
    </row>
    <row r="335" spans="1:12" x14ac:dyDescent="0.2">
      <c r="A335" s="1">
        <v>134</v>
      </c>
      <c r="B335" s="2">
        <v>21.454999999999998</v>
      </c>
      <c r="C335" s="3">
        <v>5829</v>
      </c>
      <c r="D335" s="1">
        <v>427</v>
      </c>
      <c r="E335" s="1">
        <v>4</v>
      </c>
      <c r="F335" s="1">
        <v>80</v>
      </c>
      <c r="G335" s="1">
        <v>12</v>
      </c>
      <c r="H335" t="s">
        <v>16</v>
      </c>
      <c r="I335" t="s">
        <v>13</v>
      </c>
      <c r="J335" t="s">
        <v>14</v>
      </c>
      <c r="K335" t="s">
        <v>18</v>
      </c>
      <c r="L335" s="3">
        <v>1018</v>
      </c>
    </row>
    <row r="336" spans="1:12" x14ac:dyDescent="0.2">
      <c r="A336" s="1">
        <v>158</v>
      </c>
      <c r="B336" s="2">
        <v>56.256</v>
      </c>
      <c r="C336" s="3">
        <v>5521</v>
      </c>
      <c r="D336" s="1">
        <v>406</v>
      </c>
      <c r="E336" s="1">
        <v>2</v>
      </c>
      <c r="F336" s="1">
        <v>72</v>
      </c>
      <c r="G336" s="1">
        <v>16</v>
      </c>
      <c r="H336" t="s">
        <v>16</v>
      </c>
      <c r="I336" t="s">
        <v>14</v>
      </c>
      <c r="J336" t="s">
        <v>14</v>
      </c>
      <c r="K336" t="s">
        <v>15</v>
      </c>
      <c r="L336" s="3">
        <v>1020</v>
      </c>
    </row>
    <row r="337" spans="1:12" x14ac:dyDescent="0.2">
      <c r="A337" s="1">
        <v>91</v>
      </c>
      <c r="B337" s="2">
        <v>20.190999999999999</v>
      </c>
      <c r="C337" s="3">
        <v>5767</v>
      </c>
      <c r="D337" s="1">
        <v>431</v>
      </c>
      <c r="E337" s="1">
        <v>4</v>
      </c>
      <c r="F337" s="1">
        <v>42</v>
      </c>
      <c r="G337" s="1">
        <v>16</v>
      </c>
      <c r="H337" t="s">
        <v>12</v>
      </c>
      <c r="I337" t="s">
        <v>13</v>
      </c>
      <c r="J337" t="s">
        <v>14</v>
      </c>
      <c r="K337" t="s">
        <v>18</v>
      </c>
      <c r="L337" s="3">
        <v>1023</v>
      </c>
    </row>
    <row r="338" spans="1:12" x14ac:dyDescent="0.2">
      <c r="A338" s="1">
        <v>227</v>
      </c>
      <c r="B338" s="2">
        <v>59.878999999999998</v>
      </c>
      <c r="C338" s="3">
        <v>6906</v>
      </c>
      <c r="D338" s="1">
        <v>527</v>
      </c>
      <c r="E338" s="1">
        <v>6</v>
      </c>
      <c r="F338" s="1">
        <v>78</v>
      </c>
      <c r="G338" s="1">
        <v>15</v>
      </c>
      <c r="H338" t="s">
        <v>16</v>
      </c>
      <c r="I338" t="s">
        <v>13</v>
      </c>
      <c r="J338" t="s">
        <v>13</v>
      </c>
      <c r="K338" t="s">
        <v>15</v>
      </c>
      <c r="L338" s="3">
        <v>1032</v>
      </c>
    </row>
    <row r="339" spans="1:12" x14ac:dyDescent="0.2">
      <c r="A339" s="1">
        <v>311</v>
      </c>
      <c r="B339" s="2">
        <v>33.694000000000003</v>
      </c>
      <c r="C339" s="3">
        <v>4891</v>
      </c>
      <c r="D339" s="1">
        <v>369</v>
      </c>
      <c r="E339" s="1">
        <v>1</v>
      </c>
      <c r="F339" s="1">
        <v>52</v>
      </c>
      <c r="G339" s="1">
        <v>16</v>
      </c>
      <c r="H339" t="s">
        <v>12</v>
      </c>
      <c r="I339" t="s">
        <v>14</v>
      </c>
      <c r="J339" t="s">
        <v>13</v>
      </c>
      <c r="K339" t="s">
        <v>18</v>
      </c>
      <c r="L339" s="3">
        <v>1036</v>
      </c>
    </row>
    <row r="340" spans="1:12" x14ac:dyDescent="0.2">
      <c r="A340" s="1">
        <v>113</v>
      </c>
      <c r="B340" s="2">
        <v>46.006999999999998</v>
      </c>
      <c r="C340" s="3">
        <v>6637</v>
      </c>
      <c r="D340" s="1">
        <v>491</v>
      </c>
      <c r="E340" s="1">
        <v>4</v>
      </c>
      <c r="F340" s="1">
        <v>42</v>
      </c>
      <c r="G340" s="1">
        <v>14</v>
      </c>
      <c r="H340" t="s">
        <v>12</v>
      </c>
      <c r="I340" t="s">
        <v>13</v>
      </c>
      <c r="J340" t="s">
        <v>14</v>
      </c>
      <c r="K340" t="s">
        <v>15</v>
      </c>
      <c r="L340" s="3">
        <v>1046</v>
      </c>
    </row>
    <row r="341" spans="1:12" x14ac:dyDescent="0.2">
      <c r="A341" s="1">
        <v>255</v>
      </c>
      <c r="B341" s="2">
        <v>36.508000000000003</v>
      </c>
      <c r="C341" s="3">
        <v>6386</v>
      </c>
      <c r="D341" s="1">
        <v>469</v>
      </c>
      <c r="E341" s="1">
        <v>4</v>
      </c>
      <c r="F341" s="1">
        <v>79</v>
      </c>
      <c r="G341" s="1">
        <v>6</v>
      </c>
      <c r="H341" t="s">
        <v>16</v>
      </c>
      <c r="I341" t="s">
        <v>13</v>
      </c>
      <c r="J341" t="s">
        <v>14</v>
      </c>
      <c r="K341" t="s">
        <v>15</v>
      </c>
      <c r="L341" s="3">
        <v>1048</v>
      </c>
    </row>
    <row r="342" spans="1:12" x14ac:dyDescent="0.2">
      <c r="A342" s="1">
        <v>20</v>
      </c>
      <c r="B342" s="2">
        <v>42.079000000000001</v>
      </c>
      <c r="C342" s="3">
        <v>6626</v>
      </c>
      <c r="D342" s="1">
        <v>479</v>
      </c>
      <c r="E342" s="1">
        <v>2</v>
      </c>
      <c r="F342" s="1">
        <v>44</v>
      </c>
      <c r="G342" s="1">
        <v>9</v>
      </c>
      <c r="H342" t="s">
        <v>12</v>
      </c>
      <c r="I342" t="s">
        <v>13</v>
      </c>
      <c r="J342" t="s">
        <v>13</v>
      </c>
      <c r="K342" t="s">
        <v>17</v>
      </c>
      <c r="L342" s="3">
        <v>1048</v>
      </c>
    </row>
    <row r="343" spans="1:12" x14ac:dyDescent="0.2">
      <c r="A343" s="1">
        <v>202</v>
      </c>
      <c r="B343" s="2">
        <v>73.914000000000001</v>
      </c>
      <c r="C343" s="3">
        <v>7333</v>
      </c>
      <c r="D343" s="1">
        <v>529</v>
      </c>
      <c r="E343" s="1">
        <v>6</v>
      </c>
      <c r="F343" s="1">
        <v>67</v>
      </c>
      <c r="G343" s="1">
        <v>15</v>
      </c>
      <c r="H343" t="s">
        <v>16</v>
      </c>
      <c r="I343" t="s">
        <v>13</v>
      </c>
      <c r="J343" t="s">
        <v>14</v>
      </c>
      <c r="K343" t="s">
        <v>15</v>
      </c>
      <c r="L343" s="3">
        <v>1048</v>
      </c>
    </row>
    <row r="344" spans="1:12" x14ac:dyDescent="0.2">
      <c r="A344" s="1">
        <v>104</v>
      </c>
      <c r="B344" s="2">
        <v>146.18299999999999</v>
      </c>
      <c r="C344" s="3">
        <v>9540</v>
      </c>
      <c r="D344" s="1">
        <v>682</v>
      </c>
      <c r="E344" s="1">
        <v>6</v>
      </c>
      <c r="F344" s="1">
        <v>66</v>
      </c>
      <c r="G344" s="1">
        <v>15</v>
      </c>
      <c r="H344" t="s">
        <v>12</v>
      </c>
      <c r="I344" t="s">
        <v>13</v>
      </c>
      <c r="J344" t="s">
        <v>13</v>
      </c>
      <c r="K344" t="s">
        <v>15</v>
      </c>
      <c r="L344" s="3">
        <v>1050</v>
      </c>
    </row>
    <row r="345" spans="1:12" x14ac:dyDescent="0.2">
      <c r="A345" s="1">
        <v>262</v>
      </c>
      <c r="B345" s="2">
        <v>180.37899999999999</v>
      </c>
      <c r="C345" s="3">
        <v>9310</v>
      </c>
      <c r="D345" s="1">
        <v>665</v>
      </c>
      <c r="E345" s="1">
        <v>3</v>
      </c>
      <c r="F345" s="1">
        <v>67</v>
      </c>
      <c r="G345" s="1">
        <v>8</v>
      </c>
      <c r="H345" t="s">
        <v>16</v>
      </c>
      <c r="I345" t="s">
        <v>14</v>
      </c>
      <c r="J345" t="s">
        <v>14</v>
      </c>
      <c r="K345" t="s">
        <v>17</v>
      </c>
      <c r="L345" s="3">
        <v>1050</v>
      </c>
    </row>
    <row r="346" spans="1:12" x14ac:dyDescent="0.2">
      <c r="A346" s="1">
        <v>331</v>
      </c>
      <c r="B346" s="2">
        <v>20.405000000000001</v>
      </c>
      <c r="C346" s="3">
        <v>4543</v>
      </c>
      <c r="D346" s="1">
        <v>329</v>
      </c>
      <c r="E346" s="1">
        <v>2</v>
      </c>
      <c r="F346" s="1">
        <v>72</v>
      </c>
      <c r="G346" s="1">
        <v>17</v>
      </c>
      <c r="H346" t="s">
        <v>12</v>
      </c>
      <c r="I346" t="s">
        <v>14</v>
      </c>
      <c r="J346" t="s">
        <v>13</v>
      </c>
      <c r="K346" t="s">
        <v>17</v>
      </c>
      <c r="L346" s="3">
        <v>1054</v>
      </c>
    </row>
    <row r="347" spans="1:12" x14ac:dyDescent="0.2">
      <c r="A347" s="1">
        <v>230</v>
      </c>
      <c r="B347" s="2">
        <v>69.942999999999998</v>
      </c>
      <c r="C347" s="3">
        <v>7555</v>
      </c>
      <c r="D347" s="1">
        <v>547</v>
      </c>
      <c r="E347" s="1">
        <v>3</v>
      </c>
      <c r="F347" s="1">
        <v>76</v>
      </c>
      <c r="G347" s="1">
        <v>9</v>
      </c>
      <c r="H347" t="s">
        <v>12</v>
      </c>
      <c r="I347" t="s">
        <v>13</v>
      </c>
      <c r="J347" t="s">
        <v>14</v>
      </c>
      <c r="K347" t="s">
        <v>17</v>
      </c>
      <c r="L347" s="3">
        <v>1058</v>
      </c>
    </row>
    <row r="348" spans="1:12" x14ac:dyDescent="0.2">
      <c r="A348" s="1">
        <v>226</v>
      </c>
      <c r="B348" s="2">
        <v>15.079000000000001</v>
      </c>
      <c r="C348" s="3">
        <v>5673</v>
      </c>
      <c r="D348" s="1">
        <v>411</v>
      </c>
      <c r="E348" s="1">
        <v>4</v>
      </c>
      <c r="F348" s="1">
        <v>28</v>
      </c>
      <c r="G348" s="1">
        <v>15</v>
      </c>
      <c r="H348" t="s">
        <v>16</v>
      </c>
      <c r="I348" t="s">
        <v>13</v>
      </c>
      <c r="J348" t="s">
        <v>14</v>
      </c>
      <c r="K348" t="s">
        <v>17</v>
      </c>
      <c r="L348" s="3">
        <v>1075</v>
      </c>
    </row>
    <row r="349" spans="1:12" x14ac:dyDescent="0.2">
      <c r="A349" s="1">
        <v>14</v>
      </c>
      <c r="B349" s="2">
        <v>43.682000000000002</v>
      </c>
      <c r="C349" s="3">
        <v>6922</v>
      </c>
      <c r="D349" s="1">
        <v>511</v>
      </c>
      <c r="E349" s="1">
        <v>1</v>
      </c>
      <c r="F349" s="1">
        <v>49</v>
      </c>
      <c r="G349" s="1">
        <v>9</v>
      </c>
      <c r="H349" t="s">
        <v>12</v>
      </c>
      <c r="I349" t="s">
        <v>13</v>
      </c>
      <c r="J349" t="s">
        <v>14</v>
      </c>
      <c r="K349" t="s">
        <v>15</v>
      </c>
      <c r="L349" s="3">
        <v>1081</v>
      </c>
    </row>
    <row r="350" spans="1:12" x14ac:dyDescent="0.2">
      <c r="A350" s="1">
        <v>70</v>
      </c>
      <c r="B350" s="2">
        <v>49.502000000000002</v>
      </c>
      <c r="C350" s="3">
        <v>6819</v>
      </c>
      <c r="D350" s="1">
        <v>505</v>
      </c>
      <c r="E350" s="1">
        <v>4</v>
      </c>
      <c r="F350" s="1">
        <v>55</v>
      </c>
      <c r="G350" s="1">
        <v>14</v>
      </c>
      <c r="H350" t="s">
        <v>12</v>
      </c>
      <c r="I350" t="s">
        <v>13</v>
      </c>
      <c r="J350" t="s">
        <v>14</v>
      </c>
      <c r="K350" t="s">
        <v>15</v>
      </c>
      <c r="L350" s="3">
        <v>1084</v>
      </c>
    </row>
    <row r="351" spans="1:12" x14ac:dyDescent="0.2">
      <c r="A351" s="1">
        <v>163</v>
      </c>
      <c r="B351" s="2">
        <v>63.808999999999997</v>
      </c>
      <c r="C351" s="3">
        <v>7530</v>
      </c>
      <c r="D351" s="1">
        <v>515</v>
      </c>
      <c r="E351" s="1">
        <v>1</v>
      </c>
      <c r="F351" s="1">
        <v>56</v>
      </c>
      <c r="G351" s="1">
        <v>12</v>
      </c>
      <c r="H351" t="s">
        <v>12</v>
      </c>
      <c r="I351" t="s">
        <v>13</v>
      </c>
      <c r="J351" t="s">
        <v>14</v>
      </c>
      <c r="K351" t="s">
        <v>15</v>
      </c>
      <c r="L351" s="3">
        <v>1086</v>
      </c>
    </row>
    <row r="352" spans="1:12" x14ac:dyDescent="0.2">
      <c r="A352" s="1">
        <v>260</v>
      </c>
      <c r="B352" s="2">
        <v>33.656999999999996</v>
      </c>
      <c r="C352" s="3">
        <v>6196</v>
      </c>
      <c r="D352" s="1">
        <v>450</v>
      </c>
      <c r="E352" s="1">
        <v>6</v>
      </c>
      <c r="F352" s="1">
        <v>55</v>
      </c>
      <c r="G352" s="1">
        <v>9</v>
      </c>
      <c r="H352" t="s">
        <v>16</v>
      </c>
      <c r="I352" t="s">
        <v>13</v>
      </c>
      <c r="J352" t="s">
        <v>13</v>
      </c>
      <c r="K352" t="s">
        <v>15</v>
      </c>
      <c r="L352" s="3">
        <v>1092</v>
      </c>
    </row>
    <row r="353" spans="1:12" x14ac:dyDescent="0.2">
      <c r="A353" s="1">
        <v>38</v>
      </c>
      <c r="B353" s="2">
        <v>30.007000000000001</v>
      </c>
      <c r="C353" s="3">
        <v>6481</v>
      </c>
      <c r="D353" s="1">
        <v>462</v>
      </c>
      <c r="E353" s="1">
        <v>2</v>
      </c>
      <c r="F353" s="1">
        <v>69</v>
      </c>
      <c r="G353" s="1">
        <v>9</v>
      </c>
      <c r="H353" t="s">
        <v>16</v>
      </c>
      <c r="I353" t="s">
        <v>13</v>
      </c>
      <c r="J353" t="s">
        <v>14</v>
      </c>
      <c r="K353" t="s">
        <v>15</v>
      </c>
      <c r="L353" s="3">
        <v>1093</v>
      </c>
    </row>
    <row r="354" spans="1:12" x14ac:dyDescent="0.2">
      <c r="A354" s="1">
        <v>170</v>
      </c>
      <c r="B354" s="2">
        <v>27.33</v>
      </c>
      <c r="C354" s="3">
        <v>6179</v>
      </c>
      <c r="D354" s="1">
        <v>459</v>
      </c>
      <c r="E354" s="1">
        <v>4</v>
      </c>
      <c r="F354" s="1">
        <v>36</v>
      </c>
      <c r="G354" s="1">
        <v>12</v>
      </c>
      <c r="H354" t="s">
        <v>16</v>
      </c>
      <c r="I354" t="s">
        <v>13</v>
      </c>
      <c r="J354" t="s">
        <v>14</v>
      </c>
      <c r="K354" t="s">
        <v>15</v>
      </c>
      <c r="L354" s="3">
        <v>1099</v>
      </c>
    </row>
    <row r="355" spans="1:12" x14ac:dyDescent="0.2">
      <c r="A355" s="1">
        <v>72</v>
      </c>
      <c r="B355" s="2">
        <v>58.780999999999999</v>
      </c>
      <c r="C355" s="3">
        <v>7402</v>
      </c>
      <c r="D355" s="1">
        <v>538</v>
      </c>
      <c r="E355" s="1">
        <v>2</v>
      </c>
      <c r="F355" s="1">
        <v>81</v>
      </c>
      <c r="G355" s="1">
        <v>12</v>
      </c>
      <c r="H355" t="s">
        <v>16</v>
      </c>
      <c r="I355" t="s">
        <v>13</v>
      </c>
      <c r="J355" t="s">
        <v>14</v>
      </c>
      <c r="K355" t="s">
        <v>17</v>
      </c>
      <c r="L355" s="3">
        <v>1103</v>
      </c>
    </row>
    <row r="356" spans="1:12" x14ac:dyDescent="0.2">
      <c r="A356" s="1">
        <v>340</v>
      </c>
      <c r="B356" s="2">
        <v>149.316</v>
      </c>
      <c r="C356" s="3">
        <v>10278</v>
      </c>
      <c r="D356" s="1">
        <v>707</v>
      </c>
      <c r="E356" s="1">
        <v>1</v>
      </c>
      <c r="F356" s="1">
        <v>80</v>
      </c>
      <c r="G356" s="1">
        <v>16</v>
      </c>
      <c r="H356" t="s">
        <v>12</v>
      </c>
      <c r="I356" t="s">
        <v>13</v>
      </c>
      <c r="J356" t="s">
        <v>13</v>
      </c>
      <c r="K356" t="s">
        <v>18</v>
      </c>
      <c r="L356" s="3">
        <v>1107</v>
      </c>
    </row>
    <row r="357" spans="1:12" x14ac:dyDescent="0.2">
      <c r="A357" s="1">
        <v>45</v>
      </c>
      <c r="B357" s="2">
        <v>31.861000000000001</v>
      </c>
      <c r="C357" s="3">
        <v>6375</v>
      </c>
      <c r="D357" s="1">
        <v>469</v>
      </c>
      <c r="E357" s="1">
        <v>3</v>
      </c>
      <c r="F357" s="1">
        <v>25</v>
      </c>
      <c r="G357" s="1">
        <v>16</v>
      </c>
      <c r="H357" t="s">
        <v>16</v>
      </c>
      <c r="I357" t="s">
        <v>13</v>
      </c>
      <c r="J357" t="s">
        <v>14</v>
      </c>
      <c r="K357" t="s">
        <v>15</v>
      </c>
      <c r="L357" s="3">
        <v>1120</v>
      </c>
    </row>
    <row r="358" spans="1:12" x14ac:dyDescent="0.2">
      <c r="A358" s="1">
        <v>389</v>
      </c>
      <c r="B358" s="2">
        <v>37.878</v>
      </c>
      <c r="C358" s="3">
        <v>6827</v>
      </c>
      <c r="D358" s="1">
        <v>482</v>
      </c>
      <c r="E358" s="1">
        <v>2</v>
      </c>
      <c r="F358" s="1">
        <v>80</v>
      </c>
      <c r="G358" s="1">
        <v>13</v>
      </c>
      <c r="H358" t="s">
        <v>16</v>
      </c>
      <c r="I358" t="s">
        <v>13</v>
      </c>
      <c r="J358" t="s">
        <v>13</v>
      </c>
      <c r="K358" t="s">
        <v>15</v>
      </c>
      <c r="L358" s="3">
        <v>1129</v>
      </c>
    </row>
    <row r="359" spans="1:12" x14ac:dyDescent="0.2">
      <c r="A359" s="1">
        <v>315</v>
      </c>
      <c r="B359" s="2">
        <v>115.52</v>
      </c>
      <c r="C359" s="3">
        <v>9272</v>
      </c>
      <c r="D359" s="1">
        <v>656</v>
      </c>
      <c r="E359" s="1">
        <v>2</v>
      </c>
      <c r="F359" s="1">
        <v>69</v>
      </c>
      <c r="G359" s="1">
        <v>14</v>
      </c>
      <c r="H359" t="s">
        <v>12</v>
      </c>
      <c r="I359" t="s">
        <v>13</v>
      </c>
      <c r="J359" t="s">
        <v>13</v>
      </c>
      <c r="K359" t="s">
        <v>18</v>
      </c>
      <c r="L359" s="3">
        <v>1140</v>
      </c>
    </row>
    <row r="360" spans="1:12" x14ac:dyDescent="0.2">
      <c r="A360" s="1">
        <v>317</v>
      </c>
      <c r="B360" s="2">
        <v>52.179000000000002</v>
      </c>
      <c r="C360" s="3">
        <v>7306</v>
      </c>
      <c r="D360" s="1">
        <v>522</v>
      </c>
      <c r="E360" s="1">
        <v>2</v>
      </c>
      <c r="F360" s="1">
        <v>57</v>
      </c>
      <c r="G360" s="1">
        <v>14</v>
      </c>
      <c r="H360" t="s">
        <v>12</v>
      </c>
      <c r="I360" t="s">
        <v>13</v>
      </c>
      <c r="J360" t="s">
        <v>13</v>
      </c>
      <c r="K360" t="s">
        <v>17</v>
      </c>
      <c r="L360" s="3">
        <v>1142</v>
      </c>
    </row>
    <row r="361" spans="1:12" x14ac:dyDescent="0.2">
      <c r="A361" s="1">
        <v>6</v>
      </c>
      <c r="B361" s="2">
        <v>80.180000000000007</v>
      </c>
      <c r="C361" s="3">
        <v>8047</v>
      </c>
      <c r="D361" s="1">
        <v>569</v>
      </c>
      <c r="E361" s="1">
        <v>4</v>
      </c>
      <c r="F361" s="1">
        <v>77</v>
      </c>
      <c r="G361" s="1">
        <v>10</v>
      </c>
      <c r="H361" t="s">
        <v>12</v>
      </c>
      <c r="I361" t="s">
        <v>13</v>
      </c>
      <c r="J361" t="s">
        <v>13</v>
      </c>
      <c r="K361" t="s">
        <v>15</v>
      </c>
      <c r="L361" s="3">
        <v>1151</v>
      </c>
    </row>
    <row r="362" spans="1:12" x14ac:dyDescent="0.2">
      <c r="A362" s="1">
        <v>42</v>
      </c>
      <c r="B362" s="2">
        <v>113.65900000000001</v>
      </c>
      <c r="C362" s="3">
        <v>7659</v>
      </c>
      <c r="D362" s="1">
        <v>538</v>
      </c>
      <c r="E362" s="1">
        <v>2</v>
      </c>
      <c r="F362" s="1">
        <v>66</v>
      </c>
      <c r="G362" s="1">
        <v>15</v>
      </c>
      <c r="H362" t="s">
        <v>12</v>
      </c>
      <c r="I362" t="s">
        <v>14</v>
      </c>
      <c r="J362" t="s">
        <v>14</v>
      </c>
      <c r="K362" t="s">
        <v>18</v>
      </c>
      <c r="L362" s="3">
        <v>1155</v>
      </c>
    </row>
    <row r="363" spans="1:12" x14ac:dyDescent="0.2">
      <c r="A363" s="1">
        <v>90</v>
      </c>
      <c r="B363" s="2">
        <v>59.53</v>
      </c>
      <c r="C363" s="3">
        <v>7518</v>
      </c>
      <c r="D363" s="1">
        <v>543</v>
      </c>
      <c r="E363" s="1">
        <v>3</v>
      </c>
      <c r="F363" s="1">
        <v>52</v>
      </c>
      <c r="G363" s="1">
        <v>9</v>
      </c>
      <c r="H363" t="s">
        <v>16</v>
      </c>
      <c r="I363" t="s">
        <v>13</v>
      </c>
      <c r="J363" t="s">
        <v>13</v>
      </c>
      <c r="K363" t="s">
        <v>18</v>
      </c>
      <c r="L363" s="3">
        <v>1176</v>
      </c>
    </row>
    <row r="364" spans="1:12" x14ac:dyDescent="0.2">
      <c r="A364" s="1">
        <v>348</v>
      </c>
      <c r="B364" s="2">
        <v>160.23099999999999</v>
      </c>
      <c r="C364" s="3">
        <v>10748</v>
      </c>
      <c r="D364" s="1">
        <v>754</v>
      </c>
      <c r="E364" s="1">
        <v>2</v>
      </c>
      <c r="F364" s="1">
        <v>69</v>
      </c>
      <c r="G364" s="1">
        <v>17</v>
      </c>
      <c r="H364" t="s">
        <v>12</v>
      </c>
      <c r="I364" t="s">
        <v>13</v>
      </c>
      <c r="J364" t="s">
        <v>13</v>
      </c>
      <c r="K364" t="s">
        <v>15</v>
      </c>
      <c r="L364" s="3">
        <v>1192</v>
      </c>
    </row>
    <row r="365" spans="1:12" x14ac:dyDescent="0.2">
      <c r="A365" s="1">
        <v>370</v>
      </c>
      <c r="B365" s="2">
        <v>71.682000000000002</v>
      </c>
      <c r="C365" s="3">
        <v>8028</v>
      </c>
      <c r="D365" s="1">
        <v>599</v>
      </c>
      <c r="E365" s="1">
        <v>3</v>
      </c>
      <c r="F365" s="1">
        <v>57</v>
      </c>
      <c r="G365" s="1">
        <v>16</v>
      </c>
      <c r="H365" t="s">
        <v>12</v>
      </c>
      <c r="I365" t="s">
        <v>13</v>
      </c>
      <c r="J365" t="s">
        <v>14</v>
      </c>
      <c r="K365" t="s">
        <v>15</v>
      </c>
      <c r="L365" s="3">
        <v>1208</v>
      </c>
    </row>
    <row r="366" spans="1:12" x14ac:dyDescent="0.2">
      <c r="A366" s="1">
        <v>208</v>
      </c>
      <c r="B366" s="2">
        <v>10.842000000000001</v>
      </c>
      <c r="C366" s="3">
        <v>4391</v>
      </c>
      <c r="D366" s="1">
        <v>358</v>
      </c>
      <c r="E366" s="1">
        <v>5</v>
      </c>
      <c r="F366" s="1">
        <v>37</v>
      </c>
      <c r="G366" s="1">
        <v>10</v>
      </c>
      <c r="H366" t="s">
        <v>16</v>
      </c>
      <c r="I366" t="s">
        <v>14</v>
      </c>
      <c r="J366" t="s">
        <v>14</v>
      </c>
      <c r="K366" t="s">
        <v>15</v>
      </c>
      <c r="L366" s="3">
        <v>1216</v>
      </c>
    </row>
    <row r="367" spans="1:12" x14ac:dyDescent="0.2">
      <c r="A367" s="1">
        <v>222</v>
      </c>
      <c r="B367" s="2">
        <v>98.515000000000001</v>
      </c>
      <c r="C367" s="3">
        <v>8760</v>
      </c>
      <c r="D367" s="1">
        <v>633</v>
      </c>
      <c r="E367" s="1">
        <v>5</v>
      </c>
      <c r="F367" s="1">
        <v>78</v>
      </c>
      <c r="G367" s="1">
        <v>11</v>
      </c>
      <c r="H367" t="s">
        <v>16</v>
      </c>
      <c r="I367" t="s">
        <v>13</v>
      </c>
      <c r="J367" t="s">
        <v>13</v>
      </c>
      <c r="K367" t="s">
        <v>18</v>
      </c>
      <c r="L367" s="3">
        <v>1230</v>
      </c>
    </row>
    <row r="368" spans="1:12" x14ac:dyDescent="0.2">
      <c r="A368" s="1">
        <v>180</v>
      </c>
      <c r="B368" s="2">
        <v>58.026000000000003</v>
      </c>
      <c r="C368" s="3">
        <v>7499</v>
      </c>
      <c r="D368" s="1">
        <v>560</v>
      </c>
      <c r="E368" s="1">
        <v>5</v>
      </c>
      <c r="F368" s="1">
        <v>67</v>
      </c>
      <c r="G368" s="1">
        <v>11</v>
      </c>
      <c r="H368" t="s">
        <v>16</v>
      </c>
      <c r="I368" t="s">
        <v>13</v>
      </c>
      <c r="J368" t="s">
        <v>13</v>
      </c>
      <c r="K368" t="s">
        <v>15</v>
      </c>
      <c r="L368" s="3">
        <v>1237</v>
      </c>
    </row>
    <row r="369" spans="1:12" x14ac:dyDescent="0.2">
      <c r="A369" s="1">
        <v>47</v>
      </c>
      <c r="B369" s="2">
        <v>19.530999999999999</v>
      </c>
      <c r="C369" s="3">
        <v>5043</v>
      </c>
      <c r="D369" s="1">
        <v>376</v>
      </c>
      <c r="E369" s="1">
        <v>2</v>
      </c>
      <c r="F369" s="1">
        <v>64</v>
      </c>
      <c r="G369" s="1">
        <v>16</v>
      </c>
      <c r="H369" t="s">
        <v>16</v>
      </c>
      <c r="I369" t="s">
        <v>14</v>
      </c>
      <c r="J369" t="s">
        <v>14</v>
      </c>
      <c r="K369" t="s">
        <v>17</v>
      </c>
      <c r="L369" s="3">
        <v>1241</v>
      </c>
    </row>
    <row r="370" spans="1:12" x14ac:dyDescent="0.2">
      <c r="A370" s="1">
        <v>365</v>
      </c>
      <c r="B370" s="2">
        <v>128.66900000000001</v>
      </c>
      <c r="C370" s="3">
        <v>9824</v>
      </c>
      <c r="D370" s="1">
        <v>685</v>
      </c>
      <c r="E370" s="1">
        <v>3</v>
      </c>
      <c r="F370" s="1">
        <v>67</v>
      </c>
      <c r="G370" s="1">
        <v>16</v>
      </c>
      <c r="H370" t="s">
        <v>12</v>
      </c>
      <c r="I370" t="s">
        <v>13</v>
      </c>
      <c r="J370" t="s">
        <v>14</v>
      </c>
      <c r="K370" t="s">
        <v>17</v>
      </c>
      <c r="L370" s="3">
        <v>1243</v>
      </c>
    </row>
    <row r="371" spans="1:12" x14ac:dyDescent="0.2">
      <c r="A371" s="1">
        <v>221</v>
      </c>
      <c r="B371" s="2">
        <v>44.847000000000001</v>
      </c>
      <c r="C371" s="3">
        <v>5765</v>
      </c>
      <c r="D371" s="1">
        <v>437</v>
      </c>
      <c r="E371" s="1">
        <v>3</v>
      </c>
      <c r="F371" s="1">
        <v>53</v>
      </c>
      <c r="G371" s="1">
        <v>13</v>
      </c>
      <c r="H371" t="s">
        <v>16</v>
      </c>
      <c r="I371" t="s">
        <v>14</v>
      </c>
      <c r="J371" t="s">
        <v>13</v>
      </c>
      <c r="K371" t="s">
        <v>17</v>
      </c>
      <c r="L371" s="3">
        <v>1246</v>
      </c>
    </row>
    <row r="372" spans="1:12" x14ac:dyDescent="0.2">
      <c r="A372" s="1">
        <v>274</v>
      </c>
      <c r="B372" s="2">
        <v>16.751000000000001</v>
      </c>
      <c r="C372" s="3">
        <v>4706</v>
      </c>
      <c r="D372" s="1">
        <v>353</v>
      </c>
      <c r="E372" s="1">
        <v>6</v>
      </c>
      <c r="F372" s="1">
        <v>48</v>
      </c>
      <c r="G372" s="1">
        <v>14</v>
      </c>
      <c r="H372" t="s">
        <v>12</v>
      </c>
      <c r="I372" t="s">
        <v>14</v>
      </c>
      <c r="J372" t="s">
        <v>13</v>
      </c>
      <c r="K372" t="s">
        <v>17</v>
      </c>
      <c r="L372" s="3">
        <v>1255</v>
      </c>
    </row>
    <row r="373" spans="1:12" x14ac:dyDescent="0.2">
      <c r="A373" s="1">
        <v>129</v>
      </c>
      <c r="B373" s="2">
        <v>123.29900000000001</v>
      </c>
      <c r="C373" s="3">
        <v>8376</v>
      </c>
      <c r="D373" s="1">
        <v>610</v>
      </c>
      <c r="E373" s="1">
        <v>2</v>
      </c>
      <c r="F373" s="1">
        <v>89</v>
      </c>
      <c r="G373" s="1">
        <v>17</v>
      </c>
      <c r="H373" t="s">
        <v>12</v>
      </c>
      <c r="I373" t="s">
        <v>14</v>
      </c>
      <c r="J373" t="s">
        <v>13</v>
      </c>
      <c r="K373" t="s">
        <v>18</v>
      </c>
      <c r="L373" s="3">
        <v>1259</v>
      </c>
    </row>
    <row r="374" spans="1:12" x14ac:dyDescent="0.2">
      <c r="A374" s="1">
        <v>367</v>
      </c>
      <c r="B374" s="2">
        <v>61.069000000000003</v>
      </c>
      <c r="C374" s="3">
        <v>7871</v>
      </c>
      <c r="D374" s="1">
        <v>564</v>
      </c>
      <c r="E374" s="1">
        <v>3</v>
      </c>
      <c r="F374" s="1">
        <v>56</v>
      </c>
      <c r="G374" s="1">
        <v>14</v>
      </c>
      <c r="H374" t="s">
        <v>12</v>
      </c>
      <c r="I374" t="s">
        <v>13</v>
      </c>
      <c r="J374" t="s">
        <v>14</v>
      </c>
      <c r="K374" t="s">
        <v>15</v>
      </c>
      <c r="L374" s="3">
        <v>1264</v>
      </c>
    </row>
    <row r="375" spans="1:12" x14ac:dyDescent="0.2">
      <c r="A375" s="1">
        <v>283</v>
      </c>
      <c r="B375" s="2">
        <v>63.533999999999999</v>
      </c>
      <c r="C375" s="3">
        <v>8100</v>
      </c>
      <c r="D375" s="1">
        <v>581</v>
      </c>
      <c r="E375" s="1">
        <v>2</v>
      </c>
      <c r="F375" s="1">
        <v>50</v>
      </c>
      <c r="G375" s="1">
        <v>17</v>
      </c>
      <c r="H375" t="s">
        <v>16</v>
      </c>
      <c r="I375" t="s">
        <v>13</v>
      </c>
      <c r="J375" t="s">
        <v>14</v>
      </c>
      <c r="K375" t="s">
        <v>15</v>
      </c>
      <c r="L375" s="3">
        <v>1298</v>
      </c>
    </row>
    <row r="376" spans="1:12" x14ac:dyDescent="0.2">
      <c r="A376" s="1">
        <v>100</v>
      </c>
      <c r="B376" s="2">
        <v>83.850999999999999</v>
      </c>
      <c r="C376" s="3">
        <v>8494</v>
      </c>
      <c r="D376" s="1">
        <v>607</v>
      </c>
      <c r="E376" s="1">
        <v>5</v>
      </c>
      <c r="F376" s="1">
        <v>47</v>
      </c>
      <c r="G376" s="1">
        <v>18</v>
      </c>
      <c r="H376" t="s">
        <v>12</v>
      </c>
      <c r="I376" t="s">
        <v>13</v>
      </c>
      <c r="J376" t="s">
        <v>13</v>
      </c>
      <c r="K376" t="s">
        <v>15</v>
      </c>
      <c r="L376" s="3">
        <v>1311</v>
      </c>
    </row>
    <row r="377" spans="1:12" x14ac:dyDescent="0.2">
      <c r="A377" s="1">
        <v>235</v>
      </c>
      <c r="B377" s="2">
        <v>69.656000000000006</v>
      </c>
      <c r="C377" s="3">
        <v>8244</v>
      </c>
      <c r="D377" s="1">
        <v>579</v>
      </c>
      <c r="E377" s="1">
        <v>3</v>
      </c>
      <c r="F377" s="1">
        <v>41</v>
      </c>
      <c r="G377" s="1">
        <v>14</v>
      </c>
      <c r="H377" t="s">
        <v>12</v>
      </c>
      <c r="I377" t="s">
        <v>13</v>
      </c>
      <c r="J377" t="s">
        <v>14</v>
      </c>
      <c r="K377" t="s">
        <v>18</v>
      </c>
      <c r="L377" s="3">
        <v>1329</v>
      </c>
    </row>
    <row r="378" spans="1:12" x14ac:dyDescent="0.2">
      <c r="A378" s="1">
        <v>118</v>
      </c>
      <c r="B378" s="2">
        <v>91.361999999999995</v>
      </c>
      <c r="C378" s="3">
        <v>9113</v>
      </c>
      <c r="D378" s="1">
        <v>626</v>
      </c>
      <c r="E378" s="1">
        <v>1</v>
      </c>
      <c r="F378" s="1">
        <v>47</v>
      </c>
      <c r="G378" s="1">
        <v>17</v>
      </c>
      <c r="H378" t="s">
        <v>12</v>
      </c>
      <c r="I378" t="s">
        <v>13</v>
      </c>
      <c r="J378" t="s">
        <v>14</v>
      </c>
      <c r="K378" t="s">
        <v>17</v>
      </c>
      <c r="L378" s="3">
        <v>1341</v>
      </c>
    </row>
    <row r="379" spans="1:12" x14ac:dyDescent="0.2">
      <c r="A379" s="1">
        <v>10</v>
      </c>
      <c r="B379" s="2">
        <v>71.061000000000007</v>
      </c>
      <c r="C379" s="3">
        <v>6819</v>
      </c>
      <c r="D379" s="1">
        <v>491</v>
      </c>
      <c r="E379" s="1">
        <v>3</v>
      </c>
      <c r="F379" s="1">
        <v>41</v>
      </c>
      <c r="G379" s="1">
        <v>19</v>
      </c>
      <c r="H379" t="s">
        <v>16</v>
      </c>
      <c r="I379" t="s">
        <v>14</v>
      </c>
      <c r="J379" t="s">
        <v>14</v>
      </c>
      <c r="K379" t="s">
        <v>18</v>
      </c>
      <c r="L379" s="3">
        <v>1350</v>
      </c>
    </row>
    <row r="380" spans="1:12" x14ac:dyDescent="0.2">
      <c r="A380" s="1">
        <v>383</v>
      </c>
      <c r="B380" s="2">
        <v>24.824000000000002</v>
      </c>
      <c r="C380" s="3">
        <v>5495</v>
      </c>
      <c r="D380" s="1">
        <v>409</v>
      </c>
      <c r="E380" s="1">
        <v>1</v>
      </c>
      <c r="F380" s="1">
        <v>33</v>
      </c>
      <c r="G380" s="1">
        <v>9</v>
      </c>
      <c r="H380" t="s">
        <v>12</v>
      </c>
      <c r="I380" t="s">
        <v>14</v>
      </c>
      <c r="J380" t="s">
        <v>13</v>
      </c>
      <c r="K380" t="s">
        <v>15</v>
      </c>
      <c r="L380" s="3">
        <v>1352</v>
      </c>
    </row>
    <row r="381" spans="1:12" x14ac:dyDescent="0.2">
      <c r="A381" s="1">
        <v>253</v>
      </c>
      <c r="B381" s="2">
        <v>72.944999999999993</v>
      </c>
      <c r="C381" s="3">
        <v>8603</v>
      </c>
      <c r="D381" s="1">
        <v>621</v>
      </c>
      <c r="E381" s="1">
        <v>3</v>
      </c>
      <c r="F381" s="1">
        <v>64</v>
      </c>
      <c r="G381" s="1">
        <v>8</v>
      </c>
      <c r="H381" t="s">
        <v>16</v>
      </c>
      <c r="I381" t="s">
        <v>13</v>
      </c>
      <c r="J381" t="s">
        <v>13</v>
      </c>
      <c r="K381" t="s">
        <v>15</v>
      </c>
      <c r="L381" s="3">
        <v>1355</v>
      </c>
    </row>
    <row r="382" spans="1:12" x14ac:dyDescent="0.2">
      <c r="A382" s="1">
        <v>327</v>
      </c>
      <c r="B382" s="2">
        <v>125.48</v>
      </c>
      <c r="C382" s="3">
        <v>10230</v>
      </c>
      <c r="D382" s="1">
        <v>721</v>
      </c>
      <c r="E382" s="1">
        <v>3</v>
      </c>
      <c r="F382" s="1">
        <v>82</v>
      </c>
      <c r="G382" s="1">
        <v>16</v>
      </c>
      <c r="H382" t="s">
        <v>12</v>
      </c>
      <c r="I382" t="s">
        <v>13</v>
      </c>
      <c r="J382" t="s">
        <v>14</v>
      </c>
      <c r="K382" t="s">
        <v>15</v>
      </c>
      <c r="L382" s="3">
        <v>1361</v>
      </c>
    </row>
    <row r="383" spans="1:12" x14ac:dyDescent="0.2">
      <c r="A383" s="1">
        <v>97</v>
      </c>
      <c r="B383" s="2">
        <v>14.311999999999999</v>
      </c>
      <c r="C383" s="3">
        <v>5382</v>
      </c>
      <c r="D383" s="1">
        <v>367</v>
      </c>
      <c r="E383" s="1">
        <v>1</v>
      </c>
      <c r="F383" s="1">
        <v>59</v>
      </c>
      <c r="G383" s="1">
        <v>17</v>
      </c>
      <c r="H383" t="s">
        <v>12</v>
      </c>
      <c r="I383" t="s">
        <v>14</v>
      </c>
      <c r="J383" t="s">
        <v>13</v>
      </c>
      <c r="K383" t="s">
        <v>17</v>
      </c>
      <c r="L383" s="3">
        <v>1380</v>
      </c>
    </row>
    <row r="384" spans="1:12" x14ac:dyDescent="0.2">
      <c r="A384" s="1">
        <v>67</v>
      </c>
      <c r="B384" s="2">
        <v>113.82899999999999</v>
      </c>
      <c r="C384" s="3">
        <v>9704</v>
      </c>
      <c r="D384" s="1">
        <v>694</v>
      </c>
      <c r="E384" s="1">
        <v>4</v>
      </c>
      <c r="F384" s="1">
        <v>38</v>
      </c>
      <c r="G384" s="1">
        <v>13</v>
      </c>
      <c r="H384" t="s">
        <v>16</v>
      </c>
      <c r="I384" t="s">
        <v>13</v>
      </c>
      <c r="J384" t="s">
        <v>14</v>
      </c>
      <c r="K384" t="s">
        <v>17</v>
      </c>
      <c r="L384" s="3">
        <v>1388</v>
      </c>
    </row>
    <row r="385" spans="1:12" x14ac:dyDescent="0.2">
      <c r="A385" s="1">
        <v>391</v>
      </c>
      <c r="B385" s="2">
        <v>135.11799999999999</v>
      </c>
      <c r="C385" s="3">
        <v>10578</v>
      </c>
      <c r="D385" s="1">
        <v>747</v>
      </c>
      <c r="E385" s="1">
        <v>3</v>
      </c>
      <c r="F385" s="1">
        <v>81</v>
      </c>
      <c r="G385" s="1">
        <v>15</v>
      </c>
      <c r="H385" t="s">
        <v>16</v>
      </c>
      <c r="I385" t="s">
        <v>13</v>
      </c>
      <c r="J385" t="s">
        <v>14</v>
      </c>
      <c r="K385" t="s">
        <v>17</v>
      </c>
      <c r="L385" s="3">
        <v>1393</v>
      </c>
    </row>
    <row r="386" spans="1:12" x14ac:dyDescent="0.2">
      <c r="A386" s="1">
        <v>127</v>
      </c>
      <c r="B386" s="2">
        <v>26.427</v>
      </c>
      <c r="C386" s="3">
        <v>5533</v>
      </c>
      <c r="D386" s="1">
        <v>433</v>
      </c>
      <c r="E386" s="1">
        <v>5</v>
      </c>
      <c r="F386" s="1">
        <v>50</v>
      </c>
      <c r="G386" s="1">
        <v>15</v>
      </c>
      <c r="H386" t="s">
        <v>16</v>
      </c>
      <c r="I386" t="s">
        <v>14</v>
      </c>
      <c r="J386" t="s">
        <v>14</v>
      </c>
      <c r="K386" t="s">
        <v>17</v>
      </c>
      <c r="L386" s="3">
        <v>1404</v>
      </c>
    </row>
    <row r="387" spans="1:12" x14ac:dyDescent="0.2">
      <c r="A387" s="1">
        <v>356</v>
      </c>
      <c r="B387" s="2">
        <v>180.68199999999999</v>
      </c>
      <c r="C387" s="3">
        <v>11966</v>
      </c>
      <c r="D387" s="1">
        <v>832</v>
      </c>
      <c r="E387" s="1">
        <v>2</v>
      </c>
      <c r="F387" s="1">
        <v>58</v>
      </c>
      <c r="G387" s="1">
        <v>8</v>
      </c>
      <c r="H387" t="s">
        <v>16</v>
      </c>
      <c r="I387" t="s">
        <v>13</v>
      </c>
      <c r="J387" t="s">
        <v>14</v>
      </c>
      <c r="K387" t="s">
        <v>18</v>
      </c>
      <c r="L387" s="3">
        <v>1405</v>
      </c>
    </row>
    <row r="388" spans="1:12" x14ac:dyDescent="0.2">
      <c r="A388" s="1">
        <v>11</v>
      </c>
      <c r="B388" s="2">
        <v>63.094999999999999</v>
      </c>
      <c r="C388" s="3">
        <v>8117</v>
      </c>
      <c r="D388" s="1">
        <v>589</v>
      </c>
      <c r="E388" s="1">
        <v>4</v>
      </c>
      <c r="F388" s="1">
        <v>30</v>
      </c>
      <c r="G388" s="1">
        <v>14</v>
      </c>
      <c r="H388" t="s">
        <v>12</v>
      </c>
      <c r="I388" t="s">
        <v>13</v>
      </c>
      <c r="J388" t="s">
        <v>14</v>
      </c>
      <c r="K388" t="s">
        <v>15</v>
      </c>
      <c r="L388" s="3">
        <v>1407</v>
      </c>
    </row>
    <row r="389" spans="1:12" x14ac:dyDescent="0.2">
      <c r="A389" s="1">
        <v>204</v>
      </c>
      <c r="B389" s="2">
        <v>68.206000000000003</v>
      </c>
      <c r="C389" s="3">
        <v>6784</v>
      </c>
      <c r="D389" s="1">
        <v>499</v>
      </c>
      <c r="E389" s="1">
        <v>5</v>
      </c>
      <c r="F389" s="1">
        <v>40</v>
      </c>
      <c r="G389" s="1">
        <v>16</v>
      </c>
      <c r="H389" t="s">
        <v>16</v>
      </c>
      <c r="I389" t="s">
        <v>14</v>
      </c>
      <c r="J389" t="s">
        <v>13</v>
      </c>
      <c r="K389" t="s">
        <v>18</v>
      </c>
      <c r="L389" s="3">
        <v>1411</v>
      </c>
    </row>
    <row r="390" spans="1:12" x14ac:dyDescent="0.2">
      <c r="A390" s="1">
        <v>141</v>
      </c>
      <c r="B390" s="2">
        <v>39.831000000000003</v>
      </c>
      <c r="C390" s="3">
        <v>6045</v>
      </c>
      <c r="D390" s="1">
        <v>459</v>
      </c>
      <c r="E390" s="1">
        <v>3</v>
      </c>
      <c r="F390" s="1">
        <v>32</v>
      </c>
      <c r="G390" s="1">
        <v>12</v>
      </c>
      <c r="H390" t="s">
        <v>16</v>
      </c>
      <c r="I390" t="s">
        <v>14</v>
      </c>
      <c r="J390" t="s">
        <v>14</v>
      </c>
      <c r="K390" t="s">
        <v>18</v>
      </c>
      <c r="L390" s="3">
        <v>1425</v>
      </c>
    </row>
    <row r="391" spans="1:12" x14ac:dyDescent="0.2">
      <c r="A391" s="1">
        <v>194</v>
      </c>
      <c r="B391" s="2">
        <v>130.209</v>
      </c>
      <c r="C391" s="3">
        <v>10088</v>
      </c>
      <c r="D391" s="1">
        <v>730</v>
      </c>
      <c r="E391" s="1">
        <v>7</v>
      </c>
      <c r="F391" s="1">
        <v>39</v>
      </c>
      <c r="G391" s="1">
        <v>19</v>
      </c>
      <c r="H391" t="s">
        <v>16</v>
      </c>
      <c r="I391" t="s">
        <v>13</v>
      </c>
      <c r="J391" t="s">
        <v>14</v>
      </c>
      <c r="K391" t="s">
        <v>15</v>
      </c>
      <c r="L391" s="3">
        <v>1426</v>
      </c>
    </row>
    <row r="392" spans="1:12" x14ac:dyDescent="0.2">
      <c r="A392" s="1">
        <v>185</v>
      </c>
      <c r="B392" s="2">
        <v>158.88900000000001</v>
      </c>
      <c r="C392" s="3">
        <v>11589</v>
      </c>
      <c r="D392" s="1">
        <v>805</v>
      </c>
      <c r="E392" s="1">
        <v>1</v>
      </c>
      <c r="F392" s="1">
        <v>62</v>
      </c>
      <c r="G392" s="1">
        <v>17</v>
      </c>
      <c r="H392" t="s">
        <v>16</v>
      </c>
      <c r="I392" t="s">
        <v>13</v>
      </c>
      <c r="J392" t="s">
        <v>14</v>
      </c>
      <c r="K392" t="s">
        <v>15</v>
      </c>
      <c r="L392" s="3">
        <v>1448</v>
      </c>
    </row>
    <row r="393" spans="1:12" x14ac:dyDescent="0.2">
      <c r="A393" s="1">
        <v>223</v>
      </c>
      <c r="B393" s="2">
        <v>33.436999999999998</v>
      </c>
      <c r="C393" s="3">
        <v>6207</v>
      </c>
      <c r="D393" s="1">
        <v>451</v>
      </c>
      <c r="E393" s="1">
        <v>4</v>
      </c>
      <c r="F393" s="1">
        <v>44</v>
      </c>
      <c r="G393" s="1">
        <v>9</v>
      </c>
      <c r="H393" t="s">
        <v>12</v>
      </c>
      <c r="I393" t="s">
        <v>14</v>
      </c>
      <c r="J393" t="s">
        <v>13</v>
      </c>
      <c r="K393" t="s">
        <v>15</v>
      </c>
      <c r="L393" s="3">
        <v>1549</v>
      </c>
    </row>
    <row r="394" spans="1:12" x14ac:dyDescent="0.2">
      <c r="A394" s="1">
        <v>175</v>
      </c>
      <c r="B394" s="2">
        <v>121.834</v>
      </c>
      <c r="C394" s="3">
        <v>10673</v>
      </c>
      <c r="D394" s="1">
        <v>750</v>
      </c>
      <c r="E394" s="1">
        <v>3</v>
      </c>
      <c r="F394" s="1">
        <v>54</v>
      </c>
      <c r="G394" s="1">
        <v>16</v>
      </c>
      <c r="H394" t="s">
        <v>12</v>
      </c>
      <c r="I394" t="s">
        <v>13</v>
      </c>
      <c r="J394" t="s">
        <v>13</v>
      </c>
      <c r="K394" t="s">
        <v>18</v>
      </c>
      <c r="L394" s="3">
        <v>1573</v>
      </c>
    </row>
    <row r="395" spans="1:12" x14ac:dyDescent="0.2">
      <c r="A395" s="1">
        <v>103</v>
      </c>
      <c r="B395" s="2">
        <v>68.712999999999994</v>
      </c>
      <c r="C395" s="3">
        <v>7582</v>
      </c>
      <c r="D395" s="1">
        <v>531</v>
      </c>
      <c r="E395" s="1">
        <v>2</v>
      </c>
      <c r="F395" s="1">
        <v>56</v>
      </c>
      <c r="G395" s="1">
        <v>16</v>
      </c>
      <c r="H395" t="s">
        <v>12</v>
      </c>
      <c r="I395" t="s">
        <v>14</v>
      </c>
      <c r="J395" t="s">
        <v>13</v>
      </c>
      <c r="K395" t="s">
        <v>15</v>
      </c>
      <c r="L395" s="3">
        <v>1587</v>
      </c>
    </row>
    <row r="396" spans="1:12" x14ac:dyDescent="0.2">
      <c r="A396" s="1">
        <v>140</v>
      </c>
      <c r="B396" s="2">
        <v>107.84099999999999</v>
      </c>
      <c r="C396" s="3">
        <v>10384</v>
      </c>
      <c r="D396" s="1">
        <v>728</v>
      </c>
      <c r="E396" s="1">
        <v>3</v>
      </c>
      <c r="F396" s="1">
        <v>87</v>
      </c>
      <c r="G396" s="1">
        <v>7</v>
      </c>
      <c r="H396" t="s">
        <v>12</v>
      </c>
      <c r="I396" t="s">
        <v>13</v>
      </c>
      <c r="J396" t="s">
        <v>13</v>
      </c>
      <c r="K396" t="s">
        <v>18</v>
      </c>
      <c r="L396" s="3">
        <v>1597</v>
      </c>
    </row>
    <row r="397" spans="1:12" x14ac:dyDescent="0.2">
      <c r="A397" s="1">
        <v>294</v>
      </c>
      <c r="B397" s="2">
        <v>140.672</v>
      </c>
      <c r="C397" s="3">
        <v>11200</v>
      </c>
      <c r="D397" s="1">
        <v>817</v>
      </c>
      <c r="E397" s="1">
        <v>7</v>
      </c>
      <c r="F397" s="1">
        <v>46</v>
      </c>
      <c r="G397" s="1">
        <v>9</v>
      </c>
      <c r="H397" t="s">
        <v>12</v>
      </c>
      <c r="I397" t="s">
        <v>13</v>
      </c>
      <c r="J397" t="s">
        <v>14</v>
      </c>
      <c r="K397" t="s">
        <v>18</v>
      </c>
      <c r="L397" s="3">
        <v>1677</v>
      </c>
    </row>
    <row r="398" spans="1:12" x14ac:dyDescent="0.2">
      <c r="A398" s="1">
        <v>192</v>
      </c>
      <c r="B398" s="2">
        <v>124.29</v>
      </c>
      <c r="C398" s="3">
        <v>9560</v>
      </c>
      <c r="D398" s="1">
        <v>701</v>
      </c>
      <c r="E398" s="1">
        <v>3</v>
      </c>
      <c r="F398" s="1">
        <v>52</v>
      </c>
      <c r="G398" s="1">
        <v>17</v>
      </c>
      <c r="H398" t="s">
        <v>16</v>
      </c>
      <c r="I398" t="s">
        <v>14</v>
      </c>
      <c r="J398" t="s">
        <v>13</v>
      </c>
      <c r="K398" t="s">
        <v>17</v>
      </c>
      <c r="L398" s="3">
        <v>1687</v>
      </c>
    </row>
    <row r="399" spans="1:12" x14ac:dyDescent="0.2">
      <c r="A399" s="1">
        <v>86</v>
      </c>
      <c r="B399" s="2">
        <v>152.298</v>
      </c>
      <c r="C399" s="3">
        <v>12066</v>
      </c>
      <c r="D399" s="1">
        <v>828</v>
      </c>
      <c r="E399" s="1">
        <v>4</v>
      </c>
      <c r="F399" s="1">
        <v>41</v>
      </c>
      <c r="G399" s="1">
        <v>12</v>
      </c>
      <c r="H399" t="s">
        <v>16</v>
      </c>
      <c r="I399" t="s">
        <v>13</v>
      </c>
      <c r="J399" t="s">
        <v>14</v>
      </c>
      <c r="K399" t="s">
        <v>17</v>
      </c>
      <c r="L399" s="3">
        <v>1779</v>
      </c>
    </row>
    <row r="400" spans="1:12" x14ac:dyDescent="0.2">
      <c r="A400" s="1">
        <v>29</v>
      </c>
      <c r="B400" s="2">
        <v>186.63399999999999</v>
      </c>
      <c r="C400" s="3">
        <v>13414</v>
      </c>
      <c r="D400" s="1">
        <v>949</v>
      </c>
      <c r="E400" s="1">
        <v>2</v>
      </c>
      <c r="F400" s="1">
        <v>41</v>
      </c>
      <c r="G400" s="1">
        <v>14</v>
      </c>
      <c r="H400" t="s">
        <v>16</v>
      </c>
      <c r="I400" t="s">
        <v>13</v>
      </c>
      <c r="J400" t="s">
        <v>14</v>
      </c>
      <c r="K400" t="s">
        <v>18</v>
      </c>
      <c r="L400" s="3">
        <v>1809</v>
      </c>
    </row>
    <row r="401" spans="1:12" x14ac:dyDescent="0.2">
      <c r="A401" s="1">
        <v>324</v>
      </c>
      <c r="B401" s="2">
        <v>182.72800000000001</v>
      </c>
      <c r="C401" s="3">
        <v>13913</v>
      </c>
      <c r="D401" s="1">
        <v>982</v>
      </c>
      <c r="E401" s="1">
        <v>4</v>
      </c>
      <c r="F401" s="1">
        <v>98</v>
      </c>
      <c r="G401" s="1">
        <v>17</v>
      </c>
      <c r="H401" t="s">
        <v>12</v>
      </c>
      <c r="I401" t="s">
        <v>13</v>
      </c>
      <c r="J401" t="s">
        <v>14</v>
      </c>
      <c r="K401" t="s">
        <v>15</v>
      </c>
      <c r="L401" s="3">
        <v>1999</v>
      </c>
    </row>
    <row r="402" spans="1:12" ht="13.5" thickBot="1" x14ac:dyDescent="0.25"/>
    <row r="403" spans="1:12" x14ac:dyDescent="0.2">
      <c r="A403" t="s">
        <v>109</v>
      </c>
      <c r="B403" s="11">
        <f>AVERAGE(tblCustomers[Income])+2*_xlfn.STDEV.S(tblCustomers[Income])</f>
        <v>115.70743133014102</v>
      </c>
      <c r="F403" s="15" t="s">
        <v>108</v>
      </c>
      <c r="G403" s="15"/>
    </row>
    <row r="404" spans="1:12" x14ac:dyDescent="0.2">
      <c r="F404" s="12"/>
      <c r="G404" s="12"/>
    </row>
    <row r="405" spans="1:12" x14ac:dyDescent="0.2">
      <c r="F405" s="12" t="s">
        <v>95</v>
      </c>
      <c r="G405" s="12">
        <v>45.218885</v>
      </c>
    </row>
    <row r="406" spans="1:12" x14ac:dyDescent="0.2">
      <c r="F406" s="12" t="s">
        <v>96</v>
      </c>
      <c r="G406" s="12">
        <v>1.7622136582535259</v>
      </c>
    </row>
    <row r="407" spans="1:12" x14ac:dyDescent="0.2">
      <c r="F407" s="12" t="s">
        <v>97</v>
      </c>
      <c r="G407" s="12">
        <v>33.115499999999997</v>
      </c>
    </row>
    <row r="408" spans="1:12" x14ac:dyDescent="0.2">
      <c r="F408" s="12" t="s">
        <v>98</v>
      </c>
      <c r="G408" s="12">
        <v>23.792999999999999</v>
      </c>
    </row>
    <row r="409" spans="1:12" x14ac:dyDescent="0.2">
      <c r="F409" s="12" t="s">
        <v>99</v>
      </c>
      <c r="G409" s="12">
        <v>35.244273165070517</v>
      </c>
    </row>
    <row r="410" spans="1:12" x14ac:dyDescent="0.2">
      <c r="F410" s="12" t="s">
        <v>100</v>
      </c>
      <c r="G410" s="12">
        <v>1242.1587909341099</v>
      </c>
    </row>
    <row r="411" spans="1:12" x14ac:dyDescent="0.2">
      <c r="F411" s="12" t="s">
        <v>101</v>
      </c>
      <c r="G411" s="12">
        <v>2.9474764313066286</v>
      </c>
    </row>
    <row r="412" spans="1:12" x14ac:dyDescent="0.2">
      <c r="F412" s="12" t="s">
        <v>102</v>
      </c>
      <c r="G412" s="12">
        <v>1.7421174049581531</v>
      </c>
    </row>
    <row r="413" spans="1:12" x14ac:dyDescent="0.2">
      <c r="F413" s="12" t="s">
        <v>103</v>
      </c>
      <c r="G413" s="12">
        <v>176.27999999999997</v>
      </c>
    </row>
    <row r="414" spans="1:12" x14ac:dyDescent="0.2">
      <c r="F414" s="12" t="s">
        <v>104</v>
      </c>
      <c r="G414" s="12">
        <v>10.353999999999999</v>
      </c>
    </row>
    <row r="415" spans="1:12" x14ac:dyDescent="0.2">
      <c r="F415" s="12" t="s">
        <v>105</v>
      </c>
      <c r="G415" s="12">
        <v>186.63399999999999</v>
      </c>
    </row>
    <row r="416" spans="1:12" x14ac:dyDescent="0.2">
      <c r="F416" s="12" t="s">
        <v>106</v>
      </c>
      <c r="G416" s="12">
        <v>18087.554</v>
      </c>
    </row>
    <row r="417" spans="6:7" ht="13.5" thickBot="1" x14ac:dyDescent="0.25">
      <c r="F417" s="13" t="s">
        <v>107</v>
      </c>
      <c r="G417" s="13">
        <v>400</v>
      </c>
    </row>
  </sheetData>
  <conditionalFormatting sqref="B2:B401">
    <cfRule type="dataBar" priority="1">
      <dataBar>
        <cfvo type="min"/>
        <cfvo type="max"/>
        <color rgb="FF0070C0"/>
      </dataBar>
    </cfRule>
    <cfRule type="expression" dxfId="16" priority="10">
      <formula>B2&gt;AVERAGE($B$2:$B$401)+2*STDEV($B$2:$B$401)</formula>
    </cfRule>
  </conditionalFormatting>
  <conditionalFormatting sqref="C2:C401">
    <cfRule type="cellIs" dxfId="15" priority="2" operator="greaterThan">
      <formula>10000</formula>
    </cfRule>
    <cfRule type="duplicateValues" dxfId="14" priority="3"/>
  </conditionalFormatting>
  <conditionalFormatting sqref="D2:D40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401">
    <cfRule type="iconSet" priority="5">
      <iconSet reverse="1">
        <cfvo type="percent" val="0"/>
        <cfvo type="num" val="3"/>
        <cfvo type="num" val="5"/>
      </iconSet>
    </cfRule>
  </conditionalFormatting>
  <conditionalFormatting sqref="F2:F401">
    <cfRule type="cellIs" dxfId="13" priority="6" operator="between">
      <formula>18</formula>
      <formula>30</formula>
    </cfRule>
  </conditionalFormatting>
  <conditionalFormatting sqref="G2:G401">
    <cfRule type="aboveAverage" dxfId="12" priority="7"/>
  </conditionalFormatting>
  <conditionalFormatting sqref="I2:I401">
    <cfRule type="cellIs" dxfId="11" priority="8" operator="equal">
      <formula>"Yes"</formula>
    </cfRule>
  </conditionalFormatting>
  <conditionalFormatting sqref="L2:L401">
    <cfRule type="top10" dxfId="10" priority="9" rank="10"/>
  </conditionalFormatting>
  <conditionalFormatting sqref="A2:L401">
    <cfRule type="expression" dxfId="9" priority="12">
      <formula>$L2=0</formula>
    </cfRule>
    <cfRule type="expression" dxfId="8" priority="13">
      <formula>AND($I2="Yes",$L2&gt;1000)</formula>
    </cfRule>
  </conditionalFormatting>
  <conditionalFormatting sqref="K343">
    <cfRule type="expression" dxfId="7" priority="11">
      <formula>B2&lt;AVERAGE($B$2:$B$401)+2*STDEV($B$2:$B$401)</formula>
    </cfRule>
  </conditionalFormatting>
  <pageMargins left="0.75" right="0.75" top="1" bottom="1" header="0.5" footer="0.5"/>
  <pageSetup fitToHeight="0" orientation="landscape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93C92-7A5F-4B5A-A1C9-BB2195649C4F}">
  <dimension ref="A1:O401"/>
  <sheetViews>
    <sheetView zoomScale="115" zoomScaleNormal="115" workbookViewId="0">
      <selection activeCell="E9" sqref="E9"/>
    </sheetView>
  </sheetViews>
  <sheetFormatPr defaultRowHeight="12.75" x14ac:dyDescent="0.2"/>
  <cols>
    <col min="7" max="7" width="13.5703125" bestFit="1" customWidth="1"/>
  </cols>
  <sheetData>
    <row r="1" spans="1:15" x14ac:dyDescent="0.2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11</v>
      </c>
      <c r="G1" t="s">
        <v>111</v>
      </c>
      <c r="H1" t="s">
        <v>112</v>
      </c>
      <c r="I1" t="s">
        <v>113</v>
      </c>
      <c r="J1" s="18" t="s">
        <v>114</v>
      </c>
      <c r="K1" s="18"/>
      <c r="L1" s="18"/>
      <c r="M1" s="18"/>
      <c r="N1" s="18"/>
    </row>
    <row r="2" spans="1:15" ht="13.5" thickBot="1" x14ac:dyDescent="0.25">
      <c r="A2" s="2">
        <v>182.72800000000001</v>
      </c>
      <c r="B2" s="3">
        <v>13913</v>
      </c>
      <c r="C2" s="1">
        <v>982</v>
      </c>
      <c r="D2" s="1">
        <v>4</v>
      </c>
      <c r="E2" s="1">
        <v>98</v>
      </c>
      <c r="F2" s="3">
        <v>1999</v>
      </c>
      <c r="G2" s="2">
        <f>(tblCustomers4[[#This Row],[Income]] - AVERAGE(tblCustomers[Income]))/_xlfn.STDEV.S(tblCustomers[Income])</f>
        <v>3.9016016688998132</v>
      </c>
      <c r="H2" s="2">
        <f>(tblCustomers4[[#This Row],[Limit]] - AVERAGE(tblCustomers[Limit]))/_xlfn.STDEV.S(tblCustomers[Limit])</f>
        <v>3.976000598808227</v>
      </c>
      <c r="I2" s="2">
        <f>(tblCustomers4[[#This Row],[Rating]] - AVERAGE(tblCustomers[Rating]))/_xlfn.STDEV.S(tblCustomers[Rating])</f>
        <v>4.0527611883721573</v>
      </c>
    </row>
    <row r="3" spans="1:15" x14ac:dyDescent="0.2">
      <c r="A3" s="2">
        <v>186.63399999999999</v>
      </c>
      <c r="B3" s="3">
        <v>13414</v>
      </c>
      <c r="C3" s="1">
        <v>949</v>
      </c>
      <c r="D3" s="1">
        <v>2</v>
      </c>
      <c r="E3" s="1">
        <v>41</v>
      </c>
      <c r="F3" s="3">
        <v>1809</v>
      </c>
      <c r="G3" s="2">
        <f>(tblCustomers4[[#This Row],[Income]] - AVERAGE(tblCustomers[Income]))/_xlfn.STDEV.S(tblCustomers[Income])</f>
        <v>4.0124281847909424</v>
      </c>
      <c r="H3" s="2">
        <f>(tblCustomers4[[#This Row],[Limit]] - AVERAGE(tblCustomers[Limit]))/_xlfn.STDEV.S(tblCustomers[Limit])</f>
        <v>3.7598147184057922</v>
      </c>
      <c r="I3" s="2">
        <f>(tblCustomers4[[#This Row],[Rating]] - AVERAGE(tblCustomers[Rating]))/_xlfn.STDEV.S(tblCustomers[Rating])</f>
        <v>3.8394783777698529</v>
      </c>
      <c r="J3" s="14" t="s">
        <v>1</v>
      </c>
      <c r="K3" s="14" t="s">
        <v>2</v>
      </c>
      <c r="L3" s="14" t="s">
        <v>3</v>
      </c>
      <c r="M3" s="14" t="s">
        <v>4</v>
      </c>
      <c r="N3" s="14" t="s">
        <v>5</v>
      </c>
      <c r="O3" s="14" t="s">
        <v>11</v>
      </c>
    </row>
    <row r="4" spans="1:15" x14ac:dyDescent="0.2">
      <c r="A4" s="2">
        <v>152.298</v>
      </c>
      <c r="B4" s="3">
        <v>12066</v>
      </c>
      <c r="C4" s="1">
        <v>828</v>
      </c>
      <c r="D4" s="1">
        <v>4</v>
      </c>
      <c r="E4" s="1">
        <v>41</v>
      </c>
      <c r="F4" s="3">
        <v>1779</v>
      </c>
      <c r="G4" s="2">
        <f>(tblCustomers4[[#This Row],[Income]] - AVERAGE(tblCustomers[Income]))/_xlfn.STDEV.S(tblCustomers[Income])</f>
        <v>3.0381989862149505</v>
      </c>
      <c r="H4" s="2">
        <f>(tblCustomers4[[#This Row],[Limit]] - AVERAGE(tblCustomers[Limit]))/_xlfn.STDEV.S(tblCustomers[Limit])</f>
        <v>3.1758095745531225</v>
      </c>
      <c r="I4" s="2">
        <f>(tblCustomers4[[#This Row],[Rating]] - AVERAGE(tblCustomers[Rating]))/_xlfn.STDEV.S(tblCustomers[Rating])</f>
        <v>3.0574414055614025</v>
      </c>
      <c r="J4" s="16">
        <v>1</v>
      </c>
      <c r="K4" s="16"/>
      <c r="L4" s="16"/>
      <c r="M4" s="16"/>
      <c r="N4" s="16"/>
      <c r="O4" s="16"/>
    </row>
    <row r="5" spans="1:15" x14ac:dyDescent="0.2">
      <c r="A5" s="2">
        <v>180.68199999999999</v>
      </c>
      <c r="B5" s="3">
        <v>11966</v>
      </c>
      <c r="C5" s="1">
        <v>832</v>
      </c>
      <c r="D5" s="1">
        <v>2</v>
      </c>
      <c r="E5" s="1">
        <v>58</v>
      </c>
      <c r="F5" s="3">
        <v>1405</v>
      </c>
      <c r="G5" s="2">
        <f>(tblCustomers4[[#This Row],[Income]] - AVERAGE(tblCustomers[Income]))/_xlfn.STDEV.S(tblCustomers[Income])</f>
        <v>3.8435496843854118</v>
      </c>
      <c r="H5" s="2">
        <f>(tblCustomers4[[#This Row],[Limit]] - AVERAGE(tblCustomers[Limit]))/_xlfn.STDEV.S(tblCustomers[Limit])</f>
        <v>3.1324857508251798</v>
      </c>
      <c r="I5" s="2">
        <f>(tblCustomers4[[#This Row],[Rating]] - AVERAGE(tblCustomers[Rating]))/_xlfn.STDEV.S(tblCustomers[Rating])</f>
        <v>3.0832938674525909</v>
      </c>
      <c r="J5" s="16">
        <v>0.79208834133694184</v>
      </c>
      <c r="K5" s="16">
        <v>1</v>
      </c>
      <c r="L5" s="16"/>
      <c r="M5" s="16"/>
      <c r="N5" s="16"/>
      <c r="O5" s="16"/>
    </row>
    <row r="6" spans="1:15" x14ac:dyDescent="0.2">
      <c r="A6" s="2">
        <v>158.88900000000001</v>
      </c>
      <c r="B6" s="3">
        <v>11589</v>
      </c>
      <c r="C6" s="1">
        <v>805</v>
      </c>
      <c r="D6" s="1">
        <v>1</v>
      </c>
      <c r="E6" s="1">
        <v>62</v>
      </c>
      <c r="F6" s="3">
        <v>1448</v>
      </c>
      <c r="G6" s="2">
        <f>(tblCustomers4[[#This Row],[Income]] - AVERAGE(tblCustomers[Income]))/_xlfn.STDEV.S(tblCustomers[Income])</f>
        <v>3.2252080917547445</v>
      </c>
      <c r="H6" s="2">
        <f>(tblCustomers4[[#This Row],[Limit]] - AVERAGE(tblCustomers[Limit]))/_xlfn.STDEV.S(tblCustomers[Limit])</f>
        <v>2.9691549353708351</v>
      </c>
      <c r="I6" s="2">
        <f>(tblCustomers4[[#This Row],[Rating]] - AVERAGE(tblCustomers[Rating]))/_xlfn.STDEV.S(tblCustomers[Rating])</f>
        <v>2.9087897496870689</v>
      </c>
      <c r="J6" s="16">
        <v>0.79137762511212162</v>
      </c>
      <c r="K6" s="16">
        <v>0.9968797370016832</v>
      </c>
      <c r="L6" s="16">
        <v>1</v>
      </c>
      <c r="M6" s="16"/>
      <c r="N6" s="16"/>
      <c r="O6" s="16"/>
    </row>
    <row r="7" spans="1:15" x14ac:dyDescent="0.2">
      <c r="A7" s="2">
        <v>140.672</v>
      </c>
      <c r="B7" s="3">
        <v>11200</v>
      </c>
      <c r="C7" s="1">
        <v>817</v>
      </c>
      <c r="D7" s="1">
        <v>7</v>
      </c>
      <c r="E7" s="1">
        <v>46</v>
      </c>
      <c r="F7" s="3">
        <v>1677</v>
      </c>
      <c r="G7" s="2">
        <f>(tblCustomers4[[#This Row],[Income]] - AVERAGE(tblCustomers[Income]))/_xlfn.STDEV.S(tblCustomers[Income])</f>
        <v>2.708329791706432</v>
      </c>
      <c r="H7" s="2">
        <f>(tblCustomers4[[#This Row],[Limit]] - AVERAGE(tblCustomers[Limit]))/_xlfn.STDEV.S(tblCustomers[Limit])</f>
        <v>2.8006252610691376</v>
      </c>
      <c r="I7" s="2">
        <f>(tblCustomers4[[#This Row],[Rating]] - AVERAGE(tblCustomers[Rating]))/_xlfn.STDEV.S(tblCustomers[Rating])</f>
        <v>2.9863471353606341</v>
      </c>
      <c r="J7" s="16">
        <v>-1.8272609708237627E-2</v>
      </c>
      <c r="K7" s="16">
        <v>1.023133299555907E-2</v>
      </c>
      <c r="L7" s="16">
        <v>5.323903034810492E-2</v>
      </c>
      <c r="M7" s="16">
        <v>1</v>
      </c>
      <c r="N7" s="16"/>
      <c r="O7" s="16"/>
    </row>
    <row r="8" spans="1:15" x14ac:dyDescent="0.2">
      <c r="A8" s="2">
        <v>160.23099999999999</v>
      </c>
      <c r="B8" s="3">
        <v>10748</v>
      </c>
      <c r="C8" s="1">
        <v>754</v>
      </c>
      <c r="D8" s="1">
        <v>2</v>
      </c>
      <c r="E8" s="1">
        <v>69</v>
      </c>
      <c r="F8" s="3">
        <v>1192</v>
      </c>
      <c r="G8" s="2">
        <f>(tblCustomers4[[#This Row],[Income]] - AVERAGE(tblCustomers[Income]))/_xlfn.STDEV.S(tblCustomers[Income])</f>
        <v>3.2632851998770933</v>
      </c>
      <c r="H8" s="2">
        <f>(tblCustomers4[[#This Row],[Limit]] - AVERAGE(tblCustomers[Limit]))/_xlfn.STDEV.S(tblCustomers[Limit])</f>
        <v>2.6048015778188356</v>
      </c>
      <c r="I8" s="2">
        <f>(tblCustomers4[[#This Row],[Rating]] - AVERAGE(tblCustomers[Rating]))/_xlfn.STDEV.S(tblCustomers[Rating])</f>
        <v>2.5791708605744161</v>
      </c>
      <c r="J8" s="16">
        <v>0.17533840304718845</v>
      </c>
      <c r="K8" s="16">
        <v>0.1008879215627205</v>
      </c>
      <c r="L8" s="16">
        <v>0.10316499590279998</v>
      </c>
      <c r="M8" s="16">
        <v>4.2948287864159135E-2</v>
      </c>
      <c r="N8" s="16">
        <v>1</v>
      </c>
      <c r="O8" s="16"/>
    </row>
    <row r="9" spans="1:15" ht="13.5" thickBot="1" x14ac:dyDescent="0.25">
      <c r="A9" s="2">
        <v>121.834</v>
      </c>
      <c r="B9" s="3">
        <v>10673</v>
      </c>
      <c r="C9" s="1">
        <v>750</v>
      </c>
      <c r="D9" s="1">
        <v>3</v>
      </c>
      <c r="E9" s="1">
        <v>54</v>
      </c>
      <c r="F9" s="3">
        <v>1573</v>
      </c>
      <c r="G9" s="2">
        <f>(tblCustomers4[[#This Row],[Income]] - AVERAGE(tblCustomers[Income]))/_xlfn.STDEV.S(tblCustomers[Income])</f>
        <v>2.1738316077952446</v>
      </c>
      <c r="H9" s="2">
        <f>(tblCustomers4[[#This Row],[Limit]] - AVERAGE(tblCustomers[Limit]))/_xlfn.STDEV.S(tblCustomers[Limit])</f>
        <v>2.5723087100228788</v>
      </c>
      <c r="I9" s="2">
        <f>(tblCustomers4[[#This Row],[Rating]] - AVERAGE(tblCustomers[Rating]))/_xlfn.STDEV.S(tblCustomers[Rating])</f>
        <v>2.5533183986832277</v>
      </c>
      <c r="J9" s="17">
        <v>0.46365645701575708</v>
      </c>
      <c r="K9" s="17">
        <v>0.86169726701539517</v>
      </c>
      <c r="L9" s="17">
        <v>0.86362516062149397</v>
      </c>
      <c r="M9" s="17">
        <v>8.6456347418619045E-2</v>
      </c>
      <c r="N9" s="17">
        <v>1.8351188590736845E-3</v>
      </c>
      <c r="O9" s="17">
        <v>1</v>
      </c>
    </row>
    <row r="10" spans="1:15" x14ac:dyDescent="0.2">
      <c r="A10" s="2">
        <v>135.11799999999999</v>
      </c>
      <c r="B10" s="3">
        <v>10578</v>
      </c>
      <c r="C10" s="1">
        <v>747</v>
      </c>
      <c r="D10" s="1">
        <v>3</v>
      </c>
      <c r="E10" s="1">
        <v>81</v>
      </c>
      <c r="F10" s="3">
        <v>1393</v>
      </c>
      <c r="G10" s="2">
        <f>(tblCustomers4[[#This Row],[Income]] - AVERAGE(tblCustomers[Income]))/_xlfn.STDEV.S(tblCustomers[Income])</f>
        <v>2.5507439060793624</v>
      </c>
      <c r="H10" s="2">
        <f>(tblCustomers4[[#This Row],[Limit]] - AVERAGE(tblCustomers[Limit]))/_xlfn.STDEV.S(tblCustomers[Limit])</f>
        <v>2.5311510774813328</v>
      </c>
      <c r="I10" s="2">
        <f>(tblCustomers4[[#This Row],[Rating]] - AVERAGE(tblCustomers[Rating]))/_xlfn.STDEV.S(tblCustomers[Rating])</f>
        <v>2.5339290522648361</v>
      </c>
    </row>
    <row r="11" spans="1:15" x14ac:dyDescent="0.2">
      <c r="A11" s="2">
        <v>107.84099999999999</v>
      </c>
      <c r="B11" s="3">
        <v>10384</v>
      </c>
      <c r="C11" s="1">
        <v>728</v>
      </c>
      <c r="D11" s="1">
        <v>3</v>
      </c>
      <c r="E11" s="1">
        <v>87</v>
      </c>
      <c r="F11" s="3">
        <v>1597</v>
      </c>
      <c r="G11" s="2">
        <f>(tblCustomers4[[#This Row],[Income]] - AVERAGE(tblCustomers[Income]))/_xlfn.STDEV.S(tblCustomers[Income])</f>
        <v>1.7768025660992439</v>
      </c>
      <c r="H11" s="2">
        <f>(tblCustomers4[[#This Row],[Limit]] - AVERAGE(tblCustomers[Limit]))/_xlfn.STDEV.S(tblCustomers[Limit])</f>
        <v>2.4471028594491235</v>
      </c>
      <c r="I11" s="2">
        <f>(tblCustomers4[[#This Row],[Rating]] - AVERAGE(tblCustomers[Rating]))/_xlfn.STDEV.S(tblCustomers[Rating])</f>
        <v>2.4111298582816909</v>
      </c>
    </row>
    <row r="12" spans="1:15" x14ac:dyDescent="0.2">
      <c r="A12" s="2">
        <v>149.316</v>
      </c>
      <c r="B12" s="3">
        <v>10278</v>
      </c>
      <c r="C12" s="1">
        <v>707</v>
      </c>
      <c r="D12" s="1">
        <v>1</v>
      </c>
      <c r="E12" s="1">
        <v>80</v>
      </c>
      <c r="F12" s="3">
        <v>1107</v>
      </c>
      <c r="G12" s="2">
        <f>(tblCustomers4[[#This Row],[Income]] - AVERAGE(tblCustomers[Income]))/_xlfn.STDEV.S(tblCustomers[Income])</f>
        <v>2.953589495588389</v>
      </c>
      <c r="H12" s="2">
        <f>(tblCustomers4[[#This Row],[Limit]] - AVERAGE(tblCustomers[Limit]))/_xlfn.STDEV.S(tblCustomers[Limit])</f>
        <v>2.4011796062975042</v>
      </c>
      <c r="I12" s="2">
        <f>(tblCustomers4[[#This Row],[Rating]] - AVERAGE(tblCustomers[Rating]))/_xlfn.STDEV.S(tblCustomers[Rating])</f>
        <v>2.2754044333529517</v>
      </c>
    </row>
    <row r="13" spans="1:15" x14ac:dyDescent="0.2">
      <c r="A13" s="2">
        <v>125.48</v>
      </c>
      <c r="B13" s="3">
        <v>10230</v>
      </c>
      <c r="C13" s="1">
        <v>721</v>
      </c>
      <c r="D13" s="1">
        <v>3</v>
      </c>
      <c r="E13" s="1">
        <v>82</v>
      </c>
      <c r="F13" s="3">
        <v>1361</v>
      </c>
      <c r="G13" s="2">
        <f>(tblCustomers4[[#This Row],[Income]] - AVERAGE(tblCustomers[Income]))/_xlfn.STDEV.S(tblCustomers[Income])</f>
        <v>2.277281038655218</v>
      </c>
      <c r="H13" s="2">
        <f>(tblCustomers4[[#This Row],[Limit]] - AVERAGE(tblCustomers[Limit]))/_xlfn.STDEV.S(tblCustomers[Limit])</f>
        <v>2.380384170908092</v>
      </c>
      <c r="I13" s="2">
        <f>(tblCustomers4[[#This Row],[Rating]] - AVERAGE(tblCustomers[Rating]))/_xlfn.STDEV.S(tblCustomers[Rating])</f>
        <v>2.3658880499721113</v>
      </c>
    </row>
    <row r="14" spans="1:15" x14ac:dyDescent="0.2">
      <c r="A14" s="2">
        <v>130.209</v>
      </c>
      <c r="B14" s="3">
        <v>10088</v>
      </c>
      <c r="C14" s="1">
        <v>730</v>
      </c>
      <c r="D14" s="1">
        <v>7</v>
      </c>
      <c r="E14" s="1">
        <v>39</v>
      </c>
      <c r="F14" s="3">
        <v>1426</v>
      </c>
      <c r="G14" s="2">
        <f>(tblCustomers4[[#This Row],[Income]] - AVERAGE(tblCustomers[Income]))/_xlfn.STDEV.S(tblCustomers[Income])</f>
        <v>2.411458866010352</v>
      </c>
      <c r="H14" s="2">
        <f>(tblCustomers4[[#This Row],[Limit]] - AVERAGE(tblCustomers[Limit]))/_xlfn.STDEV.S(tblCustomers[Limit])</f>
        <v>2.3188643412144128</v>
      </c>
      <c r="I14" s="2">
        <f>(tblCustomers4[[#This Row],[Rating]] - AVERAGE(tblCustomers[Rating]))/_xlfn.STDEV.S(tblCustomers[Rating])</f>
        <v>2.4240560892272853</v>
      </c>
    </row>
    <row r="15" spans="1:15" x14ac:dyDescent="0.2">
      <c r="A15" s="2">
        <v>128.66900000000001</v>
      </c>
      <c r="B15" s="3">
        <v>9824</v>
      </c>
      <c r="C15" s="1">
        <v>685</v>
      </c>
      <c r="D15" s="1">
        <v>3</v>
      </c>
      <c r="E15" s="1">
        <v>67</v>
      </c>
      <c r="F15" s="3">
        <v>1243</v>
      </c>
      <c r="G15" s="2">
        <f>(tblCustomers4[[#This Row],[Income]] - AVERAGE(tblCustomers[Income]))/_xlfn.STDEV.S(tblCustomers[Income])</f>
        <v>2.3677638239027385</v>
      </c>
      <c r="H15" s="2">
        <f>(tblCustomers4[[#This Row],[Limit]] - AVERAGE(tblCustomers[Limit]))/_xlfn.STDEV.S(tblCustomers[Limit])</f>
        <v>2.2044894465726439</v>
      </c>
      <c r="I15" s="2">
        <f>(tblCustomers4[[#This Row],[Rating]] - AVERAGE(tblCustomers[Rating]))/_xlfn.STDEV.S(tblCustomers[Rating])</f>
        <v>2.1332158929514153</v>
      </c>
    </row>
    <row r="16" spans="1:15" x14ac:dyDescent="0.2">
      <c r="A16" s="2">
        <v>113.82899999999999</v>
      </c>
      <c r="B16" s="3">
        <v>9704</v>
      </c>
      <c r="C16" s="1">
        <v>694</v>
      </c>
      <c r="D16" s="1">
        <v>4</v>
      </c>
      <c r="E16" s="1">
        <v>38</v>
      </c>
      <c r="F16" s="3">
        <v>1388</v>
      </c>
      <c r="G16" s="2">
        <f>(tblCustomers4[[#This Row],[Income]] - AVERAGE(tblCustomers[Income]))/_xlfn.STDEV.S(tblCustomers[Income])</f>
        <v>1.9467025090475498</v>
      </c>
      <c r="H16" s="2">
        <f>(tblCustomers4[[#This Row],[Limit]] - AVERAGE(tblCustomers[Limit]))/_xlfn.STDEV.S(tblCustomers[Limit])</f>
        <v>2.1525008580991125</v>
      </c>
      <c r="I16" s="2">
        <f>(tblCustomers4[[#This Row],[Rating]] - AVERAGE(tblCustomers[Rating]))/_xlfn.STDEV.S(tblCustomers[Rating])</f>
        <v>2.1913839322065893</v>
      </c>
    </row>
    <row r="17" spans="1:9" x14ac:dyDescent="0.2">
      <c r="A17" s="2">
        <v>124.29</v>
      </c>
      <c r="B17" s="3">
        <v>9560</v>
      </c>
      <c r="C17" s="1">
        <v>701</v>
      </c>
      <c r="D17" s="1">
        <v>3</v>
      </c>
      <c r="E17" s="1">
        <v>52</v>
      </c>
      <c r="F17" s="3">
        <v>1687</v>
      </c>
      <c r="G17" s="2">
        <f>(tblCustomers4[[#This Row],[Income]] - AVERAGE(tblCustomers[Income]))/_xlfn.STDEV.S(tblCustomers[Income])</f>
        <v>2.2435166879356983</v>
      </c>
      <c r="H17" s="2">
        <f>(tblCustomers4[[#This Row],[Limit]] - AVERAGE(tblCustomers[Limit]))/_xlfn.STDEV.S(tblCustomers[Limit])</f>
        <v>2.0901145519308746</v>
      </c>
      <c r="I17" s="2">
        <f>(tblCustomers4[[#This Row],[Rating]] - AVERAGE(tblCustomers[Rating]))/_xlfn.STDEV.S(tblCustomers[Rating])</f>
        <v>2.2366257405161689</v>
      </c>
    </row>
    <row r="18" spans="1:9" x14ac:dyDescent="0.2">
      <c r="A18" s="2">
        <v>146.18299999999999</v>
      </c>
      <c r="B18" s="3">
        <v>9540</v>
      </c>
      <c r="C18" s="1">
        <v>682</v>
      </c>
      <c r="D18" s="1">
        <v>6</v>
      </c>
      <c r="E18" s="1">
        <v>66</v>
      </c>
      <c r="F18" s="3">
        <v>1050</v>
      </c>
      <c r="G18" s="2">
        <f>(tblCustomers4[[#This Row],[Income]] - AVERAGE(tblCustomers[Income]))/_xlfn.STDEV.S(tblCustomers[Income])</f>
        <v>2.8646956209629644</v>
      </c>
      <c r="H18" s="2">
        <f>(tblCustomers4[[#This Row],[Limit]] - AVERAGE(tblCustomers[Limit]))/_xlfn.STDEV.S(tblCustomers[Limit])</f>
        <v>2.0814497871852859</v>
      </c>
      <c r="I18" s="2">
        <f>(tblCustomers4[[#This Row],[Rating]] - AVERAGE(tblCustomers[Rating]))/_xlfn.STDEV.S(tblCustomers[Rating])</f>
        <v>2.1138265465330237</v>
      </c>
    </row>
    <row r="19" spans="1:9" x14ac:dyDescent="0.2">
      <c r="A19" s="2">
        <v>148.92400000000001</v>
      </c>
      <c r="B19" s="3">
        <v>9504</v>
      </c>
      <c r="C19" s="1">
        <v>681</v>
      </c>
      <c r="D19" s="1">
        <v>3</v>
      </c>
      <c r="E19" s="1">
        <v>36</v>
      </c>
      <c r="F19" s="3">
        <v>964</v>
      </c>
      <c r="G19" s="2">
        <f>(tblCustomers4[[#This Row],[Income]] - AVERAGE(tblCustomers[Income]))/_xlfn.STDEV.S(tblCustomers[Income])</f>
        <v>2.9424671212337241</v>
      </c>
      <c r="H19" s="2">
        <f>(tblCustomers4[[#This Row],[Limit]] - AVERAGE(tblCustomers[Limit]))/_xlfn.STDEV.S(tblCustomers[Limit])</f>
        <v>2.0658532106432266</v>
      </c>
      <c r="I19" s="2">
        <f>(tblCustomers4[[#This Row],[Rating]] - AVERAGE(tblCustomers[Rating]))/_xlfn.STDEV.S(tblCustomers[Rating])</f>
        <v>2.1073634310602269</v>
      </c>
    </row>
    <row r="20" spans="1:9" x14ac:dyDescent="0.2">
      <c r="A20" s="2">
        <v>180.37899999999999</v>
      </c>
      <c r="B20" s="3">
        <v>9310</v>
      </c>
      <c r="C20" s="1">
        <v>665</v>
      </c>
      <c r="D20" s="1">
        <v>3</v>
      </c>
      <c r="E20" s="1">
        <v>67</v>
      </c>
      <c r="F20" s="3">
        <v>1050</v>
      </c>
      <c r="G20" s="2">
        <f>(tblCustomers4[[#This Row],[Income]] - AVERAGE(tblCustomers[Income]))/_xlfn.STDEV.S(tblCustomers[Income])</f>
        <v>3.8349525429837188</v>
      </c>
      <c r="H20" s="2">
        <f>(tblCustomers4[[#This Row],[Limit]] - AVERAGE(tblCustomers[Limit]))/_xlfn.STDEV.S(tblCustomers[Limit])</f>
        <v>1.9818049926110175</v>
      </c>
      <c r="I20" s="2">
        <f>(tblCustomers4[[#This Row],[Rating]] - AVERAGE(tblCustomers[Rating]))/_xlfn.STDEV.S(tblCustomers[Rating])</f>
        <v>2.0039535834954729</v>
      </c>
    </row>
    <row r="21" spans="1:9" x14ac:dyDescent="0.2">
      <c r="A21" s="2">
        <v>115.52</v>
      </c>
      <c r="B21" s="3">
        <v>9272</v>
      </c>
      <c r="C21" s="1">
        <v>656</v>
      </c>
      <c r="D21" s="1">
        <v>2</v>
      </c>
      <c r="E21" s="1">
        <v>69</v>
      </c>
      <c r="F21" s="3">
        <v>1140</v>
      </c>
      <c r="G21" s="2">
        <f>(tblCustomers4[[#This Row],[Income]] - AVERAGE(tblCustomers[Income]))/_xlfn.STDEV.S(tblCustomers[Income])</f>
        <v>1.9946819351540273</v>
      </c>
      <c r="H21" s="2">
        <f>(tblCustomers4[[#This Row],[Limit]] - AVERAGE(tblCustomers[Limit]))/_xlfn.STDEV.S(tblCustomers[Limit])</f>
        <v>1.9653419395943992</v>
      </c>
      <c r="I21" s="2">
        <f>(tblCustomers4[[#This Row],[Rating]] - AVERAGE(tblCustomers[Rating]))/_xlfn.STDEV.S(tblCustomers[Rating])</f>
        <v>1.9457855442402989</v>
      </c>
    </row>
    <row r="22" spans="1:9" x14ac:dyDescent="0.2">
      <c r="A22" s="2">
        <v>151.947</v>
      </c>
      <c r="B22" s="3">
        <v>9156</v>
      </c>
      <c r="C22" s="1">
        <v>642</v>
      </c>
      <c r="D22" s="1">
        <v>2</v>
      </c>
      <c r="E22" s="1">
        <v>91</v>
      </c>
      <c r="F22" s="3">
        <v>732</v>
      </c>
      <c r="G22" s="2">
        <f>(tblCustomers4[[#This Row],[Income]] - AVERAGE(tblCustomers[Income]))/_xlfn.STDEV.S(tblCustomers[Income])</f>
        <v>3.0282399214228906</v>
      </c>
      <c r="H22" s="2">
        <f>(tblCustomers4[[#This Row],[Limit]] - AVERAGE(tblCustomers[Limit]))/_xlfn.STDEV.S(tblCustomers[Limit])</f>
        <v>1.9150863040699855</v>
      </c>
      <c r="I22" s="2">
        <f>(tblCustomers4[[#This Row],[Rating]] - AVERAGE(tblCustomers[Rating]))/_xlfn.STDEV.S(tblCustomers[Rating])</f>
        <v>1.8553019276211393</v>
      </c>
    </row>
    <row r="23" spans="1:9" x14ac:dyDescent="0.2">
      <c r="A23" s="2">
        <v>91.361999999999995</v>
      </c>
      <c r="B23" s="3">
        <v>9113</v>
      </c>
      <c r="C23" s="1">
        <v>626</v>
      </c>
      <c r="D23" s="1">
        <v>1</v>
      </c>
      <c r="E23" s="1">
        <v>47</v>
      </c>
      <c r="F23" s="3">
        <v>1341</v>
      </c>
      <c r="G23" s="2">
        <f>(tblCustomers4[[#This Row],[Income]] - AVERAGE(tblCustomers[Income]))/_xlfn.STDEV.S(tblCustomers[Income])</f>
        <v>1.3092372421438101</v>
      </c>
      <c r="H23" s="2">
        <f>(tblCustomers4[[#This Row],[Limit]] - AVERAGE(tblCustomers[Limit]))/_xlfn.STDEV.S(tblCustomers[Limit])</f>
        <v>1.8964570598669701</v>
      </c>
      <c r="I23" s="2">
        <f>(tblCustomers4[[#This Row],[Rating]] - AVERAGE(tblCustomers[Rating]))/_xlfn.STDEV.S(tblCustomers[Rating])</f>
        <v>1.7518920800563855</v>
      </c>
    </row>
    <row r="24" spans="1:9" x14ac:dyDescent="0.2">
      <c r="A24" s="2">
        <v>98.515000000000001</v>
      </c>
      <c r="B24" s="3">
        <v>8760</v>
      </c>
      <c r="C24" s="1">
        <v>633</v>
      </c>
      <c r="D24" s="1">
        <v>5</v>
      </c>
      <c r="E24" s="1">
        <v>78</v>
      </c>
      <c r="F24" s="3">
        <v>1230</v>
      </c>
      <c r="G24" s="2">
        <f>(tblCustomers4[[#This Row],[Income]] - AVERAGE(tblCustomers[Income]))/_xlfn.STDEV.S(tblCustomers[Income])</f>
        <v>1.5121922007124866</v>
      </c>
      <c r="H24" s="2">
        <f>(tblCustomers4[[#This Row],[Limit]] - AVERAGE(tblCustomers[Limit]))/_xlfn.STDEV.S(tblCustomers[Limit])</f>
        <v>1.743523962107332</v>
      </c>
      <c r="I24" s="2">
        <f>(tblCustomers4[[#This Row],[Rating]] - AVERAGE(tblCustomers[Rating]))/_xlfn.STDEV.S(tblCustomers[Rating])</f>
        <v>1.7971338883659653</v>
      </c>
    </row>
    <row r="25" spans="1:9" x14ac:dyDescent="0.2">
      <c r="A25" s="2">
        <v>163.32900000000001</v>
      </c>
      <c r="B25" s="3">
        <v>8732</v>
      </c>
      <c r="C25" s="1">
        <v>636</v>
      </c>
      <c r="D25" s="1">
        <v>3</v>
      </c>
      <c r="E25" s="1">
        <v>50</v>
      </c>
      <c r="F25" s="3">
        <v>529</v>
      </c>
      <c r="G25" s="2">
        <f>(tblCustomers4[[#This Row],[Income]] - AVERAGE(tblCustomers[Income]))/_xlfn.STDEV.S(tblCustomers[Income])</f>
        <v>3.3511860053637093</v>
      </c>
      <c r="H25" s="2">
        <f>(tblCustomers4[[#This Row],[Limit]] - AVERAGE(tblCustomers[Limit]))/_xlfn.STDEV.S(tblCustomers[Limit])</f>
        <v>1.731393291463508</v>
      </c>
      <c r="I25" s="2">
        <f>(tblCustomers4[[#This Row],[Rating]] - AVERAGE(tblCustomers[Rating]))/_xlfn.STDEV.S(tblCustomers[Rating])</f>
        <v>1.8165232347843567</v>
      </c>
    </row>
    <row r="26" spans="1:9" x14ac:dyDescent="0.2">
      <c r="A26" s="2">
        <v>72.944999999999993</v>
      </c>
      <c r="B26" s="3">
        <v>8603</v>
      </c>
      <c r="C26" s="1">
        <v>621</v>
      </c>
      <c r="D26" s="1">
        <v>3</v>
      </c>
      <c r="E26" s="1">
        <v>64</v>
      </c>
      <c r="F26" s="3">
        <v>1355</v>
      </c>
      <c r="G26" s="2">
        <f>(tblCustomers4[[#This Row],[Income]] - AVERAGE(tblCustomers[Income]))/_xlfn.STDEV.S(tblCustomers[Income])</f>
        <v>0.78668426130230118</v>
      </c>
      <c r="H26" s="2">
        <f>(tblCustomers4[[#This Row],[Limit]] - AVERAGE(tblCustomers[Limit]))/_xlfn.STDEV.S(tblCustomers[Limit])</f>
        <v>1.6755055588544616</v>
      </c>
      <c r="I26" s="2">
        <f>(tblCustomers4[[#This Row],[Rating]] - AVERAGE(tblCustomers[Rating]))/_xlfn.STDEV.S(tblCustomers[Rating])</f>
        <v>1.7195765026923999</v>
      </c>
    </row>
    <row r="27" spans="1:9" x14ac:dyDescent="0.2">
      <c r="A27" s="2">
        <v>83.850999999999999</v>
      </c>
      <c r="B27" s="3">
        <v>8494</v>
      </c>
      <c r="C27" s="1">
        <v>607</v>
      </c>
      <c r="D27" s="1">
        <v>5</v>
      </c>
      <c r="E27" s="1">
        <v>47</v>
      </c>
      <c r="F27" s="3">
        <v>1311</v>
      </c>
      <c r="G27" s="2">
        <f>(tblCustomers4[[#This Row],[Income]] - AVERAGE(tblCustomers[Income]))/_xlfn.STDEV.S(tblCustomers[Income])</f>
        <v>1.0961246049553119</v>
      </c>
      <c r="H27" s="2">
        <f>(tblCustomers4[[#This Row],[Limit]] - AVERAGE(tblCustomers[Limit]))/_xlfn.STDEV.S(tblCustomers[Limit])</f>
        <v>1.6282825909910039</v>
      </c>
      <c r="I27" s="2">
        <f>(tblCustomers4[[#This Row],[Rating]] - AVERAGE(tblCustomers[Rating]))/_xlfn.STDEV.S(tblCustomers[Rating])</f>
        <v>1.6290928860732403</v>
      </c>
    </row>
    <row r="28" spans="1:9" x14ac:dyDescent="0.2">
      <c r="A28" s="2">
        <v>123.29900000000001</v>
      </c>
      <c r="B28" s="3">
        <v>8376</v>
      </c>
      <c r="C28" s="1">
        <v>610</v>
      </c>
      <c r="D28" s="1">
        <v>2</v>
      </c>
      <c r="E28" s="1">
        <v>89</v>
      </c>
      <c r="F28" s="3">
        <v>1259</v>
      </c>
      <c r="G28" s="2">
        <f>(tblCustomers4[[#This Row],[Income]] - AVERAGE(tblCustomers[Income]))/_xlfn.STDEV.S(tblCustomers[Income])</f>
        <v>2.2153986446054095</v>
      </c>
      <c r="H28" s="2">
        <f>(tblCustomers4[[#This Row],[Limit]] - AVERAGE(tblCustomers[Limit]))/_xlfn.STDEV.S(tblCustomers[Limit])</f>
        <v>1.5771604789920313</v>
      </c>
      <c r="I28" s="2">
        <f>(tblCustomers4[[#This Row],[Rating]] - AVERAGE(tblCustomers[Rating]))/_xlfn.STDEV.S(tblCustomers[Rating])</f>
        <v>1.6484822324916317</v>
      </c>
    </row>
    <row r="29" spans="1:9" x14ac:dyDescent="0.2">
      <c r="A29" s="2">
        <v>69.656000000000006</v>
      </c>
      <c r="B29" s="3">
        <v>8244</v>
      </c>
      <c r="C29" s="1">
        <v>579</v>
      </c>
      <c r="D29" s="1">
        <v>3</v>
      </c>
      <c r="E29" s="1">
        <v>41</v>
      </c>
      <c r="F29" s="3">
        <v>1329</v>
      </c>
      <c r="G29" s="2">
        <f>(tblCustomers4[[#This Row],[Income]] - AVERAGE(tblCustomers[Income]))/_xlfn.STDEV.S(tblCustomers[Income])</f>
        <v>0.69336413565818344</v>
      </c>
      <c r="H29" s="2">
        <f>(tblCustomers4[[#This Row],[Limit]] - AVERAGE(tblCustomers[Limit]))/_xlfn.STDEV.S(tblCustomers[Limit])</f>
        <v>1.5199730316711468</v>
      </c>
      <c r="I29" s="2">
        <f>(tblCustomers4[[#This Row],[Rating]] - AVERAGE(tblCustomers[Rating]))/_xlfn.STDEV.S(tblCustomers[Rating])</f>
        <v>1.4481256528349211</v>
      </c>
    </row>
    <row r="30" spans="1:9" x14ac:dyDescent="0.2">
      <c r="A30" s="2">
        <v>148.08000000000001</v>
      </c>
      <c r="B30" s="3">
        <v>8157</v>
      </c>
      <c r="C30" s="1">
        <v>599</v>
      </c>
      <c r="D30" s="1">
        <v>2</v>
      </c>
      <c r="E30" s="1">
        <v>83</v>
      </c>
      <c r="F30" s="3">
        <v>454</v>
      </c>
      <c r="G30" s="2">
        <f>(tblCustomers4[[#This Row],[Income]] - AVERAGE(tblCustomers[Income]))/_xlfn.STDEV.S(tblCustomers[Income])</f>
        <v>2.9185199682864345</v>
      </c>
      <c r="H30" s="2">
        <f>(tblCustomers4[[#This Row],[Limit]] - AVERAGE(tblCustomers[Limit]))/_xlfn.STDEV.S(tblCustomers[Limit])</f>
        <v>1.4822813050278365</v>
      </c>
      <c r="I30" s="2">
        <f>(tblCustomers4[[#This Row],[Rating]] - AVERAGE(tblCustomers[Rating]))/_xlfn.STDEV.S(tblCustomers[Rating])</f>
        <v>1.5773879622908635</v>
      </c>
    </row>
    <row r="31" spans="1:9" x14ac:dyDescent="0.2">
      <c r="A31" s="2">
        <v>63.094999999999999</v>
      </c>
      <c r="B31" s="3">
        <v>8117</v>
      </c>
      <c r="C31" s="1">
        <v>589</v>
      </c>
      <c r="D31" s="1">
        <v>4</v>
      </c>
      <c r="E31" s="1">
        <v>30</v>
      </c>
      <c r="F31" s="3">
        <v>1407</v>
      </c>
      <c r="G31" s="2">
        <f>(tblCustomers4[[#This Row],[Income]] - AVERAGE(tblCustomers[Income]))/_xlfn.STDEV.S(tblCustomers[Income])</f>
        <v>0.50720623223736871</v>
      </c>
      <c r="H31" s="2">
        <f>(tblCustomers4[[#This Row],[Limit]] - AVERAGE(tblCustomers[Limit]))/_xlfn.STDEV.S(tblCustomers[Limit])</f>
        <v>1.4649517755366592</v>
      </c>
      <c r="I31" s="2">
        <f>(tblCustomers4[[#This Row],[Rating]] - AVERAGE(tblCustomers[Rating]))/_xlfn.STDEV.S(tblCustomers[Rating])</f>
        <v>1.5127568075628923</v>
      </c>
    </row>
    <row r="32" spans="1:9" x14ac:dyDescent="0.2">
      <c r="A32" s="2">
        <v>63.533999999999999</v>
      </c>
      <c r="B32" s="3">
        <v>8100</v>
      </c>
      <c r="C32" s="1">
        <v>581</v>
      </c>
      <c r="D32" s="1">
        <v>2</v>
      </c>
      <c r="E32" s="1">
        <v>50</v>
      </c>
      <c r="F32" s="3">
        <v>1298</v>
      </c>
      <c r="G32" s="2">
        <f>(tblCustomers4[[#This Row],[Income]] - AVERAGE(tblCustomers[Income]))/_xlfn.STDEV.S(tblCustomers[Income])</f>
        <v>0.51966215657843529</v>
      </c>
      <c r="H32" s="2">
        <f>(tblCustomers4[[#This Row],[Limit]] - AVERAGE(tblCustomers[Limit]))/_xlfn.STDEV.S(tblCustomers[Limit])</f>
        <v>1.4575867255029091</v>
      </c>
      <c r="I32" s="2">
        <f>(tblCustomers4[[#This Row],[Rating]] - AVERAGE(tblCustomers[Rating]))/_xlfn.STDEV.S(tblCustomers[Rating])</f>
        <v>1.4610518837805155</v>
      </c>
    </row>
    <row r="33" spans="1:9" x14ac:dyDescent="0.2">
      <c r="A33" s="2">
        <v>80.180000000000007</v>
      </c>
      <c r="B33" s="3">
        <v>8047</v>
      </c>
      <c r="C33" s="1">
        <v>569</v>
      </c>
      <c r="D33" s="1">
        <v>4</v>
      </c>
      <c r="E33" s="1">
        <v>77</v>
      </c>
      <c r="F33" s="3">
        <v>1151</v>
      </c>
      <c r="G33" s="2">
        <f>(tblCustomers4[[#This Row],[Income]] - AVERAGE(tblCustomers[Income]))/_xlfn.STDEV.S(tblCustomers[Income])</f>
        <v>0.99196583899618851</v>
      </c>
      <c r="H33" s="2">
        <f>(tblCustomers4[[#This Row],[Limit]] - AVERAGE(tblCustomers[Limit]))/_xlfn.STDEV.S(tblCustomers[Limit])</f>
        <v>1.4346250989270994</v>
      </c>
      <c r="I33" s="2">
        <f>(tblCustomers4[[#This Row],[Rating]] - AVERAGE(tblCustomers[Rating]))/_xlfn.STDEV.S(tblCustomers[Rating])</f>
        <v>1.3834944981069501</v>
      </c>
    </row>
    <row r="34" spans="1:9" x14ac:dyDescent="0.2">
      <c r="A34" s="2">
        <v>101.788</v>
      </c>
      <c r="B34" s="3">
        <v>8029</v>
      </c>
      <c r="C34" s="1">
        <v>574</v>
      </c>
      <c r="D34" s="1">
        <v>2</v>
      </c>
      <c r="E34" s="1">
        <v>84</v>
      </c>
      <c r="F34" s="3">
        <v>849</v>
      </c>
      <c r="G34" s="2">
        <f>(tblCustomers4[[#This Row],[Income]] - AVERAGE(tblCustomers[Income]))/_xlfn.STDEV.S(tblCustomers[Income])</f>
        <v>1.6050583518931489</v>
      </c>
      <c r="H34" s="2">
        <f>(tblCustomers4[[#This Row],[Limit]] - AVERAGE(tblCustomers[Limit]))/_xlfn.STDEV.S(tblCustomers[Limit])</f>
        <v>1.4268268106560695</v>
      </c>
      <c r="I34" s="2">
        <f>(tblCustomers4[[#This Row],[Rating]] - AVERAGE(tblCustomers[Rating]))/_xlfn.STDEV.S(tblCustomers[Rating])</f>
        <v>1.4158100754709357</v>
      </c>
    </row>
    <row r="35" spans="1:9" x14ac:dyDescent="0.2">
      <c r="A35" s="2">
        <v>71.682000000000002</v>
      </c>
      <c r="B35" s="3">
        <v>8028</v>
      </c>
      <c r="C35" s="1">
        <v>599</v>
      </c>
      <c r="D35" s="1">
        <v>3</v>
      </c>
      <c r="E35" s="1">
        <v>57</v>
      </c>
      <c r="F35" s="3">
        <v>1208</v>
      </c>
      <c r="G35" s="2">
        <f>(tblCustomers4[[#This Row],[Income]] - AVERAGE(tblCustomers[Income]))/_xlfn.STDEV.S(tblCustomers[Income])</f>
        <v>0.7508486520932649</v>
      </c>
      <c r="H35" s="2">
        <f>(tblCustomers4[[#This Row],[Limit]] - AVERAGE(tblCustomers[Limit]))/_xlfn.STDEV.S(tblCustomers[Limit])</f>
        <v>1.4263935724187902</v>
      </c>
      <c r="I35" s="2">
        <f>(tblCustomers4[[#This Row],[Rating]] - AVERAGE(tblCustomers[Rating]))/_xlfn.STDEV.S(tblCustomers[Rating])</f>
        <v>1.5773879622908635</v>
      </c>
    </row>
    <row r="36" spans="1:9" x14ac:dyDescent="0.2">
      <c r="A36" s="2">
        <v>61.069000000000003</v>
      </c>
      <c r="B36" s="3">
        <v>7871</v>
      </c>
      <c r="C36" s="1">
        <v>564</v>
      </c>
      <c r="D36" s="1">
        <v>3</v>
      </c>
      <c r="E36" s="1">
        <v>56</v>
      </c>
      <c r="F36" s="3">
        <v>1264</v>
      </c>
      <c r="G36" s="2">
        <f>(tblCustomers4[[#This Row],[Income]] - AVERAGE(tblCustomers[Income]))/_xlfn.STDEV.S(tblCustomers[Income])</f>
        <v>0.44972171580228731</v>
      </c>
      <c r="H36" s="2">
        <f>(tblCustomers4[[#This Row],[Limit]] - AVERAGE(tblCustomers[Limit]))/_xlfn.STDEV.S(tblCustomers[Limit])</f>
        <v>1.3583751691659198</v>
      </c>
      <c r="I36" s="2">
        <f>(tblCustomers4[[#This Row],[Rating]] - AVERAGE(tblCustomers[Rating]))/_xlfn.STDEV.S(tblCustomers[Rating])</f>
        <v>1.3511789207429645</v>
      </c>
    </row>
    <row r="37" spans="1:9" x14ac:dyDescent="0.2">
      <c r="A37" s="2">
        <v>134.18100000000001</v>
      </c>
      <c r="B37" s="3">
        <v>7838</v>
      </c>
      <c r="C37" s="1">
        <v>563</v>
      </c>
      <c r="D37" s="1">
        <v>2</v>
      </c>
      <c r="E37" s="1">
        <v>48</v>
      </c>
      <c r="F37" s="3">
        <v>526</v>
      </c>
      <c r="G37" s="2">
        <f>(tblCustomers4[[#This Row],[Income]] - AVERAGE(tblCustomers[Income]))/_xlfn.STDEV.S(tblCustomers[Income])</f>
        <v>2.5241580265632368</v>
      </c>
      <c r="H37" s="2">
        <f>(tblCustomers4[[#This Row],[Limit]] - AVERAGE(tblCustomers[Limit]))/_xlfn.STDEV.S(tblCustomers[Limit])</f>
        <v>1.3440783073356988</v>
      </c>
      <c r="I37" s="2">
        <f>(tblCustomers4[[#This Row],[Rating]] - AVERAGE(tblCustomers[Rating]))/_xlfn.STDEV.S(tblCustomers[Rating])</f>
        <v>1.3447158052701673</v>
      </c>
    </row>
    <row r="38" spans="1:9" x14ac:dyDescent="0.2">
      <c r="A38" s="2">
        <v>121.709</v>
      </c>
      <c r="B38" s="3">
        <v>7818</v>
      </c>
      <c r="C38" s="1">
        <v>584</v>
      </c>
      <c r="D38" s="1">
        <v>4</v>
      </c>
      <c r="E38" s="1">
        <v>50</v>
      </c>
      <c r="F38" s="3">
        <v>701</v>
      </c>
      <c r="G38" s="2">
        <f>(tblCustomers4[[#This Row],[Income]] - AVERAGE(tblCustomers[Income]))/_xlfn.STDEV.S(tblCustomers[Income])</f>
        <v>2.1702849322994964</v>
      </c>
      <c r="H38" s="2">
        <f>(tblCustomers4[[#This Row],[Limit]] - AVERAGE(tblCustomers[Limit]))/_xlfn.STDEV.S(tblCustomers[Limit])</f>
        <v>1.3354135425901101</v>
      </c>
      <c r="I38" s="2">
        <f>(tblCustomers4[[#This Row],[Rating]] - AVERAGE(tblCustomers[Rating]))/_xlfn.STDEV.S(tblCustomers[Rating])</f>
        <v>1.4804412301989067</v>
      </c>
    </row>
    <row r="39" spans="1:9" x14ac:dyDescent="0.2">
      <c r="A39" s="2">
        <v>115.123</v>
      </c>
      <c r="B39" s="3">
        <v>7760</v>
      </c>
      <c r="C39" s="1">
        <v>538</v>
      </c>
      <c r="D39" s="1">
        <v>3</v>
      </c>
      <c r="E39" s="1">
        <v>83</v>
      </c>
      <c r="F39" s="3">
        <v>661</v>
      </c>
      <c r="G39" s="2">
        <f>(tblCustomers4[[#This Row],[Income]] - AVERAGE(tblCustomers[Income]))/_xlfn.STDEV.S(tblCustomers[Income])</f>
        <v>1.9834176937795323</v>
      </c>
      <c r="H39" s="2">
        <f>(tblCustomers4[[#This Row],[Limit]] - AVERAGE(tblCustomers[Limit]))/_xlfn.STDEV.S(tblCustomers[Limit])</f>
        <v>1.3102857248279034</v>
      </c>
      <c r="I39" s="2">
        <f>(tblCustomers4[[#This Row],[Rating]] - AVERAGE(tblCustomers[Rating]))/_xlfn.STDEV.S(tblCustomers[Rating])</f>
        <v>1.1831379184502395</v>
      </c>
    </row>
    <row r="40" spans="1:9" x14ac:dyDescent="0.2">
      <c r="A40" s="2">
        <v>92.385999999999996</v>
      </c>
      <c r="B40" s="3">
        <v>7685</v>
      </c>
      <c r="C40" s="1">
        <v>534</v>
      </c>
      <c r="D40" s="1">
        <v>2</v>
      </c>
      <c r="E40" s="1">
        <v>75</v>
      </c>
      <c r="F40" s="3">
        <v>843</v>
      </c>
      <c r="G40" s="2">
        <f>(tblCustomers4[[#This Row],[Income]] - AVERAGE(tblCustomers[Income]))/_xlfn.STDEV.S(tblCustomers[Income])</f>
        <v>1.3382916078049767</v>
      </c>
      <c r="H40" s="2">
        <f>(tblCustomers4[[#This Row],[Limit]] - AVERAGE(tblCustomers[Limit]))/_xlfn.STDEV.S(tblCustomers[Limit])</f>
        <v>1.2777928570319463</v>
      </c>
      <c r="I40" s="2">
        <f>(tblCustomers4[[#This Row],[Rating]] - AVERAGE(tblCustomers[Rating]))/_xlfn.STDEV.S(tblCustomers[Rating])</f>
        <v>1.1572854565590511</v>
      </c>
    </row>
    <row r="41" spans="1:9" x14ac:dyDescent="0.2">
      <c r="A41" s="2">
        <v>83.869</v>
      </c>
      <c r="B41" s="3">
        <v>7667</v>
      </c>
      <c r="C41" s="1">
        <v>554</v>
      </c>
      <c r="D41" s="1">
        <v>2</v>
      </c>
      <c r="E41" s="1">
        <v>83</v>
      </c>
      <c r="F41" s="3">
        <v>930</v>
      </c>
      <c r="G41" s="2">
        <f>(tblCustomers4[[#This Row],[Income]] - AVERAGE(tblCustomers[Income]))/_xlfn.STDEV.S(tblCustomers[Income])</f>
        <v>1.0966353262266997</v>
      </c>
      <c r="H41" s="2">
        <f>(tblCustomers4[[#This Row],[Limit]] - AVERAGE(tblCustomers[Limit]))/_xlfn.STDEV.S(tblCustomers[Limit])</f>
        <v>1.2699945687609164</v>
      </c>
      <c r="I41" s="2">
        <f>(tblCustomers4[[#This Row],[Rating]] - AVERAGE(tblCustomers[Rating]))/_xlfn.STDEV.S(tblCustomers[Rating])</f>
        <v>1.2865477660149933</v>
      </c>
    </row>
    <row r="42" spans="1:9" x14ac:dyDescent="0.2">
      <c r="A42" s="2">
        <v>113.65900000000001</v>
      </c>
      <c r="B42" s="3">
        <v>7659</v>
      </c>
      <c r="C42" s="1">
        <v>538</v>
      </c>
      <c r="D42" s="1">
        <v>2</v>
      </c>
      <c r="E42" s="1">
        <v>66</v>
      </c>
      <c r="F42" s="3">
        <v>1155</v>
      </c>
      <c r="G42" s="2">
        <f>(tblCustomers4[[#This Row],[Income]] - AVERAGE(tblCustomers[Income]))/_xlfn.STDEV.S(tblCustomers[Income])</f>
        <v>1.9418790303733331</v>
      </c>
      <c r="H42" s="2">
        <f>(tblCustomers4[[#This Row],[Limit]] - AVERAGE(tblCustomers[Limit]))/_xlfn.STDEV.S(tblCustomers[Limit])</f>
        <v>1.2665286628626811</v>
      </c>
      <c r="I42" s="2">
        <f>(tblCustomers4[[#This Row],[Rating]] - AVERAGE(tblCustomers[Rating]))/_xlfn.STDEV.S(tblCustomers[Rating])</f>
        <v>1.1831379184502395</v>
      </c>
    </row>
    <row r="43" spans="1:9" x14ac:dyDescent="0.2">
      <c r="A43" s="2">
        <v>68.712999999999994</v>
      </c>
      <c r="B43" s="3">
        <v>7582</v>
      </c>
      <c r="C43" s="1">
        <v>531</v>
      </c>
      <c r="D43" s="1">
        <v>2</v>
      </c>
      <c r="E43" s="1">
        <v>56</v>
      </c>
      <c r="F43" s="3">
        <v>1587</v>
      </c>
      <c r="G43" s="2">
        <f>(tblCustomers4[[#This Row],[Income]] - AVERAGE(tblCustomers[Income]))/_xlfn.STDEV.S(tblCustomers[Income])</f>
        <v>0.66660801571826112</v>
      </c>
      <c r="H43" s="2">
        <f>(tblCustomers4[[#This Row],[Limit]] - AVERAGE(tblCustomers[Limit]))/_xlfn.STDEV.S(tblCustomers[Limit])</f>
        <v>1.2331693185921651</v>
      </c>
      <c r="I43" s="2">
        <f>(tblCustomers4[[#This Row],[Rating]] - AVERAGE(tblCustomers[Rating]))/_xlfn.STDEV.S(tblCustomers[Rating])</f>
        <v>1.1378961101406597</v>
      </c>
    </row>
    <row r="44" spans="1:9" x14ac:dyDescent="0.2">
      <c r="A44" s="2">
        <v>94.192999999999998</v>
      </c>
      <c r="B44" s="3">
        <v>7576</v>
      </c>
      <c r="C44" s="1">
        <v>527</v>
      </c>
      <c r="D44" s="1">
        <v>2</v>
      </c>
      <c r="E44" s="1">
        <v>44</v>
      </c>
      <c r="F44" s="3">
        <v>846</v>
      </c>
      <c r="G44" s="2">
        <f>(tblCustomers4[[#This Row],[Income]] - AVERAGE(tblCustomers[Income]))/_xlfn.STDEV.S(tblCustomers[Income])</f>
        <v>1.3895623487715081</v>
      </c>
      <c r="H44" s="2">
        <f>(tblCustomers4[[#This Row],[Limit]] - AVERAGE(tblCustomers[Limit]))/_xlfn.STDEV.S(tblCustomers[Limit])</f>
        <v>1.2305698891684884</v>
      </c>
      <c r="I44" s="2">
        <f>(tblCustomers4[[#This Row],[Rating]] - AVERAGE(tblCustomers[Rating]))/_xlfn.STDEV.S(tblCustomers[Rating])</f>
        <v>1.1120436482494713</v>
      </c>
    </row>
    <row r="45" spans="1:9" x14ac:dyDescent="0.2">
      <c r="A45" s="2">
        <v>77.38</v>
      </c>
      <c r="B45" s="3">
        <v>7569</v>
      </c>
      <c r="C45" s="1">
        <v>564</v>
      </c>
      <c r="D45" s="1">
        <v>3</v>
      </c>
      <c r="E45" s="1">
        <v>50</v>
      </c>
      <c r="F45" s="3">
        <v>997</v>
      </c>
      <c r="G45" s="2">
        <f>(tblCustomers4[[#This Row],[Income]] - AVERAGE(tblCustomers[Income]))/_xlfn.STDEV.S(tblCustomers[Income])</f>
        <v>0.91252030789143579</v>
      </c>
      <c r="H45" s="2">
        <f>(tblCustomers4[[#This Row],[Limit]] - AVERAGE(tblCustomers[Limit]))/_xlfn.STDEV.S(tblCustomers[Limit])</f>
        <v>1.2275372215075324</v>
      </c>
      <c r="I45" s="2">
        <f>(tblCustomers4[[#This Row],[Rating]] - AVERAGE(tblCustomers[Rating]))/_xlfn.STDEV.S(tblCustomers[Rating])</f>
        <v>1.3511789207429645</v>
      </c>
    </row>
    <row r="46" spans="1:9" x14ac:dyDescent="0.2">
      <c r="A46" s="2">
        <v>69.942999999999998</v>
      </c>
      <c r="B46" s="3">
        <v>7555</v>
      </c>
      <c r="C46" s="1">
        <v>547</v>
      </c>
      <c r="D46" s="1">
        <v>3</v>
      </c>
      <c r="E46" s="1">
        <v>76</v>
      </c>
      <c r="F46" s="3">
        <v>1058</v>
      </c>
      <c r="G46" s="2">
        <f>(tblCustomers4[[#This Row],[Income]] - AVERAGE(tblCustomers[Income]))/_xlfn.STDEV.S(tblCustomers[Income])</f>
        <v>0.70150730259642025</v>
      </c>
      <c r="H46" s="2">
        <f>(tblCustomers4[[#This Row],[Limit]] - AVERAGE(tblCustomers[Limit]))/_xlfn.STDEV.S(tblCustomers[Limit])</f>
        <v>1.2214718861856206</v>
      </c>
      <c r="I46" s="2">
        <f>(tblCustomers4[[#This Row],[Rating]] - AVERAGE(tblCustomers[Rating]))/_xlfn.STDEV.S(tblCustomers[Rating])</f>
        <v>1.2413059577054135</v>
      </c>
    </row>
    <row r="47" spans="1:9" x14ac:dyDescent="0.2">
      <c r="A47" s="2">
        <v>63.808999999999997</v>
      </c>
      <c r="B47" s="3">
        <v>7530</v>
      </c>
      <c r="C47" s="1">
        <v>515</v>
      </c>
      <c r="D47" s="1">
        <v>1</v>
      </c>
      <c r="E47" s="1">
        <v>56</v>
      </c>
      <c r="F47" s="3">
        <v>1086</v>
      </c>
      <c r="G47" s="2">
        <f>(tblCustomers4[[#This Row],[Income]] - AVERAGE(tblCustomers[Income]))/_xlfn.STDEV.S(tblCustomers[Income])</f>
        <v>0.52746484266908056</v>
      </c>
      <c r="H47" s="2">
        <f>(tblCustomers4[[#This Row],[Limit]] - AVERAGE(tblCustomers[Limit]))/_xlfn.STDEV.S(tblCustomers[Limit])</f>
        <v>1.2106409302536347</v>
      </c>
      <c r="I47" s="2">
        <f>(tblCustomers4[[#This Row],[Rating]] - AVERAGE(tblCustomers[Rating]))/_xlfn.STDEV.S(tblCustomers[Rating])</f>
        <v>1.0344862625759059</v>
      </c>
    </row>
    <row r="48" spans="1:9" x14ac:dyDescent="0.2">
      <c r="A48" s="2">
        <v>59.53</v>
      </c>
      <c r="B48" s="3">
        <v>7518</v>
      </c>
      <c r="C48" s="1">
        <v>543</v>
      </c>
      <c r="D48" s="1">
        <v>3</v>
      </c>
      <c r="E48" s="1">
        <v>52</v>
      </c>
      <c r="F48" s="3">
        <v>1176</v>
      </c>
      <c r="G48" s="2">
        <f>(tblCustomers4[[#This Row],[Income]] - AVERAGE(tblCustomers[Income]))/_xlfn.STDEV.S(tblCustomers[Income])</f>
        <v>0.40605504709863943</v>
      </c>
      <c r="H48" s="2">
        <f>(tblCustomers4[[#This Row],[Limit]] - AVERAGE(tblCustomers[Limit]))/_xlfn.STDEV.S(tblCustomers[Limit])</f>
        <v>1.2054420714062817</v>
      </c>
      <c r="I48" s="2">
        <f>(tblCustomers4[[#This Row],[Rating]] - AVERAGE(tblCustomers[Rating]))/_xlfn.STDEV.S(tblCustomers[Rating])</f>
        <v>1.2154534958142251</v>
      </c>
    </row>
    <row r="49" spans="1:9" x14ac:dyDescent="0.2">
      <c r="A49" s="2">
        <v>82.706000000000003</v>
      </c>
      <c r="B49" s="3">
        <v>7506</v>
      </c>
      <c r="C49" s="1">
        <v>536</v>
      </c>
      <c r="D49" s="1">
        <v>2</v>
      </c>
      <c r="E49" s="1">
        <v>64</v>
      </c>
      <c r="F49" s="3">
        <v>905</v>
      </c>
      <c r="G49" s="2">
        <f>(tblCustomers4[[#This Row],[Income]] - AVERAGE(tblCustomers[Income]))/_xlfn.STDEV.S(tblCustomers[Income])</f>
        <v>1.0636370574142615</v>
      </c>
      <c r="H49" s="2">
        <f>(tblCustomers4[[#This Row],[Limit]] - AVERAGE(tblCustomers[Limit]))/_xlfn.STDEV.S(tblCustomers[Limit])</f>
        <v>1.2002432125589286</v>
      </c>
      <c r="I49" s="2">
        <f>(tblCustomers4[[#This Row],[Rating]] - AVERAGE(tblCustomers[Rating]))/_xlfn.STDEV.S(tblCustomers[Rating])</f>
        <v>1.1702116875046453</v>
      </c>
    </row>
    <row r="50" spans="1:9" x14ac:dyDescent="0.2">
      <c r="A50" s="2">
        <v>58.026000000000003</v>
      </c>
      <c r="B50" s="3">
        <v>7499</v>
      </c>
      <c r="C50" s="1">
        <v>560</v>
      </c>
      <c r="D50" s="1">
        <v>5</v>
      </c>
      <c r="E50" s="1">
        <v>67</v>
      </c>
      <c r="F50" s="3">
        <v>1237</v>
      </c>
      <c r="G50" s="2">
        <f>(tblCustomers4[[#This Row],[Income]] - AVERAGE(tblCustomers[Income]))/_xlfn.STDEV.S(tblCustomers[Income])</f>
        <v>0.36338144753380103</v>
      </c>
      <c r="H50" s="2">
        <f>(tblCustomers4[[#This Row],[Limit]] - AVERAGE(tblCustomers[Limit]))/_xlfn.STDEV.S(tblCustomers[Limit])</f>
        <v>1.1972105448979726</v>
      </c>
      <c r="I50" s="2">
        <f>(tblCustomers4[[#This Row],[Rating]] - AVERAGE(tblCustomers[Rating]))/_xlfn.STDEV.S(tblCustomers[Rating])</f>
        <v>1.3253264588517761</v>
      </c>
    </row>
    <row r="51" spans="1:9" x14ac:dyDescent="0.2">
      <c r="A51" s="2">
        <v>103.893</v>
      </c>
      <c r="B51" s="3">
        <v>7416</v>
      </c>
      <c r="C51" s="1">
        <v>549</v>
      </c>
      <c r="D51" s="1">
        <v>3</v>
      </c>
      <c r="E51" s="1">
        <v>84</v>
      </c>
      <c r="F51" s="3">
        <v>669</v>
      </c>
      <c r="G51" s="2">
        <f>(tblCustomers4[[#This Row],[Income]] - AVERAGE(tblCustomers[Income]))/_xlfn.STDEV.S(tblCustomers[Income])</f>
        <v>1.6647843672415432</v>
      </c>
      <c r="H51" s="2">
        <f>(tblCustomers4[[#This Row],[Limit]] - AVERAGE(tblCustomers[Limit]))/_xlfn.STDEV.S(tblCustomers[Limit])</f>
        <v>1.16125177120378</v>
      </c>
      <c r="I51" s="2">
        <f>(tblCustomers4[[#This Row],[Rating]] - AVERAGE(tblCustomers[Rating]))/_xlfn.STDEV.S(tblCustomers[Rating])</f>
        <v>1.2542321886510077</v>
      </c>
    </row>
    <row r="52" spans="1:9" x14ac:dyDescent="0.2">
      <c r="A52" s="2">
        <v>58.780999999999999</v>
      </c>
      <c r="B52" s="3">
        <v>7402</v>
      </c>
      <c r="C52" s="1">
        <v>538</v>
      </c>
      <c r="D52" s="1">
        <v>2</v>
      </c>
      <c r="E52" s="1">
        <v>81</v>
      </c>
      <c r="F52" s="3">
        <v>1103</v>
      </c>
      <c r="G52" s="2">
        <f>(tblCustomers4[[#This Row],[Income]] - AVERAGE(tblCustomers[Income]))/_xlfn.STDEV.S(tblCustomers[Income])</f>
        <v>0.38480336752811811</v>
      </c>
      <c r="H52" s="2">
        <f>(tblCustomers4[[#This Row],[Limit]] - AVERAGE(tblCustomers[Limit]))/_xlfn.STDEV.S(tblCustomers[Limit])</f>
        <v>1.155186435881868</v>
      </c>
      <c r="I52" s="2">
        <f>(tblCustomers4[[#This Row],[Rating]] - AVERAGE(tblCustomers[Rating]))/_xlfn.STDEV.S(tblCustomers[Rating])</f>
        <v>1.1831379184502395</v>
      </c>
    </row>
    <row r="53" spans="1:9" x14ac:dyDescent="0.2">
      <c r="A53" s="2">
        <v>93.039000000000001</v>
      </c>
      <c r="B53" s="3">
        <v>7398</v>
      </c>
      <c r="C53" s="1">
        <v>517</v>
      </c>
      <c r="D53" s="1">
        <v>1</v>
      </c>
      <c r="E53" s="1">
        <v>67</v>
      </c>
      <c r="F53" s="3">
        <v>749</v>
      </c>
      <c r="G53" s="2">
        <f>(tblCustomers4[[#This Row],[Income]] - AVERAGE(tblCustomers[Income]))/_xlfn.STDEV.S(tblCustomers[Income])</f>
        <v>1.3568194405947638</v>
      </c>
      <c r="H53" s="2">
        <f>(tblCustomers4[[#This Row],[Limit]] - AVERAGE(tblCustomers[Limit]))/_xlfn.STDEV.S(tblCustomers[Limit])</f>
        <v>1.1534534829327503</v>
      </c>
      <c r="I53" s="2">
        <f>(tblCustomers4[[#This Row],[Rating]] - AVERAGE(tblCustomers[Rating]))/_xlfn.STDEV.S(tblCustomers[Rating])</f>
        <v>1.0474124935215001</v>
      </c>
    </row>
    <row r="54" spans="1:9" x14ac:dyDescent="0.2">
      <c r="A54" s="2">
        <v>73.914000000000001</v>
      </c>
      <c r="B54" s="3">
        <v>7333</v>
      </c>
      <c r="C54" s="1">
        <v>529</v>
      </c>
      <c r="D54" s="1">
        <v>6</v>
      </c>
      <c r="E54" s="1">
        <v>67</v>
      </c>
      <c r="F54" s="3">
        <v>1048</v>
      </c>
      <c r="G54" s="2">
        <f>(tblCustomers4[[#This Row],[Income]] - AVERAGE(tblCustomers[Income]))/_xlfn.STDEV.S(tblCustomers[Income])</f>
        <v>0.8141780897453389</v>
      </c>
      <c r="H54" s="2">
        <f>(tblCustomers4[[#This Row],[Limit]] - AVERAGE(tblCustomers[Limit]))/_xlfn.STDEV.S(tblCustomers[Limit])</f>
        <v>1.1252929975095873</v>
      </c>
      <c r="I54" s="2">
        <f>(tblCustomers4[[#This Row],[Rating]] - AVERAGE(tblCustomers[Rating]))/_xlfn.STDEV.S(tblCustomers[Rating])</f>
        <v>1.1249698791950655</v>
      </c>
    </row>
    <row r="55" spans="1:9" x14ac:dyDescent="0.2">
      <c r="A55" s="2">
        <v>52.179000000000002</v>
      </c>
      <c r="B55" s="3">
        <v>7306</v>
      </c>
      <c r="C55" s="1">
        <v>522</v>
      </c>
      <c r="D55" s="1">
        <v>2</v>
      </c>
      <c r="E55" s="1">
        <v>57</v>
      </c>
      <c r="F55" s="3">
        <v>1142</v>
      </c>
      <c r="G55" s="2">
        <f>(tblCustomers4[[#This Row],[Income]] - AVERAGE(tblCustomers[Income]))/_xlfn.STDEV.S(tblCustomers[Income])</f>
        <v>0.19748215454469842</v>
      </c>
      <c r="H55" s="2">
        <f>(tblCustomers4[[#This Row],[Limit]] - AVERAGE(tblCustomers[Limit]))/_xlfn.STDEV.S(tblCustomers[Limit])</f>
        <v>1.1135955651030429</v>
      </c>
      <c r="I55" s="2">
        <f>(tblCustomers4[[#This Row],[Rating]] - AVERAGE(tblCustomers[Rating]))/_xlfn.STDEV.S(tblCustomers[Rating])</f>
        <v>1.0797280708854857</v>
      </c>
    </row>
    <row r="56" spans="1:9" x14ac:dyDescent="0.2">
      <c r="A56" s="2">
        <v>87.625</v>
      </c>
      <c r="B56" s="3">
        <v>7167</v>
      </c>
      <c r="C56" s="1">
        <v>515</v>
      </c>
      <c r="D56" s="1">
        <v>2</v>
      </c>
      <c r="E56" s="1">
        <v>46</v>
      </c>
      <c r="F56" s="3">
        <v>767</v>
      </c>
      <c r="G56" s="2">
        <f>(tblCustomers4[[#This Row],[Income]] - AVERAGE(tblCustomers[Income]))/_xlfn.STDEV.S(tblCustomers[Income])</f>
        <v>1.2032058315229317</v>
      </c>
      <c r="H56" s="2">
        <f>(tblCustomers4[[#This Row],[Limit]] - AVERAGE(tblCustomers[Limit]))/_xlfn.STDEV.S(tblCustomers[Limit])</f>
        <v>1.0533754501212023</v>
      </c>
      <c r="I56" s="2">
        <f>(tblCustomers4[[#This Row],[Rating]] - AVERAGE(tblCustomers[Rating]))/_xlfn.STDEV.S(tblCustomers[Rating])</f>
        <v>1.0344862625759059</v>
      </c>
    </row>
    <row r="57" spans="1:9" x14ac:dyDescent="0.2">
      <c r="A57" s="2">
        <v>104.483</v>
      </c>
      <c r="B57" s="3">
        <v>7140</v>
      </c>
      <c r="C57" s="1">
        <v>507</v>
      </c>
      <c r="D57" s="1">
        <v>2</v>
      </c>
      <c r="E57" s="1">
        <v>41</v>
      </c>
      <c r="F57" s="3">
        <v>583</v>
      </c>
      <c r="G57" s="2">
        <f>(tblCustomers4[[#This Row],[Income]] - AVERAGE(tblCustomers[Income]))/_xlfn.STDEV.S(tblCustomers[Income])</f>
        <v>1.6815246755814732</v>
      </c>
      <c r="H57" s="2">
        <f>(tblCustomers4[[#This Row],[Limit]] - AVERAGE(tblCustomers[Limit]))/_xlfn.STDEV.S(tblCustomers[Limit])</f>
        <v>1.0416780177146576</v>
      </c>
      <c r="I57" s="2">
        <f>(tblCustomers4[[#This Row],[Rating]] - AVERAGE(tblCustomers[Rating]))/_xlfn.STDEV.S(tblCustomers[Rating])</f>
        <v>0.98278133879352902</v>
      </c>
    </row>
    <row r="58" spans="1:9" x14ac:dyDescent="0.2">
      <c r="A58" s="2">
        <v>71.408000000000001</v>
      </c>
      <c r="B58" s="3">
        <v>7114</v>
      </c>
      <c r="C58" s="1">
        <v>512</v>
      </c>
      <c r="D58" s="1">
        <v>2</v>
      </c>
      <c r="E58" s="1">
        <v>87</v>
      </c>
      <c r="F58" s="3">
        <v>872</v>
      </c>
      <c r="G58" s="2">
        <f>(tblCustomers4[[#This Row],[Income]] - AVERAGE(tblCustomers[Income]))/_xlfn.STDEV.S(tblCustomers[Income])</f>
        <v>0.74307433940658552</v>
      </c>
      <c r="H58" s="2">
        <f>(tblCustomers4[[#This Row],[Limit]] - AVERAGE(tblCustomers[Limit]))/_xlfn.STDEV.S(tblCustomers[Limit])</f>
        <v>1.0304138235453926</v>
      </c>
      <c r="I58" s="2">
        <f>(tblCustomers4[[#This Row],[Rating]] - AVERAGE(tblCustomers[Rating]))/_xlfn.STDEV.S(tblCustomers[Rating])</f>
        <v>1.0150969161575147</v>
      </c>
    </row>
    <row r="59" spans="1:9" x14ac:dyDescent="0.2">
      <c r="A59" s="2">
        <v>83.947999999999993</v>
      </c>
      <c r="B59" s="3">
        <v>7100</v>
      </c>
      <c r="C59" s="1">
        <v>503</v>
      </c>
      <c r="D59" s="1">
        <v>2</v>
      </c>
      <c r="E59" s="1">
        <v>44</v>
      </c>
      <c r="F59" s="3">
        <v>806</v>
      </c>
      <c r="G59" s="2">
        <f>(tblCustomers4[[#This Row],[Income]] - AVERAGE(tblCustomers[Income]))/_xlfn.STDEV.S(tblCustomers[Income])</f>
        <v>1.0988768251400121</v>
      </c>
      <c r="H59" s="2">
        <f>(tblCustomers4[[#This Row],[Limit]] - AVERAGE(tblCustomers[Limit]))/_xlfn.STDEV.S(tblCustomers[Limit])</f>
        <v>1.0243484882234806</v>
      </c>
      <c r="I59" s="2">
        <f>(tblCustomers4[[#This Row],[Rating]] - AVERAGE(tblCustomers[Rating]))/_xlfn.STDEV.S(tblCustomers[Rating])</f>
        <v>0.95692887690234063</v>
      </c>
    </row>
    <row r="60" spans="1:9" x14ac:dyDescent="0.2">
      <c r="A60" s="2">
        <v>104.593</v>
      </c>
      <c r="B60" s="3">
        <v>7075</v>
      </c>
      <c r="C60" s="1">
        <v>514</v>
      </c>
      <c r="D60" s="1">
        <v>4</v>
      </c>
      <c r="E60" s="1">
        <v>71</v>
      </c>
      <c r="F60" s="3">
        <v>580</v>
      </c>
      <c r="G60" s="2">
        <f>(tblCustomers4[[#This Row],[Income]] - AVERAGE(tblCustomers[Income]))/_xlfn.STDEV.S(tblCustomers[Income])</f>
        <v>1.6846457500177314</v>
      </c>
      <c r="H60" s="2">
        <f>(tblCustomers4[[#This Row],[Limit]] - AVERAGE(tblCustomers[Limit]))/_xlfn.STDEV.S(tblCustomers[Limit])</f>
        <v>1.0135175322914949</v>
      </c>
      <c r="I60" s="2">
        <f>(tblCustomers4[[#This Row],[Rating]] - AVERAGE(tblCustomers[Rating]))/_xlfn.STDEV.S(tblCustomers[Rating])</f>
        <v>1.0280231471031089</v>
      </c>
    </row>
    <row r="61" spans="1:9" x14ac:dyDescent="0.2">
      <c r="A61" s="2">
        <v>62.601999999999997</v>
      </c>
      <c r="B61" s="3">
        <v>7056</v>
      </c>
      <c r="C61" s="1">
        <v>481</v>
      </c>
      <c r="D61" s="1">
        <v>1</v>
      </c>
      <c r="E61" s="1">
        <v>84</v>
      </c>
      <c r="F61" s="3">
        <v>904</v>
      </c>
      <c r="G61" s="2">
        <f>(tblCustomers4[[#This Row],[Income]] - AVERAGE(tblCustomers[Income]))/_xlfn.STDEV.S(tblCustomers[Income])</f>
        <v>0.49321814408213904</v>
      </c>
      <c r="H61" s="2">
        <f>(tblCustomers4[[#This Row],[Limit]] - AVERAGE(tblCustomers[Limit]))/_xlfn.STDEV.S(tblCustomers[Limit])</f>
        <v>1.0052860057831856</v>
      </c>
      <c r="I61" s="2">
        <f>(tblCustomers4[[#This Row],[Rating]] - AVERAGE(tblCustomers[Rating]))/_xlfn.STDEV.S(tblCustomers[Rating])</f>
        <v>0.81474033650080413</v>
      </c>
    </row>
    <row r="62" spans="1:9" x14ac:dyDescent="0.2">
      <c r="A62" s="2">
        <v>75.257000000000005</v>
      </c>
      <c r="B62" s="3">
        <v>7010</v>
      </c>
      <c r="C62" s="1">
        <v>494</v>
      </c>
      <c r="D62" s="1">
        <v>3</v>
      </c>
      <c r="E62" s="1">
        <v>34</v>
      </c>
      <c r="F62" s="3">
        <v>885</v>
      </c>
      <c r="G62" s="2">
        <f>(tblCustomers4[[#This Row],[Income]] - AVERAGE(tblCustomers[Income]))/_xlfn.STDEV.S(tblCustomers[Income])</f>
        <v>0.85228357127165411</v>
      </c>
      <c r="H62" s="2">
        <f>(tblCustomers4[[#This Row],[Limit]] - AVERAGE(tblCustomers[Limit]))/_xlfn.STDEV.S(tblCustomers[Limit])</f>
        <v>0.98535704686833203</v>
      </c>
      <c r="I62" s="2">
        <f>(tblCustomers4[[#This Row],[Rating]] - AVERAGE(tblCustomers[Rating]))/_xlfn.STDEV.S(tblCustomers[Rating])</f>
        <v>0.89876083764716663</v>
      </c>
    </row>
    <row r="63" spans="1:9" x14ac:dyDescent="0.2">
      <c r="A63" s="2">
        <v>128.04</v>
      </c>
      <c r="B63" s="3">
        <v>6982</v>
      </c>
      <c r="C63" s="1">
        <v>518</v>
      </c>
      <c r="D63" s="1">
        <v>2</v>
      </c>
      <c r="E63" s="1">
        <v>78</v>
      </c>
      <c r="F63" s="3">
        <v>250</v>
      </c>
      <c r="G63" s="2">
        <f>(tblCustomers4[[#This Row],[Income]] - AVERAGE(tblCustomers[Income]))/_xlfn.STDEV.S(tblCustomers[Income])</f>
        <v>2.3499169528081345</v>
      </c>
      <c r="H63" s="2">
        <f>(tblCustomers4[[#This Row],[Limit]] - AVERAGE(tblCustomers[Limit]))/_xlfn.STDEV.S(tblCustomers[Limit])</f>
        <v>0.97322637622450803</v>
      </c>
      <c r="I63" s="2">
        <f>(tblCustomers4[[#This Row],[Rating]] - AVERAGE(tblCustomers[Rating]))/_xlfn.STDEV.S(tblCustomers[Rating])</f>
        <v>1.0538756089942973</v>
      </c>
    </row>
    <row r="64" spans="1:9" x14ac:dyDescent="0.2">
      <c r="A64" s="2">
        <v>43.682000000000002</v>
      </c>
      <c r="B64" s="3">
        <v>6922</v>
      </c>
      <c r="C64" s="1">
        <v>511</v>
      </c>
      <c r="D64" s="1">
        <v>1</v>
      </c>
      <c r="E64" s="1">
        <v>49</v>
      </c>
      <c r="F64" s="3">
        <v>1081</v>
      </c>
      <c r="G64" s="2">
        <f>(tblCustomers4[[#This Row],[Income]] - AVERAGE(tblCustomers[Income]))/_xlfn.STDEV.S(tblCustomers[Income])</f>
        <v>-4.3606658954259123E-2</v>
      </c>
      <c r="H64" s="2">
        <f>(tblCustomers4[[#This Row],[Limit]] - AVERAGE(tblCustomers[Limit]))/_xlfn.STDEV.S(tblCustomers[Limit])</f>
        <v>0.94723208198774234</v>
      </c>
      <c r="I64" s="2">
        <f>(tblCustomers4[[#This Row],[Rating]] - AVERAGE(tblCustomers[Rating]))/_xlfn.STDEV.S(tblCustomers[Rating])</f>
        <v>1.0086338006847175</v>
      </c>
    </row>
    <row r="65" spans="1:9" x14ac:dyDescent="0.2">
      <c r="A65" s="2">
        <v>59.878999999999998</v>
      </c>
      <c r="B65" s="3">
        <v>6906</v>
      </c>
      <c r="C65" s="1">
        <v>527</v>
      </c>
      <c r="D65" s="1">
        <v>6</v>
      </c>
      <c r="E65" s="1">
        <v>78</v>
      </c>
      <c r="F65" s="3">
        <v>1032</v>
      </c>
      <c r="G65" s="2">
        <f>(tblCustomers4[[#This Row],[Income]] - AVERAGE(tblCustomers[Income]))/_xlfn.STDEV.S(tblCustomers[Income])</f>
        <v>0.41595736508276737</v>
      </c>
      <c r="H65" s="2">
        <f>(tblCustomers4[[#This Row],[Limit]] - AVERAGE(tblCustomers[Limit]))/_xlfn.STDEV.S(tblCustomers[Limit])</f>
        <v>0.94030027019127149</v>
      </c>
      <c r="I65" s="2">
        <f>(tblCustomers4[[#This Row],[Rating]] - AVERAGE(tblCustomers[Rating]))/_xlfn.STDEV.S(tblCustomers[Rating])</f>
        <v>1.1120436482494713</v>
      </c>
    </row>
    <row r="66" spans="1:9" x14ac:dyDescent="0.2">
      <c r="A66" s="2">
        <v>37.878</v>
      </c>
      <c r="B66" s="3">
        <v>6827</v>
      </c>
      <c r="C66" s="1">
        <v>482</v>
      </c>
      <c r="D66" s="1">
        <v>2</v>
      </c>
      <c r="E66" s="1">
        <v>80</v>
      </c>
      <c r="F66" s="3">
        <v>1129</v>
      </c>
      <c r="G66" s="2">
        <f>(tblCustomers4[[#This Row],[Income]] - AVERAGE(tblCustomers[Income]))/_xlfn.STDEV.S(tblCustomers[Income])</f>
        <v>-0.20828589557282451</v>
      </c>
      <c r="H66" s="2">
        <f>(tblCustomers4[[#This Row],[Limit]] - AVERAGE(tblCustomers[Limit]))/_xlfn.STDEV.S(tblCustomers[Limit])</f>
        <v>0.90607444944619664</v>
      </c>
      <c r="I66" s="2">
        <f>(tblCustomers4[[#This Row],[Rating]] - AVERAGE(tblCustomers[Rating]))/_xlfn.STDEV.S(tblCustomers[Rating])</f>
        <v>0.82120345197360123</v>
      </c>
    </row>
    <row r="67" spans="1:9" x14ac:dyDescent="0.2">
      <c r="A67" s="2">
        <v>49.502000000000002</v>
      </c>
      <c r="B67" s="3">
        <v>6819</v>
      </c>
      <c r="C67" s="1">
        <v>505</v>
      </c>
      <c r="D67" s="1">
        <v>4</v>
      </c>
      <c r="E67" s="1">
        <v>55</v>
      </c>
      <c r="F67" s="3">
        <v>1084</v>
      </c>
      <c r="G67" s="2">
        <f>(tblCustomers4[[#This Row],[Income]] - AVERAGE(tblCustomers[Income]))/_xlfn.STDEV.S(tblCustomers[Income])</f>
        <v>0.12152655212776194</v>
      </c>
      <c r="H67" s="2">
        <f>(tblCustomers4[[#This Row],[Limit]] - AVERAGE(tblCustomers[Limit]))/_xlfn.STDEV.S(tblCustomers[Limit])</f>
        <v>0.90260854354796116</v>
      </c>
      <c r="I67" s="2">
        <f>(tblCustomers4[[#This Row],[Rating]] - AVERAGE(tblCustomers[Rating]))/_xlfn.STDEV.S(tblCustomers[Rating])</f>
        <v>0.96985510784793483</v>
      </c>
    </row>
    <row r="68" spans="1:9" x14ac:dyDescent="0.2">
      <c r="A68" s="2">
        <v>71.061000000000007</v>
      </c>
      <c r="B68" s="3">
        <v>6819</v>
      </c>
      <c r="C68" s="1">
        <v>491</v>
      </c>
      <c r="D68" s="1">
        <v>3</v>
      </c>
      <c r="E68" s="1">
        <v>41</v>
      </c>
      <c r="F68" s="3">
        <v>1350</v>
      </c>
      <c r="G68" s="2">
        <f>(tblCustomers4[[#This Row],[Income]] - AVERAGE(tblCustomers[Income]))/_xlfn.STDEV.S(tblCustomers[Income])</f>
        <v>0.73322876823038952</v>
      </c>
      <c r="H68" s="2">
        <f>(tblCustomers4[[#This Row],[Limit]] - AVERAGE(tblCustomers[Limit]))/_xlfn.STDEV.S(tblCustomers[Limit])</f>
        <v>0.90260854354796116</v>
      </c>
      <c r="I68" s="2">
        <f>(tblCustomers4[[#This Row],[Rating]] - AVERAGE(tblCustomers[Rating]))/_xlfn.STDEV.S(tblCustomers[Rating])</f>
        <v>0.87937149122877523</v>
      </c>
    </row>
    <row r="69" spans="1:9" x14ac:dyDescent="0.2">
      <c r="A69" s="2">
        <v>68.206000000000003</v>
      </c>
      <c r="B69" s="3">
        <v>6784</v>
      </c>
      <c r="C69" s="1">
        <v>499</v>
      </c>
      <c r="D69" s="1">
        <v>5</v>
      </c>
      <c r="E69" s="1">
        <v>40</v>
      </c>
      <c r="F69" s="3">
        <v>1411</v>
      </c>
      <c r="G69" s="2">
        <f>(tblCustomers4[[#This Row],[Income]] - AVERAGE(tblCustomers[Income]))/_xlfn.STDEV.S(tblCustomers[Income])</f>
        <v>0.65222269990750803</v>
      </c>
      <c r="H69" s="2">
        <f>(tblCustomers4[[#This Row],[Limit]] - AVERAGE(tblCustomers[Limit]))/_xlfn.STDEV.S(tblCustomers[Limit])</f>
        <v>0.88744520524318116</v>
      </c>
      <c r="I69" s="2">
        <f>(tblCustomers4[[#This Row],[Rating]] - AVERAGE(tblCustomers[Rating]))/_xlfn.STDEV.S(tblCustomers[Rating])</f>
        <v>0.93107641501115213</v>
      </c>
    </row>
    <row r="70" spans="1:9" x14ac:dyDescent="0.2">
      <c r="A70" s="2">
        <v>91.876000000000005</v>
      </c>
      <c r="B70" s="3">
        <v>6754</v>
      </c>
      <c r="C70" s="1">
        <v>483</v>
      </c>
      <c r="D70" s="1">
        <v>2</v>
      </c>
      <c r="E70" s="1">
        <v>33</v>
      </c>
      <c r="F70" s="3">
        <v>605</v>
      </c>
      <c r="G70" s="2">
        <f>(tblCustomers4[[#This Row],[Income]] - AVERAGE(tblCustomers[Income]))/_xlfn.STDEV.S(tblCustomers[Income])</f>
        <v>1.3238211717823256</v>
      </c>
      <c r="H70" s="2">
        <f>(tblCustomers4[[#This Row],[Limit]] - AVERAGE(tblCustomers[Limit]))/_xlfn.STDEV.S(tblCustomers[Limit])</f>
        <v>0.87444805812479831</v>
      </c>
      <c r="I70" s="2">
        <f>(tblCustomers4[[#This Row],[Rating]] - AVERAGE(tblCustomers[Rating]))/_xlfn.STDEV.S(tblCustomers[Rating])</f>
        <v>0.82766656744639833</v>
      </c>
    </row>
    <row r="71" spans="1:9" x14ac:dyDescent="0.2">
      <c r="A71" s="2">
        <v>110.968</v>
      </c>
      <c r="B71" s="3">
        <v>6662</v>
      </c>
      <c r="C71" s="1">
        <v>468</v>
      </c>
      <c r="D71" s="1">
        <v>3</v>
      </c>
      <c r="E71" s="1">
        <v>45</v>
      </c>
      <c r="F71" s="3">
        <v>391</v>
      </c>
      <c r="G71" s="2">
        <f>(tblCustomers4[[#This Row],[Income]] - AVERAGE(tblCustomers[Income]))/_xlfn.STDEV.S(tblCustomers[Income])</f>
        <v>1.8655262003008728</v>
      </c>
      <c r="H71" s="2">
        <f>(tblCustomers4[[#This Row],[Limit]] - AVERAGE(tblCustomers[Limit]))/_xlfn.STDEV.S(tblCustomers[Limit])</f>
        <v>0.83459014029509093</v>
      </c>
      <c r="I71" s="2">
        <f>(tblCustomers4[[#This Row],[Rating]] - AVERAGE(tblCustomers[Rating]))/_xlfn.STDEV.S(tblCustomers[Rating])</f>
        <v>0.73071983535444163</v>
      </c>
    </row>
    <row r="72" spans="1:9" x14ac:dyDescent="0.2">
      <c r="A72" s="2">
        <v>49.165999999999997</v>
      </c>
      <c r="B72" s="3">
        <v>6662</v>
      </c>
      <c r="C72" s="1">
        <v>508</v>
      </c>
      <c r="D72" s="1">
        <v>3</v>
      </c>
      <c r="E72" s="1">
        <v>68</v>
      </c>
      <c r="F72" s="3">
        <v>984</v>
      </c>
      <c r="G72" s="2">
        <f>(tblCustomers4[[#This Row],[Income]] - AVERAGE(tblCustomers[Income]))/_xlfn.STDEV.S(tblCustomers[Income])</f>
        <v>0.1119930883951915</v>
      </c>
      <c r="H72" s="2">
        <f>(tblCustomers4[[#This Row],[Limit]] - AVERAGE(tblCustomers[Limit]))/_xlfn.STDEV.S(tblCustomers[Limit])</f>
        <v>0.83459014029509093</v>
      </c>
      <c r="I72" s="2">
        <f>(tblCustomers4[[#This Row],[Rating]] - AVERAGE(tblCustomers[Rating]))/_xlfn.STDEV.S(tblCustomers[Rating])</f>
        <v>0.98924445426632612</v>
      </c>
    </row>
    <row r="73" spans="1:9" x14ac:dyDescent="0.2">
      <c r="A73" s="2">
        <v>106.02500000000001</v>
      </c>
      <c r="B73" s="3">
        <v>6645</v>
      </c>
      <c r="C73" s="1">
        <v>483</v>
      </c>
      <c r="D73" s="1">
        <v>3</v>
      </c>
      <c r="E73" s="1">
        <v>82</v>
      </c>
      <c r="F73" s="3">
        <v>903</v>
      </c>
      <c r="G73" s="2">
        <f>(tblCustomers4[[#This Row],[Income]] - AVERAGE(tblCustomers[Income]))/_xlfn.STDEV.S(tblCustomers[Income])</f>
        <v>1.7252764644970191</v>
      </c>
      <c r="H73" s="2">
        <f>(tblCustomers4[[#This Row],[Limit]] - AVERAGE(tblCustomers[Limit]))/_xlfn.STDEV.S(tblCustomers[Limit])</f>
        <v>0.82722509026134061</v>
      </c>
      <c r="I73" s="2">
        <f>(tblCustomers4[[#This Row],[Rating]] - AVERAGE(tblCustomers[Rating]))/_xlfn.STDEV.S(tblCustomers[Rating])</f>
        <v>0.82766656744639833</v>
      </c>
    </row>
    <row r="74" spans="1:9" x14ac:dyDescent="0.2">
      <c r="A74" s="2">
        <v>46.006999999999998</v>
      </c>
      <c r="B74" s="3">
        <v>6637</v>
      </c>
      <c r="C74" s="1">
        <v>491</v>
      </c>
      <c r="D74" s="1">
        <v>4</v>
      </c>
      <c r="E74" s="1">
        <v>42</v>
      </c>
      <c r="F74" s="3">
        <v>1046</v>
      </c>
      <c r="G74" s="2">
        <f>(tblCustomers4[[#This Row],[Income]] - AVERAGE(tblCustomers[Income]))/_xlfn.STDEV.S(tblCustomers[Income])</f>
        <v>2.2361505266651229E-2</v>
      </c>
      <c r="H74" s="2">
        <f>(tblCustomers4[[#This Row],[Limit]] - AVERAGE(tblCustomers[Limit]))/_xlfn.STDEV.S(tblCustomers[Limit])</f>
        <v>0.82375918436310513</v>
      </c>
      <c r="I74" s="2">
        <f>(tblCustomers4[[#This Row],[Rating]] - AVERAGE(tblCustomers[Rating]))/_xlfn.STDEV.S(tblCustomers[Rating])</f>
        <v>0.87937149122877523</v>
      </c>
    </row>
    <row r="75" spans="1:9" x14ac:dyDescent="0.2">
      <c r="A75" s="2">
        <v>42.079000000000001</v>
      </c>
      <c r="B75" s="3">
        <v>6626</v>
      </c>
      <c r="C75" s="1">
        <v>479</v>
      </c>
      <c r="D75" s="1">
        <v>2</v>
      </c>
      <c r="E75" s="1">
        <v>44</v>
      </c>
      <c r="F75" s="3">
        <v>1048</v>
      </c>
      <c r="G75" s="2">
        <f>(tblCustomers4[[#This Row],[Income]] - AVERAGE(tblCustomers[Income]))/_xlfn.STDEV.S(tblCustomers[Income])</f>
        <v>-8.9089225511729916E-2</v>
      </c>
      <c r="H75" s="2">
        <f>(tblCustomers4[[#This Row],[Limit]] - AVERAGE(tblCustomers[Limit]))/_xlfn.STDEV.S(tblCustomers[Limit])</f>
        <v>0.81899356375303145</v>
      </c>
      <c r="I75" s="2">
        <f>(tblCustomers4[[#This Row],[Rating]] - AVERAGE(tblCustomers[Rating]))/_xlfn.STDEV.S(tblCustomers[Rating])</f>
        <v>0.80181410555520993</v>
      </c>
    </row>
    <row r="76" spans="1:9" x14ac:dyDescent="0.2">
      <c r="A76" s="2">
        <v>58.164999999999999</v>
      </c>
      <c r="B76" s="3">
        <v>6617</v>
      </c>
      <c r="C76" s="1">
        <v>460</v>
      </c>
      <c r="D76" s="1">
        <v>1</v>
      </c>
      <c r="E76" s="1">
        <v>56</v>
      </c>
      <c r="F76" s="3">
        <v>856</v>
      </c>
      <c r="G76" s="2">
        <f>(tblCustomers4[[#This Row],[Income]] - AVERAGE(tblCustomers[Income]))/_xlfn.STDEV.S(tblCustomers[Income])</f>
        <v>0.36732535068507255</v>
      </c>
      <c r="H76" s="2">
        <f>(tblCustomers4[[#This Row],[Limit]] - AVERAGE(tblCustomers[Limit]))/_xlfn.STDEV.S(tblCustomers[Limit])</f>
        <v>0.81509441961751661</v>
      </c>
      <c r="I76" s="2">
        <f>(tblCustomers4[[#This Row],[Rating]] - AVERAGE(tblCustomers[Rating]))/_xlfn.STDEV.S(tblCustomers[Rating])</f>
        <v>0.67901491157206473</v>
      </c>
    </row>
    <row r="77" spans="1:9" x14ac:dyDescent="0.2">
      <c r="A77" s="2">
        <v>73.326999999999998</v>
      </c>
      <c r="B77" s="3">
        <v>6555</v>
      </c>
      <c r="C77" s="1">
        <v>472</v>
      </c>
      <c r="D77" s="1">
        <v>2</v>
      </c>
      <c r="E77" s="1">
        <v>43</v>
      </c>
      <c r="F77" s="3">
        <v>721</v>
      </c>
      <c r="G77" s="2">
        <f>(tblCustomers4[[#This Row],[Income]] - AVERAGE(tblCustomers[Income]))/_xlfn.STDEV.S(tblCustomers[Income])</f>
        <v>0.79752290161730677</v>
      </c>
      <c r="H77" s="2">
        <f>(tblCustomers4[[#This Row],[Limit]] - AVERAGE(tblCustomers[Limit]))/_xlfn.STDEV.S(tblCustomers[Limit])</f>
        <v>0.78823364890619207</v>
      </c>
      <c r="I77" s="2">
        <f>(tblCustomers4[[#This Row],[Rating]] - AVERAGE(tblCustomers[Rating]))/_xlfn.STDEV.S(tblCustomers[Rating])</f>
        <v>0.75657229724563013</v>
      </c>
    </row>
    <row r="78" spans="1:9" x14ac:dyDescent="0.2">
      <c r="A78" s="2">
        <v>30.007000000000001</v>
      </c>
      <c r="B78" s="3">
        <v>6481</v>
      </c>
      <c r="C78" s="1">
        <v>462</v>
      </c>
      <c r="D78" s="1">
        <v>2</v>
      </c>
      <c r="E78" s="1">
        <v>69</v>
      </c>
      <c r="F78" s="3">
        <v>1093</v>
      </c>
      <c r="G78" s="2">
        <f>(tblCustomers4[[#This Row],[Income]] - AVERAGE(tblCustomers[Income]))/_xlfn.STDEV.S(tblCustomers[Income])</f>
        <v>-0.43161295818907663</v>
      </c>
      <c r="H78" s="2">
        <f>(tblCustomers4[[#This Row],[Limit]] - AVERAGE(tblCustomers[Limit]))/_xlfn.STDEV.S(tblCustomers[Limit])</f>
        <v>0.75617401934751438</v>
      </c>
      <c r="I78" s="2">
        <f>(tblCustomers4[[#This Row],[Rating]] - AVERAGE(tblCustomers[Rating]))/_xlfn.STDEV.S(tblCustomers[Rating])</f>
        <v>0.69194114251765892</v>
      </c>
    </row>
    <row r="79" spans="1:9" x14ac:dyDescent="0.2">
      <c r="A79" s="2">
        <v>62.412999999999997</v>
      </c>
      <c r="B79" s="3">
        <v>6457</v>
      </c>
      <c r="C79" s="1">
        <v>455</v>
      </c>
      <c r="D79" s="1">
        <v>2</v>
      </c>
      <c r="E79" s="1">
        <v>71</v>
      </c>
      <c r="F79" s="3">
        <v>762</v>
      </c>
      <c r="G79" s="2">
        <f>(tblCustomers4[[#This Row],[Income]] - AVERAGE(tblCustomers[Income]))/_xlfn.STDEV.S(tblCustomers[Income])</f>
        <v>0.4878555707325683</v>
      </c>
      <c r="H79" s="2">
        <f>(tblCustomers4[[#This Row],[Limit]] - AVERAGE(tblCustomers[Limit]))/_xlfn.STDEV.S(tblCustomers[Limit])</f>
        <v>0.74577630165280806</v>
      </c>
      <c r="I79" s="2">
        <f>(tblCustomers4[[#This Row],[Rating]] - AVERAGE(tblCustomers[Rating]))/_xlfn.STDEV.S(tblCustomers[Rating])</f>
        <v>0.64669933420807912</v>
      </c>
    </row>
    <row r="80" spans="1:9" x14ac:dyDescent="0.2">
      <c r="A80" s="2">
        <v>113.77200000000001</v>
      </c>
      <c r="B80" s="3">
        <v>6442</v>
      </c>
      <c r="C80" s="1">
        <v>489</v>
      </c>
      <c r="D80" s="1">
        <v>4</v>
      </c>
      <c r="E80" s="1">
        <v>69</v>
      </c>
      <c r="F80" s="3">
        <v>790</v>
      </c>
      <c r="G80" s="2">
        <f>(tblCustomers4[[#This Row],[Income]] - AVERAGE(tblCustomers[Income]))/_xlfn.STDEV.S(tblCustomers[Income])</f>
        <v>1.9450852250214892</v>
      </c>
      <c r="H80" s="2">
        <f>(tblCustomers4[[#This Row],[Limit]] - AVERAGE(tblCustomers[Limit]))/_xlfn.STDEV.S(tblCustomers[Limit])</f>
        <v>0.73927772809361658</v>
      </c>
      <c r="I80" s="2">
        <f>(tblCustomers4[[#This Row],[Rating]] - AVERAGE(tblCustomers[Rating]))/_xlfn.STDEV.S(tblCustomers[Rating])</f>
        <v>0.86644526028318103</v>
      </c>
    </row>
    <row r="81" spans="1:9" x14ac:dyDescent="0.2">
      <c r="A81" s="2">
        <v>58.929000000000002</v>
      </c>
      <c r="B81" s="3">
        <v>6420</v>
      </c>
      <c r="C81" s="1">
        <v>459</v>
      </c>
      <c r="D81" s="1">
        <v>2</v>
      </c>
      <c r="E81" s="1">
        <v>66</v>
      </c>
      <c r="F81" s="3">
        <v>789</v>
      </c>
      <c r="G81" s="2">
        <f>(tblCustomers4[[#This Row],[Income]] - AVERAGE(tblCustomers[Income]))/_xlfn.STDEV.S(tblCustomers[Income])</f>
        <v>0.38900263131508367</v>
      </c>
      <c r="H81" s="2">
        <f>(tblCustomers4[[#This Row],[Limit]] - AVERAGE(tblCustomers[Limit]))/_xlfn.STDEV.S(tblCustomers[Limit])</f>
        <v>0.72974648687346921</v>
      </c>
      <c r="I81" s="2">
        <f>(tblCustomers4[[#This Row],[Rating]] - AVERAGE(tblCustomers[Rating]))/_xlfn.STDEV.S(tblCustomers[Rating])</f>
        <v>0.67255179609926763</v>
      </c>
    </row>
    <row r="82" spans="1:9" x14ac:dyDescent="0.2">
      <c r="A82" s="2">
        <v>49.927</v>
      </c>
      <c r="B82" s="3">
        <v>6396</v>
      </c>
      <c r="C82" s="1">
        <v>485</v>
      </c>
      <c r="D82" s="1">
        <v>3</v>
      </c>
      <c r="E82" s="1">
        <v>75</v>
      </c>
      <c r="F82" s="3">
        <v>890</v>
      </c>
      <c r="G82" s="2">
        <f>(tblCustomers4[[#This Row],[Income]] - AVERAGE(tblCustomers[Income]))/_xlfn.STDEV.S(tblCustomers[Income])</f>
        <v>0.13358524881330464</v>
      </c>
      <c r="H82" s="2">
        <f>(tblCustomers4[[#This Row],[Limit]] - AVERAGE(tblCustomers[Limit]))/_xlfn.STDEV.S(tblCustomers[Limit])</f>
        <v>0.71934876917876289</v>
      </c>
      <c r="I82" s="2">
        <f>(tblCustomers4[[#This Row],[Rating]] - AVERAGE(tblCustomers[Rating]))/_xlfn.STDEV.S(tblCustomers[Rating])</f>
        <v>0.84059279839199252</v>
      </c>
    </row>
    <row r="83" spans="1:9" x14ac:dyDescent="0.2">
      <c r="A83" s="2">
        <v>69.251000000000005</v>
      </c>
      <c r="B83" s="3">
        <v>6386</v>
      </c>
      <c r="C83" s="1">
        <v>474</v>
      </c>
      <c r="D83" s="1">
        <v>4</v>
      </c>
      <c r="E83" s="1">
        <v>30</v>
      </c>
      <c r="F83" s="3">
        <v>768</v>
      </c>
      <c r="G83" s="2">
        <f>(tblCustomers4[[#This Row],[Income]] - AVERAGE(tblCustomers[Income]))/_xlfn.STDEV.S(tblCustomers[Income])</f>
        <v>0.68187290705196024</v>
      </c>
      <c r="H83" s="2">
        <f>(tblCustomers4[[#This Row],[Limit]] - AVERAGE(tblCustomers[Limit]))/_xlfn.STDEV.S(tblCustomers[Limit])</f>
        <v>0.71501638680596857</v>
      </c>
      <c r="I83" s="2">
        <f>(tblCustomers4[[#This Row],[Rating]] - AVERAGE(tblCustomers[Rating]))/_xlfn.STDEV.S(tblCustomers[Rating])</f>
        <v>0.76949852819122433</v>
      </c>
    </row>
    <row r="84" spans="1:9" x14ac:dyDescent="0.2">
      <c r="A84" s="2">
        <v>36.508000000000003</v>
      </c>
      <c r="B84" s="3">
        <v>6386</v>
      </c>
      <c r="C84" s="1">
        <v>469</v>
      </c>
      <c r="D84" s="1">
        <v>4</v>
      </c>
      <c r="E84" s="1">
        <v>79</v>
      </c>
      <c r="F84" s="3">
        <v>1048</v>
      </c>
      <c r="G84" s="2">
        <f>(tblCustomers4[[#This Row],[Income]] - AVERAGE(tblCustomers[Income]))/_xlfn.STDEV.S(tblCustomers[Income])</f>
        <v>-0.24715745900622113</v>
      </c>
      <c r="H84" s="2">
        <f>(tblCustomers4[[#This Row],[Limit]] - AVERAGE(tblCustomers[Limit]))/_xlfn.STDEV.S(tblCustomers[Limit])</f>
        <v>0.71501638680596857</v>
      </c>
      <c r="I84" s="2">
        <f>(tblCustomers4[[#This Row],[Rating]] - AVERAGE(tblCustomers[Rating]))/_xlfn.STDEV.S(tblCustomers[Rating])</f>
        <v>0.73718295082723873</v>
      </c>
    </row>
    <row r="85" spans="1:9" x14ac:dyDescent="0.2">
      <c r="A85" s="2">
        <v>49.57</v>
      </c>
      <c r="B85" s="3">
        <v>6384</v>
      </c>
      <c r="C85" s="1">
        <v>448</v>
      </c>
      <c r="D85" s="1">
        <v>1</v>
      </c>
      <c r="E85" s="1">
        <v>28</v>
      </c>
      <c r="F85" s="3">
        <v>891</v>
      </c>
      <c r="G85" s="2">
        <f>(tblCustomers4[[#This Row],[Income]] - AVERAGE(tblCustomers[Income]))/_xlfn.STDEV.S(tblCustomers[Income])</f>
        <v>0.12345594359744873</v>
      </c>
      <c r="H85" s="2">
        <f>(tblCustomers4[[#This Row],[Limit]] - AVERAGE(tblCustomers[Limit]))/_xlfn.STDEV.S(tblCustomers[Limit])</f>
        <v>0.71414991033140973</v>
      </c>
      <c r="I85" s="2">
        <f>(tblCustomers4[[#This Row],[Rating]] - AVERAGE(tblCustomers[Rating]))/_xlfn.STDEV.S(tblCustomers[Rating])</f>
        <v>0.60145752589849932</v>
      </c>
    </row>
    <row r="86" spans="1:9" x14ac:dyDescent="0.2">
      <c r="A86" s="2">
        <v>37.347999999999999</v>
      </c>
      <c r="B86" s="3">
        <v>6378</v>
      </c>
      <c r="C86" s="1">
        <v>458</v>
      </c>
      <c r="D86" s="1">
        <v>1</v>
      </c>
      <c r="E86" s="1">
        <v>72</v>
      </c>
      <c r="F86" s="3">
        <v>968</v>
      </c>
      <c r="G86" s="2">
        <f>(tblCustomers4[[#This Row],[Income]] - AVERAGE(tblCustomers[Income]))/_xlfn.STDEV.S(tblCustomers[Income])</f>
        <v>-0.22332379967479554</v>
      </c>
      <c r="H86" s="2">
        <f>(tblCustomers4[[#This Row],[Limit]] - AVERAGE(tblCustomers[Limit]))/_xlfn.STDEV.S(tblCustomers[Limit])</f>
        <v>0.71155048090773321</v>
      </c>
      <c r="I86" s="2">
        <f>(tblCustomers4[[#This Row],[Rating]] - AVERAGE(tblCustomers[Rating]))/_xlfn.STDEV.S(tblCustomers[Rating])</f>
        <v>0.66608868062647053</v>
      </c>
    </row>
    <row r="87" spans="1:9" x14ac:dyDescent="0.2">
      <c r="A87" s="2">
        <v>31.861000000000001</v>
      </c>
      <c r="B87" s="3">
        <v>6375</v>
      </c>
      <c r="C87" s="1">
        <v>469</v>
      </c>
      <c r="D87" s="1">
        <v>3</v>
      </c>
      <c r="E87" s="1">
        <v>25</v>
      </c>
      <c r="F87" s="3">
        <v>1120</v>
      </c>
      <c r="G87" s="2">
        <f>(tblCustomers4[[#This Row],[Income]] - AVERAGE(tblCustomers[Income]))/_xlfn.STDEV.S(tblCustomers[Income])</f>
        <v>-0.37900866723614418</v>
      </c>
      <c r="H87" s="2">
        <f>(tblCustomers4[[#This Row],[Limit]] - AVERAGE(tblCustomers[Limit]))/_xlfn.STDEV.S(tblCustomers[Limit])</f>
        <v>0.71025076619589489</v>
      </c>
      <c r="I87" s="2">
        <f>(tblCustomers4[[#This Row],[Rating]] - AVERAGE(tblCustomers[Rating]))/_xlfn.STDEV.S(tblCustomers[Rating])</f>
        <v>0.73718295082723873</v>
      </c>
    </row>
    <row r="88" spans="1:9" x14ac:dyDescent="0.2">
      <c r="A88" s="2">
        <v>55.366999999999997</v>
      </c>
      <c r="B88" s="3">
        <v>6340</v>
      </c>
      <c r="C88" s="1">
        <v>448</v>
      </c>
      <c r="D88" s="1">
        <v>1</v>
      </c>
      <c r="E88" s="1">
        <v>33</v>
      </c>
      <c r="F88" s="3">
        <v>815</v>
      </c>
      <c r="G88" s="2">
        <f>(tblCustomers4[[#This Row],[Income]] - AVERAGE(tblCustomers[Income]))/_xlfn.STDEV.S(tblCustomers[Income])</f>
        <v>0.2879365663882521</v>
      </c>
      <c r="H88" s="2">
        <f>(tblCustomers4[[#This Row],[Limit]] - AVERAGE(tblCustomers[Limit]))/_xlfn.STDEV.S(tblCustomers[Limit])</f>
        <v>0.69508742789111488</v>
      </c>
      <c r="I88" s="2">
        <f>(tblCustomers4[[#This Row],[Rating]] - AVERAGE(tblCustomers[Rating]))/_xlfn.STDEV.S(tblCustomers[Rating])</f>
        <v>0.60145752589849932</v>
      </c>
    </row>
    <row r="89" spans="1:9" x14ac:dyDescent="0.2">
      <c r="A89" s="2">
        <v>36.929000000000002</v>
      </c>
      <c r="B89" s="3">
        <v>6257</v>
      </c>
      <c r="C89" s="1">
        <v>445</v>
      </c>
      <c r="D89" s="1">
        <v>1</v>
      </c>
      <c r="E89" s="1">
        <v>24</v>
      </c>
      <c r="F89" s="3">
        <v>976</v>
      </c>
      <c r="G89" s="2">
        <f>(tblCustomers4[[#This Row],[Income]] - AVERAGE(tblCustomers[Income]))/_xlfn.STDEV.S(tblCustomers[Income])</f>
        <v>-0.23521225593654232</v>
      </c>
      <c r="H89" s="2">
        <f>(tblCustomers4[[#This Row],[Limit]] - AVERAGE(tblCustomers[Limit]))/_xlfn.STDEV.S(tblCustomers[Limit])</f>
        <v>0.65912865419692235</v>
      </c>
      <c r="I89" s="2">
        <f>(tblCustomers4[[#This Row],[Rating]] - AVERAGE(tblCustomers[Rating]))/_xlfn.STDEV.S(tblCustomers[Rating])</f>
        <v>0.58206817948010803</v>
      </c>
    </row>
    <row r="90" spans="1:9" x14ac:dyDescent="0.2">
      <c r="A90" s="2">
        <v>33.436999999999998</v>
      </c>
      <c r="B90" s="3">
        <v>6207</v>
      </c>
      <c r="C90" s="1">
        <v>451</v>
      </c>
      <c r="D90" s="1">
        <v>4</v>
      </c>
      <c r="E90" s="1">
        <v>44</v>
      </c>
      <c r="F90" s="3">
        <v>1549</v>
      </c>
      <c r="G90" s="2">
        <f>(tblCustomers4[[#This Row],[Income]] - AVERAGE(tblCustomers[Income]))/_xlfn.STDEV.S(tblCustomers[Income])</f>
        <v>-0.3342921825857551</v>
      </c>
      <c r="H90" s="2">
        <f>(tblCustomers4[[#This Row],[Limit]] - AVERAGE(tblCustomers[Limit]))/_xlfn.STDEV.S(tblCustomers[Limit])</f>
        <v>0.63746674233295098</v>
      </c>
      <c r="I90" s="2">
        <f>(tblCustomers4[[#This Row],[Rating]] - AVERAGE(tblCustomers[Rating]))/_xlfn.STDEV.S(tblCustomers[Rating])</f>
        <v>0.62084687231689073</v>
      </c>
    </row>
    <row r="91" spans="1:9" x14ac:dyDescent="0.2">
      <c r="A91" s="2">
        <v>33.656999999999996</v>
      </c>
      <c r="B91" s="3">
        <v>6196</v>
      </c>
      <c r="C91" s="1">
        <v>450</v>
      </c>
      <c r="D91" s="1">
        <v>6</v>
      </c>
      <c r="E91" s="1">
        <v>55</v>
      </c>
      <c r="F91" s="3">
        <v>1092</v>
      </c>
      <c r="G91" s="2">
        <f>(tblCustomers4[[#This Row],[Income]] - AVERAGE(tblCustomers[Income]))/_xlfn.STDEV.S(tblCustomers[Income])</f>
        <v>-0.32805003371323888</v>
      </c>
      <c r="H91" s="2">
        <f>(tblCustomers4[[#This Row],[Limit]] - AVERAGE(tblCustomers[Limit]))/_xlfn.STDEV.S(tblCustomers[Limit])</f>
        <v>0.63270112172287718</v>
      </c>
      <c r="I91" s="2">
        <f>(tblCustomers4[[#This Row],[Rating]] - AVERAGE(tblCustomers[Rating]))/_xlfn.STDEV.S(tblCustomers[Rating])</f>
        <v>0.61438375684409363</v>
      </c>
    </row>
    <row r="92" spans="1:9" x14ac:dyDescent="0.2">
      <c r="A92" s="2">
        <v>27.33</v>
      </c>
      <c r="B92" s="3">
        <v>6179</v>
      </c>
      <c r="C92" s="1">
        <v>459</v>
      </c>
      <c r="D92" s="1">
        <v>4</v>
      </c>
      <c r="E92" s="1">
        <v>36</v>
      </c>
      <c r="F92" s="3">
        <v>1099</v>
      </c>
      <c r="G92" s="2">
        <f>(tblCustomers4[[#This Row],[Income]] - AVERAGE(tblCustomers[Income]))/_xlfn.STDEV.S(tblCustomers[Income])</f>
        <v>-0.50756856060601319</v>
      </c>
      <c r="H92" s="2">
        <f>(tblCustomers4[[#This Row],[Limit]] - AVERAGE(tblCustomers[Limit]))/_xlfn.STDEV.S(tblCustomers[Limit])</f>
        <v>0.62533607168912697</v>
      </c>
      <c r="I92" s="2">
        <f>(tblCustomers4[[#This Row],[Rating]] - AVERAGE(tblCustomers[Rating]))/_xlfn.STDEV.S(tblCustomers[Rating])</f>
        <v>0.67255179609926763</v>
      </c>
    </row>
    <row r="93" spans="1:9" x14ac:dyDescent="0.2">
      <c r="A93" s="2">
        <v>35.61</v>
      </c>
      <c r="B93" s="3">
        <v>6135</v>
      </c>
      <c r="C93" s="1">
        <v>466</v>
      </c>
      <c r="D93" s="1">
        <v>4</v>
      </c>
      <c r="E93" s="1">
        <v>40</v>
      </c>
      <c r="F93" s="3">
        <v>992</v>
      </c>
      <c r="G93" s="2">
        <f>(tblCustomers4[[#This Row],[Income]] - AVERAGE(tblCustomers[Income]))/_xlfn.STDEV.S(tblCustomers[Income])</f>
        <v>-0.27263677576767398</v>
      </c>
      <c r="H93" s="2">
        <f>(tblCustomers4[[#This Row],[Limit]] - AVERAGE(tblCustomers[Limit]))/_xlfn.STDEV.S(tblCustomers[Limit])</f>
        <v>0.60627358924883212</v>
      </c>
      <c r="I93" s="2">
        <f>(tblCustomers4[[#This Row],[Rating]] - AVERAGE(tblCustomers[Rating]))/_xlfn.STDEV.S(tblCustomers[Rating])</f>
        <v>0.71779360440884743</v>
      </c>
    </row>
    <row r="94" spans="1:9" x14ac:dyDescent="0.2">
      <c r="A94" s="2">
        <v>64.173000000000002</v>
      </c>
      <c r="B94" s="3">
        <v>6127</v>
      </c>
      <c r="C94" s="1">
        <v>433</v>
      </c>
      <c r="D94" s="1">
        <v>1</v>
      </c>
      <c r="E94" s="1">
        <v>80</v>
      </c>
      <c r="F94" s="3">
        <v>578</v>
      </c>
      <c r="G94" s="2">
        <f>(tblCustomers4[[#This Row],[Income]] - AVERAGE(tblCustomers[Income]))/_xlfn.STDEV.S(tblCustomers[Income])</f>
        <v>0.53779276171269852</v>
      </c>
      <c r="H94" s="2">
        <f>(tblCustomers4[[#This Row],[Limit]] - AVERAGE(tblCustomers[Limit]))/_xlfn.STDEV.S(tblCustomers[Limit])</f>
        <v>0.60280768335059665</v>
      </c>
      <c r="I94" s="2">
        <f>(tblCustomers4[[#This Row],[Rating]] - AVERAGE(tblCustomers[Rating]))/_xlfn.STDEV.S(tblCustomers[Rating])</f>
        <v>0.50451079380654262</v>
      </c>
    </row>
    <row r="95" spans="1:9" x14ac:dyDescent="0.2">
      <c r="A95" s="2">
        <v>34.479999999999997</v>
      </c>
      <c r="B95" s="3">
        <v>6090</v>
      </c>
      <c r="C95" s="1">
        <v>442</v>
      </c>
      <c r="D95" s="1">
        <v>3</v>
      </c>
      <c r="E95" s="1">
        <v>36</v>
      </c>
      <c r="F95" s="3">
        <v>962</v>
      </c>
      <c r="G95" s="2">
        <f>(tblCustomers4[[#This Row],[Income]] - AVERAGE(tblCustomers[Income]))/_xlfn.STDEV.S(tblCustomers[Income])</f>
        <v>-0.30469872224923483</v>
      </c>
      <c r="H95" s="2">
        <f>(tblCustomers4[[#This Row],[Limit]] - AVERAGE(tblCustomers[Limit]))/_xlfn.STDEV.S(tblCustomers[Limit])</f>
        <v>0.5867778685712578</v>
      </c>
      <c r="I95" s="2">
        <f>(tblCustomers4[[#This Row],[Rating]] - AVERAGE(tblCustomers[Rating]))/_xlfn.STDEV.S(tblCustomers[Rating])</f>
        <v>0.56267883306171673</v>
      </c>
    </row>
    <row r="96" spans="1:9" x14ac:dyDescent="0.2">
      <c r="A96" s="2">
        <v>39.831000000000003</v>
      </c>
      <c r="B96" s="3">
        <v>6045</v>
      </c>
      <c r="C96" s="1">
        <v>459</v>
      </c>
      <c r="D96" s="1">
        <v>3</v>
      </c>
      <c r="E96" s="1">
        <v>32</v>
      </c>
      <c r="F96" s="3">
        <v>1425</v>
      </c>
      <c r="G96" s="2">
        <f>(tblCustomers4[[#This Row],[Income]] - AVERAGE(tblCustomers[Income]))/_xlfn.STDEV.S(tblCustomers[Income])</f>
        <v>-0.15287263762725964</v>
      </c>
      <c r="H96" s="2">
        <f>(tblCustomers4[[#This Row],[Limit]] - AVERAGE(tblCustomers[Limit]))/_xlfn.STDEV.S(tblCustomers[Limit])</f>
        <v>0.56728214789368347</v>
      </c>
      <c r="I96" s="2">
        <f>(tblCustomers4[[#This Row],[Rating]] - AVERAGE(tblCustomers[Rating]))/_xlfn.STDEV.S(tblCustomers[Rating])</f>
        <v>0.67255179609926763</v>
      </c>
    </row>
    <row r="97" spans="1:9" x14ac:dyDescent="0.2">
      <c r="A97" s="2">
        <v>48.497999999999998</v>
      </c>
      <c r="B97" s="3">
        <v>6040</v>
      </c>
      <c r="C97" s="1">
        <v>456</v>
      </c>
      <c r="D97" s="1">
        <v>3</v>
      </c>
      <c r="E97" s="1">
        <v>47</v>
      </c>
      <c r="F97" s="3">
        <v>812</v>
      </c>
      <c r="G97" s="2">
        <f>(tblCustomers4[[#This Row],[Income]] - AVERAGE(tblCustomers[Income]))/_xlfn.STDEV.S(tblCustomers[Income])</f>
        <v>9.3039654545914868E-2</v>
      </c>
      <c r="H97" s="2">
        <f>(tblCustomers4[[#This Row],[Limit]] - AVERAGE(tblCustomers[Limit]))/_xlfn.STDEV.S(tblCustomers[Limit])</f>
        <v>0.56511595670728632</v>
      </c>
      <c r="I97" s="2">
        <f>(tblCustomers4[[#This Row],[Rating]] - AVERAGE(tblCustomers[Rating]))/_xlfn.STDEV.S(tblCustomers[Rating])</f>
        <v>0.65316244968087633</v>
      </c>
    </row>
    <row r="98" spans="1:9" x14ac:dyDescent="0.2">
      <c r="A98" s="2">
        <v>107.986</v>
      </c>
      <c r="B98" s="3">
        <v>6033</v>
      </c>
      <c r="C98" s="1">
        <v>449</v>
      </c>
      <c r="D98" s="1">
        <v>4</v>
      </c>
      <c r="E98" s="1">
        <v>64</v>
      </c>
      <c r="F98" s="3">
        <v>227</v>
      </c>
      <c r="G98" s="2">
        <f>(tblCustomers4[[#This Row],[Income]] - AVERAGE(tblCustomers[Income]))/_xlfn.STDEV.S(tblCustomers[Income])</f>
        <v>1.7809167096743117</v>
      </c>
      <c r="H98" s="2">
        <f>(tblCustomers4[[#This Row],[Limit]] - AVERAGE(tblCustomers[Limit]))/_xlfn.STDEV.S(tblCustomers[Limit])</f>
        <v>0.56208328904633031</v>
      </c>
      <c r="I98" s="2">
        <f>(tblCustomers4[[#This Row],[Rating]] - AVERAGE(tblCustomers[Rating]))/_xlfn.STDEV.S(tblCustomers[Rating])</f>
        <v>0.60792064137129653</v>
      </c>
    </row>
    <row r="99" spans="1:9" x14ac:dyDescent="0.2">
      <c r="A99" s="2">
        <v>76.781999999999996</v>
      </c>
      <c r="B99" s="3">
        <v>5977</v>
      </c>
      <c r="C99" s="1">
        <v>429</v>
      </c>
      <c r="D99" s="1">
        <v>4</v>
      </c>
      <c r="E99" s="1">
        <v>44</v>
      </c>
      <c r="F99" s="3">
        <v>548</v>
      </c>
      <c r="G99" s="2">
        <f>(tblCustomers4[[#This Row],[Income]] - AVERAGE(tblCustomers[Income]))/_xlfn.STDEV.S(tblCustomers[Income])</f>
        <v>0.89555301231977802</v>
      </c>
      <c r="H99" s="2">
        <f>(tblCustomers4[[#This Row],[Limit]] - AVERAGE(tblCustomers[Limit]))/_xlfn.STDEV.S(tblCustomers[Limit])</f>
        <v>0.53782194775868242</v>
      </c>
      <c r="I99" s="2">
        <f>(tblCustomers4[[#This Row],[Rating]] - AVERAGE(tblCustomers[Rating]))/_xlfn.STDEV.S(tblCustomers[Rating])</f>
        <v>0.47865833191535423</v>
      </c>
    </row>
    <row r="100" spans="1:9" x14ac:dyDescent="0.2">
      <c r="A100" s="2">
        <v>53.566000000000003</v>
      </c>
      <c r="B100" s="3">
        <v>5891</v>
      </c>
      <c r="C100" s="1">
        <v>434</v>
      </c>
      <c r="D100" s="1">
        <v>4</v>
      </c>
      <c r="E100" s="1">
        <v>82</v>
      </c>
      <c r="F100" s="3">
        <v>712</v>
      </c>
      <c r="G100" s="2">
        <f>(tblCustomers4[[#This Row],[Income]] - AVERAGE(tblCustomers[Income]))/_xlfn.STDEV.S(tblCustomers[Income])</f>
        <v>0.23683606584551686</v>
      </c>
      <c r="H100" s="2">
        <f>(tblCustomers4[[#This Row],[Limit]] - AVERAGE(tblCustomers[Limit]))/_xlfn.STDEV.S(tblCustomers[Limit])</f>
        <v>0.50056345935265156</v>
      </c>
      <c r="I100" s="2">
        <f>(tblCustomers4[[#This Row],[Rating]] - AVERAGE(tblCustomers[Rating]))/_xlfn.STDEV.S(tblCustomers[Rating])</f>
        <v>0.51097390927933983</v>
      </c>
    </row>
    <row r="101" spans="1:9" x14ac:dyDescent="0.2">
      <c r="A101" s="2">
        <v>32.856000000000002</v>
      </c>
      <c r="B101" s="3">
        <v>5884</v>
      </c>
      <c r="C101" s="1">
        <v>438</v>
      </c>
      <c r="D101" s="1">
        <v>4</v>
      </c>
      <c r="E101" s="1">
        <v>68</v>
      </c>
      <c r="F101" s="3">
        <v>926</v>
      </c>
      <c r="G101" s="2">
        <f>(tblCustomers4[[#This Row],[Income]] - AVERAGE(tblCustomers[Income]))/_xlfn.STDEV.S(tblCustomers[Income])</f>
        <v>-0.35077713028999108</v>
      </c>
      <c r="H101" s="2">
        <f>(tblCustomers4[[#This Row],[Limit]] - AVERAGE(tblCustomers[Limit]))/_xlfn.STDEV.S(tblCustomers[Limit])</f>
        <v>0.49753079169169551</v>
      </c>
      <c r="I101" s="2">
        <f>(tblCustomers4[[#This Row],[Rating]] - AVERAGE(tblCustomers[Rating]))/_xlfn.STDEV.S(tblCustomers[Rating])</f>
        <v>0.53682637117052823</v>
      </c>
    </row>
    <row r="102" spans="1:9" x14ac:dyDescent="0.2">
      <c r="A102" s="2">
        <v>30.55</v>
      </c>
      <c r="B102" s="3">
        <v>5869</v>
      </c>
      <c r="C102" s="1">
        <v>439</v>
      </c>
      <c r="D102" s="1">
        <v>5</v>
      </c>
      <c r="E102" s="1">
        <v>81</v>
      </c>
      <c r="F102" s="3">
        <v>967</v>
      </c>
      <c r="G102" s="2">
        <f>(tblCustomers4[[#This Row],[Income]] - AVERAGE(tblCustomers[Income]))/_xlfn.STDEV.S(tblCustomers[Income])</f>
        <v>-0.41620619983554791</v>
      </c>
      <c r="H102" s="2">
        <f>(tblCustomers4[[#This Row],[Limit]] - AVERAGE(tblCustomers[Limit]))/_xlfn.STDEV.S(tblCustomers[Limit])</f>
        <v>0.49103221813250408</v>
      </c>
      <c r="I102" s="2">
        <f>(tblCustomers4[[#This Row],[Rating]] - AVERAGE(tblCustomers[Rating]))/_xlfn.STDEV.S(tblCustomers[Rating])</f>
        <v>0.54328948664332533</v>
      </c>
    </row>
    <row r="103" spans="1:9" x14ac:dyDescent="0.2">
      <c r="A103" s="2">
        <v>34.664000000000001</v>
      </c>
      <c r="B103" s="3">
        <v>5835</v>
      </c>
      <c r="C103" s="1">
        <v>452</v>
      </c>
      <c r="D103" s="1">
        <v>3</v>
      </c>
      <c r="E103" s="1">
        <v>77</v>
      </c>
      <c r="F103" s="3">
        <v>835</v>
      </c>
      <c r="G103" s="2">
        <f>(tblCustomers4[[#This Row],[Income]] - AVERAGE(tblCustomers[Income]))/_xlfn.STDEV.S(tblCustomers[Income])</f>
        <v>-0.2994780159194938</v>
      </c>
      <c r="H103" s="2">
        <f>(tblCustomers4[[#This Row],[Limit]] - AVERAGE(tblCustomers[Limit]))/_xlfn.STDEV.S(tblCustomers[Limit])</f>
        <v>0.4763021180650035</v>
      </c>
      <c r="I103" s="2">
        <f>(tblCustomers4[[#This Row],[Rating]] - AVERAGE(tblCustomers[Rating]))/_xlfn.STDEV.S(tblCustomers[Rating])</f>
        <v>0.62730998778968783</v>
      </c>
    </row>
    <row r="104" spans="1:9" x14ac:dyDescent="0.2">
      <c r="A104" s="2">
        <v>29.638000000000002</v>
      </c>
      <c r="B104" s="3">
        <v>5833</v>
      </c>
      <c r="C104" s="1">
        <v>433</v>
      </c>
      <c r="D104" s="1">
        <v>3</v>
      </c>
      <c r="E104" s="1">
        <v>29</v>
      </c>
      <c r="F104" s="3">
        <v>942</v>
      </c>
      <c r="G104" s="2">
        <f>(tblCustomers4[[#This Row],[Income]] - AVERAGE(tblCustomers[Income]))/_xlfn.STDEV.S(tblCustomers[Income])</f>
        <v>-0.44208274425252436</v>
      </c>
      <c r="H104" s="2">
        <f>(tblCustomers4[[#This Row],[Limit]] - AVERAGE(tblCustomers[Limit]))/_xlfn.STDEV.S(tblCustomers[Limit])</f>
        <v>0.47543564159044466</v>
      </c>
      <c r="I104" s="2">
        <f>(tblCustomers4[[#This Row],[Rating]] - AVERAGE(tblCustomers[Rating]))/_xlfn.STDEV.S(tblCustomers[Rating])</f>
        <v>0.50451079380654262</v>
      </c>
    </row>
    <row r="105" spans="1:9" x14ac:dyDescent="0.2">
      <c r="A105" s="2">
        <v>21.454999999999998</v>
      </c>
      <c r="B105" s="3">
        <v>5829</v>
      </c>
      <c r="C105" s="1">
        <v>427</v>
      </c>
      <c r="D105" s="1">
        <v>4</v>
      </c>
      <c r="E105" s="1">
        <v>80</v>
      </c>
      <c r="F105" s="3">
        <v>1018</v>
      </c>
      <c r="G105" s="2">
        <f>(tblCustomers4[[#This Row],[Income]] - AVERAGE(tblCustomers[Income]))/_xlfn.STDEV.S(tblCustomers[Income])</f>
        <v>-0.67426230890616334</v>
      </c>
      <c r="H105" s="2">
        <f>(tblCustomers4[[#This Row],[Limit]] - AVERAGE(tblCustomers[Limit]))/_xlfn.STDEV.S(tblCustomers[Limit])</f>
        <v>0.47370268864132697</v>
      </c>
      <c r="I105" s="2">
        <f>(tblCustomers4[[#This Row],[Rating]] - AVERAGE(tblCustomers[Rating]))/_xlfn.STDEV.S(tblCustomers[Rating])</f>
        <v>0.46573210096975998</v>
      </c>
    </row>
    <row r="106" spans="1:9" x14ac:dyDescent="0.2">
      <c r="A106" s="2">
        <v>20.190999999999999</v>
      </c>
      <c r="B106" s="3">
        <v>5767</v>
      </c>
      <c r="C106" s="1">
        <v>431</v>
      </c>
      <c r="D106" s="1">
        <v>4</v>
      </c>
      <c r="E106" s="1">
        <v>42</v>
      </c>
      <c r="F106" s="3">
        <v>1023</v>
      </c>
      <c r="G106" s="2">
        <f>(tblCustomers4[[#This Row],[Income]] - AVERAGE(tblCustomers[Income]))/_xlfn.STDEV.S(tblCustomers[Income])</f>
        <v>-0.71012629151916584</v>
      </c>
      <c r="H106" s="2">
        <f>(tblCustomers4[[#This Row],[Limit]] - AVERAGE(tblCustomers[Limit]))/_xlfn.STDEV.S(tblCustomers[Limit])</f>
        <v>0.44684191793000239</v>
      </c>
      <c r="I106" s="2">
        <f>(tblCustomers4[[#This Row],[Rating]] - AVERAGE(tblCustomers[Rating]))/_xlfn.STDEV.S(tblCustomers[Rating])</f>
        <v>0.49158456286094843</v>
      </c>
    </row>
    <row r="107" spans="1:9" x14ac:dyDescent="0.2">
      <c r="A107" s="2">
        <v>44.847000000000001</v>
      </c>
      <c r="B107" s="3">
        <v>5765</v>
      </c>
      <c r="C107" s="1">
        <v>437</v>
      </c>
      <c r="D107" s="1">
        <v>3</v>
      </c>
      <c r="E107" s="1">
        <v>53</v>
      </c>
      <c r="F107" s="3">
        <v>1246</v>
      </c>
      <c r="G107" s="2">
        <f>(tblCustomers4[[#This Row],[Income]] - AVERAGE(tblCustomers[Income]))/_xlfn.STDEV.S(tblCustomers[Income])</f>
        <v>-1.0551643333888952E-2</v>
      </c>
      <c r="H107" s="2">
        <f>(tblCustomers4[[#This Row],[Limit]] - AVERAGE(tblCustomers[Limit]))/_xlfn.STDEV.S(tblCustomers[Limit])</f>
        <v>0.44597544145544354</v>
      </c>
      <c r="I107" s="2">
        <f>(tblCustomers4[[#This Row],[Rating]] - AVERAGE(tblCustomers[Rating]))/_xlfn.STDEV.S(tblCustomers[Rating])</f>
        <v>0.53036325569773113</v>
      </c>
    </row>
    <row r="108" spans="1:9" x14ac:dyDescent="0.2">
      <c r="A108" s="2">
        <v>89</v>
      </c>
      <c r="B108" s="3">
        <v>5759</v>
      </c>
      <c r="C108" s="1">
        <v>440</v>
      </c>
      <c r="D108" s="1">
        <v>3</v>
      </c>
      <c r="E108" s="1">
        <v>37</v>
      </c>
      <c r="F108" s="3">
        <v>345</v>
      </c>
      <c r="G108" s="2">
        <f>(tblCustomers4[[#This Row],[Income]] - AVERAGE(tblCustomers[Income]))/_xlfn.STDEV.S(tblCustomers[Income])</f>
        <v>1.2422192619761583</v>
      </c>
      <c r="H108" s="2">
        <f>(tblCustomers4[[#This Row],[Limit]] - AVERAGE(tblCustomers[Limit]))/_xlfn.STDEV.S(tblCustomers[Limit])</f>
        <v>0.44337601203176696</v>
      </c>
      <c r="I108" s="2">
        <f>(tblCustomers4[[#This Row],[Rating]] - AVERAGE(tblCustomers[Rating]))/_xlfn.STDEV.S(tblCustomers[Rating])</f>
        <v>0.54975260211612242</v>
      </c>
    </row>
    <row r="109" spans="1:9" x14ac:dyDescent="0.2">
      <c r="A109" s="2">
        <v>49.793999999999997</v>
      </c>
      <c r="B109" s="3">
        <v>5758</v>
      </c>
      <c r="C109" s="1">
        <v>410</v>
      </c>
      <c r="D109" s="1">
        <v>4</v>
      </c>
      <c r="E109" s="1">
        <v>40</v>
      </c>
      <c r="F109" s="3">
        <v>734</v>
      </c>
      <c r="G109" s="2">
        <f>(tblCustomers4[[#This Row],[Income]] - AVERAGE(tblCustomers[Income]))/_xlfn.STDEV.S(tblCustomers[Income])</f>
        <v>0.12981158608582882</v>
      </c>
      <c r="H109" s="2">
        <f>(tblCustomers4[[#This Row],[Limit]] - AVERAGE(tblCustomers[Limit]))/_xlfn.STDEV.S(tblCustomers[Limit])</f>
        <v>0.44294277379448754</v>
      </c>
      <c r="I109" s="2">
        <f>(tblCustomers4[[#This Row],[Rating]] - AVERAGE(tblCustomers[Rating]))/_xlfn.STDEV.S(tblCustomers[Rating])</f>
        <v>0.35585913793220908</v>
      </c>
    </row>
    <row r="110" spans="1:9" x14ac:dyDescent="0.2">
      <c r="A110" s="2">
        <v>63.930999999999997</v>
      </c>
      <c r="B110" s="3">
        <v>5728</v>
      </c>
      <c r="C110" s="1">
        <v>435</v>
      </c>
      <c r="D110" s="1">
        <v>3</v>
      </c>
      <c r="E110" s="1">
        <v>28</v>
      </c>
      <c r="F110" s="3">
        <v>581</v>
      </c>
      <c r="G110" s="2">
        <f>(tblCustomers4[[#This Row],[Income]] - AVERAGE(tblCustomers[Income]))/_xlfn.STDEV.S(tblCustomers[Income])</f>
        <v>0.53092639795293051</v>
      </c>
      <c r="H110" s="2">
        <f>(tblCustomers4[[#This Row],[Limit]] - AVERAGE(tblCustomers[Limit]))/_xlfn.STDEV.S(tblCustomers[Limit])</f>
        <v>0.4299456266761047</v>
      </c>
      <c r="I110" s="2">
        <f>(tblCustomers4[[#This Row],[Rating]] - AVERAGE(tblCustomers[Rating]))/_xlfn.STDEV.S(tblCustomers[Rating])</f>
        <v>0.51743702475213693</v>
      </c>
    </row>
    <row r="111" spans="1:9" x14ac:dyDescent="0.2">
      <c r="A111" s="2">
        <v>20.974</v>
      </c>
      <c r="B111" s="3">
        <v>5673</v>
      </c>
      <c r="C111" s="1">
        <v>413</v>
      </c>
      <c r="D111" s="1">
        <v>5</v>
      </c>
      <c r="E111" s="1">
        <v>44</v>
      </c>
      <c r="F111" s="3">
        <v>1000</v>
      </c>
      <c r="G111" s="2">
        <f>(tblCustomers4[[#This Row],[Income]] - AVERAGE(tblCustomers[Income]))/_xlfn.STDEV.S(tblCustomers[Income])</f>
        <v>-0.68790991621380115</v>
      </c>
      <c r="H111" s="2">
        <f>(tblCustomers4[[#This Row],[Limit]] - AVERAGE(tblCustomers[Limit]))/_xlfn.STDEV.S(tblCustomers[Limit])</f>
        <v>0.40611752362573611</v>
      </c>
      <c r="I111" s="2">
        <f>(tblCustomers4[[#This Row],[Rating]] - AVERAGE(tblCustomers[Rating]))/_xlfn.STDEV.S(tblCustomers[Rating])</f>
        <v>0.37524848435060043</v>
      </c>
    </row>
    <row r="112" spans="1:9" x14ac:dyDescent="0.2">
      <c r="A112" s="2">
        <v>15.079000000000001</v>
      </c>
      <c r="B112" s="3">
        <v>5673</v>
      </c>
      <c r="C112" s="1">
        <v>411</v>
      </c>
      <c r="D112" s="1">
        <v>4</v>
      </c>
      <c r="E112" s="1">
        <v>28</v>
      </c>
      <c r="F112" s="3">
        <v>1075</v>
      </c>
      <c r="G112" s="2">
        <f>(tblCustomers4[[#This Row],[Income]] - AVERAGE(tblCustomers[Income]))/_xlfn.STDEV.S(tblCustomers[Income])</f>
        <v>-0.85517113259327093</v>
      </c>
      <c r="H112" s="2">
        <f>(tblCustomers4[[#This Row],[Limit]] - AVERAGE(tblCustomers[Limit]))/_xlfn.STDEV.S(tblCustomers[Limit])</f>
        <v>0.40611752362573611</v>
      </c>
      <c r="I112" s="2">
        <f>(tblCustomers4[[#This Row],[Rating]] - AVERAGE(tblCustomers[Rating]))/_xlfn.STDEV.S(tblCustomers[Rating])</f>
        <v>0.36232225340500618</v>
      </c>
    </row>
    <row r="113" spans="1:9" x14ac:dyDescent="0.2">
      <c r="A113" s="2">
        <v>34.142000000000003</v>
      </c>
      <c r="B113" s="3">
        <v>5666</v>
      </c>
      <c r="C113" s="1">
        <v>413</v>
      </c>
      <c r="D113" s="1">
        <v>4</v>
      </c>
      <c r="E113" s="1">
        <v>47</v>
      </c>
      <c r="F113" s="3">
        <v>863</v>
      </c>
      <c r="G113" s="2">
        <f>(tblCustomers4[[#This Row],[Income]] - AVERAGE(tblCustomers[Income]))/_xlfn.STDEV.S(tblCustomers[Income])</f>
        <v>-0.31428893278973691</v>
      </c>
      <c r="H113" s="2">
        <f>(tblCustomers4[[#This Row],[Limit]] - AVERAGE(tblCustomers[Limit]))/_xlfn.STDEV.S(tblCustomers[Limit])</f>
        <v>0.40308485596478011</v>
      </c>
      <c r="I113" s="2">
        <f>(tblCustomers4[[#This Row],[Rating]] - AVERAGE(tblCustomers[Rating]))/_xlfn.STDEV.S(tblCustomers[Rating])</f>
        <v>0.37524848435060043</v>
      </c>
    </row>
    <row r="114" spans="1:9" x14ac:dyDescent="0.2">
      <c r="A114" s="2">
        <v>26.4</v>
      </c>
      <c r="B114" s="3">
        <v>5640</v>
      </c>
      <c r="C114" s="1">
        <v>398</v>
      </c>
      <c r="D114" s="1">
        <v>3</v>
      </c>
      <c r="E114" s="1">
        <v>58</v>
      </c>
      <c r="F114" s="3">
        <v>905</v>
      </c>
      <c r="G114" s="2">
        <f>(tblCustomers4[[#This Row],[Income]] - AVERAGE(tblCustomers[Income]))/_xlfn.STDEV.S(tblCustomers[Income])</f>
        <v>-0.53395582629437743</v>
      </c>
      <c r="H114" s="2">
        <f>(tblCustomers4[[#This Row],[Limit]] - AVERAGE(tblCustomers[Limit]))/_xlfn.STDEV.S(tblCustomers[Limit])</f>
        <v>0.39182066179551495</v>
      </c>
      <c r="I114" s="2">
        <f>(tblCustomers4[[#This Row],[Rating]] - AVERAGE(tblCustomers[Rating]))/_xlfn.STDEV.S(tblCustomers[Rating])</f>
        <v>0.27830175225864373</v>
      </c>
    </row>
    <row r="115" spans="1:9" x14ac:dyDescent="0.2">
      <c r="A115" s="2">
        <v>27.847000000000001</v>
      </c>
      <c r="B115" s="3">
        <v>5619</v>
      </c>
      <c r="C115" s="1">
        <v>418</v>
      </c>
      <c r="D115" s="1">
        <v>2</v>
      </c>
      <c r="E115" s="1">
        <v>78</v>
      </c>
      <c r="F115" s="3">
        <v>822</v>
      </c>
      <c r="G115" s="2">
        <f>(tblCustomers4[[#This Row],[Income]] - AVERAGE(tblCustomers[Income]))/_xlfn.STDEV.S(tblCustomers[Income])</f>
        <v>-0.49289951075559996</v>
      </c>
      <c r="H115" s="2">
        <f>(tblCustomers4[[#This Row],[Limit]] - AVERAGE(tblCustomers[Limit]))/_xlfn.STDEV.S(tblCustomers[Limit])</f>
        <v>0.38272265881264694</v>
      </c>
      <c r="I115" s="2">
        <f>(tblCustomers4[[#This Row],[Rating]] - AVERAGE(tblCustomers[Rating]))/_xlfn.STDEV.S(tblCustomers[Rating])</f>
        <v>0.40756406171458598</v>
      </c>
    </row>
    <row r="116" spans="1:9" x14ac:dyDescent="0.2">
      <c r="A116" s="2">
        <v>66.989000000000004</v>
      </c>
      <c r="B116" s="3">
        <v>5614</v>
      </c>
      <c r="C116" s="1">
        <v>430</v>
      </c>
      <c r="D116" s="1">
        <v>3</v>
      </c>
      <c r="E116" s="1">
        <v>47</v>
      </c>
      <c r="F116" s="3">
        <v>482</v>
      </c>
      <c r="G116" s="2">
        <f>(tblCustomers4[[#This Row],[Income]] - AVERAGE(tblCustomers[Income]))/_xlfn.STDEV.S(tblCustomers[Income])</f>
        <v>0.61769226728090665</v>
      </c>
      <c r="H116" s="2">
        <f>(tblCustomers4[[#This Row],[Limit]] - AVERAGE(tblCustomers[Limit]))/_xlfn.STDEV.S(tblCustomers[Limit])</f>
        <v>0.38055646762624984</v>
      </c>
      <c r="I116" s="2">
        <f>(tblCustomers4[[#This Row],[Rating]] - AVERAGE(tblCustomers[Rating]))/_xlfn.STDEV.S(tblCustomers[Rating])</f>
        <v>0.48512144738815133</v>
      </c>
    </row>
    <row r="117" spans="1:9" x14ac:dyDescent="0.2">
      <c r="A117" s="2">
        <v>26.812999999999999</v>
      </c>
      <c r="B117" s="3">
        <v>5611</v>
      </c>
      <c r="C117" s="1">
        <v>411</v>
      </c>
      <c r="D117" s="1">
        <v>4</v>
      </c>
      <c r="E117" s="1">
        <v>55</v>
      </c>
      <c r="F117" s="3">
        <v>915</v>
      </c>
      <c r="G117" s="2">
        <f>(tblCustomers4[[#This Row],[Income]] - AVERAGE(tblCustomers[Income]))/_xlfn.STDEV.S(tblCustomers[Income])</f>
        <v>-0.52223761045642647</v>
      </c>
      <c r="H117" s="2">
        <f>(tblCustomers4[[#This Row],[Limit]] - AVERAGE(tblCustomers[Limit]))/_xlfn.STDEV.S(tblCustomers[Limit])</f>
        <v>0.37925675291441152</v>
      </c>
      <c r="I117" s="2">
        <f>(tblCustomers4[[#This Row],[Rating]] - AVERAGE(tblCustomers[Rating]))/_xlfn.STDEV.S(tblCustomers[Rating])</f>
        <v>0.36232225340500618</v>
      </c>
    </row>
    <row r="118" spans="1:9" x14ac:dyDescent="0.2">
      <c r="A118" s="2">
        <v>39.055</v>
      </c>
      <c r="B118" s="3">
        <v>5565</v>
      </c>
      <c r="C118" s="1">
        <v>410</v>
      </c>
      <c r="D118" s="1">
        <v>4</v>
      </c>
      <c r="E118" s="1">
        <v>48</v>
      </c>
      <c r="F118" s="3">
        <v>772</v>
      </c>
      <c r="G118" s="2">
        <f>(tblCustomers4[[#This Row],[Income]] - AVERAGE(tblCustomers[Income]))/_xlfn.STDEV.S(tblCustomers[Income])</f>
        <v>-0.17489039910486254</v>
      </c>
      <c r="H118" s="2">
        <f>(tblCustomers4[[#This Row],[Limit]] - AVERAGE(tblCustomers[Limit]))/_xlfn.STDEV.S(tblCustomers[Limit])</f>
        <v>0.35932779399955783</v>
      </c>
      <c r="I118" s="2">
        <f>(tblCustomers4[[#This Row],[Rating]] - AVERAGE(tblCustomers[Rating]))/_xlfn.STDEV.S(tblCustomers[Rating])</f>
        <v>0.35585913793220908</v>
      </c>
    </row>
    <row r="119" spans="1:9" x14ac:dyDescent="0.2">
      <c r="A119" s="2">
        <v>42.356999999999999</v>
      </c>
      <c r="B119" s="3">
        <v>5550</v>
      </c>
      <c r="C119" s="1">
        <v>406</v>
      </c>
      <c r="D119" s="1">
        <v>2</v>
      </c>
      <c r="E119" s="1">
        <v>83</v>
      </c>
      <c r="F119" s="3">
        <v>653</v>
      </c>
      <c r="G119" s="2">
        <f>(tblCustomers4[[#This Row],[Income]] - AVERAGE(tblCustomers[Income]))/_xlfn.STDEV.S(tblCustomers[Income])</f>
        <v>-8.1201419209186679E-2</v>
      </c>
      <c r="H119" s="2">
        <f>(tblCustomers4[[#This Row],[Limit]] - AVERAGE(tblCustomers[Limit]))/_xlfn.STDEV.S(tblCustomers[Limit])</f>
        <v>0.35282922044036641</v>
      </c>
      <c r="I119" s="2">
        <f>(tblCustomers4[[#This Row],[Rating]] - AVERAGE(tblCustomers[Rating]))/_xlfn.STDEV.S(tblCustomers[Rating])</f>
        <v>0.33000667604102063</v>
      </c>
    </row>
    <row r="120" spans="1:9" x14ac:dyDescent="0.2">
      <c r="A120" s="2">
        <v>26.427</v>
      </c>
      <c r="B120" s="3">
        <v>5533</v>
      </c>
      <c r="C120" s="1">
        <v>433</v>
      </c>
      <c r="D120" s="1">
        <v>5</v>
      </c>
      <c r="E120" s="1">
        <v>50</v>
      </c>
      <c r="F120" s="3">
        <v>1404</v>
      </c>
      <c r="G120" s="2">
        <f>(tblCustomers4[[#This Row],[Income]] - AVERAGE(tblCustomers[Income]))/_xlfn.STDEV.S(tblCustomers[Income])</f>
        <v>-0.53318974438729583</v>
      </c>
      <c r="H120" s="2">
        <f>(tblCustomers4[[#This Row],[Limit]] - AVERAGE(tblCustomers[Limit]))/_xlfn.STDEV.S(tblCustomers[Limit])</f>
        <v>0.34546417040661614</v>
      </c>
      <c r="I120" s="2">
        <f>(tblCustomers4[[#This Row],[Rating]] - AVERAGE(tblCustomers[Rating]))/_xlfn.STDEV.S(tblCustomers[Rating])</f>
        <v>0.50451079380654262</v>
      </c>
    </row>
    <row r="121" spans="1:9" x14ac:dyDescent="0.2">
      <c r="A121" s="2">
        <v>18.701000000000001</v>
      </c>
      <c r="B121" s="3">
        <v>5524</v>
      </c>
      <c r="C121" s="1">
        <v>415</v>
      </c>
      <c r="D121" s="1">
        <v>5</v>
      </c>
      <c r="E121" s="1">
        <v>64</v>
      </c>
      <c r="F121" s="3">
        <v>966</v>
      </c>
      <c r="G121" s="2">
        <f>(tblCustomers4[[#This Row],[Income]] - AVERAGE(tblCustomers[Income]))/_xlfn.STDEV.S(tblCustomers[Income])</f>
        <v>-0.7524026634284805</v>
      </c>
      <c r="H121" s="2">
        <f>(tblCustomers4[[#This Row],[Limit]] - AVERAGE(tblCustomers[Limit]))/_xlfn.STDEV.S(tblCustomers[Limit])</f>
        <v>0.34156502627110125</v>
      </c>
      <c r="I121" s="2">
        <f>(tblCustomers4[[#This Row],[Rating]] - AVERAGE(tblCustomers[Rating]))/_xlfn.STDEV.S(tblCustomers[Rating])</f>
        <v>0.38817471529619463</v>
      </c>
    </row>
    <row r="122" spans="1:9" x14ac:dyDescent="0.2">
      <c r="A122" s="2">
        <v>56.256</v>
      </c>
      <c r="B122" s="3">
        <v>5521</v>
      </c>
      <c r="C122" s="1">
        <v>406</v>
      </c>
      <c r="D122" s="1">
        <v>2</v>
      </c>
      <c r="E122" s="1">
        <v>72</v>
      </c>
      <c r="F122" s="3">
        <v>1020</v>
      </c>
      <c r="G122" s="2">
        <f>(tblCustomers4[[#This Row],[Income]] - AVERAGE(tblCustomers[Income]))/_xlfn.STDEV.S(tblCustomers[Income])</f>
        <v>0.31316052251401105</v>
      </c>
      <c r="H122" s="2">
        <f>(tblCustomers4[[#This Row],[Limit]] - AVERAGE(tblCustomers[Limit]))/_xlfn.STDEV.S(tblCustomers[Limit])</f>
        <v>0.34026531155926298</v>
      </c>
      <c r="I122" s="2">
        <f>(tblCustomers4[[#This Row],[Rating]] - AVERAGE(tblCustomers[Rating]))/_xlfn.STDEV.S(tblCustomers[Rating])</f>
        <v>0.33000667604102063</v>
      </c>
    </row>
    <row r="123" spans="1:9" x14ac:dyDescent="0.2">
      <c r="A123" s="2">
        <v>24.824000000000002</v>
      </c>
      <c r="B123" s="3">
        <v>5495</v>
      </c>
      <c r="C123" s="1">
        <v>409</v>
      </c>
      <c r="D123" s="1">
        <v>1</v>
      </c>
      <c r="E123" s="1">
        <v>33</v>
      </c>
      <c r="F123" s="3">
        <v>1352</v>
      </c>
      <c r="G123" s="2">
        <f>(tblCustomers4[[#This Row],[Income]] - AVERAGE(tblCustomers[Income]))/_xlfn.STDEV.S(tblCustomers[Income])</f>
        <v>-0.57867231094476657</v>
      </c>
      <c r="H123" s="2">
        <f>(tblCustomers4[[#This Row],[Limit]] - AVERAGE(tblCustomers[Limit]))/_xlfn.STDEV.S(tblCustomers[Limit])</f>
        <v>0.32900111738999782</v>
      </c>
      <c r="I123" s="2">
        <f>(tblCustomers4[[#This Row],[Rating]] - AVERAGE(tblCustomers[Rating]))/_xlfn.STDEV.S(tblCustomers[Rating])</f>
        <v>0.34939602245941198</v>
      </c>
    </row>
    <row r="124" spans="1:9" x14ac:dyDescent="0.2">
      <c r="A124" s="2">
        <v>16.303999999999998</v>
      </c>
      <c r="B124" s="3">
        <v>5466</v>
      </c>
      <c r="C124" s="1">
        <v>413</v>
      </c>
      <c r="D124" s="1">
        <v>4</v>
      </c>
      <c r="E124" s="1">
        <v>66</v>
      </c>
      <c r="F124" s="3">
        <v>957</v>
      </c>
      <c r="G124" s="2">
        <f>(tblCustomers4[[#This Row],[Income]] - AVERAGE(tblCustomers[Income]))/_xlfn.STDEV.S(tblCustomers[Income])</f>
        <v>-0.82041371273494179</v>
      </c>
      <c r="H124" s="2">
        <f>(tblCustomers4[[#This Row],[Limit]] - AVERAGE(tblCustomers[Limit]))/_xlfn.STDEV.S(tblCustomers[Limit])</f>
        <v>0.3164372085088944</v>
      </c>
      <c r="I124" s="2">
        <f>(tblCustomers4[[#This Row],[Rating]] - AVERAGE(tblCustomers[Rating]))/_xlfn.STDEV.S(tblCustomers[Rating])</f>
        <v>0.37524848435060043</v>
      </c>
    </row>
    <row r="125" spans="1:9" x14ac:dyDescent="0.2">
      <c r="A125" s="2">
        <v>23.283000000000001</v>
      </c>
      <c r="B125" s="3">
        <v>5443</v>
      </c>
      <c r="C125" s="1">
        <v>407</v>
      </c>
      <c r="D125" s="1">
        <v>4</v>
      </c>
      <c r="E125" s="1">
        <v>49</v>
      </c>
      <c r="F125" s="3">
        <v>912</v>
      </c>
      <c r="G125" s="2">
        <f>(tblCustomers4[[#This Row],[Income]] - AVERAGE(tblCustomers[Income]))/_xlfn.STDEV.S(tblCustomers[Income])</f>
        <v>-0.62239572645634633</v>
      </c>
      <c r="H125" s="2">
        <f>(tblCustomers4[[#This Row],[Limit]] - AVERAGE(tblCustomers[Limit]))/_xlfn.STDEV.S(tblCustomers[Limit])</f>
        <v>0.30647272905146755</v>
      </c>
      <c r="I125" s="2">
        <f>(tblCustomers4[[#This Row],[Rating]] - AVERAGE(tblCustomers[Rating]))/_xlfn.STDEV.S(tblCustomers[Rating])</f>
        <v>0.33646979151381773</v>
      </c>
    </row>
    <row r="126" spans="1:9" x14ac:dyDescent="0.2">
      <c r="A126" s="2">
        <v>44.204999999999998</v>
      </c>
      <c r="B126" s="3">
        <v>5441</v>
      </c>
      <c r="C126" s="1">
        <v>394</v>
      </c>
      <c r="D126" s="1">
        <v>1</v>
      </c>
      <c r="E126" s="1">
        <v>32</v>
      </c>
      <c r="F126" s="3">
        <v>607</v>
      </c>
      <c r="G126" s="2">
        <f>(tblCustomers4[[#This Row],[Income]] - AVERAGE(tblCustomers[Income]))/_xlfn.STDEV.S(tblCustomers[Income])</f>
        <v>-2.8767368680050122E-2</v>
      </c>
      <c r="H126" s="2">
        <f>(tblCustomers4[[#This Row],[Limit]] - AVERAGE(tblCustomers[Limit]))/_xlfn.STDEV.S(tblCustomers[Limit])</f>
        <v>0.30560625257690871</v>
      </c>
      <c r="I126" s="2">
        <f>(tblCustomers4[[#This Row],[Rating]] - AVERAGE(tblCustomers[Rating]))/_xlfn.STDEV.S(tblCustomers[Rating])</f>
        <v>0.25244929036745528</v>
      </c>
    </row>
    <row r="127" spans="1:9" x14ac:dyDescent="0.2">
      <c r="A127" s="2">
        <v>16.478999999999999</v>
      </c>
      <c r="B127" s="3">
        <v>5435</v>
      </c>
      <c r="C127" s="1">
        <v>388</v>
      </c>
      <c r="D127" s="1">
        <v>2</v>
      </c>
      <c r="E127" s="1">
        <v>26</v>
      </c>
      <c r="F127" s="3">
        <v>937</v>
      </c>
      <c r="G127" s="2">
        <f>(tblCustomers4[[#This Row],[Income]] - AVERAGE(tblCustomers[Income]))/_xlfn.STDEV.S(tblCustomers[Income])</f>
        <v>-0.81544836704089474</v>
      </c>
      <c r="H127" s="2">
        <f>(tblCustomers4[[#This Row],[Limit]] - AVERAGE(tblCustomers[Limit]))/_xlfn.STDEV.S(tblCustomers[Limit])</f>
        <v>0.30300682315323213</v>
      </c>
      <c r="I127" s="2">
        <f>(tblCustomers4[[#This Row],[Rating]] - AVERAGE(tblCustomers[Rating]))/_xlfn.STDEV.S(tblCustomers[Rating])</f>
        <v>0.21367059753067258</v>
      </c>
    </row>
    <row r="128" spans="1:9" x14ac:dyDescent="0.2">
      <c r="A128" s="2">
        <v>23.375</v>
      </c>
      <c r="B128" s="3">
        <v>5429</v>
      </c>
      <c r="C128" s="1">
        <v>396</v>
      </c>
      <c r="D128" s="1">
        <v>3</v>
      </c>
      <c r="E128" s="1">
        <v>57</v>
      </c>
      <c r="F128" s="3">
        <v>844</v>
      </c>
      <c r="G128" s="2">
        <f>(tblCustomers4[[#This Row],[Income]] - AVERAGE(tblCustomers[Income]))/_xlfn.STDEV.S(tblCustomers[Income])</f>
        <v>-0.61978537329147598</v>
      </c>
      <c r="H128" s="2">
        <f>(tblCustomers4[[#This Row],[Limit]] - AVERAGE(tblCustomers[Limit]))/_xlfn.STDEV.S(tblCustomers[Limit])</f>
        <v>0.30040739372955555</v>
      </c>
      <c r="I128" s="2">
        <f>(tblCustomers4[[#This Row],[Rating]] - AVERAGE(tblCustomers[Rating]))/_xlfn.STDEV.S(tblCustomers[Rating])</f>
        <v>0.26537552131304948</v>
      </c>
    </row>
    <row r="129" spans="1:9" x14ac:dyDescent="0.2">
      <c r="A129" s="2">
        <v>12.456</v>
      </c>
      <c r="B129" s="3">
        <v>5395</v>
      </c>
      <c r="C129" s="1">
        <v>392</v>
      </c>
      <c r="D129" s="1">
        <v>3</v>
      </c>
      <c r="E129" s="1">
        <v>65</v>
      </c>
      <c r="F129" s="3">
        <v>955</v>
      </c>
      <c r="G129" s="2">
        <f>(tblCustomers4[[#This Row],[Income]] - AVERAGE(tblCustomers[Income]))/_xlfn.STDEV.S(tblCustomers[Income])</f>
        <v>-0.92959457119604438</v>
      </c>
      <c r="H129" s="2">
        <f>(tblCustomers4[[#This Row],[Limit]] - AVERAGE(tblCustomers[Limit]))/_xlfn.STDEV.S(tblCustomers[Limit])</f>
        <v>0.28567729366205497</v>
      </c>
      <c r="I129" s="2">
        <f>(tblCustomers4[[#This Row],[Rating]] - AVERAGE(tblCustomers[Rating]))/_xlfn.STDEV.S(tblCustomers[Rating])</f>
        <v>0.23952305942186103</v>
      </c>
    </row>
    <row r="130" spans="1:9" x14ac:dyDescent="0.2">
      <c r="A130" s="2">
        <v>16.103000000000002</v>
      </c>
      <c r="B130" s="3">
        <v>5390</v>
      </c>
      <c r="C130" s="1">
        <v>418</v>
      </c>
      <c r="D130" s="1">
        <v>4</v>
      </c>
      <c r="E130" s="1">
        <v>45</v>
      </c>
      <c r="F130" s="3">
        <v>945</v>
      </c>
      <c r="G130" s="2">
        <f>(tblCustomers4[[#This Row],[Income]] - AVERAGE(tblCustomers[Income]))/_xlfn.STDEV.S(tblCustomers[Income])</f>
        <v>-0.82611676693210423</v>
      </c>
      <c r="H130" s="2">
        <f>(tblCustomers4[[#This Row],[Limit]] - AVERAGE(tblCustomers[Limit]))/_xlfn.STDEV.S(tblCustomers[Limit])</f>
        <v>0.28351110247565786</v>
      </c>
      <c r="I130" s="2">
        <f>(tblCustomers4[[#This Row],[Rating]] - AVERAGE(tblCustomers[Rating]))/_xlfn.STDEV.S(tblCustomers[Rating])</f>
        <v>0.40756406171458598</v>
      </c>
    </row>
    <row r="131" spans="1:9" x14ac:dyDescent="0.2">
      <c r="A131" s="2">
        <v>23.882999999999999</v>
      </c>
      <c r="B131" s="3">
        <v>5384</v>
      </c>
      <c r="C131" s="1">
        <v>398</v>
      </c>
      <c r="D131" s="1">
        <v>2</v>
      </c>
      <c r="E131" s="1">
        <v>73</v>
      </c>
      <c r="F131" s="3">
        <v>802</v>
      </c>
      <c r="G131" s="2">
        <f>(tblCustomers4[[#This Row],[Income]] - AVERAGE(tblCustomers[Income]))/_xlfn.STDEV.S(tblCustomers[Income])</f>
        <v>-0.60537168407675657</v>
      </c>
      <c r="H131" s="2">
        <f>(tblCustomers4[[#This Row],[Limit]] - AVERAGE(tblCustomers[Limit]))/_xlfn.STDEV.S(tblCustomers[Limit])</f>
        <v>0.28091167305198128</v>
      </c>
      <c r="I131" s="2">
        <f>(tblCustomers4[[#This Row],[Rating]] - AVERAGE(tblCustomers[Rating]))/_xlfn.STDEV.S(tblCustomers[Rating])</f>
        <v>0.27830175225864373</v>
      </c>
    </row>
    <row r="132" spans="1:9" x14ac:dyDescent="0.2">
      <c r="A132" s="2">
        <v>14.311999999999999</v>
      </c>
      <c r="B132" s="3">
        <v>5382</v>
      </c>
      <c r="C132" s="1">
        <v>367</v>
      </c>
      <c r="D132" s="1">
        <v>1</v>
      </c>
      <c r="E132" s="1">
        <v>59</v>
      </c>
      <c r="F132" s="3">
        <v>1380</v>
      </c>
      <c r="G132" s="2">
        <f>(tblCustomers4[[#This Row],[Income]] - AVERAGE(tblCustomers[Income]))/_xlfn.STDEV.S(tblCustomers[Income])</f>
        <v>-0.87693353343517999</v>
      </c>
      <c r="H132" s="2">
        <f>(tblCustomers4[[#This Row],[Limit]] - AVERAGE(tblCustomers[Limit]))/_xlfn.STDEV.S(tblCustomers[Limit])</f>
        <v>0.28004519657742244</v>
      </c>
      <c r="I132" s="2">
        <f>(tblCustomers4[[#This Row],[Rating]] - AVERAGE(tblCustomers[Rating]))/_xlfn.STDEV.S(tblCustomers[Rating])</f>
        <v>7.7945172601933205E-2</v>
      </c>
    </row>
    <row r="133" spans="1:9" x14ac:dyDescent="0.2">
      <c r="A133" s="2">
        <v>21.550999999999998</v>
      </c>
      <c r="B133" s="3">
        <v>5380</v>
      </c>
      <c r="C133" s="1">
        <v>420</v>
      </c>
      <c r="D133" s="1">
        <v>5</v>
      </c>
      <c r="E133" s="1">
        <v>51</v>
      </c>
      <c r="F133" s="3">
        <v>907</v>
      </c>
      <c r="G133" s="2">
        <f>(tblCustomers4[[#This Row],[Income]] - AVERAGE(tblCustomers[Income]))/_xlfn.STDEV.S(tblCustomers[Income])</f>
        <v>-0.671538462125429</v>
      </c>
      <c r="H133" s="2">
        <f>(tblCustomers4[[#This Row],[Limit]] - AVERAGE(tblCustomers[Limit]))/_xlfn.STDEV.S(tblCustomers[Limit])</f>
        <v>0.27917872010286354</v>
      </c>
      <c r="I133" s="2">
        <f>(tblCustomers4[[#This Row],[Rating]] - AVERAGE(tblCustomers[Rating]))/_xlfn.STDEV.S(tblCustomers[Rating])</f>
        <v>0.42049029266018023</v>
      </c>
    </row>
    <row r="134" spans="1:9" x14ac:dyDescent="0.2">
      <c r="A134" s="2">
        <v>55.411999999999999</v>
      </c>
      <c r="B134" s="3">
        <v>5354</v>
      </c>
      <c r="C134" s="1">
        <v>383</v>
      </c>
      <c r="D134" s="1">
        <v>2</v>
      </c>
      <c r="E134" s="1">
        <v>37</v>
      </c>
      <c r="F134" s="3">
        <v>1003</v>
      </c>
      <c r="G134" s="2">
        <f>(tblCustomers4[[#This Row],[Income]] - AVERAGE(tblCustomers[Income]))/_xlfn.STDEV.S(tblCustomers[Income])</f>
        <v>0.28921336956672139</v>
      </c>
      <c r="H134" s="2">
        <f>(tblCustomers4[[#This Row],[Limit]] - AVERAGE(tblCustomers[Limit]))/_xlfn.STDEV.S(tblCustomers[Limit])</f>
        <v>0.26791452593359844</v>
      </c>
      <c r="I134" s="2">
        <f>(tblCustomers4[[#This Row],[Rating]] - AVERAGE(tblCustomers[Rating]))/_xlfn.STDEV.S(tblCustomers[Rating])</f>
        <v>0.181355020166687</v>
      </c>
    </row>
    <row r="135" spans="1:9" x14ac:dyDescent="0.2">
      <c r="A135" s="2">
        <v>55.186999999999998</v>
      </c>
      <c r="B135" s="3">
        <v>5352</v>
      </c>
      <c r="C135" s="1">
        <v>385</v>
      </c>
      <c r="D135" s="1">
        <v>4</v>
      </c>
      <c r="E135" s="1">
        <v>50</v>
      </c>
      <c r="F135" s="3">
        <v>538</v>
      </c>
      <c r="G135" s="2">
        <f>(tblCustomers4[[#This Row],[Income]] - AVERAGE(tblCustomers[Income]))/_xlfn.STDEV.S(tblCustomers[Income])</f>
        <v>0.28282935367437517</v>
      </c>
      <c r="H135" s="2">
        <f>(tblCustomers4[[#This Row],[Limit]] - AVERAGE(tblCustomers[Limit]))/_xlfn.STDEV.S(tblCustomers[Limit])</f>
        <v>0.26704804945903954</v>
      </c>
      <c r="I135" s="2">
        <f>(tblCustomers4[[#This Row],[Rating]] - AVERAGE(tblCustomers[Rating]))/_xlfn.STDEV.S(tblCustomers[Rating])</f>
        <v>0.19428125111228123</v>
      </c>
    </row>
    <row r="136" spans="1:9" x14ac:dyDescent="0.2">
      <c r="A136" s="2">
        <v>23.949000000000002</v>
      </c>
      <c r="B136" s="3">
        <v>5343</v>
      </c>
      <c r="C136" s="1">
        <v>383</v>
      </c>
      <c r="D136" s="1">
        <v>2</v>
      </c>
      <c r="E136" s="1">
        <v>40</v>
      </c>
      <c r="F136" s="3">
        <v>829</v>
      </c>
      <c r="G136" s="2">
        <f>(tblCustomers4[[#This Row],[Income]] - AVERAGE(tblCustomers[Income]))/_xlfn.STDEV.S(tblCustomers[Income])</f>
        <v>-0.60349903941500171</v>
      </c>
      <c r="H136" s="2">
        <f>(tblCustomers4[[#This Row],[Limit]] - AVERAGE(tblCustomers[Limit]))/_xlfn.STDEV.S(tblCustomers[Limit])</f>
        <v>0.2631489053235247</v>
      </c>
      <c r="I136" s="2">
        <f>(tblCustomers4[[#This Row],[Rating]] - AVERAGE(tblCustomers[Rating]))/_xlfn.STDEV.S(tblCustomers[Rating])</f>
        <v>0.181355020166687</v>
      </c>
    </row>
    <row r="137" spans="1:9" x14ac:dyDescent="0.2">
      <c r="A137" s="2">
        <v>53.401000000000003</v>
      </c>
      <c r="B137" s="3">
        <v>5319</v>
      </c>
      <c r="C137" s="1">
        <v>377</v>
      </c>
      <c r="D137" s="1">
        <v>3</v>
      </c>
      <c r="E137" s="1">
        <v>35</v>
      </c>
      <c r="F137" s="3">
        <v>541</v>
      </c>
      <c r="G137" s="2">
        <f>(tblCustomers4[[#This Row],[Income]] - AVERAGE(tblCustomers[Income]))/_xlfn.STDEV.S(tblCustomers[Income])</f>
        <v>0.23215445419112968</v>
      </c>
      <c r="H137" s="2">
        <f>(tblCustomers4[[#This Row],[Limit]] - AVERAGE(tblCustomers[Limit]))/_xlfn.STDEV.S(tblCustomers[Limit])</f>
        <v>0.25275118762881843</v>
      </c>
      <c r="I137" s="2">
        <f>(tblCustomers4[[#This Row],[Rating]] - AVERAGE(tblCustomers[Rating]))/_xlfn.STDEV.S(tblCustomers[Rating])</f>
        <v>0.14257632732990433</v>
      </c>
    </row>
    <row r="138" spans="1:9" x14ac:dyDescent="0.2">
      <c r="A138" s="2">
        <v>57.337000000000003</v>
      </c>
      <c r="B138" s="3">
        <v>5310</v>
      </c>
      <c r="C138" s="1">
        <v>392</v>
      </c>
      <c r="D138" s="1">
        <v>2</v>
      </c>
      <c r="E138" s="1">
        <v>45</v>
      </c>
      <c r="F138" s="3">
        <v>456</v>
      </c>
      <c r="G138" s="2">
        <f>(tblCustomers4[[#This Row],[Income]] - AVERAGE(tblCustomers[Income]))/_xlfn.STDEV.S(tblCustomers[Income])</f>
        <v>0.34383217220123874</v>
      </c>
      <c r="H138" s="2">
        <f>(tblCustomers4[[#This Row],[Limit]] - AVERAGE(tblCustomers[Limit]))/_xlfn.STDEV.S(tblCustomers[Limit])</f>
        <v>0.24885204349330356</v>
      </c>
      <c r="I138" s="2">
        <f>(tblCustomers4[[#This Row],[Rating]] - AVERAGE(tblCustomers[Rating]))/_xlfn.STDEV.S(tblCustomers[Rating])</f>
        <v>0.23952305942186103</v>
      </c>
    </row>
    <row r="139" spans="1:9" x14ac:dyDescent="0.2">
      <c r="A139" s="2">
        <v>29.567</v>
      </c>
      <c r="B139" s="3">
        <v>5309</v>
      </c>
      <c r="C139" s="1">
        <v>397</v>
      </c>
      <c r="D139" s="1">
        <v>3</v>
      </c>
      <c r="E139" s="1">
        <v>25</v>
      </c>
      <c r="F139" s="3">
        <v>799</v>
      </c>
      <c r="G139" s="2">
        <f>(tblCustomers4[[#This Row],[Income]] - AVERAGE(tblCustomers[Income]))/_xlfn.STDEV.S(tblCustomers[Income])</f>
        <v>-0.4440972559341092</v>
      </c>
      <c r="H139" s="2">
        <f>(tblCustomers4[[#This Row],[Limit]] - AVERAGE(tblCustomers[Limit]))/_xlfn.STDEV.S(tblCustomers[Limit])</f>
        <v>0.24841880525602414</v>
      </c>
      <c r="I139" s="2">
        <f>(tblCustomers4[[#This Row],[Rating]] - AVERAGE(tblCustomers[Rating]))/_xlfn.STDEV.S(tblCustomers[Rating])</f>
        <v>0.27183863678584658</v>
      </c>
    </row>
    <row r="140" spans="1:9" x14ac:dyDescent="0.2">
      <c r="A140" s="2">
        <v>80.616</v>
      </c>
      <c r="B140" s="3">
        <v>5308</v>
      </c>
      <c r="C140" s="1">
        <v>394</v>
      </c>
      <c r="D140" s="1">
        <v>1</v>
      </c>
      <c r="E140" s="1">
        <v>57</v>
      </c>
      <c r="F140" s="3">
        <v>204</v>
      </c>
      <c r="G140" s="2">
        <f>(tblCustomers4[[#This Row],[Income]] - AVERAGE(tblCustomers[Income]))/_xlfn.STDEV.S(tblCustomers[Income])</f>
        <v>1.0043366431253569</v>
      </c>
      <c r="H140" s="2">
        <f>(tblCustomers4[[#This Row],[Limit]] - AVERAGE(tblCustomers[Limit]))/_xlfn.STDEV.S(tblCustomers[Limit])</f>
        <v>0.24798556701874472</v>
      </c>
      <c r="I140" s="2">
        <f>(tblCustomers4[[#This Row],[Rating]] - AVERAGE(tblCustomers[Rating]))/_xlfn.STDEV.S(tblCustomers[Rating])</f>
        <v>0.25244929036745528</v>
      </c>
    </row>
    <row r="141" spans="1:9" x14ac:dyDescent="0.2">
      <c r="A141" s="2">
        <v>41.365000000000002</v>
      </c>
      <c r="B141" s="3">
        <v>5303</v>
      </c>
      <c r="C141" s="1">
        <v>377</v>
      </c>
      <c r="D141" s="1">
        <v>1</v>
      </c>
      <c r="E141" s="1">
        <v>45</v>
      </c>
      <c r="F141" s="3">
        <v>606</v>
      </c>
      <c r="G141" s="2">
        <f>(tblCustomers4[[#This Row],[Income]] - AVERAGE(tblCustomers[Income]))/_xlfn.STDEV.S(tblCustomers[Income])</f>
        <v>-0.10934783594344173</v>
      </c>
      <c r="H141" s="2">
        <f>(tblCustomers4[[#This Row],[Limit]] - AVERAGE(tblCustomers[Limit]))/_xlfn.STDEV.S(tblCustomers[Limit])</f>
        <v>0.24581937583234756</v>
      </c>
      <c r="I141" s="2">
        <f>(tblCustomers4[[#This Row],[Rating]] - AVERAGE(tblCustomers[Rating]))/_xlfn.STDEV.S(tblCustomers[Rating])</f>
        <v>0.14257632732990433</v>
      </c>
    </row>
    <row r="142" spans="1:9" x14ac:dyDescent="0.2">
      <c r="A142" s="2">
        <v>51.872</v>
      </c>
      <c r="B142" s="3">
        <v>5294</v>
      </c>
      <c r="C142" s="1">
        <v>390</v>
      </c>
      <c r="D142" s="1">
        <v>4</v>
      </c>
      <c r="E142" s="1">
        <v>81</v>
      </c>
      <c r="F142" s="3">
        <v>531</v>
      </c>
      <c r="G142" s="2">
        <f>(tblCustomers4[[#This Row],[Income]] - AVERAGE(tblCustomers[Income]))/_xlfn.STDEV.S(tblCustomers[Income])</f>
        <v>0.18877151952714158</v>
      </c>
      <c r="H142" s="2">
        <f>(tblCustomers4[[#This Row],[Limit]] - AVERAGE(tblCustomers[Limit]))/_xlfn.STDEV.S(tblCustomers[Limit])</f>
        <v>0.24192023169683272</v>
      </c>
      <c r="I142" s="2">
        <f>(tblCustomers4[[#This Row],[Rating]] - AVERAGE(tblCustomers[Rating]))/_xlfn.STDEV.S(tblCustomers[Rating])</f>
        <v>0.2265968284762668</v>
      </c>
    </row>
    <row r="143" spans="1:9" x14ac:dyDescent="0.2">
      <c r="A143" s="2">
        <v>34.908999999999999</v>
      </c>
      <c r="B143" s="3">
        <v>5289</v>
      </c>
      <c r="C143" s="1">
        <v>410</v>
      </c>
      <c r="D143" s="1">
        <v>2</v>
      </c>
      <c r="E143" s="1">
        <v>62</v>
      </c>
      <c r="F143" s="3">
        <v>681</v>
      </c>
      <c r="G143" s="2">
        <f>(tblCustomers4[[#This Row],[Income]] - AVERAGE(tblCustomers[Income]))/_xlfn.STDEV.S(tblCustomers[Income])</f>
        <v>-0.29252653194782807</v>
      </c>
      <c r="H143" s="2">
        <f>(tblCustomers4[[#This Row],[Limit]] - AVERAGE(tblCustomers[Limit]))/_xlfn.STDEV.S(tblCustomers[Limit])</f>
        <v>0.23975404051043556</v>
      </c>
      <c r="I143" s="2">
        <f>(tblCustomers4[[#This Row],[Rating]] - AVERAGE(tblCustomers[Rating]))/_xlfn.STDEV.S(tblCustomers[Rating])</f>
        <v>0.35585913793220908</v>
      </c>
    </row>
    <row r="144" spans="1:9" x14ac:dyDescent="0.2">
      <c r="A144" s="2">
        <v>16.710999999999999</v>
      </c>
      <c r="B144" s="3">
        <v>5274</v>
      </c>
      <c r="C144" s="1">
        <v>387</v>
      </c>
      <c r="D144" s="1">
        <v>3</v>
      </c>
      <c r="E144" s="1">
        <v>42</v>
      </c>
      <c r="F144" s="3">
        <v>863</v>
      </c>
      <c r="G144" s="2">
        <f>(tblCustomers4[[#This Row],[Income]] - AVERAGE(tblCustomers[Income]))/_xlfn.STDEV.S(tblCustomers[Income])</f>
        <v>-0.8088657373207867</v>
      </c>
      <c r="H144" s="2">
        <f>(tblCustomers4[[#This Row],[Limit]] - AVERAGE(tblCustomers[Limit]))/_xlfn.STDEV.S(tblCustomers[Limit])</f>
        <v>0.23325546695124413</v>
      </c>
      <c r="I144" s="2">
        <f>(tblCustomers4[[#This Row],[Rating]] - AVERAGE(tblCustomers[Rating]))/_xlfn.STDEV.S(tblCustomers[Rating])</f>
        <v>0.20720748205787548</v>
      </c>
    </row>
    <row r="145" spans="1:9" x14ac:dyDescent="0.2">
      <c r="A145" s="2">
        <v>39.421999999999997</v>
      </c>
      <c r="B145" s="3">
        <v>5245</v>
      </c>
      <c r="C145" s="1">
        <v>383</v>
      </c>
      <c r="D145" s="1">
        <v>2</v>
      </c>
      <c r="E145" s="1">
        <v>44</v>
      </c>
      <c r="F145" s="3">
        <v>637</v>
      </c>
      <c r="G145" s="2">
        <f>(tblCustomers4[[#This Row],[Income]] - AVERAGE(tblCustomers[Income]))/_xlfn.STDEV.S(tblCustomers[Income])</f>
        <v>-0.16447735984934683</v>
      </c>
      <c r="H145" s="2">
        <f>(tblCustomers4[[#This Row],[Limit]] - AVERAGE(tblCustomers[Limit]))/_xlfn.STDEV.S(tblCustomers[Limit])</f>
        <v>0.22069155807014071</v>
      </c>
      <c r="I145" s="2">
        <f>(tblCustomers4[[#This Row],[Rating]] - AVERAGE(tblCustomers[Rating]))/_xlfn.STDEV.S(tblCustomers[Rating])</f>
        <v>0.181355020166687</v>
      </c>
    </row>
    <row r="146" spans="1:9" x14ac:dyDescent="0.2">
      <c r="A146" s="2">
        <v>62.328000000000003</v>
      </c>
      <c r="B146" s="3">
        <v>5228</v>
      </c>
      <c r="C146" s="1">
        <v>377</v>
      </c>
      <c r="D146" s="1">
        <v>3</v>
      </c>
      <c r="E146" s="1">
        <v>83</v>
      </c>
      <c r="F146" s="3">
        <v>380</v>
      </c>
      <c r="G146" s="2">
        <f>(tblCustomers4[[#This Row],[Income]] - AVERAGE(tblCustomers[Income]))/_xlfn.STDEV.S(tblCustomers[Income])</f>
        <v>0.48544383139545988</v>
      </c>
      <c r="H146" s="2">
        <f>(tblCustomers4[[#This Row],[Limit]] - AVERAGE(tblCustomers[Limit]))/_xlfn.STDEV.S(tblCustomers[Limit])</f>
        <v>0.21332650803639044</v>
      </c>
      <c r="I146" s="2">
        <f>(tblCustomers4[[#This Row],[Rating]] - AVERAGE(tblCustomers[Rating]))/_xlfn.STDEV.S(tblCustomers[Rating])</f>
        <v>0.14257632732990433</v>
      </c>
    </row>
    <row r="147" spans="1:9" x14ac:dyDescent="0.2">
      <c r="A147" s="2">
        <v>27.824999999999999</v>
      </c>
      <c r="B147" s="3">
        <v>5227</v>
      </c>
      <c r="C147" s="1">
        <v>386</v>
      </c>
      <c r="D147" s="1">
        <v>6</v>
      </c>
      <c r="E147" s="1">
        <v>63</v>
      </c>
      <c r="F147" s="3">
        <v>823</v>
      </c>
      <c r="G147" s="2">
        <f>(tblCustomers4[[#This Row],[Income]] - AVERAGE(tblCustomers[Income]))/_xlfn.STDEV.S(tblCustomers[Income])</f>
        <v>-0.49352372564285163</v>
      </c>
      <c r="H147" s="2">
        <f>(tblCustomers4[[#This Row],[Limit]] - AVERAGE(tblCustomers[Limit]))/_xlfn.STDEV.S(tblCustomers[Limit])</f>
        <v>0.212893269799111</v>
      </c>
      <c r="I147" s="2">
        <f>(tblCustomers4[[#This Row],[Rating]] - AVERAGE(tblCustomers[Rating]))/_xlfn.STDEV.S(tblCustomers[Rating])</f>
        <v>0.20074436658507835</v>
      </c>
    </row>
    <row r="148" spans="1:9" x14ac:dyDescent="0.2">
      <c r="A148" s="2">
        <v>38.954000000000001</v>
      </c>
      <c r="B148" s="3">
        <v>5222</v>
      </c>
      <c r="C148" s="1">
        <v>370</v>
      </c>
      <c r="D148" s="1">
        <v>4</v>
      </c>
      <c r="E148" s="1">
        <v>76</v>
      </c>
      <c r="F148" s="3">
        <v>653</v>
      </c>
      <c r="G148" s="2">
        <f>(tblCustomers4[[#This Row],[Income]] - AVERAGE(tblCustomers[Income]))/_xlfn.STDEV.S(tblCustomers[Income])</f>
        <v>-0.17775611290542678</v>
      </c>
      <c r="H148" s="2">
        <f>(tblCustomers4[[#This Row],[Limit]] - AVERAGE(tblCustomers[Limit]))/_xlfn.STDEV.S(tblCustomers[Limit])</f>
        <v>0.21072707861271386</v>
      </c>
      <c r="I148" s="2">
        <f>(tblCustomers4[[#This Row],[Rating]] - AVERAGE(tblCustomers[Rating]))/_xlfn.STDEV.S(tblCustomers[Rating])</f>
        <v>9.7334519020324542E-2</v>
      </c>
    </row>
    <row r="149" spans="1:9" x14ac:dyDescent="0.2">
      <c r="A149" s="2">
        <v>48.218000000000004</v>
      </c>
      <c r="B149" s="3">
        <v>5199</v>
      </c>
      <c r="C149" s="1">
        <v>401</v>
      </c>
      <c r="D149" s="1">
        <v>7</v>
      </c>
      <c r="E149" s="1">
        <v>39</v>
      </c>
      <c r="F149" s="3">
        <v>633</v>
      </c>
      <c r="G149" s="2">
        <f>(tblCustomers4[[#This Row],[Income]] - AVERAGE(tblCustomers[Income]))/_xlfn.STDEV.S(tblCustomers[Income])</f>
        <v>8.5095101435439802E-2</v>
      </c>
      <c r="H149" s="2">
        <f>(tblCustomers4[[#This Row],[Limit]] - AVERAGE(tblCustomers[Limit]))/_xlfn.STDEV.S(tblCustomers[Limit])</f>
        <v>0.20076259915528699</v>
      </c>
      <c r="I149" s="2">
        <f>(tblCustomers4[[#This Row],[Rating]] - AVERAGE(tblCustomers[Rating]))/_xlfn.STDEV.S(tblCustomers[Rating])</f>
        <v>0.29769109867703503</v>
      </c>
    </row>
    <row r="150" spans="1:9" x14ac:dyDescent="0.2">
      <c r="A150" s="2">
        <v>35.51</v>
      </c>
      <c r="B150" s="3">
        <v>5198</v>
      </c>
      <c r="C150" s="1">
        <v>364</v>
      </c>
      <c r="D150" s="1">
        <v>2</v>
      </c>
      <c r="E150" s="1">
        <v>35</v>
      </c>
      <c r="F150" s="3">
        <v>631</v>
      </c>
      <c r="G150" s="2">
        <f>(tblCustomers4[[#This Row],[Income]] - AVERAGE(tblCustomers[Income]))/_xlfn.STDEV.S(tblCustomers[Income])</f>
        <v>-0.27547411616427231</v>
      </c>
      <c r="H150" s="2">
        <f>(tblCustomers4[[#This Row],[Limit]] - AVERAGE(tblCustomers[Limit]))/_xlfn.STDEV.S(tblCustomers[Limit])</f>
        <v>0.20032936091800757</v>
      </c>
      <c r="I150" s="2">
        <f>(tblCustomers4[[#This Row],[Rating]] - AVERAGE(tblCustomers[Rating]))/_xlfn.STDEV.S(tblCustomers[Rating])</f>
        <v>5.8555826183541861E-2</v>
      </c>
    </row>
    <row r="151" spans="1:9" x14ac:dyDescent="0.2">
      <c r="A151" s="2">
        <v>67.936999999999998</v>
      </c>
      <c r="B151" s="3">
        <v>5184</v>
      </c>
      <c r="C151" s="1">
        <v>383</v>
      </c>
      <c r="D151" s="1">
        <v>4</v>
      </c>
      <c r="E151" s="1">
        <v>63</v>
      </c>
      <c r="F151" s="3">
        <v>345</v>
      </c>
      <c r="G151" s="2">
        <f>(tblCustomers4[[#This Row],[Income]] - AVERAGE(tblCustomers[Income]))/_xlfn.STDEV.S(tblCustomers[Income])</f>
        <v>0.64459025424065841</v>
      </c>
      <c r="H151" s="2">
        <f>(tblCustomers4[[#This Row],[Limit]] - AVERAGE(tblCustomers[Limit]))/_xlfn.STDEV.S(tblCustomers[Limit])</f>
        <v>0.19426402559609557</v>
      </c>
      <c r="I151" s="2">
        <f>(tblCustomers4[[#This Row],[Rating]] - AVERAGE(tblCustomers[Rating]))/_xlfn.STDEV.S(tblCustomers[Rating])</f>
        <v>0.181355020166687</v>
      </c>
    </row>
    <row r="152" spans="1:9" x14ac:dyDescent="0.2">
      <c r="A152" s="2">
        <v>36.362000000000002</v>
      </c>
      <c r="B152" s="3">
        <v>5183</v>
      </c>
      <c r="C152" s="1">
        <v>376</v>
      </c>
      <c r="D152" s="1">
        <v>3</v>
      </c>
      <c r="E152" s="1">
        <v>49</v>
      </c>
      <c r="F152" s="3">
        <v>654</v>
      </c>
      <c r="G152" s="2">
        <f>(tblCustomers4[[#This Row],[Income]] - AVERAGE(tblCustomers[Income]))/_xlfn.STDEV.S(tblCustomers[Income])</f>
        <v>-0.25129997598525466</v>
      </c>
      <c r="H152" s="2">
        <f>(tblCustomers4[[#This Row],[Limit]] - AVERAGE(tblCustomers[Limit]))/_xlfn.STDEV.S(tblCustomers[Limit])</f>
        <v>0.19383078735881615</v>
      </c>
      <c r="I152" s="2">
        <f>(tblCustomers4[[#This Row],[Rating]] - AVERAGE(tblCustomers[Rating]))/_xlfn.STDEV.S(tblCustomers[Rating])</f>
        <v>0.13611321185710723</v>
      </c>
    </row>
    <row r="153" spans="1:9" x14ac:dyDescent="0.2">
      <c r="A153" s="2">
        <v>85.424999999999997</v>
      </c>
      <c r="B153" s="3">
        <v>5182</v>
      </c>
      <c r="C153" s="1">
        <v>402</v>
      </c>
      <c r="D153" s="1">
        <v>6</v>
      </c>
      <c r="E153" s="1">
        <v>60</v>
      </c>
      <c r="F153" s="3">
        <v>218</v>
      </c>
      <c r="G153" s="2">
        <f>(tblCustomers4[[#This Row],[Income]] - AVERAGE(tblCustomers[Income]))/_xlfn.STDEV.S(tblCustomers[Income])</f>
        <v>1.1407843427977691</v>
      </c>
      <c r="H153" s="2">
        <f>(tblCustomers4[[#This Row],[Limit]] - AVERAGE(tblCustomers[Limit]))/_xlfn.STDEV.S(tblCustomers[Limit])</f>
        <v>0.19339754912153673</v>
      </c>
      <c r="I153" s="2">
        <f>(tblCustomers4[[#This Row],[Rating]] - AVERAGE(tblCustomers[Rating]))/_xlfn.STDEV.S(tblCustomers[Rating])</f>
        <v>0.30415421414983218</v>
      </c>
    </row>
    <row r="154" spans="1:9" x14ac:dyDescent="0.2">
      <c r="A154" s="2">
        <v>46.101999999999997</v>
      </c>
      <c r="B154" s="3">
        <v>5180</v>
      </c>
      <c r="C154" s="1">
        <v>382</v>
      </c>
      <c r="D154" s="1">
        <v>3</v>
      </c>
      <c r="E154" s="1">
        <v>81</v>
      </c>
      <c r="F154" s="3">
        <v>516</v>
      </c>
      <c r="G154" s="2">
        <f>(tblCustomers4[[#This Row],[Income]] - AVERAGE(tblCustomers[Income]))/_xlfn.STDEV.S(tblCustomers[Income])</f>
        <v>2.5056978643419582E-2</v>
      </c>
      <c r="H154" s="2">
        <f>(tblCustomers4[[#This Row],[Limit]] - AVERAGE(tblCustomers[Limit]))/_xlfn.STDEV.S(tblCustomers[Limit])</f>
        <v>0.19253107264697786</v>
      </c>
      <c r="I154" s="2">
        <f>(tblCustomers4[[#This Row],[Rating]] - AVERAGE(tblCustomers[Rating]))/_xlfn.STDEV.S(tblCustomers[Rating])</f>
        <v>0.1748919046938899</v>
      </c>
    </row>
    <row r="155" spans="1:9" x14ac:dyDescent="0.2">
      <c r="A155" s="2">
        <v>64.027000000000001</v>
      </c>
      <c r="B155" s="3">
        <v>5179</v>
      </c>
      <c r="C155" s="1">
        <v>398</v>
      </c>
      <c r="D155" s="1">
        <v>5</v>
      </c>
      <c r="E155" s="1">
        <v>48</v>
      </c>
      <c r="F155" s="3">
        <v>411</v>
      </c>
      <c r="G155" s="2">
        <f>(tblCustomers4[[#This Row],[Income]] - AVERAGE(tblCustomers[Income]))/_xlfn.STDEV.S(tblCustomers[Income])</f>
        <v>0.53365024473366496</v>
      </c>
      <c r="H155" s="2">
        <f>(tblCustomers4[[#This Row],[Limit]] - AVERAGE(tblCustomers[Limit]))/_xlfn.STDEV.S(tblCustomers[Limit])</f>
        <v>0.19209783440969844</v>
      </c>
      <c r="I155" s="2">
        <f>(tblCustomers4[[#This Row],[Rating]] - AVERAGE(tblCustomers[Rating]))/_xlfn.STDEV.S(tblCustomers[Rating])</f>
        <v>0.27830175225864373</v>
      </c>
    </row>
    <row r="156" spans="1:9" x14ac:dyDescent="0.2">
      <c r="A156" s="2">
        <v>60.579000000000001</v>
      </c>
      <c r="B156" s="3">
        <v>5149</v>
      </c>
      <c r="C156" s="1">
        <v>388</v>
      </c>
      <c r="D156" s="1">
        <v>5</v>
      </c>
      <c r="E156" s="1">
        <v>38</v>
      </c>
      <c r="F156" s="3">
        <v>443</v>
      </c>
      <c r="G156" s="2">
        <f>(tblCustomers4[[#This Row],[Income]] - AVERAGE(tblCustomers[Income]))/_xlfn.STDEV.S(tblCustomers[Income])</f>
        <v>0.43581874785895558</v>
      </c>
      <c r="H156" s="2">
        <f>(tblCustomers4[[#This Row],[Limit]] - AVERAGE(tblCustomers[Limit]))/_xlfn.STDEV.S(tblCustomers[Limit])</f>
        <v>0.17910068729131559</v>
      </c>
      <c r="I156" s="2">
        <f>(tblCustomers4[[#This Row],[Rating]] - AVERAGE(tblCustomers[Rating]))/_xlfn.STDEV.S(tblCustomers[Rating])</f>
        <v>0.21367059753067258</v>
      </c>
    </row>
    <row r="157" spans="1:9" x14ac:dyDescent="0.2">
      <c r="A157" s="2">
        <v>48.576999999999998</v>
      </c>
      <c r="B157" s="3">
        <v>5145</v>
      </c>
      <c r="C157" s="1">
        <v>389</v>
      </c>
      <c r="D157" s="1">
        <v>3</v>
      </c>
      <c r="E157" s="1">
        <v>71</v>
      </c>
      <c r="F157" s="3">
        <v>503</v>
      </c>
      <c r="G157" s="2">
        <f>(tblCustomers4[[#This Row],[Income]] - AVERAGE(tblCustomers[Income]))/_xlfn.STDEV.S(tblCustomers[Income])</f>
        <v>9.5281153459227552E-2</v>
      </c>
      <c r="H157" s="2">
        <f>(tblCustomers4[[#This Row],[Limit]] - AVERAGE(tblCustomers[Limit]))/_xlfn.STDEV.S(tblCustomers[Limit])</f>
        <v>0.17736773434219785</v>
      </c>
      <c r="I157" s="2">
        <f>(tblCustomers4[[#This Row],[Rating]] - AVERAGE(tblCustomers[Rating]))/_xlfn.STDEV.S(tblCustomers[Rating])</f>
        <v>0.22013371300346971</v>
      </c>
    </row>
    <row r="158" spans="1:9" x14ac:dyDescent="0.2">
      <c r="A158" s="2">
        <v>65.896000000000001</v>
      </c>
      <c r="B158" s="3">
        <v>5140</v>
      </c>
      <c r="C158" s="1">
        <v>370</v>
      </c>
      <c r="D158" s="1">
        <v>1</v>
      </c>
      <c r="E158" s="1">
        <v>49</v>
      </c>
      <c r="F158" s="3">
        <v>293</v>
      </c>
      <c r="G158" s="2">
        <f>(tblCustomers4[[#This Row],[Income]] - AVERAGE(tblCustomers[Income]))/_xlfn.STDEV.S(tblCustomers[Income])</f>
        <v>0.58668013674608721</v>
      </c>
      <c r="H158" s="2">
        <f>(tblCustomers4[[#This Row],[Limit]] - AVERAGE(tblCustomers[Limit]))/_xlfn.STDEV.S(tblCustomers[Limit])</f>
        <v>0.17520154315580072</v>
      </c>
      <c r="I158" s="2">
        <f>(tblCustomers4[[#This Row],[Rating]] - AVERAGE(tblCustomers[Rating]))/_xlfn.STDEV.S(tblCustomers[Rating])</f>
        <v>9.7334519020324542E-2</v>
      </c>
    </row>
    <row r="159" spans="1:9" x14ac:dyDescent="0.2">
      <c r="A159" s="2">
        <v>61.62</v>
      </c>
      <c r="B159" s="3">
        <v>5140</v>
      </c>
      <c r="C159" s="1">
        <v>374</v>
      </c>
      <c r="D159" s="1">
        <v>1</v>
      </c>
      <c r="E159" s="1">
        <v>71</v>
      </c>
      <c r="F159" s="3">
        <v>302</v>
      </c>
      <c r="G159" s="2">
        <f>(tblCustomers4[[#This Row],[Income]] - AVERAGE(tblCustomers[Income]))/_xlfn.STDEV.S(tblCustomers[Income])</f>
        <v>0.4653554613875438</v>
      </c>
      <c r="H159" s="2">
        <f>(tblCustomers4[[#This Row],[Limit]] - AVERAGE(tblCustomers[Limit]))/_xlfn.STDEV.S(tblCustomers[Limit])</f>
        <v>0.17520154315580072</v>
      </c>
      <c r="I159" s="2">
        <f>(tblCustomers4[[#This Row],[Rating]] - AVERAGE(tblCustomers[Rating]))/_xlfn.STDEV.S(tblCustomers[Rating])</f>
        <v>0.12318698091151299</v>
      </c>
    </row>
    <row r="160" spans="1:9" x14ac:dyDescent="0.2">
      <c r="A160" s="2">
        <v>33.213999999999999</v>
      </c>
      <c r="B160" s="3">
        <v>5137</v>
      </c>
      <c r="C160" s="1">
        <v>387</v>
      </c>
      <c r="D160" s="1">
        <v>3</v>
      </c>
      <c r="E160" s="1">
        <v>59</v>
      </c>
      <c r="F160" s="3">
        <v>661</v>
      </c>
      <c r="G160" s="2">
        <f>(tblCustomers4[[#This Row],[Income]] - AVERAGE(tblCustomers[Income]))/_xlfn.STDEV.S(tblCustomers[Income])</f>
        <v>-0.34061945167016927</v>
      </c>
      <c r="H160" s="2">
        <f>(tblCustomers4[[#This Row],[Limit]] - AVERAGE(tblCustomers[Limit]))/_xlfn.STDEV.S(tblCustomers[Limit])</f>
        <v>0.17390182844396243</v>
      </c>
      <c r="I160" s="2">
        <f>(tblCustomers4[[#This Row],[Rating]] - AVERAGE(tblCustomers[Rating]))/_xlfn.STDEV.S(tblCustomers[Rating])</f>
        <v>0.20720748205787548</v>
      </c>
    </row>
    <row r="161" spans="1:9" x14ac:dyDescent="0.2">
      <c r="A161" s="2">
        <v>17.055</v>
      </c>
      <c r="B161" s="3">
        <v>5110</v>
      </c>
      <c r="C161" s="1">
        <v>371</v>
      </c>
      <c r="D161" s="1">
        <v>3</v>
      </c>
      <c r="E161" s="1">
        <v>55</v>
      </c>
      <c r="F161" s="3">
        <v>805</v>
      </c>
      <c r="G161" s="2">
        <f>(tblCustomers4[[#This Row],[Income]] - AVERAGE(tblCustomers[Income]))/_xlfn.STDEV.S(tblCustomers[Income])</f>
        <v>-0.79910528635648848</v>
      </c>
      <c r="H161" s="2">
        <f>(tblCustomers4[[#This Row],[Limit]] - AVERAGE(tblCustomers[Limit]))/_xlfn.STDEV.S(tblCustomers[Limit])</f>
        <v>0.16220439603741788</v>
      </c>
      <c r="I161" s="2">
        <f>(tblCustomers4[[#This Row],[Rating]] - AVERAGE(tblCustomers[Rating]))/_xlfn.STDEV.S(tblCustomers[Rating])</f>
        <v>0.10379763449312165</v>
      </c>
    </row>
    <row r="162" spans="1:9" x14ac:dyDescent="0.2">
      <c r="A162" s="2">
        <v>27.998999999999999</v>
      </c>
      <c r="B162" s="3">
        <v>5107</v>
      </c>
      <c r="C162" s="1">
        <v>380</v>
      </c>
      <c r="D162" s="1">
        <v>1</v>
      </c>
      <c r="E162" s="1">
        <v>55</v>
      </c>
      <c r="F162" s="3">
        <v>651</v>
      </c>
      <c r="G162" s="2">
        <f>(tblCustomers4[[#This Row],[Income]] - AVERAGE(tblCustomers[Income]))/_xlfn.STDEV.S(tblCustomers[Income])</f>
        <v>-0.48858675335277058</v>
      </c>
      <c r="H162" s="2">
        <f>(tblCustomers4[[#This Row],[Limit]] - AVERAGE(tblCustomers[Limit]))/_xlfn.STDEV.S(tblCustomers[Limit])</f>
        <v>0.16090468132557958</v>
      </c>
      <c r="I162" s="2">
        <f>(tblCustomers4[[#This Row],[Rating]] - AVERAGE(tblCustomers[Rating]))/_xlfn.STDEV.S(tblCustomers[Rating])</f>
        <v>0.16196567374829568</v>
      </c>
    </row>
    <row r="163" spans="1:9" x14ac:dyDescent="0.2">
      <c r="A163" s="2">
        <v>26.161999999999999</v>
      </c>
      <c r="B163" s="3">
        <v>5101</v>
      </c>
      <c r="C163" s="1">
        <v>382</v>
      </c>
      <c r="D163" s="1">
        <v>3</v>
      </c>
      <c r="E163" s="1">
        <v>62</v>
      </c>
      <c r="F163" s="3">
        <v>710</v>
      </c>
      <c r="G163" s="2">
        <f>(tblCustomers4[[#This Row],[Income]] - AVERAGE(tblCustomers[Income]))/_xlfn.STDEV.S(tblCustomers[Income])</f>
        <v>-0.54070869643828134</v>
      </c>
      <c r="H163" s="2">
        <f>(tblCustomers4[[#This Row],[Limit]] - AVERAGE(tblCustomers[Limit]))/_xlfn.STDEV.S(tblCustomers[Limit])</f>
        <v>0.158305251901903</v>
      </c>
      <c r="I163" s="2">
        <f>(tblCustomers4[[#This Row],[Rating]] - AVERAGE(tblCustomers[Rating]))/_xlfn.STDEV.S(tblCustomers[Rating])</f>
        <v>0.1748919046938899</v>
      </c>
    </row>
    <row r="164" spans="1:9" x14ac:dyDescent="0.2">
      <c r="A164" s="2">
        <v>11.186999999999999</v>
      </c>
      <c r="B164" s="3">
        <v>5099</v>
      </c>
      <c r="C164" s="1">
        <v>380</v>
      </c>
      <c r="D164" s="1">
        <v>4</v>
      </c>
      <c r="E164" s="1">
        <v>69</v>
      </c>
      <c r="F164" s="3">
        <v>889</v>
      </c>
      <c r="G164" s="2">
        <f>(tblCustomers4[[#This Row],[Income]] - AVERAGE(tblCustomers[Income]))/_xlfn.STDEV.S(tblCustomers[Income])</f>
        <v>-0.96560042082887676</v>
      </c>
      <c r="H164" s="2">
        <f>(tblCustomers4[[#This Row],[Limit]] - AVERAGE(tblCustomers[Limit]))/_xlfn.STDEV.S(tblCustomers[Limit])</f>
        <v>0.15743877542734416</v>
      </c>
      <c r="I164" s="2">
        <f>(tblCustomers4[[#This Row],[Rating]] - AVERAGE(tblCustomers[Rating]))/_xlfn.STDEV.S(tblCustomers[Rating])</f>
        <v>0.16196567374829568</v>
      </c>
    </row>
    <row r="165" spans="1:9" x14ac:dyDescent="0.2">
      <c r="A165" s="2">
        <v>51.531999999999996</v>
      </c>
      <c r="B165" s="3">
        <v>5096</v>
      </c>
      <c r="C165" s="1">
        <v>380</v>
      </c>
      <c r="D165" s="1">
        <v>2</v>
      </c>
      <c r="E165" s="1">
        <v>31</v>
      </c>
      <c r="F165" s="3">
        <v>481</v>
      </c>
      <c r="G165" s="2">
        <f>(tblCustomers4[[#This Row],[Income]] - AVERAGE(tblCustomers[Income]))/_xlfn.STDEV.S(tblCustomers[Income])</f>
        <v>0.17912456217870726</v>
      </c>
      <c r="H165" s="2">
        <f>(tblCustomers4[[#This Row],[Limit]] - AVERAGE(tblCustomers[Limit]))/_xlfn.STDEV.S(tblCustomers[Limit])</f>
        <v>0.15613906071550587</v>
      </c>
      <c r="I165" s="2">
        <f>(tblCustomers4[[#This Row],[Rating]] - AVERAGE(tblCustomers[Rating]))/_xlfn.STDEV.S(tblCustomers[Rating])</f>
        <v>0.16196567374829568</v>
      </c>
    </row>
    <row r="166" spans="1:9" x14ac:dyDescent="0.2">
      <c r="A166" s="2">
        <v>17.765000000000001</v>
      </c>
      <c r="B166" s="3">
        <v>5072</v>
      </c>
      <c r="C166" s="1">
        <v>364</v>
      </c>
      <c r="D166" s="1">
        <v>1</v>
      </c>
      <c r="E166" s="1">
        <v>66</v>
      </c>
      <c r="F166" s="3">
        <v>732</v>
      </c>
      <c r="G166" s="2">
        <f>(tblCustomers4[[#This Row],[Income]] - AVERAGE(tblCustomers[Income]))/_xlfn.STDEV.S(tblCustomers[Income])</f>
        <v>-0.77896016954064051</v>
      </c>
      <c r="H166" s="2">
        <f>(tblCustomers4[[#This Row],[Limit]] - AVERAGE(tblCustomers[Limit]))/_xlfn.STDEV.S(tblCustomers[Limit])</f>
        <v>0.14574134302079958</v>
      </c>
      <c r="I166" s="2">
        <f>(tblCustomers4[[#This Row],[Rating]] - AVERAGE(tblCustomers[Rating]))/_xlfn.STDEV.S(tblCustomers[Rating])</f>
        <v>5.8555826183541861E-2</v>
      </c>
    </row>
    <row r="167" spans="1:9" x14ac:dyDescent="0.2">
      <c r="A167" s="2">
        <v>24.919</v>
      </c>
      <c r="B167" s="3">
        <v>5051</v>
      </c>
      <c r="C167" s="1">
        <v>372</v>
      </c>
      <c r="D167" s="1">
        <v>3</v>
      </c>
      <c r="E167" s="1">
        <v>76</v>
      </c>
      <c r="F167" s="3">
        <v>711</v>
      </c>
      <c r="G167" s="2">
        <f>(tblCustomers4[[#This Row],[Income]] - AVERAGE(tblCustomers[Income]))/_xlfn.STDEV.S(tblCustomers[Income])</f>
        <v>-0.57597683756799822</v>
      </c>
      <c r="H167" s="2">
        <f>(tblCustomers4[[#This Row],[Limit]] - AVERAGE(tblCustomers[Limit]))/_xlfn.STDEV.S(tblCustomers[Limit])</f>
        <v>0.13664334003793158</v>
      </c>
      <c r="I167" s="2">
        <f>(tblCustomers4[[#This Row],[Rating]] - AVERAGE(tblCustomers[Rating]))/_xlfn.STDEV.S(tblCustomers[Rating])</f>
        <v>0.11026074996591877</v>
      </c>
    </row>
    <row r="168" spans="1:9" x14ac:dyDescent="0.2">
      <c r="A168" s="2">
        <v>19.530999999999999</v>
      </c>
      <c r="B168" s="3">
        <v>5043</v>
      </c>
      <c r="C168" s="1">
        <v>376</v>
      </c>
      <c r="D168" s="1">
        <v>2</v>
      </c>
      <c r="E168" s="1">
        <v>64</v>
      </c>
      <c r="F168" s="3">
        <v>1241</v>
      </c>
      <c r="G168" s="2">
        <f>(tblCustomers4[[#This Row],[Income]] - AVERAGE(tblCustomers[Income]))/_xlfn.STDEV.S(tblCustomers[Income])</f>
        <v>-0.72885273813671458</v>
      </c>
      <c r="H168" s="2">
        <f>(tblCustomers4[[#This Row],[Limit]] - AVERAGE(tblCustomers[Limit]))/_xlfn.STDEV.S(tblCustomers[Limit])</f>
        <v>0.13317743413969615</v>
      </c>
      <c r="I168" s="2">
        <f>(tblCustomers4[[#This Row],[Rating]] - AVERAGE(tblCustomers[Rating]))/_xlfn.STDEV.S(tblCustomers[Rating])</f>
        <v>0.13611321185710723</v>
      </c>
    </row>
    <row r="169" spans="1:9" x14ac:dyDescent="0.2">
      <c r="A169" s="2">
        <v>40.884999999999998</v>
      </c>
      <c r="B169" s="3">
        <v>5013</v>
      </c>
      <c r="C169" s="1">
        <v>379</v>
      </c>
      <c r="D169" s="1">
        <v>3</v>
      </c>
      <c r="E169" s="1">
        <v>46</v>
      </c>
      <c r="F169" s="3">
        <v>549</v>
      </c>
      <c r="G169" s="2">
        <f>(tblCustomers4[[#This Row],[Income]] - AVERAGE(tblCustomers[Income]))/_xlfn.STDEV.S(tblCustomers[Income])</f>
        <v>-0.12296706984711368</v>
      </c>
      <c r="H169" s="2">
        <f>(tblCustomers4[[#This Row],[Limit]] - AVERAGE(tblCustomers[Limit]))/_xlfn.STDEV.S(tblCustomers[Limit])</f>
        <v>0.12018028702131331</v>
      </c>
      <c r="I169" s="2">
        <f>(tblCustomers4[[#This Row],[Rating]] - AVERAGE(tblCustomers[Rating]))/_xlfn.STDEV.S(tblCustomers[Rating])</f>
        <v>0.15550255827549855</v>
      </c>
    </row>
    <row r="170" spans="1:9" x14ac:dyDescent="0.2">
      <c r="A170" s="2">
        <v>41.531999999999996</v>
      </c>
      <c r="B170" s="3">
        <v>5000</v>
      </c>
      <c r="C170" s="1">
        <v>353</v>
      </c>
      <c r="D170" s="1">
        <v>2</v>
      </c>
      <c r="E170" s="1">
        <v>50</v>
      </c>
      <c r="F170" s="3">
        <v>531</v>
      </c>
      <c r="G170" s="2">
        <f>(tblCustomers4[[#This Row],[Income]] - AVERAGE(tblCustomers[Income]))/_xlfn.STDEV.S(tblCustomers[Income])</f>
        <v>-0.10460947748112273</v>
      </c>
      <c r="H170" s="2">
        <f>(tblCustomers4[[#This Row],[Limit]] - AVERAGE(tblCustomers[Limit]))/_xlfn.STDEV.S(tblCustomers[Limit])</f>
        <v>0.11454818993668074</v>
      </c>
      <c r="I170" s="2">
        <f>(tblCustomers4[[#This Row],[Rating]] - AVERAGE(tblCustomers[Rating]))/_xlfn.STDEV.S(tblCustomers[Rating])</f>
        <v>-1.2538444017226385E-2</v>
      </c>
    </row>
    <row r="171" spans="1:9" x14ac:dyDescent="0.2">
      <c r="A171" s="2">
        <v>42.529000000000003</v>
      </c>
      <c r="B171" s="3">
        <v>4986</v>
      </c>
      <c r="C171" s="1">
        <v>369</v>
      </c>
      <c r="D171" s="1">
        <v>2</v>
      </c>
      <c r="E171" s="1">
        <v>37</v>
      </c>
      <c r="F171" s="3">
        <v>489</v>
      </c>
      <c r="G171" s="2">
        <f>(tblCustomers4[[#This Row],[Income]] - AVERAGE(tblCustomers[Income]))/_xlfn.STDEV.S(tblCustomers[Income])</f>
        <v>-7.6321193727037481E-2</v>
      </c>
      <c r="H171" s="2">
        <f>(tblCustomers4[[#This Row],[Limit]] - AVERAGE(tblCustomers[Limit]))/_xlfn.STDEV.S(tblCustomers[Limit])</f>
        <v>0.10848285461476874</v>
      </c>
      <c r="I171" s="2">
        <f>(tblCustomers4[[#This Row],[Rating]] - AVERAGE(tblCustomers[Rating]))/_xlfn.STDEV.S(tblCustomers[Rating])</f>
        <v>9.087140354752743E-2</v>
      </c>
    </row>
    <row r="172" spans="1:9" x14ac:dyDescent="0.2">
      <c r="A172" s="2">
        <v>44.061</v>
      </c>
      <c r="B172" s="3">
        <v>4970</v>
      </c>
      <c r="C172" s="1">
        <v>352</v>
      </c>
      <c r="D172" s="1">
        <v>1</v>
      </c>
      <c r="E172" s="1">
        <v>79</v>
      </c>
      <c r="F172" s="3">
        <v>414</v>
      </c>
      <c r="G172" s="2">
        <f>(tblCustomers4[[#This Row],[Income]] - AVERAGE(tblCustomers[Income]))/_xlfn.STDEV.S(tblCustomers[Income])</f>
        <v>-3.2853138851151625E-2</v>
      </c>
      <c r="H172" s="2">
        <f>(tblCustomers4[[#This Row],[Limit]] - AVERAGE(tblCustomers[Limit]))/_xlfn.STDEV.S(tblCustomers[Limit])</f>
        <v>0.10155104281829788</v>
      </c>
      <c r="I172" s="2">
        <f>(tblCustomers4[[#This Row],[Rating]] - AVERAGE(tblCustomers[Rating]))/_xlfn.STDEV.S(tblCustomers[Rating])</f>
        <v>-1.9001559490023499E-2</v>
      </c>
    </row>
    <row r="173" spans="1:9" x14ac:dyDescent="0.2">
      <c r="A173" s="2">
        <v>59.854999999999997</v>
      </c>
      <c r="B173" s="3">
        <v>4964</v>
      </c>
      <c r="C173" s="1">
        <v>365</v>
      </c>
      <c r="D173" s="1">
        <v>1</v>
      </c>
      <c r="E173" s="1">
        <v>46</v>
      </c>
      <c r="F173" s="3">
        <v>295</v>
      </c>
      <c r="G173" s="2">
        <f>(tblCustomers4[[#This Row],[Income]] - AVERAGE(tblCustomers[Income]))/_xlfn.STDEV.S(tblCustomers[Income])</f>
        <v>0.41527640338758376</v>
      </c>
      <c r="H173" s="2">
        <f>(tblCustomers4[[#This Row],[Limit]] - AVERAGE(tblCustomers[Limit]))/_xlfn.STDEV.S(tblCustomers[Limit])</f>
        <v>9.8951613394621316E-2</v>
      </c>
      <c r="I173" s="2">
        <f>(tblCustomers4[[#This Row],[Rating]] - AVERAGE(tblCustomers[Rating]))/_xlfn.STDEV.S(tblCustomers[Rating])</f>
        <v>6.501894165633898E-2</v>
      </c>
    </row>
    <row r="174" spans="1:9" x14ac:dyDescent="0.2">
      <c r="A174" s="2">
        <v>88.83</v>
      </c>
      <c r="B174" s="3">
        <v>4952</v>
      </c>
      <c r="C174" s="1">
        <v>360</v>
      </c>
      <c r="D174" s="1">
        <v>4</v>
      </c>
      <c r="E174" s="1">
        <v>86</v>
      </c>
      <c r="F174" s="3">
        <v>15</v>
      </c>
      <c r="G174" s="2">
        <f>(tblCustomers4[[#This Row],[Income]] - AVERAGE(tblCustomers[Income]))/_xlfn.STDEV.S(tblCustomers[Income])</f>
        <v>1.2373957833019411</v>
      </c>
      <c r="H174" s="2">
        <f>(tblCustomers4[[#This Row],[Limit]] - AVERAGE(tblCustomers[Limit]))/_xlfn.STDEV.S(tblCustomers[Limit])</f>
        <v>9.3752754547268169E-2</v>
      </c>
      <c r="I174" s="2">
        <f>(tblCustomers4[[#This Row],[Rating]] - AVERAGE(tblCustomers[Rating]))/_xlfn.STDEV.S(tblCustomers[Rating])</f>
        <v>3.2703364292353411E-2</v>
      </c>
    </row>
    <row r="175" spans="1:9" x14ac:dyDescent="0.2">
      <c r="A175" s="2">
        <v>53.216999999999999</v>
      </c>
      <c r="B175" s="3">
        <v>4943</v>
      </c>
      <c r="C175" s="1">
        <v>362</v>
      </c>
      <c r="D175" s="1">
        <v>2</v>
      </c>
      <c r="E175" s="1">
        <v>46</v>
      </c>
      <c r="F175" s="3">
        <v>382</v>
      </c>
      <c r="G175" s="2">
        <f>(tblCustomers4[[#This Row],[Income]] - AVERAGE(tblCustomers[Income]))/_xlfn.STDEV.S(tblCustomers[Income])</f>
        <v>0.22693374786138867</v>
      </c>
      <c r="H175" s="2">
        <f>(tblCustomers4[[#This Row],[Limit]] - AVERAGE(tblCustomers[Limit]))/_xlfn.STDEV.S(tblCustomers[Limit])</f>
        <v>8.9853610411753312E-2</v>
      </c>
      <c r="I175" s="2">
        <f>(tblCustomers4[[#This Row],[Rating]] - AVERAGE(tblCustomers[Rating]))/_xlfn.STDEV.S(tblCustomers[Rating])</f>
        <v>4.5629595237947636E-2</v>
      </c>
    </row>
    <row r="176" spans="1:9" x14ac:dyDescent="0.2">
      <c r="A176" s="2">
        <v>19.349</v>
      </c>
      <c r="B176" s="3">
        <v>4941</v>
      </c>
      <c r="C176" s="1">
        <v>366</v>
      </c>
      <c r="D176" s="1">
        <v>1</v>
      </c>
      <c r="E176" s="1">
        <v>33</v>
      </c>
      <c r="F176" s="3">
        <v>717</v>
      </c>
      <c r="G176" s="2">
        <f>(tblCustomers4[[#This Row],[Income]] - AVERAGE(tblCustomers[Income]))/_xlfn.STDEV.S(tblCustomers[Income])</f>
        <v>-0.73401669765852351</v>
      </c>
      <c r="H176" s="2">
        <f>(tblCustomers4[[#This Row],[Limit]] - AVERAGE(tblCustomers[Limit]))/_xlfn.STDEV.S(tblCustomers[Limit])</f>
        <v>8.8987133937194457E-2</v>
      </c>
      <c r="I176" s="2">
        <f>(tblCustomers4[[#This Row],[Rating]] - AVERAGE(tblCustomers[Rating]))/_xlfn.STDEV.S(tblCustomers[Rating])</f>
        <v>7.1482057129136092E-2</v>
      </c>
    </row>
    <row r="177" spans="1:9" x14ac:dyDescent="0.2">
      <c r="A177" s="2">
        <v>22.939</v>
      </c>
      <c r="B177" s="3">
        <v>4923</v>
      </c>
      <c r="C177" s="1">
        <v>355</v>
      </c>
      <c r="D177" s="1">
        <v>1</v>
      </c>
      <c r="E177" s="1">
        <v>47</v>
      </c>
      <c r="F177" s="3">
        <v>663</v>
      </c>
      <c r="G177" s="2">
        <f>(tblCustomers4[[#This Row],[Income]] - AVERAGE(tblCustomers[Income]))/_xlfn.STDEV.S(tblCustomers[Income])</f>
        <v>-0.63215617742064456</v>
      </c>
      <c r="H177" s="2">
        <f>(tblCustomers4[[#This Row],[Limit]] - AVERAGE(tblCustomers[Limit]))/_xlfn.STDEV.S(tblCustomers[Limit])</f>
        <v>8.1188845666164744E-2</v>
      </c>
      <c r="I177" s="2">
        <f>(tblCustomers4[[#This Row],[Rating]] - AVERAGE(tblCustomers[Rating]))/_xlfn.STDEV.S(tblCustomers[Rating])</f>
        <v>3.8778692836784147E-4</v>
      </c>
    </row>
    <row r="178" spans="1:9" x14ac:dyDescent="0.2">
      <c r="A178" s="2">
        <v>55.881999999999998</v>
      </c>
      <c r="B178" s="3">
        <v>4897</v>
      </c>
      <c r="C178" s="1">
        <v>357</v>
      </c>
      <c r="D178" s="1">
        <v>2</v>
      </c>
      <c r="E178" s="1">
        <v>68</v>
      </c>
      <c r="F178" s="3">
        <v>331</v>
      </c>
      <c r="G178" s="2">
        <f>(tblCustomers4[[#This Row],[Income]] - AVERAGE(tblCustomers[Income]))/_xlfn.STDEV.S(tblCustomers[Income])</f>
        <v>0.30254886943073334</v>
      </c>
      <c r="H178" s="2">
        <f>(tblCustomers4[[#This Row],[Limit]] - AVERAGE(tblCustomers[Limit]))/_xlfn.STDEV.S(tblCustomers[Limit])</f>
        <v>6.9924651496899595E-2</v>
      </c>
      <c r="I178" s="2">
        <f>(tblCustomers4[[#This Row],[Rating]] - AVERAGE(tblCustomers[Rating]))/_xlfn.STDEV.S(tblCustomers[Rating])</f>
        <v>1.3314017873962069E-2</v>
      </c>
    </row>
    <row r="179" spans="1:9" x14ac:dyDescent="0.2">
      <c r="A179" s="2">
        <v>19.635999999999999</v>
      </c>
      <c r="B179" s="3">
        <v>4896</v>
      </c>
      <c r="C179" s="1">
        <v>387</v>
      </c>
      <c r="D179" s="1">
        <v>3</v>
      </c>
      <c r="E179" s="1">
        <v>64</v>
      </c>
      <c r="F179" s="3">
        <v>710</v>
      </c>
      <c r="G179" s="2">
        <f>(tblCustomers4[[#This Row],[Income]] - AVERAGE(tblCustomers[Income]))/_xlfn.STDEV.S(tblCustomers[Income])</f>
        <v>-0.72587353072028638</v>
      </c>
      <c r="H179" s="2">
        <f>(tblCustomers4[[#This Row],[Limit]] - AVERAGE(tblCustomers[Limit]))/_xlfn.STDEV.S(tblCustomers[Limit])</f>
        <v>6.9491413259620174E-2</v>
      </c>
      <c r="I179" s="2">
        <f>(tblCustomers4[[#This Row],[Rating]] - AVERAGE(tblCustomers[Rating]))/_xlfn.STDEV.S(tblCustomers[Rating])</f>
        <v>0.20720748205787548</v>
      </c>
    </row>
    <row r="180" spans="1:9" x14ac:dyDescent="0.2">
      <c r="A180" s="2">
        <v>33.694000000000003</v>
      </c>
      <c r="B180" s="3">
        <v>4891</v>
      </c>
      <c r="C180" s="1">
        <v>369</v>
      </c>
      <c r="D180" s="1">
        <v>1</v>
      </c>
      <c r="E180" s="1">
        <v>52</v>
      </c>
      <c r="F180" s="3">
        <v>1036</v>
      </c>
      <c r="G180" s="2">
        <f>(tblCustomers4[[#This Row],[Income]] - AVERAGE(tblCustomers[Income]))/_xlfn.STDEV.S(tblCustomers[Income])</f>
        <v>-0.32700021776649729</v>
      </c>
      <c r="H180" s="2">
        <f>(tblCustomers4[[#This Row],[Limit]] - AVERAGE(tblCustomers[Limit]))/_xlfn.STDEV.S(tblCustomers[Limit])</f>
        <v>6.7325222073223029E-2</v>
      </c>
      <c r="I180" s="2">
        <f>(tblCustomers4[[#This Row],[Rating]] - AVERAGE(tblCustomers[Rating]))/_xlfn.STDEV.S(tblCustomers[Rating])</f>
        <v>9.087140354752743E-2</v>
      </c>
    </row>
    <row r="181" spans="1:9" x14ac:dyDescent="0.2">
      <c r="A181" s="2">
        <v>44.978000000000002</v>
      </c>
      <c r="B181" s="3">
        <v>4866</v>
      </c>
      <c r="C181" s="1">
        <v>347</v>
      </c>
      <c r="D181" s="1">
        <v>1</v>
      </c>
      <c r="E181" s="1">
        <v>30</v>
      </c>
      <c r="F181" s="3">
        <v>436</v>
      </c>
      <c r="G181" s="2">
        <f>(tblCustomers4[[#This Row],[Income]] - AVERAGE(tblCustomers[Income]))/_xlfn.STDEV.S(tblCustomers[Income])</f>
        <v>-6.8347274143451724E-3</v>
      </c>
      <c r="H181" s="2">
        <f>(tblCustomers4[[#This Row],[Limit]] - AVERAGE(tblCustomers[Limit]))/_xlfn.STDEV.S(tblCustomers[Limit])</f>
        <v>5.6494266141237315E-2</v>
      </c>
      <c r="I181" s="2">
        <f>(tblCustomers4[[#This Row],[Rating]] - AVERAGE(tblCustomers[Rating]))/_xlfn.STDEV.S(tblCustomers[Rating])</f>
        <v>-5.1317136854009064E-2</v>
      </c>
    </row>
    <row r="182" spans="1:9" x14ac:dyDescent="0.2">
      <c r="A182" s="2">
        <v>12.238</v>
      </c>
      <c r="B182" s="3">
        <v>4865</v>
      </c>
      <c r="C182" s="1">
        <v>381</v>
      </c>
      <c r="D182" s="1">
        <v>5</v>
      </c>
      <c r="E182" s="1">
        <v>67</v>
      </c>
      <c r="F182" s="3">
        <v>836</v>
      </c>
      <c r="G182" s="2">
        <f>(tblCustomers4[[#This Row],[Income]] - AVERAGE(tblCustomers[Income]))/_xlfn.STDEV.S(tblCustomers[Income])</f>
        <v>-0.93577997326062867</v>
      </c>
      <c r="H182" s="2">
        <f>(tblCustomers4[[#This Row],[Limit]] - AVERAGE(tblCustomers[Limit]))/_xlfn.STDEV.S(tblCustomers[Limit])</f>
        <v>5.6061027903957887E-2</v>
      </c>
      <c r="I182" s="2">
        <f>(tblCustomers4[[#This Row],[Rating]] - AVERAGE(tblCustomers[Rating]))/_xlfn.STDEV.S(tblCustomers[Rating])</f>
        <v>0.16842878922109278</v>
      </c>
    </row>
    <row r="183" spans="1:9" x14ac:dyDescent="0.2">
      <c r="A183" s="2">
        <v>29.4</v>
      </c>
      <c r="B183" s="3">
        <v>4840</v>
      </c>
      <c r="C183" s="1">
        <v>368</v>
      </c>
      <c r="D183" s="1">
        <v>3</v>
      </c>
      <c r="E183" s="1">
        <v>76</v>
      </c>
      <c r="F183" s="3">
        <v>588</v>
      </c>
      <c r="G183" s="2">
        <f>(tblCustomers4[[#This Row],[Income]] - AVERAGE(tblCustomers[Income]))/_xlfn.STDEV.S(tblCustomers[Income])</f>
        <v>-0.44883561439642844</v>
      </c>
      <c r="H183" s="2">
        <f>(tblCustomers4[[#This Row],[Limit]] - AVERAGE(tblCustomers[Limit]))/_xlfn.STDEV.S(tblCustomers[Limit])</f>
        <v>4.523007197197218E-2</v>
      </c>
      <c r="I183" s="2">
        <f>(tblCustomers4[[#This Row],[Rating]] - AVERAGE(tblCustomers[Rating]))/_xlfn.STDEV.S(tblCustomers[Rating])</f>
        <v>8.4408288074730317E-2</v>
      </c>
    </row>
    <row r="184" spans="1:9" x14ac:dyDescent="0.2">
      <c r="A184" s="2">
        <v>35.863999999999997</v>
      </c>
      <c r="B184" s="3">
        <v>4831</v>
      </c>
      <c r="C184" s="1">
        <v>353</v>
      </c>
      <c r="D184" s="1">
        <v>3</v>
      </c>
      <c r="E184" s="1">
        <v>66</v>
      </c>
      <c r="F184" s="3">
        <v>534</v>
      </c>
      <c r="G184" s="2">
        <f>(tblCustomers4[[#This Row],[Income]] - AVERAGE(tblCustomers[Income]))/_xlfn.STDEV.S(tblCustomers[Income])</f>
        <v>-0.26542993116031433</v>
      </c>
      <c r="H184" s="2">
        <f>(tblCustomers4[[#This Row],[Limit]] - AVERAGE(tblCustomers[Limit]))/_xlfn.STDEV.S(tblCustomers[Limit])</f>
        <v>4.1330927836457323E-2</v>
      </c>
      <c r="I184" s="2">
        <f>(tblCustomers4[[#This Row],[Rating]] - AVERAGE(tblCustomers[Rating]))/_xlfn.STDEV.S(tblCustomers[Rating])</f>
        <v>-1.2538444017226385E-2</v>
      </c>
    </row>
    <row r="185" spans="1:9" x14ac:dyDescent="0.2">
      <c r="A185" s="2">
        <v>40.442</v>
      </c>
      <c r="B185" s="3">
        <v>4828</v>
      </c>
      <c r="C185" s="1">
        <v>369</v>
      </c>
      <c r="D185" s="1">
        <v>5</v>
      </c>
      <c r="E185" s="1">
        <v>81</v>
      </c>
      <c r="F185" s="3">
        <v>510</v>
      </c>
      <c r="G185" s="2">
        <f>(tblCustomers4[[#This Row],[Income]] - AVERAGE(tblCustomers[Income]))/_xlfn.STDEV.S(tblCustomers[Income])</f>
        <v>-0.13553648780404409</v>
      </c>
      <c r="H185" s="2">
        <f>(tblCustomers4[[#This Row],[Limit]] - AVERAGE(tblCustomers[Limit]))/_xlfn.STDEV.S(tblCustomers[Limit])</f>
        <v>4.0031213124619033E-2</v>
      </c>
      <c r="I185" s="2">
        <f>(tblCustomers4[[#This Row],[Rating]] - AVERAGE(tblCustomers[Rating]))/_xlfn.STDEV.S(tblCustomers[Rating])</f>
        <v>9.087140354752743E-2</v>
      </c>
    </row>
    <row r="186" spans="1:9" x14ac:dyDescent="0.2">
      <c r="A186" s="2">
        <v>15.741</v>
      </c>
      <c r="B186" s="3">
        <v>4788</v>
      </c>
      <c r="C186" s="1">
        <v>360</v>
      </c>
      <c r="D186" s="1">
        <v>1</v>
      </c>
      <c r="E186" s="1">
        <v>39</v>
      </c>
      <c r="F186" s="3">
        <v>689</v>
      </c>
      <c r="G186" s="2">
        <f>(tblCustomers4[[#This Row],[Income]] - AVERAGE(tblCustomers[Income]))/_xlfn.STDEV.S(tblCustomers[Income])</f>
        <v>-0.8363879391677902</v>
      </c>
      <c r="H186" s="2">
        <f>(tblCustomers4[[#This Row],[Limit]] - AVERAGE(tblCustomers[Limit]))/_xlfn.STDEV.S(tblCustomers[Limit])</f>
        <v>2.2701683633441896E-2</v>
      </c>
      <c r="I186" s="2">
        <f>(tblCustomers4[[#This Row],[Rating]] - AVERAGE(tblCustomers[Rating]))/_xlfn.STDEV.S(tblCustomers[Rating])</f>
        <v>3.2703364292353411E-2</v>
      </c>
    </row>
    <row r="187" spans="1:9" x14ac:dyDescent="0.2">
      <c r="A187" s="2">
        <v>76.272999999999996</v>
      </c>
      <c r="B187" s="3">
        <v>4779</v>
      </c>
      <c r="C187" s="1">
        <v>367</v>
      </c>
      <c r="D187" s="1">
        <v>4</v>
      </c>
      <c r="E187" s="1">
        <v>65</v>
      </c>
      <c r="F187" s="3">
        <v>133</v>
      </c>
      <c r="G187" s="2">
        <f>(tblCustomers4[[#This Row],[Income]] - AVERAGE(tblCustomers[Income]))/_xlfn.STDEV.S(tblCustomers[Income])</f>
        <v>0.88111094970109261</v>
      </c>
      <c r="H187" s="2">
        <f>(tblCustomers4[[#This Row],[Limit]] - AVERAGE(tblCustomers[Limit]))/_xlfn.STDEV.S(tblCustomers[Limit])</f>
        <v>1.880253949792704E-2</v>
      </c>
      <c r="I187" s="2">
        <f>(tblCustomers4[[#This Row],[Rating]] - AVERAGE(tblCustomers[Rating]))/_xlfn.STDEV.S(tblCustomers[Rating])</f>
        <v>7.7945172601933205E-2</v>
      </c>
    </row>
    <row r="188" spans="1:9" x14ac:dyDescent="0.2">
      <c r="A188" s="2">
        <v>25.123999999999999</v>
      </c>
      <c r="B188" s="3">
        <v>4776</v>
      </c>
      <c r="C188" s="1">
        <v>378</v>
      </c>
      <c r="D188" s="1">
        <v>4</v>
      </c>
      <c r="E188" s="1">
        <v>29</v>
      </c>
      <c r="F188" s="3">
        <v>657</v>
      </c>
      <c r="G188" s="2">
        <f>(tblCustomers4[[#This Row],[Income]] - AVERAGE(tblCustomers[Income]))/_xlfn.STDEV.S(tblCustomers[Income])</f>
        <v>-0.57016028975497168</v>
      </c>
      <c r="H188" s="2">
        <f>(tblCustomers4[[#This Row],[Limit]] - AVERAGE(tblCustomers[Limit]))/_xlfn.STDEV.S(tblCustomers[Limit])</f>
        <v>1.7502824786088753E-2</v>
      </c>
      <c r="I188" s="2">
        <f>(tblCustomers4[[#This Row],[Rating]] - AVERAGE(tblCustomers[Rating]))/_xlfn.STDEV.S(tblCustomers[Rating])</f>
        <v>0.14903944280270146</v>
      </c>
    </row>
    <row r="189" spans="1:9" x14ac:dyDescent="0.2">
      <c r="A189" s="2">
        <v>15.846</v>
      </c>
      <c r="B189" s="3">
        <v>4768</v>
      </c>
      <c r="C189" s="1">
        <v>365</v>
      </c>
      <c r="D189" s="1">
        <v>4</v>
      </c>
      <c r="E189" s="1">
        <v>53</v>
      </c>
      <c r="F189" s="3">
        <v>745</v>
      </c>
      <c r="G189" s="2">
        <f>(tblCustomers4[[#This Row],[Income]] - AVERAGE(tblCustomers[Income]))/_xlfn.STDEV.S(tblCustomers[Income])</f>
        <v>-0.83340873175136199</v>
      </c>
      <c r="H189" s="2">
        <f>(tblCustomers4[[#This Row],[Limit]] - AVERAGE(tblCustomers[Limit]))/_xlfn.STDEV.S(tblCustomers[Limit])</f>
        <v>1.4036918887853326E-2</v>
      </c>
      <c r="I189" s="2">
        <f>(tblCustomers4[[#This Row],[Rating]] - AVERAGE(tblCustomers[Rating]))/_xlfn.STDEV.S(tblCustomers[Rating])</f>
        <v>6.501894165633898E-2</v>
      </c>
    </row>
    <row r="190" spans="1:9" x14ac:dyDescent="0.2">
      <c r="A190" s="2">
        <v>44.158000000000001</v>
      </c>
      <c r="B190" s="3">
        <v>4763</v>
      </c>
      <c r="C190" s="1">
        <v>351</v>
      </c>
      <c r="D190" s="1">
        <v>2</v>
      </c>
      <c r="E190" s="1">
        <v>66</v>
      </c>
      <c r="F190" s="3">
        <v>385</v>
      </c>
      <c r="G190" s="2">
        <f>(tblCustomers4[[#This Row],[Income]] - AVERAGE(tblCustomers[Income]))/_xlfn.STDEV.S(tblCustomers[Income])</f>
        <v>-3.0100918666451239E-2</v>
      </c>
      <c r="H190" s="2">
        <f>(tblCustomers4[[#This Row],[Limit]] - AVERAGE(tblCustomers[Limit]))/_xlfn.STDEV.S(tblCustomers[Limit])</f>
        <v>1.1870727701456182E-2</v>
      </c>
      <c r="I190" s="2">
        <f>(tblCustomers4[[#This Row],[Rating]] - AVERAGE(tblCustomers[Rating]))/_xlfn.STDEV.S(tblCustomers[Rating])</f>
        <v>-2.5464674962820611E-2</v>
      </c>
    </row>
    <row r="191" spans="1:9" x14ac:dyDescent="0.2">
      <c r="A191" s="2">
        <v>24.23</v>
      </c>
      <c r="B191" s="3">
        <v>4756</v>
      </c>
      <c r="C191" s="1">
        <v>351</v>
      </c>
      <c r="D191" s="1">
        <v>2</v>
      </c>
      <c r="E191" s="1">
        <v>64</v>
      </c>
      <c r="F191" s="3">
        <v>594</v>
      </c>
      <c r="G191" s="2">
        <f>(tblCustomers4[[#This Row],[Income]] - AVERAGE(tblCustomers[Income]))/_xlfn.STDEV.S(tblCustomers[Income])</f>
        <v>-0.59552611290056046</v>
      </c>
      <c r="H191" s="2">
        <f>(tblCustomers4[[#This Row],[Limit]] - AVERAGE(tblCustomers[Limit]))/_xlfn.STDEV.S(tblCustomers[Limit])</f>
        <v>8.8380600405001831E-3</v>
      </c>
      <c r="I191" s="2">
        <f>(tblCustomers4[[#This Row],[Rating]] - AVERAGE(tblCustomers[Rating]))/_xlfn.STDEV.S(tblCustomers[Rating])</f>
        <v>-2.5464674962820611E-2</v>
      </c>
    </row>
    <row r="192" spans="1:9" x14ac:dyDescent="0.2">
      <c r="A192" s="2">
        <v>14.887</v>
      </c>
      <c r="B192" s="3">
        <v>4745</v>
      </c>
      <c r="C192" s="1">
        <v>339</v>
      </c>
      <c r="D192" s="1">
        <v>3</v>
      </c>
      <c r="E192" s="1">
        <v>58</v>
      </c>
      <c r="F192" s="3">
        <v>724</v>
      </c>
      <c r="G192" s="2">
        <f>(tblCustomers4[[#This Row],[Income]] - AVERAGE(tblCustomers[Income]))/_xlfn.STDEV.S(tblCustomers[Income])</f>
        <v>-0.86061882615473961</v>
      </c>
      <c r="H192" s="2">
        <f>(tblCustomers4[[#This Row],[Limit]] - AVERAGE(tblCustomers[Limit]))/_xlfn.STDEV.S(tblCustomers[Limit])</f>
        <v>4.0724394304264703E-3</v>
      </c>
      <c r="I192" s="2">
        <f>(tblCustomers4[[#This Row],[Rating]] - AVERAGE(tblCustomers[Rating]))/_xlfn.STDEV.S(tblCustomers[Rating])</f>
        <v>-0.10302206063638597</v>
      </c>
    </row>
    <row r="193" spans="1:9" x14ac:dyDescent="0.2">
      <c r="A193" s="2">
        <v>57.1</v>
      </c>
      <c r="B193" s="3">
        <v>4742</v>
      </c>
      <c r="C193" s="1">
        <v>372</v>
      </c>
      <c r="D193" s="1">
        <v>7</v>
      </c>
      <c r="E193" s="1">
        <v>79</v>
      </c>
      <c r="F193" s="3">
        <v>379</v>
      </c>
      <c r="G193" s="2">
        <f>(tblCustomers4[[#This Row],[Income]] - AVERAGE(tblCustomers[Income]))/_xlfn.STDEV.S(tblCustomers[Income])</f>
        <v>0.33710767546130072</v>
      </c>
      <c r="H193" s="2">
        <f>(tblCustomers4[[#This Row],[Limit]] - AVERAGE(tblCustomers[Limit]))/_xlfn.STDEV.S(tblCustomers[Limit])</f>
        <v>2.7727247185881849E-3</v>
      </c>
      <c r="I193" s="2">
        <f>(tblCustomers4[[#This Row],[Rating]] - AVERAGE(tblCustomers[Rating]))/_xlfn.STDEV.S(tblCustomers[Rating])</f>
        <v>0.11026074996591877</v>
      </c>
    </row>
    <row r="194" spans="1:9" x14ac:dyDescent="0.2">
      <c r="A194" s="2">
        <v>41.868000000000002</v>
      </c>
      <c r="B194" s="3">
        <v>4716</v>
      </c>
      <c r="C194" s="1">
        <v>342</v>
      </c>
      <c r="D194" s="1">
        <v>2</v>
      </c>
      <c r="E194" s="1">
        <v>47</v>
      </c>
      <c r="F194" s="3">
        <v>425</v>
      </c>
      <c r="G194" s="2">
        <f>(tblCustomers4[[#This Row],[Income]] - AVERAGE(tblCustomers[Income]))/_xlfn.STDEV.S(tblCustomers[Income])</f>
        <v>-9.507601374855229E-2</v>
      </c>
      <c r="H194" s="2">
        <f>(tblCustomers4[[#This Row],[Limit]] - AVERAGE(tblCustomers[Limit]))/_xlfn.STDEV.S(tblCustomers[Limit])</f>
        <v>-8.4914694506769556E-3</v>
      </c>
      <c r="I194" s="2">
        <f>(tblCustomers4[[#This Row],[Rating]] - AVERAGE(tblCustomers[Rating]))/_xlfn.STDEV.S(tblCustomers[Rating])</f>
        <v>-8.3632714217994633E-2</v>
      </c>
    </row>
    <row r="195" spans="1:9" x14ac:dyDescent="0.2">
      <c r="A195" s="2">
        <v>68.462000000000003</v>
      </c>
      <c r="B195" s="3">
        <v>4712</v>
      </c>
      <c r="C195" s="1">
        <v>340</v>
      </c>
      <c r="D195" s="1">
        <v>2</v>
      </c>
      <c r="E195" s="1">
        <v>71</v>
      </c>
      <c r="F195" s="3">
        <v>136</v>
      </c>
      <c r="G195" s="2">
        <f>(tblCustomers4[[#This Row],[Income]] - AVERAGE(tblCustomers[Income]))/_xlfn.STDEV.S(tblCustomers[Income])</f>
        <v>0.65948629132279968</v>
      </c>
      <c r="H195" s="2">
        <f>(tblCustomers4[[#This Row],[Limit]] - AVERAGE(tblCustomers[Limit]))/_xlfn.STDEV.S(tblCustomers[Limit])</f>
        <v>-1.022442239979467E-2</v>
      </c>
      <c r="I195" s="2">
        <f>(tblCustomers4[[#This Row],[Rating]] - AVERAGE(tblCustomers[Rating]))/_xlfn.STDEV.S(tblCustomers[Rating])</f>
        <v>-9.6558945163588858E-2</v>
      </c>
    </row>
    <row r="196" spans="1:9" x14ac:dyDescent="0.2">
      <c r="A196" s="2">
        <v>16.751000000000001</v>
      </c>
      <c r="B196" s="3">
        <v>4706</v>
      </c>
      <c r="C196" s="1">
        <v>353</v>
      </c>
      <c r="D196" s="1">
        <v>6</v>
      </c>
      <c r="E196" s="1">
        <v>48</v>
      </c>
      <c r="F196" s="3">
        <v>1255</v>
      </c>
      <c r="G196" s="2">
        <f>(tblCustomers4[[#This Row],[Income]] - AVERAGE(tblCustomers[Income]))/_xlfn.STDEV.S(tblCustomers[Income])</f>
        <v>-0.80773080116214735</v>
      </c>
      <c r="H196" s="2">
        <f>(tblCustomers4[[#This Row],[Limit]] - AVERAGE(tblCustomers[Limit]))/_xlfn.STDEV.S(tblCustomers[Limit])</f>
        <v>-1.2823851823471242E-2</v>
      </c>
      <c r="I196" s="2">
        <f>(tblCustomers4[[#This Row],[Rating]] - AVERAGE(tblCustomers[Rating]))/_xlfn.STDEV.S(tblCustomers[Rating])</f>
        <v>-1.2538444017226385E-2</v>
      </c>
    </row>
    <row r="197" spans="1:9" x14ac:dyDescent="0.2">
      <c r="A197" s="2">
        <v>76.347999999999999</v>
      </c>
      <c r="B197" s="3">
        <v>4697</v>
      </c>
      <c r="C197" s="1">
        <v>344</v>
      </c>
      <c r="D197" s="1">
        <v>4</v>
      </c>
      <c r="E197" s="1">
        <v>60</v>
      </c>
      <c r="F197" s="3">
        <v>108</v>
      </c>
      <c r="G197" s="2">
        <f>(tblCustomers4[[#This Row],[Income]] - AVERAGE(tblCustomers[Income]))/_xlfn.STDEV.S(tblCustomers[Income])</f>
        <v>0.88323895499854144</v>
      </c>
      <c r="H197" s="2">
        <f>(tblCustomers4[[#This Row],[Limit]] - AVERAGE(tblCustomers[Limit]))/_xlfn.STDEV.S(tblCustomers[Limit])</f>
        <v>-1.6722995958986096E-2</v>
      </c>
      <c r="I197" s="2">
        <f>(tblCustomers4[[#This Row],[Rating]] - AVERAGE(tblCustomers[Rating]))/_xlfn.STDEV.S(tblCustomers[Rating])</f>
        <v>-7.0706483272400408E-2</v>
      </c>
    </row>
    <row r="198" spans="1:9" x14ac:dyDescent="0.2">
      <c r="A198" s="2">
        <v>19.529</v>
      </c>
      <c r="B198" s="3">
        <v>4673</v>
      </c>
      <c r="C198" s="1">
        <v>341</v>
      </c>
      <c r="D198" s="1">
        <v>2</v>
      </c>
      <c r="E198" s="1">
        <v>51</v>
      </c>
      <c r="F198" s="3">
        <v>642</v>
      </c>
      <c r="G198" s="2">
        <f>(tblCustomers4[[#This Row],[Income]] - AVERAGE(tblCustomers[Income]))/_xlfn.STDEV.S(tblCustomers[Income])</f>
        <v>-0.72890948494464658</v>
      </c>
      <c r="H198" s="2">
        <f>(tblCustomers4[[#This Row],[Limit]] - AVERAGE(tblCustomers[Limit]))/_xlfn.STDEV.S(tblCustomers[Limit])</f>
        <v>-2.7120713653692383E-2</v>
      </c>
      <c r="I198" s="2">
        <f>(tblCustomers4[[#This Row],[Rating]] - AVERAGE(tblCustomers[Rating]))/_xlfn.STDEV.S(tblCustomers[Rating])</f>
        <v>-9.0095829690791746E-2</v>
      </c>
    </row>
    <row r="199" spans="1:9" x14ac:dyDescent="0.2">
      <c r="A199" s="2">
        <v>69.165000000000006</v>
      </c>
      <c r="B199" s="3">
        <v>4668</v>
      </c>
      <c r="C199" s="1">
        <v>341</v>
      </c>
      <c r="D199" s="1">
        <v>2</v>
      </c>
      <c r="E199" s="1">
        <v>34</v>
      </c>
      <c r="F199" s="3">
        <v>156</v>
      </c>
      <c r="G199" s="2">
        <f>(tblCustomers4[[#This Row],[Income]] - AVERAGE(tblCustomers[Income]))/_xlfn.STDEV.S(tblCustomers[Income])</f>
        <v>0.67943279431088577</v>
      </c>
      <c r="H199" s="2">
        <f>(tblCustomers4[[#This Row],[Limit]] - AVERAGE(tblCustomers[Limit]))/_xlfn.STDEV.S(tblCustomers[Limit])</f>
        <v>-2.9286904840089525E-2</v>
      </c>
      <c r="I199" s="2">
        <f>(tblCustomers4[[#This Row],[Rating]] - AVERAGE(tblCustomers[Rating]))/_xlfn.STDEV.S(tblCustomers[Rating])</f>
        <v>-9.0095829690791746E-2</v>
      </c>
    </row>
    <row r="200" spans="1:9" x14ac:dyDescent="0.2">
      <c r="A200" s="2">
        <v>14.956</v>
      </c>
      <c r="B200" s="3">
        <v>4640</v>
      </c>
      <c r="C200" s="1">
        <v>332</v>
      </c>
      <c r="D200" s="1">
        <v>2</v>
      </c>
      <c r="E200" s="1">
        <v>33</v>
      </c>
      <c r="F200" s="3">
        <v>681</v>
      </c>
      <c r="G200" s="2">
        <f>(tblCustomers4[[#This Row],[Income]] - AVERAGE(tblCustomers[Income]))/_xlfn.STDEV.S(tblCustomers[Income])</f>
        <v>-0.85866106128108688</v>
      </c>
      <c r="H200" s="2">
        <f>(tblCustomers4[[#This Row],[Limit]] - AVERAGE(tblCustomers[Limit]))/_xlfn.STDEV.S(tblCustomers[Limit])</f>
        <v>-4.1417575483913519E-2</v>
      </c>
      <c r="I200" s="2">
        <f>(tblCustomers4[[#This Row],[Rating]] - AVERAGE(tblCustomers[Rating]))/_xlfn.STDEV.S(tblCustomers[Rating])</f>
        <v>-0.14826386894596577</v>
      </c>
    </row>
    <row r="201" spans="1:9" x14ac:dyDescent="0.2">
      <c r="A201" s="2">
        <v>21.786000000000001</v>
      </c>
      <c r="B201" s="3">
        <v>4632</v>
      </c>
      <c r="C201" s="1">
        <v>355</v>
      </c>
      <c r="D201" s="1">
        <v>1</v>
      </c>
      <c r="E201" s="1">
        <v>50</v>
      </c>
      <c r="F201" s="3">
        <v>580</v>
      </c>
      <c r="G201" s="2">
        <f>(tblCustomers4[[#This Row],[Income]] - AVERAGE(tblCustomers[Income]))/_xlfn.STDEV.S(tblCustomers[Income])</f>
        <v>-0.66487071219342286</v>
      </c>
      <c r="H201" s="2">
        <f>(tblCustomers4[[#This Row],[Limit]] - AVERAGE(tblCustomers[Limit]))/_xlfn.STDEV.S(tblCustomers[Limit])</f>
        <v>-4.4883481382148947E-2</v>
      </c>
      <c r="I201" s="2">
        <f>(tblCustomers4[[#This Row],[Rating]] - AVERAGE(tblCustomers[Rating]))/_xlfn.STDEV.S(tblCustomers[Rating])</f>
        <v>3.8778692836784147E-4</v>
      </c>
    </row>
    <row r="202" spans="1:9" x14ac:dyDescent="0.2">
      <c r="A202" s="2">
        <v>27.512</v>
      </c>
      <c r="B202" s="3">
        <v>4613</v>
      </c>
      <c r="C202" s="1">
        <v>344</v>
      </c>
      <c r="D202" s="1">
        <v>5</v>
      </c>
      <c r="E202" s="1">
        <v>72</v>
      </c>
      <c r="F202" s="3">
        <v>573</v>
      </c>
      <c r="G202" s="2">
        <f>(tblCustomers4[[#This Row],[Income]] - AVERAGE(tblCustomers[Income]))/_xlfn.STDEV.S(tblCustomers[Income])</f>
        <v>-0.50240460108420426</v>
      </c>
      <c r="H202" s="2">
        <f>(tblCustomers4[[#This Row],[Limit]] - AVERAGE(tblCustomers[Limit]))/_xlfn.STDEV.S(tblCustomers[Limit])</f>
        <v>-5.3115007890458088E-2</v>
      </c>
      <c r="I202" s="2">
        <f>(tblCustomers4[[#This Row],[Rating]] - AVERAGE(tblCustomers[Rating]))/_xlfn.STDEV.S(tblCustomers[Rating])</f>
        <v>-7.0706483272400408E-2</v>
      </c>
    </row>
    <row r="203" spans="1:9" x14ac:dyDescent="0.2">
      <c r="A203" s="2">
        <v>92.111999999999995</v>
      </c>
      <c r="B203" s="3">
        <v>4612</v>
      </c>
      <c r="C203" s="1">
        <v>344</v>
      </c>
      <c r="D203" s="1">
        <v>3</v>
      </c>
      <c r="E203" s="1">
        <v>32</v>
      </c>
      <c r="F203" s="3">
        <v>0</v>
      </c>
      <c r="G203" s="2">
        <f>(tblCustomers4[[#This Row],[Income]] - AVERAGE(tblCustomers[Income]))/_xlfn.STDEV.S(tblCustomers[Income])</f>
        <v>1.3305172951182973</v>
      </c>
      <c r="H203" s="2">
        <f>(tblCustomers4[[#This Row],[Limit]] - AVERAGE(tblCustomers[Limit]))/_xlfn.STDEV.S(tblCustomers[Limit])</f>
        <v>-5.3548246127737516E-2</v>
      </c>
      <c r="I203" s="2">
        <f>(tblCustomers4[[#This Row],[Rating]] - AVERAGE(tblCustomers[Rating]))/_xlfn.STDEV.S(tblCustomers[Rating])</f>
        <v>-7.0706483272400408E-2</v>
      </c>
    </row>
    <row r="204" spans="1:9" x14ac:dyDescent="0.2">
      <c r="A204" s="2">
        <v>43.478999999999999</v>
      </c>
      <c r="B204" s="3">
        <v>4569</v>
      </c>
      <c r="C204" s="1">
        <v>354</v>
      </c>
      <c r="D204" s="1">
        <v>4</v>
      </c>
      <c r="E204" s="1">
        <v>49</v>
      </c>
      <c r="F204" s="3">
        <v>902</v>
      </c>
      <c r="G204" s="2">
        <f>(tblCustomers4[[#This Row],[Income]] - AVERAGE(tblCustomers[Income]))/_xlfn.STDEV.S(tblCustomers[Income])</f>
        <v>-4.9366459959353758E-2</v>
      </c>
      <c r="H204" s="2">
        <f>(tblCustomers4[[#This Row],[Limit]] - AVERAGE(tblCustomers[Limit]))/_xlfn.STDEV.S(tblCustomers[Limit])</f>
        <v>-7.217749033075295E-2</v>
      </c>
      <c r="I204" s="2">
        <f>(tblCustomers4[[#This Row],[Rating]] - AVERAGE(tblCustomers[Rating]))/_xlfn.STDEV.S(tblCustomers[Rating])</f>
        <v>-6.0753285444292721E-3</v>
      </c>
    </row>
    <row r="205" spans="1:9" x14ac:dyDescent="0.2">
      <c r="A205" s="2">
        <v>20.405000000000001</v>
      </c>
      <c r="B205" s="3">
        <v>4543</v>
      </c>
      <c r="C205" s="1">
        <v>329</v>
      </c>
      <c r="D205" s="1">
        <v>2</v>
      </c>
      <c r="E205" s="1">
        <v>72</v>
      </c>
      <c r="F205" s="3">
        <v>1054</v>
      </c>
      <c r="G205" s="2">
        <f>(tblCustomers4[[#This Row],[Income]] - AVERAGE(tblCustomers[Income]))/_xlfn.STDEV.S(tblCustomers[Income])</f>
        <v>-0.70405438307044543</v>
      </c>
      <c r="H205" s="2">
        <f>(tblCustomers4[[#This Row],[Limit]] - AVERAGE(tblCustomers[Limit]))/_xlfn.STDEV.S(tblCustomers[Limit])</f>
        <v>-8.3441684500018085E-2</v>
      </c>
      <c r="I205" s="2">
        <f>(tblCustomers4[[#This Row],[Rating]] - AVERAGE(tblCustomers[Rating]))/_xlfn.STDEV.S(tblCustomers[Rating])</f>
        <v>-0.16765321536435709</v>
      </c>
    </row>
    <row r="206" spans="1:9" x14ac:dyDescent="0.2">
      <c r="A206" s="2">
        <v>32.792999999999999</v>
      </c>
      <c r="B206" s="3">
        <v>4534</v>
      </c>
      <c r="C206" s="1">
        <v>333</v>
      </c>
      <c r="D206" s="1">
        <v>2</v>
      </c>
      <c r="E206" s="1">
        <v>44</v>
      </c>
      <c r="F206" s="3">
        <v>467</v>
      </c>
      <c r="G206" s="2">
        <f>(tblCustomers4[[#This Row],[Income]] - AVERAGE(tblCustomers[Income]))/_xlfn.STDEV.S(tblCustomers[Income])</f>
        <v>-0.3525646547398481</v>
      </c>
      <c r="H206" s="2">
        <f>(tblCustomers4[[#This Row],[Limit]] - AVERAGE(tblCustomers[Limit]))/_xlfn.STDEV.S(tblCustomers[Limit])</f>
        <v>-8.7340828635532941E-2</v>
      </c>
      <c r="I206" s="2">
        <f>(tblCustomers4[[#This Row],[Rating]] - AVERAGE(tblCustomers[Rating]))/_xlfn.STDEV.S(tblCustomers[Rating])</f>
        <v>-0.14180075347316864</v>
      </c>
    </row>
    <row r="207" spans="1:9" x14ac:dyDescent="0.2">
      <c r="A207" s="2">
        <v>25.382999999999999</v>
      </c>
      <c r="B207" s="3">
        <v>4527</v>
      </c>
      <c r="C207" s="1">
        <v>367</v>
      </c>
      <c r="D207" s="1">
        <v>4</v>
      </c>
      <c r="E207" s="1">
        <v>46</v>
      </c>
      <c r="F207" s="3">
        <v>570</v>
      </c>
      <c r="G207" s="2">
        <f>(tblCustomers4[[#This Row],[Income]] - AVERAGE(tblCustomers[Income]))/_xlfn.STDEV.S(tblCustomers[Income])</f>
        <v>-0.56281157812778215</v>
      </c>
      <c r="H207" s="2">
        <f>(tblCustomers4[[#This Row],[Limit]] - AVERAGE(tblCustomers[Limit]))/_xlfn.STDEV.S(tblCustomers[Limit])</f>
        <v>-9.0373496296488942E-2</v>
      </c>
      <c r="I207" s="2">
        <f>(tblCustomers4[[#This Row],[Rating]] - AVERAGE(tblCustomers[Rating]))/_xlfn.STDEV.S(tblCustomers[Rating])</f>
        <v>7.7945172601933205E-2</v>
      </c>
    </row>
    <row r="208" spans="1:9" x14ac:dyDescent="0.2">
      <c r="A208" s="2">
        <v>23.989000000000001</v>
      </c>
      <c r="B208" s="3">
        <v>4523</v>
      </c>
      <c r="C208" s="1">
        <v>338</v>
      </c>
      <c r="D208" s="1">
        <v>4</v>
      </c>
      <c r="E208" s="1">
        <v>31</v>
      </c>
      <c r="F208" s="3">
        <v>601</v>
      </c>
      <c r="G208" s="2">
        <f>(tblCustomers4[[#This Row],[Income]] - AVERAGE(tblCustomers[Income]))/_xlfn.STDEV.S(tblCustomers[Income])</f>
        <v>-0.60236410325636236</v>
      </c>
      <c r="H208" s="2">
        <f>(tblCustomers4[[#This Row],[Limit]] - AVERAGE(tblCustomers[Limit]))/_xlfn.STDEV.S(tblCustomers[Limit])</f>
        <v>-9.2106449245606653E-2</v>
      </c>
      <c r="I208" s="2">
        <f>(tblCustomers4[[#This Row],[Rating]] - AVERAGE(tblCustomers[Rating]))/_xlfn.STDEV.S(tblCustomers[Rating])</f>
        <v>-0.10948517610918308</v>
      </c>
    </row>
    <row r="209" spans="1:9" x14ac:dyDescent="0.2">
      <c r="A209" s="2">
        <v>12.335000000000001</v>
      </c>
      <c r="B209" s="3">
        <v>4471</v>
      </c>
      <c r="C209" s="1">
        <v>344</v>
      </c>
      <c r="D209" s="1">
        <v>3</v>
      </c>
      <c r="E209" s="1">
        <v>79</v>
      </c>
      <c r="F209" s="3">
        <v>611</v>
      </c>
      <c r="G209" s="2">
        <f>(tblCustomers4[[#This Row],[Income]] - AVERAGE(tblCustomers[Income]))/_xlfn.STDEV.S(tblCustomers[Income])</f>
        <v>-0.93302775307592822</v>
      </c>
      <c r="H209" s="2">
        <f>(tblCustomers4[[#This Row],[Limit]] - AVERAGE(tblCustomers[Limit]))/_xlfn.STDEV.S(tblCustomers[Limit])</f>
        <v>-0.11463483758413694</v>
      </c>
      <c r="I209" s="2">
        <f>(tblCustomers4[[#This Row],[Rating]] - AVERAGE(tblCustomers[Rating]))/_xlfn.STDEV.S(tblCustomers[Rating])</f>
        <v>-7.0706483272400408E-2</v>
      </c>
    </row>
    <row r="210" spans="1:9" x14ac:dyDescent="0.2">
      <c r="A210" s="2">
        <v>30.42</v>
      </c>
      <c r="B210" s="3">
        <v>4442</v>
      </c>
      <c r="C210" s="1">
        <v>316</v>
      </c>
      <c r="D210" s="1">
        <v>1</v>
      </c>
      <c r="E210" s="1">
        <v>30</v>
      </c>
      <c r="F210" s="3">
        <v>450</v>
      </c>
      <c r="G210" s="2">
        <f>(tblCustomers4[[#This Row],[Income]] - AVERAGE(tblCustomers[Income]))/_xlfn.STDEV.S(tblCustomers[Income])</f>
        <v>-0.41989474235112567</v>
      </c>
      <c r="H210" s="2">
        <f>(tblCustomers4[[#This Row],[Limit]] - AVERAGE(tblCustomers[Limit]))/_xlfn.STDEV.S(tblCustomers[Limit])</f>
        <v>-0.12719874646524038</v>
      </c>
      <c r="I210" s="2">
        <f>(tblCustomers4[[#This Row],[Rating]] - AVERAGE(tblCustomers[Rating]))/_xlfn.STDEV.S(tblCustomers[Rating])</f>
        <v>-0.25167371651071957</v>
      </c>
    </row>
    <row r="211" spans="1:9" x14ac:dyDescent="0.2">
      <c r="A211" s="2">
        <v>23.672000000000001</v>
      </c>
      <c r="B211" s="3">
        <v>4433</v>
      </c>
      <c r="C211" s="1">
        <v>344</v>
      </c>
      <c r="D211" s="1">
        <v>3</v>
      </c>
      <c r="E211" s="1">
        <v>63</v>
      </c>
      <c r="F211" s="3">
        <v>503</v>
      </c>
      <c r="G211" s="2">
        <f>(tblCustomers4[[#This Row],[Income]] - AVERAGE(tblCustomers[Income]))/_xlfn.STDEV.S(tblCustomers[Income])</f>
        <v>-0.61135847231357898</v>
      </c>
      <c r="H211" s="2">
        <f>(tblCustomers4[[#This Row],[Limit]] - AVERAGE(tblCustomers[Limit]))/_xlfn.STDEV.S(tblCustomers[Limit])</f>
        <v>-0.13109789060075522</v>
      </c>
      <c r="I211" s="2">
        <f>(tblCustomers4[[#This Row],[Rating]] - AVERAGE(tblCustomers[Rating]))/_xlfn.STDEV.S(tblCustomers[Rating])</f>
        <v>-7.0706483272400408E-2</v>
      </c>
    </row>
    <row r="212" spans="1:9" x14ac:dyDescent="0.2">
      <c r="A212" s="2">
        <v>44.646000000000001</v>
      </c>
      <c r="B212" s="3">
        <v>4431</v>
      </c>
      <c r="C212" s="1">
        <v>320</v>
      </c>
      <c r="D212" s="1">
        <v>2</v>
      </c>
      <c r="E212" s="1">
        <v>49</v>
      </c>
      <c r="F212" s="3">
        <v>797</v>
      </c>
      <c r="G212" s="2">
        <f>(tblCustomers4[[#This Row],[Income]] - AVERAGE(tblCustomers[Income]))/_xlfn.STDEV.S(tblCustomers[Income])</f>
        <v>-1.6254697531051548E-2</v>
      </c>
      <c r="H212" s="2">
        <f>(tblCustomers4[[#This Row],[Limit]] - AVERAGE(tblCustomers[Limit]))/_xlfn.STDEV.S(tblCustomers[Limit])</f>
        <v>-0.13196436707531409</v>
      </c>
      <c r="I212" s="2">
        <f>(tblCustomers4[[#This Row],[Rating]] - AVERAGE(tblCustomers[Rating]))/_xlfn.STDEV.S(tblCustomers[Rating])</f>
        <v>-0.22582125461953112</v>
      </c>
    </row>
    <row r="213" spans="1:9" x14ac:dyDescent="0.2">
      <c r="A213" s="2">
        <v>58.350999999999999</v>
      </c>
      <c r="B213" s="3">
        <v>4411</v>
      </c>
      <c r="C213" s="1">
        <v>326</v>
      </c>
      <c r="D213" s="1">
        <v>2</v>
      </c>
      <c r="E213" s="1">
        <v>85</v>
      </c>
      <c r="F213" s="3">
        <v>126</v>
      </c>
      <c r="G213" s="2">
        <f>(tblCustomers4[[#This Row],[Income]] - AVERAGE(tblCustomers[Income]))/_xlfn.STDEV.S(tblCustomers[Income])</f>
        <v>0.37260280382274541</v>
      </c>
      <c r="H213" s="2">
        <f>(tblCustomers4[[#This Row],[Limit]] - AVERAGE(tblCustomers[Limit]))/_xlfn.STDEV.S(tblCustomers[Limit])</f>
        <v>-0.14062913182090264</v>
      </c>
      <c r="I213" s="2">
        <f>(tblCustomers4[[#This Row],[Rating]] - AVERAGE(tblCustomers[Rating]))/_xlfn.STDEV.S(tblCustomers[Rating])</f>
        <v>-0.18704256178274845</v>
      </c>
    </row>
    <row r="214" spans="1:9" x14ac:dyDescent="0.2">
      <c r="A214" s="2">
        <v>28.315999999999999</v>
      </c>
      <c r="B214" s="3">
        <v>4391</v>
      </c>
      <c r="C214" s="1">
        <v>316</v>
      </c>
      <c r="D214" s="1">
        <v>2</v>
      </c>
      <c r="E214" s="1">
        <v>29</v>
      </c>
      <c r="F214" s="3">
        <v>453</v>
      </c>
      <c r="G214" s="2">
        <f>(tblCustomers4[[#This Row],[Income]] - AVERAGE(tblCustomers[Income]))/_xlfn.STDEV.S(tblCustomers[Income])</f>
        <v>-0.47959238429555395</v>
      </c>
      <c r="H214" s="2">
        <f>(tblCustomers4[[#This Row],[Limit]] - AVERAGE(tblCustomers[Limit]))/_xlfn.STDEV.S(tblCustomers[Limit])</f>
        <v>-0.14929389656649122</v>
      </c>
      <c r="I214" s="2">
        <f>(tblCustomers4[[#This Row],[Rating]] - AVERAGE(tblCustomers[Rating]))/_xlfn.STDEV.S(tblCustomers[Rating])</f>
        <v>-0.25167371651071957</v>
      </c>
    </row>
    <row r="215" spans="1:9" x14ac:dyDescent="0.2">
      <c r="A215" s="2">
        <v>10.842000000000001</v>
      </c>
      <c r="B215" s="3">
        <v>4391</v>
      </c>
      <c r="C215" s="1">
        <v>358</v>
      </c>
      <c r="D215" s="1">
        <v>5</v>
      </c>
      <c r="E215" s="1">
        <v>37</v>
      </c>
      <c r="F215" s="3">
        <v>1216</v>
      </c>
      <c r="G215" s="2">
        <f>(tblCustomers4[[#This Row],[Income]] - AVERAGE(tblCustomers[Income]))/_xlfn.STDEV.S(tblCustomers[Income])</f>
        <v>-0.97538924519714088</v>
      </c>
      <c r="H215" s="2">
        <f>(tblCustomers4[[#This Row],[Limit]] - AVERAGE(tblCustomers[Limit]))/_xlfn.STDEV.S(tblCustomers[Limit])</f>
        <v>-0.14929389656649122</v>
      </c>
      <c r="I215" s="2">
        <f>(tblCustomers4[[#This Row],[Rating]] - AVERAGE(tblCustomers[Rating]))/_xlfn.STDEV.S(tblCustomers[Rating])</f>
        <v>1.9777133346759183E-2</v>
      </c>
    </row>
    <row r="216" spans="1:9" x14ac:dyDescent="0.2">
      <c r="A216" s="2">
        <v>55.054000000000002</v>
      </c>
      <c r="B216" s="3">
        <v>4381</v>
      </c>
      <c r="C216" s="1">
        <v>321</v>
      </c>
      <c r="D216" s="1">
        <v>3</v>
      </c>
      <c r="E216" s="1">
        <v>74</v>
      </c>
      <c r="F216" s="3">
        <v>188</v>
      </c>
      <c r="G216" s="2">
        <f>(tblCustomers4[[#This Row],[Income]] - AVERAGE(tblCustomers[Income]))/_xlfn.STDEV.S(tblCustomers[Income])</f>
        <v>0.27905569094689953</v>
      </c>
      <c r="H216" s="2">
        <f>(tblCustomers4[[#This Row],[Limit]] - AVERAGE(tblCustomers[Limit]))/_xlfn.STDEV.S(tblCustomers[Limit])</f>
        <v>-0.15362627893928549</v>
      </c>
      <c r="I216" s="2">
        <f>(tblCustomers4[[#This Row],[Rating]] - AVERAGE(tblCustomers[Rating]))/_xlfn.STDEV.S(tblCustomers[Rating])</f>
        <v>-0.21935813914673402</v>
      </c>
    </row>
    <row r="217" spans="1:9" x14ac:dyDescent="0.2">
      <c r="A217" s="2">
        <v>36.496000000000002</v>
      </c>
      <c r="B217" s="3">
        <v>4378</v>
      </c>
      <c r="C217" s="1">
        <v>339</v>
      </c>
      <c r="D217" s="1">
        <v>3</v>
      </c>
      <c r="E217" s="1">
        <v>69</v>
      </c>
      <c r="F217" s="3">
        <v>368</v>
      </c>
      <c r="G217" s="2">
        <f>(tblCustomers4[[#This Row],[Income]] - AVERAGE(tblCustomers[Income]))/_xlfn.STDEV.S(tblCustomers[Income])</f>
        <v>-0.24749793985381296</v>
      </c>
      <c r="H217" s="2">
        <f>(tblCustomers4[[#This Row],[Limit]] - AVERAGE(tblCustomers[Limit]))/_xlfn.STDEV.S(tblCustomers[Limit])</f>
        <v>-0.15492599365112378</v>
      </c>
      <c r="I217" s="2">
        <f>(tblCustomers4[[#This Row],[Rating]] - AVERAGE(tblCustomers[Rating]))/_xlfn.STDEV.S(tblCustomers[Rating])</f>
        <v>-0.10302206063638597</v>
      </c>
    </row>
    <row r="218" spans="1:9" x14ac:dyDescent="0.2">
      <c r="A218" s="2">
        <v>39.145000000000003</v>
      </c>
      <c r="B218" s="3">
        <v>4351</v>
      </c>
      <c r="C218" s="1">
        <v>323</v>
      </c>
      <c r="D218" s="1">
        <v>2</v>
      </c>
      <c r="E218" s="1">
        <v>66</v>
      </c>
      <c r="F218" s="3">
        <v>308</v>
      </c>
      <c r="G218" s="2">
        <f>(tblCustomers4[[#This Row],[Income]] - AVERAGE(tblCustomers[Income]))/_xlfn.STDEV.S(tblCustomers[Income])</f>
        <v>-0.17233679274792396</v>
      </c>
      <c r="H218" s="2">
        <f>(tblCustomers4[[#This Row],[Limit]] - AVERAGE(tblCustomers[Limit]))/_xlfn.STDEV.S(tblCustomers[Limit])</f>
        <v>-0.16662342605766836</v>
      </c>
      <c r="I218" s="2">
        <f>(tblCustomers4[[#This Row],[Rating]] - AVERAGE(tblCustomers[Rating]))/_xlfn.STDEV.S(tblCustomers[Rating])</f>
        <v>-0.2064319082011398</v>
      </c>
    </row>
    <row r="219" spans="1:9" x14ac:dyDescent="0.2">
      <c r="A219" s="2">
        <v>30.111000000000001</v>
      </c>
      <c r="B219" s="3">
        <v>4336</v>
      </c>
      <c r="C219" s="1">
        <v>339</v>
      </c>
      <c r="D219" s="1">
        <v>1</v>
      </c>
      <c r="E219" s="1">
        <v>81</v>
      </c>
      <c r="F219" s="3">
        <v>347</v>
      </c>
      <c r="G219" s="2">
        <f>(tblCustomers4[[#This Row],[Income]] - AVERAGE(tblCustomers[Income]))/_xlfn.STDEV.S(tblCustomers[Income])</f>
        <v>-0.42866212417661442</v>
      </c>
      <c r="H219" s="2">
        <f>(tblCustomers4[[#This Row],[Limit]] - AVERAGE(tblCustomers[Limit]))/_xlfn.STDEV.S(tblCustomers[Limit])</f>
        <v>-0.17312199961685978</v>
      </c>
      <c r="I219" s="2">
        <f>(tblCustomers4[[#This Row],[Rating]] - AVERAGE(tblCustomers[Rating]))/_xlfn.STDEV.S(tblCustomers[Rating])</f>
        <v>-0.10302206063638597</v>
      </c>
    </row>
    <row r="220" spans="1:9" x14ac:dyDescent="0.2">
      <c r="A220" s="2">
        <v>51.344999999999999</v>
      </c>
      <c r="B220" s="3">
        <v>4327</v>
      </c>
      <c r="C220" s="1">
        <v>320</v>
      </c>
      <c r="D220" s="1">
        <v>3</v>
      </c>
      <c r="E220" s="1">
        <v>46</v>
      </c>
      <c r="F220" s="3">
        <v>230</v>
      </c>
      <c r="G220" s="2">
        <f>(tblCustomers4[[#This Row],[Income]] - AVERAGE(tblCustomers[Income]))/_xlfn.STDEV.S(tblCustomers[Income])</f>
        <v>0.17381873563706851</v>
      </c>
      <c r="H220" s="2">
        <f>(tblCustomers4[[#This Row],[Limit]] - AVERAGE(tblCustomers[Limit]))/_xlfn.STDEV.S(tblCustomers[Limit])</f>
        <v>-0.17702114375237463</v>
      </c>
      <c r="I220" s="2">
        <f>(tblCustomers4[[#This Row],[Rating]] - AVERAGE(tblCustomers[Rating]))/_xlfn.STDEV.S(tblCustomers[Rating])</f>
        <v>-0.22582125461953112</v>
      </c>
    </row>
    <row r="221" spans="1:9" x14ac:dyDescent="0.2">
      <c r="A221" s="2">
        <v>14.09</v>
      </c>
      <c r="B221" s="3">
        <v>4323</v>
      </c>
      <c r="C221" s="1">
        <v>326</v>
      </c>
      <c r="D221" s="1">
        <v>5</v>
      </c>
      <c r="E221" s="1">
        <v>25</v>
      </c>
      <c r="F221" s="3">
        <v>671</v>
      </c>
      <c r="G221" s="2">
        <f>(tblCustomers4[[#This Row],[Income]] - AVERAGE(tblCustomers[Income]))/_xlfn.STDEV.S(tblCustomers[Income])</f>
        <v>-0.88323242911562805</v>
      </c>
      <c r="H221" s="2">
        <f>(tblCustomers4[[#This Row],[Limit]] - AVERAGE(tblCustomers[Limit]))/_xlfn.STDEV.S(tblCustomers[Limit])</f>
        <v>-0.17875409670149237</v>
      </c>
      <c r="I221" s="2">
        <f>(tblCustomers4[[#This Row],[Rating]] - AVERAGE(tblCustomers[Rating]))/_xlfn.STDEV.S(tblCustomers[Rating])</f>
        <v>-0.18704256178274845</v>
      </c>
    </row>
    <row r="222" spans="1:9" x14ac:dyDescent="0.2">
      <c r="A222" s="2">
        <v>15.56</v>
      </c>
      <c r="B222" s="3">
        <v>4307</v>
      </c>
      <c r="C222" s="1">
        <v>352</v>
      </c>
      <c r="D222" s="1">
        <v>4</v>
      </c>
      <c r="E222" s="1">
        <v>57</v>
      </c>
      <c r="F222" s="3">
        <v>579</v>
      </c>
      <c r="G222" s="2">
        <f>(tblCustomers4[[#This Row],[Income]] - AVERAGE(tblCustomers[Income]))/_xlfn.STDEV.S(tblCustomers[Income])</f>
        <v>-0.84152352528563301</v>
      </c>
      <c r="H222" s="2">
        <f>(tblCustomers4[[#This Row],[Limit]] - AVERAGE(tblCustomers[Limit]))/_xlfn.STDEV.S(tblCustomers[Limit])</f>
        <v>-0.18568590849796321</v>
      </c>
      <c r="I222" s="2">
        <f>(tblCustomers4[[#This Row],[Rating]] - AVERAGE(tblCustomers[Rating]))/_xlfn.STDEV.S(tblCustomers[Rating])</f>
        <v>-1.9001559490023499E-2</v>
      </c>
    </row>
    <row r="223" spans="1:9" x14ac:dyDescent="0.2">
      <c r="A223" s="2">
        <v>31.811</v>
      </c>
      <c r="B223" s="3">
        <v>4284</v>
      </c>
      <c r="C223" s="1">
        <v>338</v>
      </c>
      <c r="D223" s="1">
        <v>5</v>
      </c>
      <c r="E223" s="1">
        <v>75</v>
      </c>
      <c r="F223" s="3">
        <v>429</v>
      </c>
      <c r="G223" s="2">
        <f>(tblCustomers4[[#This Row],[Income]] - AVERAGE(tblCustomers[Income]))/_xlfn.STDEV.S(tblCustomers[Income])</f>
        <v>-0.38042733743444335</v>
      </c>
      <c r="H223" s="2">
        <f>(tblCustomers4[[#This Row],[Limit]] - AVERAGE(tblCustomers[Limit]))/_xlfn.STDEV.S(tblCustomers[Limit])</f>
        <v>-0.19565038795539005</v>
      </c>
      <c r="I223" s="2">
        <f>(tblCustomers4[[#This Row],[Rating]] - AVERAGE(tblCustomers[Rating]))/_xlfn.STDEV.S(tblCustomers[Rating])</f>
        <v>-0.10948517610918308</v>
      </c>
    </row>
    <row r="224" spans="1:9" x14ac:dyDescent="0.2">
      <c r="A224" s="2">
        <v>36.933999999999997</v>
      </c>
      <c r="B224" s="3">
        <v>4270</v>
      </c>
      <c r="C224" s="1">
        <v>299</v>
      </c>
      <c r="D224" s="1">
        <v>1</v>
      </c>
      <c r="E224" s="1">
        <v>63</v>
      </c>
      <c r="F224" s="3">
        <v>283</v>
      </c>
      <c r="G224" s="2">
        <f>(tblCustomers4[[#This Row],[Income]] - AVERAGE(tblCustomers[Income]))/_xlfn.STDEV.S(tblCustomers[Income])</f>
        <v>-0.23507038891671253</v>
      </c>
      <c r="H224" s="2">
        <f>(tblCustomers4[[#This Row],[Limit]] - AVERAGE(tblCustomers[Limit]))/_xlfn.STDEV.S(tblCustomers[Limit])</f>
        <v>-0.20171572327730206</v>
      </c>
      <c r="I224" s="2">
        <f>(tblCustomers4[[#This Row],[Rating]] - AVERAGE(tblCustomers[Rating]))/_xlfn.STDEV.S(tblCustomers[Rating])</f>
        <v>-0.36154667954827052</v>
      </c>
    </row>
    <row r="225" spans="1:9" x14ac:dyDescent="0.2">
      <c r="A225" s="2">
        <v>53.48</v>
      </c>
      <c r="B225" s="3">
        <v>4263</v>
      </c>
      <c r="C225" s="1">
        <v>317</v>
      </c>
      <c r="D225" s="1">
        <v>1</v>
      </c>
      <c r="E225" s="1">
        <v>83</v>
      </c>
      <c r="F225" s="3">
        <v>99</v>
      </c>
      <c r="G225" s="2">
        <f>(tblCustomers4[[#This Row],[Income]] - AVERAGE(tblCustomers[Income]))/_xlfn.STDEV.S(tblCustomers[Income])</f>
        <v>0.23439595310444217</v>
      </c>
      <c r="H225" s="2">
        <f>(tblCustomers4[[#This Row],[Limit]] - AVERAGE(tblCustomers[Limit]))/_xlfn.STDEV.S(tblCustomers[Limit])</f>
        <v>-0.20474839093825806</v>
      </c>
      <c r="I225" s="2">
        <f>(tblCustomers4[[#This Row],[Rating]] - AVERAGE(tblCustomers[Rating]))/_xlfn.STDEV.S(tblCustomers[Rating])</f>
        <v>-0.24521060103792247</v>
      </c>
    </row>
    <row r="226" spans="1:9" x14ac:dyDescent="0.2">
      <c r="A226" s="2">
        <v>41.024999999999999</v>
      </c>
      <c r="B226" s="3">
        <v>4229</v>
      </c>
      <c r="C226" s="1">
        <v>337</v>
      </c>
      <c r="D226" s="1">
        <v>3</v>
      </c>
      <c r="E226" s="1">
        <v>79</v>
      </c>
      <c r="F226" s="3">
        <v>246</v>
      </c>
      <c r="G226" s="2">
        <f>(tblCustomers4[[#This Row],[Income]] - AVERAGE(tblCustomers[Income]))/_xlfn.STDEV.S(tblCustomers[Income])</f>
        <v>-0.11899479329187605</v>
      </c>
      <c r="H226" s="2">
        <f>(tblCustomers4[[#This Row],[Limit]] - AVERAGE(tblCustomers[Limit]))/_xlfn.STDEV.S(tblCustomers[Limit])</f>
        <v>-0.21947849100575864</v>
      </c>
      <c r="I226" s="2">
        <f>(tblCustomers4[[#This Row],[Rating]] - AVERAGE(tblCustomers[Rating]))/_xlfn.STDEV.S(tblCustomers[Rating])</f>
        <v>-0.1159482915819802</v>
      </c>
    </row>
    <row r="227" spans="1:9" x14ac:dyDescent="0.2">
      <c r="A227" s="2">
        <v>58.063000000000002</v>
      </c>
      <c r="B227" s="3">
        <v>4221</v>
      </c>
      <c r="C227" s="1">
        <v>304</v>
      </c>
      <c r="D227" s="1">
        <v>3</v>
      </c>
      <c r="E227" s="1">
        <v>50</v>
      </c>
      <c r="F227" s="3">
        <v>118</v>
      </c>
      <c r="G227" s="2">
        <f>(tblCustomers4[[#This Row],[Income]] - AVERAGE(tblCustomers[Income]))/_xlfn.STDEV.S(tblCustomers[Income])</f>
        <v>0.36443126348054239</v>
      </c>
      <c r="H227" s="2">
        <f>(tblCustomers4[[#This Row],[Limit]] - AVERAGE(tblCustomers[Limit]))/_xlfn.STDEV.S(tblCustomers[Limit])</f>
        <v>-0.22294439690399406</v>
      </c>
      <c r="I227" s="2">
        <f>(tblCustomers4[[#This Row],[Rating]] - AVERAGE(tblCustomers[Rating]))/_xlfn.STDEV.S(tblCustomers[Rating])</f>
        <v>-0.32923110218428492</v>
      </c>
    </row>
    <row r="228" spans="1:9" x14ac:dyDescent="0.2">
      <c r="A228" s="2">
        <v>57.872</v>
      </c>
      <c r="B228" s="3">
        <v>4171</v>
      </c>
      <c r="C228" s="1">
        <v>321</v>
      </c>
      <c r="D228" s="1">
        <v>5</v>
      </c>
      <c r="E228" s="1">
        <v>67</v>
      </c>
      <c r="F228" s="3">
        <v>138</v>
      </c>
      <c r="G228" s="2">
        <f>(tblCustomers4[[#This Row],[Income]] - AVERAGE(tblCustomers[Income]))/_xlfn.STDEV.S(tblCustomers[Income])</f>
        <v>0.3590119433230396</v>
      </c>
      <c r="H228" s="2">
        <f>(tblCustomers4[[#This Row],[Limit]] - AVERAGE(tblCustomers[Limit]))/_xlfn.STDEV.S(tblCustomers[Limit])</f>
        <v>-0.24460630876796549</v>
      </c>
      <c r="I228" s="2">
        <f>(tblCustomers4[[#This Row],[Rating]] - AVERAGE(tblCustomers[Rating]))/_xlfn.STDEV.S(tblCustomers[Rating])</f>
        <v>-0.21935813914673402</v>
      </c>
    </row>
    <row r="229" spans="1:9" x14ac:dyDescent="0.2">
      <c r="A229" s="2">
        <v>12</v>
      </c>
      <c r="B229" s="3">
        <v>4160</v>
      </c>
      <c r="C229" s="1">
        <v>320</v>
      </c>
      <c r="D229" s="1">
        <v>4</v>
      </c>
      <c r="E229" s="1">
        <v>28</v>
      </c>
      <c r="F229" s="3">
        <v>602</v>
      </c>
      <c r="G229" s="2">
        <f>(tblCustomers4[[#This Row],[Income]] - AVERAGE(tblCustomers[Income]))/_xlfn.STDEV.S(tblCustomers[Income])</f>
        <v>-0.94253284340453258</v>
      </c>
      <c r="H229" s="2">
        <f>(tblCustomers4[[#This Row],[Limit]] - AVERAGE(tblCustomers[Limit]))/_xlfn.STDEV.S(tblCustomers[Limit])</f>
        <v>-0.2493719293780392</v>
      </c>
      <c r="I229" s="2">
        <f>(tblCustomers4[[#This Row],[Rating]] - AVERAGE(tblCustomers[Rating]))/_xlfn.STDEV.S(tblCustomers[Rating])</f>
        <v>-0.22582125461953112</v>
      </c>
    </row>
    <row r="230" spans="1:9" x14ac:dyDescent="0.2">
      <c r="A230" s="2">
        <v>10.403</v>
      </c>
      <c r="B230" s="3">
        <v>4159</v>
      </c>
      <c r="C230" s="1">
        <v>310</v>
      </c>
      <c r="D230" s="1">
        <v>3</v>
      </c>
      <c r="E230" s="1">
        <v>43</v>
      </c>
      <c r="F230" s="3">
        <v>571</v>
      </c>
      <c r="G230" s="2">
        <f>(tblCustomers4[[#This Row],[Income]] - AVERAGE(tblCustomers[Income]))/_xlfn.STDEV.S(tblCustomers[Income])</f>
        <v>-0.98784516953820745</v>
      </c>
      <c r="H230" s="2">
        <f>(tblCustomers4[[#This Row],[Limit]] - AVERAGE(tblCustomers[Limit]))/_xlfn.STDEV.S(tblCustomers[Limit])</f>
        <v>-0.24980516761531862</v>
      </c>
      <c r="I230" s="2">
        <f>(tblCustomers4[[#This Row],[Rating]] - AVERAGE(tblCustomers[Rating]))/_xlfn.STDEV.S(tblCustomers[Rating])</f>
        <v>-0.29045240934750227</v>
      </c>
    </row>
    <row r="231" spans="1:9" x14ac:dyDescent="0.2">
      <c r="A231" s="2">
        <v>54.662999999999997</v>
      </c>
      <c r="B231" s="3">
        <v>4116</v>
      </c>
      <c r="C231" s="1">
        <v>314</v>
      </c>
      <c r="D231" s="1">
        <v>2</v>
      </c>
      <c r="E231" s="1">
        <v>70</v>
      </c>
      <c r="F231" s="3">
        <v>75</v>
      </c>
      <c r="G231" s="2">
        <f>(tblCustomers4[[#This Row],[Income]] - AVERAGE(tblCustomers[Income]))/_xlfn.STDEV.S(tblCustomers[Income])</f>
        <v>0.26796168999620001</v>
      </c>
      <c r="H231" s="2">
        <f>(tblCustomers4[[#This Row],[Limit]] - AVERAGE(tblCustomers[Limit]))/_xlfn.STDEV.S(tblCustomers[Limit])</f>
        <v>-0.26843441181833405</v>
      </c>
      <c r="I231" s="2">
        <f>(tblCustomers4[[#This Row],[Rating]] - AVERAGE(tblCustomers[Rating]))/_xlfn.STDEV.S(tblCustomers[Rating])</f>
        <v>-0.26459994745631382</v>
      </c>
    </row>
    <row r="232" spans="1:9" x14ac:dyDescent="0.2">
      <c r="A232" s="2">
        <v>12.096</v>
      </c>
      <c r="B232" s="3">
        <v>4100</v>
      </c>
      <c r="C232" s="1">
        <v>307</v>
      </c>
      <c r="D232" s="1">
        <v>3</v>
      </c>
      <c r="E232" s="1">
        <v>32</v>
      </c>
      <c r="F232" s="3">
        <v>560</v>
      </c>
      <c r="G232" s="2">
        <f>(tblCustomers4[[#This Row],[Income]] - AVERAGE(tblCustomers[Income]))/_xlfn.STDEV.S(tblCustomers[Income])</f>
        <v>-0.93980899662379824</v>
      </c>
      <c r="H232" s="2">
        <f>(tblCustomers4[[#This Row],[Limit]] - AVERAGE(tblCustomers[Limit]))/_xlfn.STDEV.S(tblCustomers[Limit])</f>
        <v>-0.27536622361480489</v>
      </c>
      <c r="I232" s="2">
        <f>(tblCustomers4[[#This Row],[Rating]] - AVERAGE(tblCustomers[Rating]))/_xlfn.STDEV.S(tblCustomers[Rating])</f>
        <v>-0.30984175576589362</v>
      </c>
    </row>
    <row r="233" spans="1:9" x14ac:dyDescent="0.2">
      <c r="A233" s="2">
        <v>80.861000000000004</v>
      </c>
      <c r="B233" s="3">
        <v>4090</v>
      </c>
      <c r="C233" s="1">
        <v>335</v>
      </c>
      <c r="D233" s="1">
        <v>3</v>
      </c>
      <c r="E233" s="1">
        <v>29</v>
      </c>
      <c r="F233" s="3">
        <v>0</v>
      </c>
      <c r="G233" s="2">
        <f>(tblCustomers4[[#This Row],[Income]] - AVERAGE(tblCustomers[Income]))/_xlfn.STDEV.S(tblCustomers[Income])</f>
        <v>1.0112881270970229</v>
      </c>
      <c r="H233" s="2">
        <f>(tblCustomers4[[#This Row],[Limit]] - AVERAGE(tblCustomers[Limit]))/_xlfn.STDEV.S(tblCustomers[Limit])</f>
        <v>-0.27969860598759921</v>
      </c>
      <c r="I233" s="2">
        <f>(tblCustomers4[[#This Row],[Rating]] - AVERAGE(tblCustomers[Rating]))/_xlfn.STDEV.S(tblCustomers[Rating])</f>
        <v>-0.12887452252757442</v>
      </c>
    </row>
    <row r="234" spans="1:9" x14ac:dyDescent="0.2">
      <c r="A234" s="2">
        <v>10.587999999999999</v>
      </c>
      <c r="B234" s="3">
        <v>4049</v>
      </c>
      <c r="C234" s="1">
        <v>296</v>
      </c>
      <c r="D234" s="1">
        <v>1</v>
      </c>
      <c r="E234" s="1">
        <v>66</v>
      </c>
      <c r="F234" s="3">
        <v>465</v>
      </c>
      <c r="G234" s="2">
        <f>(tblCustomers4[[#This Row],[Income]] - AVERAGE(tblCustomers[Income]))/_xlfn.STDEV.S(tblCustomers[Income])</f>
        <v>-0.98259608980450053</v>
      </c>
      <c r="H234" s="2">
        <f>(tblCustomers4[[#This Row],[Limit]] - AVERAGE(tblCustomers[Limit]))/_xlfn.STDEV.S(tblCustomers[Limit])</f>
        <v>-0.29746137371605574</v>
      </c>
      <c r="I234" s="2">
        <f>(tblCustomers4[[#This Row],[Rating]] - AVERAGE(tblCustomers[Rating]))/_xlfn.STDEV.S(tblCustomers[Rating])</f>
        <v>-0.38093602596666182</v>
      </c>
    </row>
    <row r="235" spans="1:9" x14ac:dyDescent="0.2">
      <c r="A235" s="2">
        <v>50.698999999999998</v>
      </c>
      <c r="B235" s="3">
        <v>3977</v>
      </c>
      <c r="C235" s="1">
        <v>304</v>
      </c>
      <c r="D235" s="1">
        <v>2</v>
      </c>
      <c r="E235" s="1">
        <v>84</v>
      </c>
      <c r="F235" s="3">
        <v>69</v>
      </c>
      <c r="G235" s="2">
        <f>(tblCustomers4[[#This Row],[Income]] - AVERAGE(tblCustomers[Income]))/_xlfn.STDEV.S(tblCustomers[Income])</f>
        <v>0.15548951667504346</v>
      </c>
      <c r="H235" s="2">
        <f>(tblCustomers4[[#This Row],[Limit]] - AVERAGE(tblCustomers[Limit]))/_xlfn.STDEV.S(tblCustomers[Limit])</f>
        <v>-0.3286545268001746</v>
      </c>
      <c r="I235" s="2">
        <f>(tblCustomers4[[#This Row],[Rating]] - AVERAGE(tblCustomers[Rating]))/_xlfn.STDEV.S(tblCustomers[Rating])</f>
        <v>-0.32923110218428492</v>
      </c>
    </row>
    <row r="236" spans="1:9" x14ac:dyDescent="0.2">
      <c r="A236" s="2">
        <v>12.581</v>
      </c>
      <c r="B236" s="3">
        <v>3976</v>
      </c>
      <c r="C236" s="1">
        <v>291</v>
      </c>
      <c r="D236" s="1">
        <v>2</v>
      </c>
      <c r="E236" s="1">
        <v>48</v>
      </c>
      <c r="F236" s="3">
        <v>474</v>
      </c>
      <c r="G236" s="2">
        <f>(tblCustomers4[[#This Row],[Income]] - AVERAGE(tblCustomers[Income]))/_xlfn.STDEV.S(tblCustomers[Income])</f>
        <v>-0.92604789570029655</v>
      </c>
      <c r="H236" s="2">
        <f>(tblCustomers4[[#This Row],[Limit]] - AVERAGE(tblCustomers[Limit]))/_xlfn.STDEV.S(tblCustomers[Limit])</f>
        <v>-0.32908776503745402</v>
      </c>
      <c r="I236" s="2">
        <f>(tblCustomers4[[#This Row],[Rating]] - AVERAGE(tblCustomers[Rating]))/_xlfn.STDEV.S(tblCustomers[Rating])</f>
        <v>-0.41325160333064742</v>
      </c>
    </row>
    <row r="237" spans="1:9" x14ac:dyDescent="0.2">
      <c r="A237" s="2">
        <v>39.704999999999998</v>
      </c>
      <c r="B237" s="3">
        <v>3969</v>
      </c>
      <c r="C237" s="1">
        <v>301</v>
      </c>
      <c r="D237" s="1">
        <v>2</v>
      </c>
      <c r="E237" s="1">
        <v>27</v>
      </c>
      <c r="F237" s="3">
        <v>211</v>
      </c>
      <c r="G237" s="2">
        <f>(tblCustomers4[[#This Row],[Income]] - AVERAGE(tblCustomers[Income]))/_xlfn.STDEV.S(tblCustomers[Income])</f>
        <v>-0.15644768652697361</v>
      </c>
      <c r="H237" s="2">
        <f>(tblCustomers4[[#This Row],[Limit]] - AVERAGE(tblCustomers[Limit]))/_xlfn.STDEV.S(tblCustomers[Limit])</f>
        <v>-0.33212043269841002</v>
      </c>
      <c r="I237" s="2">
        <f>(tblCustomers4[[#This Row],[Rating]] - AVERAGE(tblCustomers[Rating]))/_xlfn.STDEV.S(tblCustomers[Rating])</f>
        <v>-0.34862044860267627</v>
      </c>
    </row>
    <row r="238" spans="1:9" x14ac:dyDescent="0.2">
      <c r="A238" s="2">
        <v>22.379000000000001</v>
      </c>
      <c r="B238" s="3">
        <v>3965</v>
      </c>
      <c r="C238" s="1">
        <v>292</v>
      </c>
      <c r="D238" s="1">
        <v>2</v>
      </c>
      <c r="E238" s="1">
        <v>34</v>
      </c>
      <c r="F238" s="3">
        <v>384</v>
      </c>
      <c r="G238" s="2">
        <f>(tblCustomers4[[#This Row],[Income]] - AVERAGE(tblCustomers[Income]))/_xlfn.STDEV.S(tblCustomers[Income])</f>
        <v>-0.64804528364159497</v>
      </c>
      <c r="H238" s="2">
        <f>(tblCustomers4[[#This Row],[Limit]] - AVERAGE(tblCustomers[Limit]))/_xlfn.STDEV.S(tblCustomers[Limit])</f>
        <v>-0.33385338564752776</v>
      </c>
      <c r="I238" s="2">
        <f>(tblCustomers4[[#This Row],[Rating]] - AVERAGE(tblCustomers[Rating]))/_xlfn.STDEV.S(tblCustomers[Rating])</f>
        <v>-0.40678848785785032</v>
      </c>
    </row>
    <row r="239" spans="1:9" x14ac:dyDescent="0.2">
      <c r="A239" s="2">
        <v>24.888999999999999</v>
      </c>
      <c r="B239" s="3">
        <v>3954</v>
      </c>
      <c r="C239" s="1">
        <v>318</v>
      </c>
      <c r="D239" s="1">
        <v>4</v>
      </c>
      <c r="E239" s="1">
        <v>75</v>
      </c>
      <c r="F239" s="3">
        <v>357</v>
      </c>
      <c r="G239" s="2">
        <f>(tblCustomers4[[#This Row],[Income]] - AVERAGE(tblCustomers[Income]))/_xlfn.STDEV.S(tblCustomers[Income])</f>
        <v>-0.57682803968697771</v>
      </c>
      <c r="H239" s="2">
        <f>(tblCustomers4[[#This Row],[Limit]] - AVERAGE(tblCustomers[Limit]))/_xlfn.STDEV.S(tblCustomers[Limit])</f>
        <v>-0.33861900625760144</v>
      </c>
      <c r="I239" s="2">
        <f>(tblCustomers4[[#This Row],[Rating]] - AVERAGE(tblCustomers[Rating]))/_xlfn.STDEV.S(tblCustomers[Rating])</f>
        <v>-0.23874748556512534</v>
      </c>
    </row>
    <row r="240" spans="1:9" x14ac:dyDescent="0.2">
      <c r="A240" s="2">
        <v>28.507999999999999</v>
      </c>
      <c r="B240" s="3">
        <v>3933</v>
      </c>
      <c r="C240" s="1">
        <v>287</v>
      </c>
      <c r="D240" s="1">
        <v>4</v>
      </c>
      <c r="E240" s="1">
        <v>56</v>
      </c>
      <c r="F240" s="3">
        <v>336</v>
      </c>
      <c r="G240" s="2">
        <f>(tblCustomers4[[#This Row],[Income]] - AVERAGE(tblCustomers[Income]))/_xlfn.STDEV.S(tblCustomers[Income])</f>
        <v>-0.47414469073408522</v>
      </c>
      <c r="H240" s="2">
        <f>(tblCustomers4[[#This Row],[Limit]] - AVERAGE(tblCustomers[Limit]))/_xlfn.STDEV.S(tblCustomers[Limit])</f>
        <v>-0.34771700924046944</v>
      </c>
      <c r="I240" s="2">
        <f>(tblCustomers4[[#This Row],[Rating]] - AVERAGE(tblCustomers[Rating]))/_xlfn.STDEV.S(tblCustomers[Rating])</f>
        <v>-0.43910406522183587</v>
      </c>
    </row>
    <row r="241" spans="1:9" x14ac:dyDescent="0.2">
      <c r="A241" s="2">
        <v>13.234</v>
      </c>
      <c r="B241" s="3">
        <v>3922</v>
      </c>
      <c r="C241" s="1">
        <v>299</v>
      </c>
      <c r="D241" s="1">
        <v>2</v>
      </c>
      <c r="E241" s="1">
        <v>77</v>
      </c>
      <c r="F241" s="3">
        <v>426</v>
      </c>
      <c r="G241" s="2">
        <f>(tblCustomers4[[#This Row],[Income]] - AVERAGE(tblCustomers[Income]))/_xlfn.STDEV.S(tblCustomers[Income])</f>
        <v>-0.90752006291050946</v>
      </c>
      <c r="H241" s="2">
        <f>(tblCustomers4[[#This Row],[Limit]] - AVERAGE(tblCustomers[Limit]))/_xlfn.STDEV.S(tblCustomers[Limit])</f>
        <v>-0.35248262985054318</v>
      </c>
      <c r="I241" s="2">
        <f>(tblCustomers4[[#This Row],[Rating]] - AVERAGE(tblCustomers[Rating]))/_xlfn.STDEV.S(tblCustomers[Rating])</f>
        <v>-0.36154667954827052</v>
      </c>
    </row>
    <row r="242" spans="1:9" x14ac:dyDescent="0.2">
      <c r="A242" s="2">
        <v>14.478999999999999</v>
      </c>
      <c r="B242" s="3">
        <v>3907</v>
      </c>
      <c r="C242" s="1">
        <v>296</v>
      </c>
      <c r="D242" s="1">
        <v>3</v>
      </c>
      <c r="E242" s="1">
        <v>43</v>
      </c>
      <c r="F242" s="3">
        <v>463</v>
      </c>
      <c r="G242" s="2">
        <f>(tblCustomers4[[#This Row],[Income]] - AVERAGE(tblCustomers[Income]))/_xlfn.STDEV.S(tblCustomers[Income])</f>
        <v>-0.8721951749728607</v>
      </c>
      <c r="H242" s="2">
        <f>(tblCustomers4[[#This Row],[Limit]] - AVERAGE(tblCustomers[Limit]))/_xlfn.STDEV.S(tblCustomers[Limit])</f>
        <v>-0.35898120340973461</v>
      </c>
      <c r="I242" s="2">
        <f>(tblCustomers4[[#This Row],[Rating]] - AVERAGE(tblCustomers[Rating]))/_xlfn.STDEV.S(tblCustomers[Rating])</f>
        <v>-0.38093602596666182</v>
      </c>
    </row>
    <row r="243" spans="1:9" x14ac:dyDescent="0.2">
      <c r="A243" s="2">
        <v>10.852</v>
      </c>
      <c r="B243" s="3">
        <v>3907</v>
      </c>
      <c r="C243" s="1">
        <v>296</v>
      </c>
      <c r="D243" s="1">
        <v>2</v>
      </c>
      <c r="E243" s="1">
        <v>30</v>
      </c>
      <c r="F243" s="3">
        <v>485</v>
      </c>
      <c r="G243" s="2">
        <f>(tblCustomers4[[#This Row],[Income]] - AVERAGE(tblCustomers[Income]))/_xlfn.STDEV.S(tblCustomers[Income])</f>
        <v>-0.97510551115748112</v>
      </c>
      <c r="H243" s="2">
        <f>(tblCustomers4[[#This Row],[Limit]] - AVERAGE(tblCustomers[Limit]))/_xlfn.STDEV.S(tblCustomers[Limit])</f>
        <v>-0.35898120340973461</v>
      </c>
      <c r="I243" s="2">
        <f>(tblCustomers4[[#This Row],[Rating]] - AVERAGE(tblCustomers[Rating]))/_xlfn.STDEV.S(tblCustomers[Rating])</f>
        <v>-0.38093602596666182</v>
      </c>
    </row>
    <row r="244" spans="1:9" x14ac:dyDescent="0.2">
      <c r="A244" s="2">
        <v>11.795</v>
      </c>
      <c r="B244" s="3">
        <v>3899</v>
      </c>
      <c r="C244" s="1">
        <v>300</v>
      </c>
      <c r="D244" s="1">
        <v>4</v>
      </c>
      <c r="E244" s="1">
        <v>25</v>
      </c>
      <c r="F244" s="3">
        <v>531</v>
      </c>
      <c r="G244" s="2">
        <f>(tblCustomers4[[#This Row],[Income]] - AVERAGE(tblCustomers[Income]))/_xlfn.STDEV.S(tblCustomers[Income])</f>
        <v>-0.94834939121755901</v>
      </c>
      <c r="H244" s="2">
        <f>(tblCustomers4[[#This Row],[Limit]] - AVERAGE(tblCustomers[Limit]))/_xlfn.STDEV.S(tblCustomers[Limit])</f>
        <v>-0.36244710930797003</v>
      </c>
      <c r="I244" s="2">
        <f>(tblCustomers4[[#This Row],[Rating]] - AVERAGE(tblCustomers[Rating]))/_xlfn.STDEV.S(tblCustomers[Rating])</f>
        <v>-0.35508356407547337</v>
      </c>
    </row>
    <row r="245" spans="1:9" x14ac:dyDescent="0.2">
      <c r="A245" s="2">
        <v>10.792999999999999</v>
      </c>
      <c r="B245" s="3">
        <v>3878</v>
      </c>
      <c r="C245" s="1">
        <v>321</v>
      </c>
      <c r="D245" s="1">
        <v>8</v>
      </c>
      <c r="E245" s="1">
        <v>29</v>
      </c>
      <c r="F245" s="3">
        <v>638</v>
      </c>
      <c r="G245" s="2">
        <f>(tblCustomers4[[#This Row],[Income]] - AVERAGE(tblCustomers[Income]))/_xlfn.STDEV.S(tblCustomers[Income])</f>
        <v>-0.9767795419914741</v>
      </c>
      <c r="H245" s="2">
        <f>(tblCustomers4[[#This Row],[Limit]] - AVERAGE(tblCustomers[Limit]))/_xlfn.STDEV.S(tblCustomers[Limit])</f>
        <v>-0.37154511229083803</v>
      </c>
      <c r="I245" s="2">
        <f>(tblCustomers4[[#This Row],[Rating]] - AVERAGE(tblCustomers[Rating]))/_xlfn.STDEV.S(tblCustomers[Rating])</f>
        <v>-0.21935813914673402</v>
      </c>
    </row>
    <row r="246" spans="1:9" x14ac:dyDescent="0.2">
      <c r="A246" s="2">
        <v>75.406000000000006</v>
      </c>
      <c r="B246" s="3">
        <v>3874</v>
      </c>
      <c r="C246" s="1">
        <v>298</v>
      </c>
      <c r="D246" s="1">
        <v>3</v>
      </c>
      <c r="E246" s="1">
        <v>41</v>
      </c>
      <c r="F246" s="3">
        <v>0</v>
      </c>
      <c r="G246" s="2">
        <f>(tblCustomers4[[#This Row],[Income]] - AVERAGE(tblCustomers[Income]))/_xlfn.STDEV.S(tblCustomers[Income])</f>
        <v>0.85651120846258566</v>
      </c>
      <c r="H246" s="2">
        <f>(tblCustomers4[[#This Row],[Limit]] - AVERAGE(tblCustomers[Limit]))/_xlfn.STDEV.S(tblCustomers[Limit])</f>
        <v>-0.37327806523995577</v>
      </c>
      <c r="I246" s="2">
        <f>(tblCustomers4[[#This Row],[Rating]] - AVERAGE(tblCustomers[Rating]))/_xlfn.STDEV.S(tblCustomers[Rating])</f>
        <v>-0.36800979502106762</v>
      </c>
    </row>
    <row r="247" spans="1:9" x14ac:dyDescent="0.2">
      <c r="A247" s="2">
        <v>12.068</v>
      </c>
      <c r="B247" s="3">
        <v>3873</v>
      </c>
      <c r="C247" s="1">
        <v>292</v>
      </c>
      <c r="D247" s="1">
        <v>1</v>
      </c>
      <c r="E247" s="1">
        <v>44</v>
      </c>
      <c r="F247" s="3">
        <v>413</v>
      </c>
      <c r="G247" s="2">
        <f>(tblCustomers4[[#This Row],[Income]] - AVERAGE(tblCustomers[Income]))/_xlfn.STDEV.S(tblCustomers[Income])</f>
        <v>-0.94060345193484574</v>
      </c>
      <c r="H247" s="2">
        <f>(tblCustomers4[[#This Row],[Limit]] - AVERAGE(tblCustomers[Limit]))/_xlfn.STDEV.S(tblCustomers[Limit])</f>
        <v>-0.37371130347723519</v>
      </c>
      <c r="I247" s="2">
        <f>(tblCustomers4[[#This Row],[Rating]] - AVERAGE(tblCustomers[Rating]))/_xlfn.STDEV.S(tblCustomers[Rating])</f>
        <v>-0.40678848785785032</v>
      </c>
    </row>
    <row r="248" spans="1:9" x14ac:dyDescent="0.2">
      <c r="A248" s="2">
        <v>13.364000000000001</v>
      </c>
      <c r="B248" s="3">
        <v>3838</v>
      </c>
      <c r="C248" s="1">
        <v>296</v>
      </c>
      <c r="D248" s="1">
        <v>5</v>
      </c>
      <c r="E248" s="1">
        <v>65</v>
      </c>
      <c r="F248" s="3">
        <v>480</v>
      </c>
      <c r="G248" s="2">
        <f>(tblCustomers4[[#This Row],[Income]] - AVERAGE(tblCustomers[Income]))/_xlfn.STDEV.S(tblCustomers[Income])</f>
        <v>-0.90383152039493175</v>
      </c>
      <c r="H248" s="2">
        <f>(tblCustomers4[[#This Row],[Limit]] - AVERAGE(tblCustomers[Limit]))/_xlfn.STDEV.S(tblCustomers[Limit])</f>
        <v>-0.3888746417820152</v>
      </c>
      <c r="I248" s="2">
        <f>(tblCustomers4[[#This Row],[Rating]] - AVERAGE(tblCustomers[Rating]))/_xlfn.STDEV.S(tblCustomers[Rating])</f>
        <v>-0.38093602596666182</v>
      </c>
    </row>
    <row r="249" spans="1:9" x14ac:dyDescent="0.2">
      <c r="A249" s="2">
        <v>23.792999999999999</v>
      </c>
      <c r="B249" s="3">
        <v>3821</v>
      </c>
      <c r="C249" s="1">
        <v>281</v>
      </c>
      <c r="D249" s="1">
        <v>4</v>
      </c>
      <c r="E249" s="1">
        <v>56</v>
      </c>
      <c r="F249" s="3">
        <v>868</v>
      </c>
      <c r="G249" s="2">
        <f>(tblCustomers4[[#This Row],[Income]] - AVERAGE(tblCustomers[Income]))/_xlfn.STDEV.S(tblCustomers[Income])</f>
        <v>-0.60792529043369503</v>
      </c>
      <c r="H249" s="2">
        <f>(tblCustomers4[[#This Row],[Limit]] - AVERAGE(tblCustomers[Limit]))/_xlfn.STDEV.S(tblCustomers[Limit])</f>
        <v>-0.39623969181576546</v>
      </c>
      <c r="I249" s="2">
        <f>(tblCustomers4[[#This Row],[Rating]] - AVERAGE(tblCustomers[Rating]))/_xlfn.STDEV.S(tblCustomers[Rating])</f>
        <v>-0.47788275805861852</v>
      </c>
    </row>
    <row r="250" spans="1:9" x14ac:dyDescent="0.2">
      <c r="A250" s="2">
        <v>27.794</v>
      </c>
      <c r="B250" s="3">
        <v>3807</v>
      </c>
      <c r="C250" s="1">
        <v>301</v>
      </c>
      <c r="D250" s="1">
        <v>4</v>
      </c>
      <c r="E250" s="1">
        <v>35</v>
      </c>
      <c r="F250" s="3">
        <v>320</v>
      </c>
      <c r="G250" s="2">
        <f>(tblCustomers4[[#This Row],[Income]] - AVERAGE(tblCustomers[Income]))/_xlfn.STDEV.S(tblCustomers[Income])</f>
        <v>-0.49440330116579706</v>
      </c>
      <c r="H250" s="2">
        <f>(tblCustomers4[[#This Row],[Limit]] - AVERAGE(tblCustomers[Limit]))/_xlfn.STDEV.S(tblCustomers[Limit])</f>
        <v>-0.40230502713767746</v>
      </c>
      <c r="I250" s="2">
        <f>(tblCustomers4[[#This Row],[Rating]] - AVERAGE(tblCustomers[Rating]))/_xlfn.STDEV.S(tblCustomers[Rating])</f>
        <v>-0.34862044860267627</v>
      </c>
    </row>
    <row r="251" spans="1:9" x14ac:dyDescent="0.2">
      <c r="A251" s="2">
        <v>36.472000000000001</v>
      </c>
      <c r="B251" s="3">
        <v>3806</v>
      </c>
      <c r="C251" s="1">
        <v>309</v>
      </c>
      <c r="D251" s="1">
        <v>2</v>
      </c>
      <c r="E251" s="1">
        <v>52</v>
      </c>
      <c r="F251" s="3">
        <v>188</v>
      </c>
      <c r="G251" s="2">
        <f>(tblCustomers4[[#This Row],[Income]] - AVERAGE(tblCustomers[Income]))/_xlfn.STDEV.S(tblCustomers[Income])</f>
        <v>-0.24817890154899658</v>
      </c>
      <c r="H251" s="2">
        <f>(tblCustomers4[[#This Row],[Limit]] - AVERAGE(tblCustomers[Limit]))/_xlfn.STDEV.S(tblCustomers[Limit])</f>
        <v>-0.40273826537495688</v>
      </c>
      <c r="I251" s="2">
        <f>(tblCustomers4[[#This Row],[Rating]] - AVERAGE(tblCustomers[Rating]))/_xlfn.STDEV.S(tblCustomers[Rating])</f>
        <v>-0.29691552482029937</v>
      </c>
    </row>
    <row r="252" spans="1:9" x14ac:dyDescent="0.2">
      <c r="A252" s="2">
        <v>19.782</v>
      </c>
      <c r="B252" s="3">
        <v>3782</v>
      </c>
      <c r="C252" s="1">
        <v>293</v>
      </c>
      <c r="D252" s="1">
        <v>2</v>
      </c>
      <c r="E252" s="1">
        <v>46</v>
      </c>
      <c r="F252" s="3">
        <v>840</v>
      </c>
      <c r="G252" s="2">
        <f>(tblCustomers4[[#This Row],[Income]] - AVERAGE(tblCustomers[Income]))/_xlfn.STDEV.S(tblCustomers[Income])</f>
        <v>-0.72173101374125281</v>
      </c>
      <c r="H252" s="2">
        <f>(tblCustomers4[[#This Row],[Limit]] - AVERAGE(tblCustomers[Limit]))/_xlfn.STDEV.S(tblCustomers[Limit])</f>
        <v>-0.41313598306966315</v>
      </c>
      <c r="I252" s="2">
        <f>(tblCustomers4[[#This Row],[Rating]] - AVERAGE(tblCustomers[Rating]))/_xlfn.STDEV.S(tblCustomers[Rating])</f>
        <v>-0.40032537238505317</v>
      </c>
    </row>
    <row r="253" spans="1:9" x14ac:dyDescent="0.2">
      <c r="A253" s="2">
        <v>45.12</v>
      </c>
      <c r="B253" s="3">
        <v>3762</v>
      </c>
      <c r="C253" s="1">
        <v>287</v>
      </c>
      <c r="D253" s="1">
        <v>3</v>
      </c>
      <c r="E253" s="1">
        <v>80</v>
      </c>
      <c r="F253" s="3">
        <v>70</v>
      </c>
      <c r="G253" s="2">
        <f>(tblCustomers4[[#This Row],[Income]] - AVERAGE(tblCustomers[Income]))/_xlfn.STDEV.S(tblCustomers[Income])</f>
        <v>-2.805704051175703E-3</v>
      </c>
      <c r="H253" s="2">
        <f>(tblCustomers4[[#This Row],[Limit]] - AVERAGE(tblCustomers[Limit]))/_xlfn.STDEV.S(tblCustomers[Limit])</f>
        <v>-0.42180074781525173</v>
      </c>
      <c r="I253" s="2">
        <f>(tblCustomers4[[#This Row],[Rating]] - AVERAGE(tblCustomers[Rating]))/_xlfn.STDEV.S(tblCustomers[Rating])</f>
        <v>-0.43910406522183587</v>
      </c>
    </row>
    <row r="254" spans="1:9" x14ac:dyDescent="0.2">
      <c r="A254" s="2">
        <v>10.734999999999999</v>
      </c>
      <c r="B254" s="3">
        <v>3746</v>
      </c>
      <c r="C254" s="1">
        <v>280</v>
      </c>
      <c r="D254" s="1">
        <v>2</v>
      </c>
      <c r="E254" s="1">
        <v>44</v>
      </c>
      <c r="F254" s="3">
        <v>410</v>
      </c>
      <c r="G254" s="2">
        <f>(tblCustomers4[[#This Row],[Income]] - AVERAGE(tblCustomers[Income]))/_xlfn.STDEV.S(tblCustomers[Income])</f>
        <v>-0.97842519942150108</v>
      </c>
      <c r="H254" s="2">
        <f>(tblCustomers4[[#This Row],[Limit]] - AVERAGE(tblCustomers[Limit]))/_xlfn.STDEV.S(tblCustomers[Limit])</f>
        <v>-0.42873255961172257</v>
      </c>
      <c r="I254" s="2">
        <f>(tblCustomers4[[#This Row],[Rating]] - AVERAGE(tblCustomers[Rating]))/_xlfn.STDEV.S(tblCustomers[Rating])</f>
        <v>-0.48434587353141567</v>
      </c>
    </row>
    <row r="255" spans="1:9" x14ac:dyDescent="0.2">
      <c r="A255" s="2">
        <v>21.152999999999999</v>
      </c>
      <c r="B255" s="3">
        <v>3736</v>
      </c>
      <c r="C255" s="1">
        <v>256</v>
      </c>
      <c r="D255" s="1">
        <v>1</v>
      </c>
      <c r="E255" s="1">
        <v>41</v>
      </c>
      <c r="F255" s="3">
        <v>298</v>
      </c>
      <c r="G255" s="2">
        <f>(tblCustomers4[[#This Row],[Income]] - AVERAGE(tblCustomers[Income]))/_xlfn.STDEV.S(tblCustomers[Income])</f>
        <v>-0.68283107690389022</v>
      </c>
      <c r="H255" s="2">
        <f>(tblCustomers4[[#This Row],[Limit]] - AVERAGE(tblCustomers[Limit]))/_xlfn.STDEV.S(tblCustomers[Limit])</f>
        <v>-0.43306494198451689</v>
      </c>
      <c r="I255" s="2">
        <f>(tblCustomers4[[#This Row],[Rating]] - AVERAGE(tblCustomers[Rating]))/_xlfn.STDEV.S(tblCustomers[Rating])</f>
        <v>-0.63946064487854637</v>
      </c>
    </row>
    <row r="256" spans="1:9" x14ac:dyDescent="0.2">
      <c r="A256" s="2">
        <v>53.597999999999999</v>
      </c>
      <c r="B256" s="3">
        <v>3714</v>
      </c>
      <c r="C256" s="1">
        <v>286</v>
      </c>
      <c r="D256" s="1">
        <v>3</v>
      </c>
      <c r="E256" s="1">
        <v>73</v>
      </c>
      <c r="F256" s="3">
        <v>0</v>
      </c>
      <c r="G256" s="2">
        <f>(tblCustomers4[[#This Row],[Income]] - AVERAGE(tblCustomers[Income]))/_xlfn.STDEV.S(tblCustomers[Income])</f>
        <v>0.23774401477242821</v>
      </c>
      <c r="H256" s="2">
        <f>(tblCustomers4[[#This Row],[Limit]] - AVERAGE(tblCustomers[Limit]))/_xlfn.STDEV.S(tblCustomers[Limit])</f>
        <v>-0.44259618320466432</v>
      </c>
      <c r="I256" s="2">
        <f>(tblCustomers4[[#This Row],[Rating]] - AVERAGE(tblCustomers[Rating]))/_xlfn.STDEV.S(tblCustomers[Rating])</f>
        <v>-0.44556718069463297</v>
      </c>
    </row>
    <row r="257" spans="1:9" x14ac:dyDescent="0.2">
      <c r="A257" s="2">
        <v>30.413</v>
      </c>
      <c r="B257" s="3">
        <v>3690</v>
      </c>
      <c r="C257" s="1">
        <v>299</v>
      </c>
      <c r="D257" s="1">
        <v>2</v>
      </c>
      <c r="E257" s="1">
        <v>25</v>
      </c>
      <c r="F257" s="3">
        <v>728</v>
      </c>
      <c r="G257" s="2">
        <f>(tblCustomers4[[#This Row],[Income]] - AVERAGE(tblCustomers[Income]))/_xlfn.STDEV.S(tblCustomers[Income])</f>
        <v>-0.4200933561788876</v>
      </c>
      <c r="H257" s="2">
        <f>(tblCustomers4[[#This Row],[Limit]] - AVERAGE(tblCustomers[Limit]))/_xlfn.STDEV.S(tblCustomers[Limit])</f>
        <v>-0.45299390089937058</v>
      </c>
      <c r="I257" s="2">
        <f>(tblCustomers4[[#This Row],[Rating]] - AVERAGE(tblCustomers[Rating]))/_xlfn.STDEV.S(tblCustomers[Rating])</f>
        <v>-0.36154667954827052</v>
      </c>
    </row>
    <row r="258" spans="1:9" x14ac:dyDescent="0.2">
      <c r="A258" s="2">
        <v>19.253</v>
      </c>
      <c r="B258" s="3">
        <v>3683</v>
      </c>
      <c r="C258" s="1">
        <v>287</v>
      </c>
      <c r="D258" s="1">
        <v>4</v>
      </c>
      <c r="E258" s="1">
        <v>57</v>
      </c>
      <c r="F258" s="3">
        <v>371</v>
      </c>
      <c r="G258" s="2">
        <f>(tblCustomers4[[#This Row],[Income]] - AVERAGE(tblCustomers[Income]))/_xlfn.STDEV.S(tblCustomers[Income])</f>
        <v>-0.73674054443925785</v>
      </c>
      <c r="H258" s="2">
        <f>(tblCustomers4[[#This Row],[Limit]] - AVERAGE(tblCustomers[Limit]))/_xlfn.STDEV.S(tblCustomers[Limit])</f>
        <v>-0.45602656856032658</v>
      </c>
      <c r="I258" s="2">
        <f>(tblCustomers4[[#This Row],[Rating]] - AVERAGE(tblCustomers[Rating]))/_xlfn.STDEV.S(tblCustomers[Rating])</f>
        <v>-0.43910406522183587</v>
      </c>
    </row>
    <row r="259" spans="1:9" x14ac:dyDescent="0.2">
      <c r="A259" s="2">
        <v>41.192</v>
      </c>
      <c r="B259" s="3">
        <v>3673</v>
      </c>
      <c r="C259" s="1">
        <v>297</v>
      </c>
      <c r="D259" s="1">
        <v>3</v>
      </c>
      <c r="E259" s="1">
        <v>54</v>
      </c>
      <c r="F259" s="3">
        <v>121</v>
      </c>
      <c r="G259" s="2">
        <f>(tblCustomers4[[#This Row],[Income]] - AVERAGE(tblCustomers[Income]))/_xlfn.STDEV.S(tblCustomers[Income])</f>
        <v>-0.11425643482955684</v>
      </c>
      <c r="H259" s="2">
        <f>(tblCustomers4[[#This Row],[Limit]] - AVERAGE(tblCustomers[Limit]))/_xlfn.STDEV.S(tblCustomers[Limit])</f>
        <v>-0.46035895093312085</v>
      </c>
      <c r="I259" s="2">
        <f>(tblCustomers4[[#This Row],[Rating]] - AVERAGE(tblCustomers[Rating]))/_xlfn.STDEV.S(tblCustomers[Rating])</f>
        <v>-0.37447291049386472</v>
      </c>
    </row>
    <row r="260" spans="1:9" x14ac:dyDescent="0.2">
      <c r="A260" s="2">
        <v>24.088000000000001</v>
      </c>
      <c r="B260" s="3">
        <v>3665</v>
      </c>
      <c r="C260" s="1">
        <v>287</v>
      </c>
      <c r="D260" s="1">
        <v>4</v>
      </c>
      <c r="E260" s="1">
        <v>56</v>
      </c>
      <c r="F260" s="3">
        <v>309</v>
      </c>
      <c r="G260" s="2">
        <f>(tblCustomers4[[#This Row],[Income]] - AVERAGE(tblCustomers[Income]))/_xlfn.STDEV.S(tblCustomers[Income])</f>
        <v>-0.59955513626373003</v>
      </c>
      <c r="H260" s="2">
        <f>(tblCustomers4[[#This Row],[Limit]] - AVERAGE(tblCustomers[Limit]))/_xlfn.STDEV.S(tblCustomers[Limit])</f>
        <v>-0.46382485683135632</v>
      </c>
      <c r="I260" s="2">
        <f>(tblCustomers4[[#This Row],[Rating]] - AVERAGE(tblCustomers[Rating]))/_xlfn.STDEV.S(tblCustomers[Rating])</f>
        <v>-0.43910406522183587</v>
      </c>
    </row>
    <row r="261" spans="1:9" x14ac:dyDescent="0.2">
      <c r="A261" s="2">
        <v>42.470999999999997</v>
      </c>
      <c r="B261" s="3">
        <v>3625</v>
      </c>
      <c r="C261" s="1">
        <v>289</v>
      </c>
      <c r="D261" s="1">
        <v>6</v>
      </c>
      <c r="E261" s="1">
        <v>44</v>
      </c>
      <c r="F261" s="3">
        <v>654</v>
      </c>
      <c r="G261" s="2">
        <f>(tblCustomers4[[#This Row],[Income]] - AVERAGE(tblCustomers[Income]))/_xlfn.STDEV.S(tblCustomers[Income])</f>
        <v>-7.7966851157064698E-2</v>
      </c>
      <c r="H261" s="2">
        <f>(tblCustomers4[[#This Row],[Limit]] - AVERAGE(tblCustomers[Limit]))/_xlfn.STDEV.S(tblCustomers[Limit])</f>
        <v>-0.48115438632253343</v>
      </c>
      <c r="I261" s="2">
        <f>(tblCustomers4[[#This Row],[Rating]] - AVERAGE(tblCustomers[Rating]))/_xlfn.STDEV.S(tblCustomers[Rating])</f>
        <v>-0.42617783427624162</v>
      </c>
    </row>
    <row r="262" spans="1:9" x14ac:dyDescent="0.2">
      <c r="A262" s="2">
        <v>23.792999999999999</v>
      </c>
      <c r="B262" s="3">
        <v>3615</v>
      </c>
      <c r="C262" s="1">
        <v>263</v>
      </c>
      <c r="D262" s="1">
        <v>2</v>
      </c>
      <c r="E262" s="1">
        <v>70</v>
      </c>
      <c r="F262" s="3">
        <v>216</v>
      </c>
      <c r="G262" s="2">
        <f>(tblCustomers4[[#This Row],[Income]] - AVERAGE(tblCustomers[Income]))/_xlfn.STDEV.S(tblCustomers[Income])</f>
        <v>-0.60792529043369503</v>
      </c>
      <c r="H262" s="2">
        <f>(tblCustomers4[[#This Row],[Limit]] - AVERAGE(tblCustomers[Limit]))/_xlfn.STDEV.S(tblCustomers[Limit])</f>
        <v>-0.4854867686953277</v>
      </c>
      <c r="I262" s="2">
        <f>(tblCustomers4[[#This Row],[Rating]] - AVERAGE(tblCustomers[Rating]))/_xlfn.STDEV.S(tblCustomers[Rating])</f>
        <v>-0.59421883656896657</v>
      </c>
    </row>
    <row r="263" spans="1:9" x14ac:dyDescent="0.2">
      <c r="A263" s="2">
        <v>36.354999999999997</v>
      </c>
      <c r="B263" s="3">
        <v>3613</v>
      </c>
      <c r="C263" s="1">
        <v>278</v>
      </c>
      <c r="D263" s="1">
        <v>4</v>
      </c>
      <c r="E263" s="1">
        <v>35</v>
      </c>
      <c r="F263" s="3">
        <v>187</v>
      </c>
      <c r="G263" s="2">
        <f>(tblCustomers4[[#This Row],[Income]] - AVERAGE(tblCustomers[Income]))/_xlfn.STDEV.S(tblCustomers[Income])</f>
        <v>-0.2514985898130167</v>
      </c>
      <c r="H263" s="2">
        <f>(tblCustomers4[[#This Row],[Limit]] - AVERAGE(tblCustomers[Limit]))/_xlfn.STDEV.S(tblCustomers[Limit])</f>
        <v>-0.48635324516988659</v>
      </c>
      <c r="I263" s="2">
        <f>(tblCustomers4[[#This Row],[Rating]] - AVERAGE(tblCustomers[Rating]))/_xlfn.STDEV.S(tblCustomers[Rating])</f>
        <v>-0.49727210447700987</v>
      </c>
    </row>
    <row r="264" spans="1:9" x14ac:dyDescent="0.2">
      <c r="A264" s="2">
        <v>14.891</v>
      </c>
      <c r="B264" s="3">
        <v>3606</v>
      </c>
      <c r="C264" s="1">
        <v>283</v>
      </c>
      <c r="D264" s="1">
        <v>2</v>
      </c>
      <c r="E264" s="1">
        <v>34</v>
      </c>
      <c r="F264" s="3">
        <v>333</v>
      </c>
      <c r="G264" s="2">
        <f>(tblCustomers4[[#This Row],[Income]] - AVERAGE(tblCustomers[Income]))/_xlfn.STDEV.S(tblCustomers[Income])</f>
        <v>-0.86050533253887573</v>
      </c>
      <c r="H264" s="2">
        <f>(tblCustomers4[[#This Row],[Limit]] - AVERAGE(tblCustomers[Limit]))/_xlfn.STDEV.S(tblCustomers[Limit])</f>
        <v>-0.4893859128308426</v>
      </c>
      <c r="I264" s="2">
        <f>(tblCustomers4[[#This Row],[Rating]] - AVERAGE(tblCustomers[Rating]))/_xlfn.STDEV.S(tblCustomers[Rating])</f>
        <v>-0.46495652711302432</v>
      </c>
    </row>
    <row r="265" spans="1:9" x14ac:dyDescent="0.2">
      <c r="A265" s="2">
        <v>10.635</v>
      </c>
      <c r="B265" s="3">
        <v>3584</v>
      </c>
      <c r="C265" s="1">
        <v>294</v>
      </c>
      <c r="D265" s="1">
        <v>5</v>
      </c>
      <c r="E265" s="1">
        <v>69</v>
      </c>
      <c r="F265" s="3">
        <v>423</v>
      </c>
      <c r="G265" s="2">
        <f>(tblCustomers4[[#This Row],[Income]] - AVERAGE(tblCustomers[Income]))/_xlfn.STDEV.S(tblCustomers[Income])</f>
        <v>-0.98126253981809941</v>
      </c>
      <c r="H265" s="2">
        <f>(tblCustomers4[[#This Row],[Limit]] - AVERAGE(tblCustomers[Limit]))/_xlfn.STDEV.S(tblCustomers[Limit])</f>
        <v>-0.49891715405099002</v>
      </c>
      <c r="I265" s="2">
        <f>(tblCustomers4[[#This Row],[Rating]] - AVERAGE(tblCustomers[Rating]))/_xlfn.STDEV.S(tblCustomers[Rating])</f>
        <v>-0.39386225691225607</v>
      </c>
    </row>
    <row r="266" spans="1:9" x14ac:dyDescent="0.2">
      <c r="A266" s="2">
        <v>27.952000000000002</v>
      </c>
      <c r="B266" s="3">
        <v>3557</v>
      </c>
      <c r="C266" s="1">
        <v>263</v>
      </c>
      <c r="D266" s="1">
        <v>1</v>
      </c>
      <c r="E266" s="1">
        <v>35</v>
      </c>
      <c r="F266" s="3">
        <v>163</v>
      </c>
      <c r="G266" s="2">
        <f>(tblCustomers4[[#This Row],[Income]] - AVERAGE(tblCustomers[Income]))/_xlfn.STDEV.S(tblCustomers[Income])</f>
        <v>-0.48992030333917169</v>
      </c>
      <c r="H266" s="2">
        <f>(tblCustomers4[[#This Row],[Limit]] - AVERAGE(tblCustomers[Limit]))/_xlfn.STDEV.S(tblCustomers[Limit])</f>
        <v>-0.51061458645753455</v>
      </c>
      <c r="I266" s="2">
        <f>(tblCustomers4[[#This Row],[Rating]] - AVERAGE(tblCustomers[Rating]))/_xlfn.STDEV.S(tblCustomers[Rating])</f>
        <v>-0.59421883656896657</v>
      </c>
    </row>
    <row r="267" spans="1:9" x14ac:dyDescent="0.2">
      <c r="A267" s="2">
        <v>29.725000000000001</v>
      </c>
      <c r="B267" s="3">
        <v>3536</v>
      </c>
      <c r="C267" s="1">
        <v>270</v>
      </c>
      <c r="D267" s="1">
        <v>2</v>
      </c>
      <c r="E267" s="1">
        <v>52</v>
      </c>
      <c r="F267" s="3">
        <v>133</v>
      </c>
      <c r="G267" s="2">
        <f>(tblCustomers4[[#This Row],[Income]] - AVERAGE(tblCustomers[Income]))/_xlfn.STDEV.S(tblCustomers[Income])</f>
        <v>-0.43961425810748389</v>
      </c>
      <c r="H267" s="2">
        <f>(tblCustomers4[[#This Row],[Limit]] - AVERAGE(tblCustomers[Limit]))/_xlfn.STDEV.S(tblCustomers[Limit])</f>
        <v>-0.51971258944040255</v>
      </c>
      <c r="I267" s="2">
        <f>(tblCustomers4[[#This Row],[Rating]] - AVERAGE(tblCustomers[Rating]))/_xlfn.STDEV.S(tblCustomers[Rating])</f>
        <v>-0.54897702825938677</v>
      </c>
    </row>
    <row r="268" spans="1:9" x14ac:dyDescent="0.2">
      <c r="A268" s="2">
        <v>31.335000000000001</v>
      </c>
      <c r="B268" s="3">
        <v>3526</v>
      </c>
      <c r="C268" s="1">
        <v>289</v>
      </c>
      <c r="D268" s="1">
        <v>3</v>
      </c>
      <c r="E268" s="1">
        <v>38</v>
      </c>
      <c r="F268" s="3">
        <v>172</v>
      </c>
      <c r="G268" s="2">
        <f>(tblCustomers4[[#This Row],[Income]] - AVERAGE(tblCustomers[Income]))/_xlfn.STDEV.S(tblCustomers[Income])</f>
        <v>-0.39393307772225122</v>
      </c>
      <c r="H268" s="2">
        <f>(tblCustomers4[[#This Row],[Limit]] - AVERAGE(tblCustomers[Limit]))/_xlfn.STDEV.S(tblCustomers[Limit])</f>
        <v>-0.52404497181319687</v>
      </c>
      <c r="I268" s="2">
        <f>(tblCustomers4[[#This Row],[Rating]] - AVERAGE(tblCustomers[Rating]))/_xlfn.STDEV.S(tblCustomers[Rating])</f>
        <v>-0.42617783427624162</v>
      </c>
    </row>
    <row r="269" spans="1:9" x14ac:dyDescent="0.2">
      <c r="A269" s="2">
        <v>44.472999999999999</v>
      </c>
      <c r="B269" s="3">
        <v>3500</v>
      </c>
      <c r="C269" s="1">
        <v>257</v>
      </c>
      <c r="D269" s="1">
        <v>3</v>
      </c>
      <c r="E269" s="1">
        <v>81</v>
      </c>
      <c r="F269" s="3">
        <v>8</v>
      </c>
      <c r="G269" s="2">
        <f>(tblCustomers4[[#This Row],[Income]] - AVERAGE(tblCustomers[Income]))/_xlfn.STDEV.S(tblCustomers[Income])</f>
        <v>-2.116329641716666E-2</v>
      </c>
      <c r="H269" s="2">
        <f>(tblCustomers4[[#This Row],[Limit]] - AVERAGE(tblCustomers[Limit]))/_xlfn.STDEV.S(tblCustomers[Limit])</f>
        <v>-0.53530916598246203</v>
      </c>
      <c r="I269" s="2">
        <f>(tblCustomers4[[#This Row],[Rating]] - AVERAGE(tblCustomers[Rating]))/_xlfn.STDEV.S(tblCustomers[Rating])</f>
        <v>-0.63299752940574927</v>
      </c>
    </row>
    <row r="270" spans="1:9" x14ac:dyDescent="0.2">
      <c r="A270" s="2">
        <v>27.228999999999999</v>
      </c>
      <c r="B270" s="3">
        <v>3484</v>
      </c>
      <c r="C270" s="1">
        <v>282</v>
      </c>
      <c r="D270" s="1">
        <v>6</v>
      </c>
      <c r="E270" s="1">
        <v>51</v>
      </c>
      <c r="F270" s="3">
        <v>265</v>
      </c>
      <c r="G270" s="2">
        <f>(tblCustomers4[[#This Row],[Income]] - AVERAGE(tblCustomers[Income]))/_xlfn.STDEV.S(tblCustomers[Income])</f>
        <v>-0.51043427440657752</v>
      </c>
      <c r="H270" s="2">
        <f>(tblCustomers4[[#This Row],[Limit]] - AVERAGE(tblCustomers[Limit]))/_xlfn.STDEV.S(tblCustomers[Limit])</f>
        <v>-0.54224097777893288</v>
      </c>
      <c r="I270" s="2">
        <f>(tblCustomers4[[#This Row],[Rating]] - AVERAGE(tblCustomers[Rating]))/_xlfn.STDEV.S(tblCustomers[Rating])</f>
        <v>-0.47141964258582142</v>
      </c>
    </row>
    <row r="271" spans="1:9" x14ac:dyDescent="0.2">
      <c r="A271" s="2">
        <v>10.353999999999999</v>
      </c>
      <c r="B271" s="3">
        <v>3480</v>
      </c>
      <c r="C271" s="1">
        <v>281</v>
      </c>
      <c r="D271" s="1">
        <v>2</v>
      </c>
      <c r="E271" s="1">
        <v>70</v>
      </c>
      <c r="F271" s="3">
        <v>333</v>
      </c>
      <c r="G271" s="2">
        <f>(tblCustomers4[[#This Row],[Income]] - AVERAGE(tblCustomers[Income]))/_xlfn.STDEV.S(tblCustomers[Income])</f>
        <v>-0.98923546633254056</v>
      </c>
      <c r="H271" s="2">
        <f>(tblCustomers4[[#This Row],[Limit]] - AVERAGE(tblCustomers[Limit]))/_xlfn.STDEV.S(tblCustomers[Limit])</f>
        <v>-0.54397393072805056</v>
      </c>
      <c r="I271" s="2">
        <f>(tblCustomers4[[#This Row],[Rating]] - AVERAGE(tblCustomers[Rating]))/_xlfn.STDEV.S(tblCustomers[Rating])</f>
        <v>-0.47788275805861852</v>
      </c>
    </row>
    <row r="272" spans="1:9" x14ac:dyDescent="0.2">
      <c r="A272" s="2">
        <v>23.106000000000002</v>
      </c>
      <c r="B272" s="3">
        <v>3476</v>
      </c>
      <c r="C272" s="1">
        <v>257</v>
      </c>
      <c r="D272" s="1">
        <v>2</v>
      </c>
      <c r="E272" s="1">
        <v>50</v>
      </c>
      <c r="F272" s="3">
        <v>209</v>
      </c>
      <c r="G272" s="2">
        <f>(tblCustomers4[[#This Row],[Income]] - AVERAGE(tblCustomers[Income]))/_xlfn.STDEV.S(tblCustomers[Income])</f>
        <v>-0.62741781895832538</v>
      </c>
      <c r="H272" s="2">
        <f>(tblCustomers4[[#This Row],[Limit]] - AVERAGE(tblCustomers[Limit]))/_xlfn.STDEV.S(tblCustomers[Limit])</f>
        <v>-0.54570688367716824</v>
      </c>
      <c r="I272" s="2">
        <f>(tblCustomers4[[#This Row],[Rating]] - AVERAGE(tblCustomers[Rating]))/_xlfn.STDEV.S(tblCustomers[Rating])</f>
        <v>-0.63299752940574927</v>
      </c>
    </row>
    <row r="273" spans="1:9" x14ac:dyDescent="0.2">
      <c r="A273" s="2">
        <v>18.145</v>
      </c>
      <c r="B273" s="3">
        <v>3461</v>
      </c>
      <c r="C273" s="1">
        <v>279</v>
      </c>
      <c r="D273" s="1">
        <v>3</v>
      </c>
      <c r="E273" s="1">
        <v>56</v>
      </c>
      <c r="F273" s="3">
        <v>255</v>
      </c>
      <c r="G273" s="2">
        <f>(tblCustomers4[[#This Row],[Income]] - AVERAGE(tblCustomers[Income]))/_xlfn.STDEV.S(tblCustomers[Income])</f>
        <v>-0.76817827603356703</v>
      </c>
      <c r="H273" s="2">
        <f>(tblCustomers4[[#This Row],[Limit]] - AVERAGE(tblCustomers[Limit]))/_xlfn.STDEV.S(tblCustomers[Limit])</f>
        <v>-0.55220545723635972</v>
      </c>
      <c r="I273" s="2">
        <f>(tblCustomers4[[#This Row],[Rating]] - AVERAGE(tblCustomers[Rating]))/_xlfn.STDEV.S(tblCustomers[Rating])</f>
        <v>-0.49080898900421277</v>
      </c>
    </row>
    <row r="274" spans="1:9" x14ac:dyDescent="0.2">
      <c r="A274" s="2">
        <v>13.647</v>
      </c>
      <c r="B274" s="3">
        <v>3461</v>
      </c>
      <c r="C274" s="1">
        <v>264</v>
      </c>
      <c r="D274" s="1">
        <v>4</v>
      </c>
      <c r="E274" s="1">
        <v>47</v>
      </c>
      <c r="F274" s="3">
        <v>344</v>
      </c>
      <c r="G274" s="2">
        <f>(tblCustomers4[[#This Row],[Income]] - AVERAGE(tblCustomers[Income]))/_xlfn.STDEV.S(tblCustomers[Income])</f>
        <v>-0.89580184707255861</v>
      </c>
      <c r="H274" s="2">
        <f>(tblCustomers4[[#This Row],[Limit]] - AVERAGE(tblCustomers[Limit]))/_xlfn.STDEV.S(tblCustomers[Limit])</f>
        <v>-0.55220545723635972</v>
      </c>
      <c r="I274" s="2">
        <f>(tblCustomers4[[#This Row],[Rating]] - AVERAGE(tblCustomers[Rating]))/_xlfn.STDEV.S(tblCustomers[Rating])</f>
        <v>-0.58775572109616947</v>
      </c>
    </row>
    <row r="275" spans="1:9" x14ac:dyDescent="0.2">
      <c r="A275" s="2">
        <v>27.369</v>
      </c>
      <c r="B275" s="3">
        <v>3449</v>
      </c>
      <c r="C275" s="1">
        <v>288</v>
      </c>
      <c r="D275" s="1">
        <v>3</v>
      </c>
      <c r="E275" s="1">
        <v>40</v>
      </c>
      <c r="F275" s="3">
        <v>162</v>
      </c>
      <c r="G275" s="2">
        <f>(tblCustomers4[[#This Row],[Income]] - AVERAGE(tblCustomers[Income]))/_xlfn.STDEV.S(tblCustomers[Income])</f>
        <v>-0.50646199785133983</v>
      </c>
      <c r="H275" s="2">
        <f>(tblCustomers4[[#This Row],[Limit]] - AVERAGE(tblCustomers[Limit]))/_xlfn.STDEV.S(tblCustomers[Limit])</f>
        <v>-0.55740431608371288</v>
      </c>
      <c r="I275" s="2">
        <f>(tblCustomers4[[#This Row],[Rating]] - AVERAGE(tblCustomers[Rating]))/_xlfn.STDEV.S(tblCustomers[Rating])</f>
        <v>-0.43264094974903877</v>
      </c>
    </row>
    <row r="276" spans="1:9" x14ac:dyDescent="0.2">
      <c r="A276" s="2">
        <v>57.201999999999998</v>
      </c>
      <c r="B276" s="3">
        <v>3411</v>
      </c>
      <c r="C276" s="1">
        <v>259</v>
      </c>
      <c r="D276" s="1">
        <v>3</v>
      </c>
      <c r="E276" s="1">
        <v>72</v>
      </c>
      <c r="F276" s="3">
        <v>0</v>
      </c>
      <c r="G276" s="2">
        <f>(tblCustomers4[[#This Row],[Income]] - AVERAGE(tblCustomers[Income]))/_xlfn.STDEV.S(tblCustomers[Income])</f>
        <v>0.34000176266583093</v>
      </c>
      <c r="H276" s="2">
        <f>(tblCustomers4[[#This Row],[Limit]] - AVERAGE(tblCustomers[Limit]))/_xlfn.STDEV.S(tblCustomers[Limit])</f>
        <v>-0.57386736910033109</v>
      </c>
      <c r="I276" s="2">
        <f>(tblCustomers4[[#This Row],[Rating]] - AVERAGE(tblCustomers[Rating]))/_xlfn.STDEV.S(tblCustomers[Rating])</f>
        <v>-0.62007129846015507</v>
      </c>
    </row>
    <row r="277" spans="1:9" x14ac:dyDescent="0.2">
      <c r="A277" s="2">
        <v>24.314</v>
      </c>
      <c r="B277" s="3">
        <v>3409</v>
      </c>
      <c r="C277" s="1">
        <v>270</v>
      </c>
      <c r="D277" s="1">
        <v>2</v>
      </c>
      <c r="E277" s="1">
        <v>23</v>
      </c>
      <c r="F277" s="3">
        <v>194</v>
      </c>
      <c r="G277" s="2">
        <f>(tblCustomers4[[#This Row],[Income]] - AVERAGE(tblCustomers[Income]))/_xlfn.STDEV.S(tblCustomers[Income])</f>
        <v>-0.59314274696741787</v>
      </c>
      <c r="H277" s="2">
        <f>(tblCustomers4[[#This Row],[Limit]] - AVERAGE(tblCustomers[Limit]))/_xlfn.STDEV.S(tblCustomers[Limit])</f>
        <v>-0.57473384557489005</v>
      </c>
      <c r="I277" s="2">
        <f>(tblCustomers4[[#This Row],[Rating]] - AVERAGE(tblCustomers[Rating]))/_xlfn.STDEV.S(tblCustomers[Rating])</f>
        <v>-0.54897702825938677</v>
      </c>
    </row>
    <row r="278" spans="1:9" x14ac:dyDescent="0.2">
      <c r="A278" s="2">
        <v>21.010999999999999</v>
      </c>
      <c r="B278" s="3">
        <v>3402</v>
      </c>
      <c r="C278" s="1">
        <v>261</v>
      </c>
      <c r="D278" s="1">
        <v>2</v>
      </c>
      <c r="E278" s="1">
        <v>68</v>
      </c>
      <c r="F278" s="3">
        <v>182</v>
      </c>
      <c r="G278" s="2">
        <f>(tblCustomers4[[#This Row],[Income]] - AVERAGE(tblCustomers[Income]))/_xlfn.STDEV.S(tblCustomers[Income])</f>
        <v>-0.68686010026705979</v>
      </c>
      <c r="H278" s="2">
        <f>(tblCustomers4[[#This Row],[Limit]] - AVERAGE(tblCustomers[Limit]))/_xlfn.STDEV.S(tblCustomers[Limit])</f>
        <v>-0.57776651323584605</v>
      </c>
      <c r="I278" s="2">
        <f>(tblCustomers4[[#This Row],[Rating]] - AVERAGE(tblCustomers[Rating]))/_xlfn.STDEV.S(tblCustomers[Rating])</f>
        <v>-0.60714506751456077</v>
      </c>
    </row>
    <row r="279" spans="1:9" x14ac:dyDescent="0.2">
      <c r="A279" s="2">
        <v>26.067</v>
      </c>
      <c r="B279" s="3">
        <v>3388</v>
      </c>
      <c r="C279" s="1">
        <v>266</v>
      </c>
      <c r="D279" s="1">
        <v>4</v>
      </c>
      <c r="E279" s="1">
        <v>74</v>
      </c>
      <c r="F279" s="3">
        <v>155</v>
      </c>
      <c r="G279" s="2">
        <f>(tblCustomers4[[#This Row],[Income]] - AVERAGE(tblCustomers[Income]))/_xlfn.STDEV.S(tblCustomers[Income])</f>
        <v>-0.54340416981504969</v>
      </c>
      <c r="H279" s="2">
        <f>(tblCustomers4[[#This Row],[Limit]] - AVERAGE(tblCustomers[Limit]))/_xlfn.STDEV.S(tblCustomers[Limit])</f>
        <v>-0.58383184855775794</v>
      </c>
      <c r="I279" s="2">
        <f>(tblCustomers4[[#This Row],[Rating]] - AVERAGE(tblCustomers[Rating]))/_xlfn.STDEV.S(tblCustomers[Rating])</f>
        <v>-0.57482949015057527</v>
      </c>
    </row>
    <row r="280" spans="1:9" x14ac:dyDescent="0.2">
      <c r="A280" s="2">
        <v>20.995999999999999</v>
      </c>
      <c r="B280" s="3">
        <v>3388</v>
      </c>
      <c r="C280" s="1">
        <v>259</v>
      </c>
      <c r="D280" s="1">
        <v>2</v>
      </c>
      <c r="E280" s="1">
        <v>37</v>
      </c>
      <c r="F280" s="3">
        <v>203</v>
      </c>
      <c r="G280" s="2">
        <f>(tblCustomers4[[#This Row],[Income]] - AVERAGE(tblCustomers[Income]))/_xlfn.STDEV.S(tblCustomers[Income])</f>
        <v>-0.68728570132654954</v>
      </c>
      <c r="H280" s="2">
        <f>(tblCustomers4[[#This Row],[Limit]] - AVERAGE(tblCustomers[Limit]))/_xlfn.STDEV.S(tblCustomers[Limit])</f>
        <v>-0.58383184855775794</v>
      </c>
      <c r="I280" s="2">
        <f>(tblCustomers4[[#This Row],[Rating]] - AVERAGE(tblCustomers[Rating]))/_xlfn.STDEV.S(tblCustomers[Rating])</f>
        <v>-0.62007129846015507</v>
      </c>
    </row>
    <row r="281" spans="1:9" x14ac:dyDescent="0.2">
      <c r="A281" s="2">
        <v>29.704999999999998</v>
      </c>
      <c r="B281" s="3">
        <v>3351</v>
      </c>
      <c r="C281" s="1">
        <v>262</v>
      </c>
      <c r="D281" s="1">
        <v>5</v>
      </c>
      <c r="E281" s="1">
        <v>71</v>
      </c>
      <c r="F281" s="3">
        <v>148</v>
      </c>
      <c r="G281" s="2">
        <f>(tblCustomers4[[#This Row],[Income]] - AVERAGE(tblCustomers[Income]))/_xlfn.STDEV.S(tblCustomers[Income])</f>
        <v>-0.44018172618680362</v>
      </c>
      <c r="H281" s="2">
        <f>(tblCustomers4[[#This Row],[Limit]] - AVERAGE(tblCustomers[Limit]))/_xlfn.STDEV.S(tblCustomers[Limit])</f>
        <v>-0.5998616633370969</v>
      </c>
      <c r="I281" s="2">
        <f>(tblCustomers4[[#This Row],[Rating]] - AVERAGE(tblCustomers[Rating]))/_xlfn.STDEV.S(tblCustomers[Rating])</f>
        <v>-0.60068195204176367</v>
      </c>
    </row>
    <row r="282" spans="1:9" x14ac:dyDescent="0.2">
      <c r="A282" s="2">
        <v>34.950000000000003</v>
      </c>
      <c r="B282" s="3">
        <v>3327</v>
      </c>
      <c r="C282" s="1">
        <v>253</v>
      </c>
      <c r="D282" s="1">
        <v>3</v>
      </c>
      <c r="E282" s="1">
        <v>54</v>
      </c>
      <c r="F282" s="3">
        <v>50</v>
      </c>
      <c r="G282" s="2">
        <f>(tblCustomers4[[#This Row],[Income]] - AVERAGE(tblCustomers[Income]))/_xlfn.STDEV.S(tblCustomers[Income])</f>
        <v>-0.29136322238522266</v>
      </c>
      <c r="H282" s="2">
        <f>(tblCustomers4[[#This Row],[Limit]] - AVERAGE(tblCustomers[Limit]))/_xlfn.STDEV.S(tblCustomers[Limit])</f>
        <v>-0.61025938103180311</v>
      </c>
      <c r="I282" s="2">
        <f>(tblCustomers4[[#This Row],[Rating]] - AVERAGE(tblCustomers[Rating]))/_xlfn.STDEV.S(tblCustomers[Rating])</f>
        <v>-0.65884999129693766</v>
      </c>
    </row>
    <row r="283" spans="1:9" x14ac:dyDescent="0.2">
      <c r="A283" s="2">
        <v>16.481999999999999</v>
      </c>
      <c r="B283" s="3">
        <v>3326</v>
      </c>
      <c r="C283" s="1">
        <v>268</v>
      </c>
      <c r="D283" s="1">
        <v>4</v>
      </c>
      <c r="E283" s="1">
        <v>41</v>
      </c>
      <c r="F283" s="3">
        <v>271</v>
      </c>
      <c r="G283" s="2">
        <f>(tblCustomers4[[#This Row],[Income]] - AVERAGE(tblCustomers[Income]))/_xlfn.STDEV.S(tblCustomers[Income])</f>
        <v>-0.81536324682899675</v>
      </c>
      <c r="H283" s="2">
        <f>(tblCustomers4[[#This Row],[Limit]] - AVERAGE(tblCustomers[Limit]))/_xlfn.STDEV.S(tblCustomers[Limit])</f>
        <v>-0.61069261926908258</v>
      </c>
      <c r="I283" s="2">
        <f>(tblCustomers4[[#This Row],[Rating]] - AVERAGE(tblCustomers[Rating]))/_xlfn.STDEV.S(tblCustomers[Rating])</f>
        <v>-0.56190325920498096</v>
      </c>
    </row>
    <row r="284" spans="1:9" x14ac:dyDescent="0.2">
      <c r="A284" s="2">
        <v>15.125</v>
      </c>
      <c r="B284" s="3">
        <v>3300</v>
      </c>
      <c r="C284" s="1">
        <v>266</v>
      </c>
      <c r="D284" s="1">
        <v>5</v>
      </c>
      <c r="E284" s="1">
        <v>66</v>
      </c>
      <c r="F284" s="3">
        <v>279</v>
      </c>
      <c r="G284" s="2">
        <f>(tblCustomers4[[#This Row],[Income]] - AVERAGE(tblCustomers[Income]))/_xlfn.STDEV.S(tblCustomers[Income])</f>
        <v>-0.8538659560108357</v>
      </c>
      <c r="H284" s="2">
        <f>(tblCustomers4[[#This Row],[Limit]] - AVERAGE(tblCustomers[Limit]))/_xlfn.STDEV.S(tblCustomers[Limit])</f>
        <v>-0.62195681343834774</v>
      </c>
      <c r="I284" s="2">
        <f>(tblCustomers4[[#This Row],[Rating]] - AVERAGE(tblCustomers[Rating]))/_xlfn.STDEV.S(tblCustomers[Rating])</f>
        <v>-0.57482949015057527</v>
      </c>
    </row>
    <row r="285" spans="1:9" x14ac:dyDescent="0.2">
      <c r="A285" s="2">
        <v>30.622</v>
      </c>
      <c r="B285" s="3">
        <v>3293</v>
      </c>
      <c r="C285" s="1">
        <v>251</v>
      </c>
      <c r="D285" s="1">
        <v>1</v>
      </c>
      <c r="E285" s="1">
        <v>68</v>
      </c>
      <c r="F285" s="3">
        <v>532</v>
      </c>
      <c r="G285" s="2">
        <f>(tblCustomers4[[#This Row],[Income]] - AVERAGE(tblCustomers[Income]))/_xlfn.STDEV.S(tblCustomers[Income])</f>
        <v>-0.41416331474999718</v>
      </c>
      <c r="H285" s="2">
        <f>(tblCustomers4[[#This Row],[Limit]] - AVERAGE(tblCustomers[Limit]))/_xlfn.STDEV.S(tblCustomers[Limit])</f>
        <v>-0.62498948109930375</v>
      </c>
      <c r="I285" s="2">
        <f>(tblCustomers4[[#This Row],[Rating]] - AVERAGE(tblCustomers[Rating]))/_xlfn.STDEV.S(tblCustomers[Rating])</f>
        <v>-0.67177622224253197</v>
      </c>
    </row>
    <row r="286" spans="1:9" x14ac:dyDescent="0.2">
      <c r="A286" s="2">
        <v>19.143999999999998</v>
      </c>
      <c r="B286" s="3">
        <v>3291</v>
      </c>
      <c r="C286" s="1">
        <v>269</v>
      </c>
      <c r="D286" s="1">
        <v>2</v>
      </c>
      <c r="E286" s="1">
        <v>75</v>
      </c>
      <c r="F286" s="3">
        <v>148</v>
      </c>
      <c r="G286" s="2">
        <f>(tblCustomers4[[#This Row],[Income]] - AVERAGE(tblCustomers[Income]))/_xlfn.STDEV.S(tblCustomers[Income])</f>
        <v>-0.73983324547155005</v>
      </c>
      <c r="H286" s="2">
        <f>(tblCustomers4[[#This Row],[Limit]] - AVERAGE(tblCustomers[Limit]))/_xlfn.STDEV.S(tblCustomers[Limit])</f>
        <v>-0.62585595757386259</v>
      </c>
      <c r="I286" s="2">
        <f>(tblCustomers4[[#This Row],[Rating]] - AVERAGE(tblCustomers[Rating]))/_xlfn.STDEV.S(tblCustomers[Rating])</f>
        <v>-0.55544014373218387</v>
      </c>
    </row>
    <row r="287" spans="1:9" x14ac:dyDescent="0.2">
      <c r="A287" s="2">
        <v>14.292</v>
      </c>
      <c r="B287" s="3">
        <v>3274</v>
      </c>
      <c r="C287" s="1">
        <v>282</v>
      </c>
      <c r="D287" s="1">
        <v>9</v>
      </c>
      <c r="E287" s="1">
        <v>64</v>
      </c>
      <c r="F287" s="3">
        <v>382</v>
      </c>
      <c r="G287" s="2">
        <f>(tblCustomers4[[#This Row],[Income]] - AVERAGE(tblCustomers[Income]))/_xlfn.STDEV.S(tblCustomers[Income])</f>
        <v>-0.8775010015144995</v>
      </c>
      <c r="H287" s="2">
        <f>(tblCustomers4[[#This Row],[Limit]] - AVERAGE(tblCustomers[Limit]))/_xlfn.STDEV.S(tblCustomers[Limit])</f>
        <v>-0.6332210076076128</v>
      </c>
      <c r="I287" s="2">
        <f>(tblCustomers4[[#This Row],[Rating]] - AVERAGE(tblCustomers[Rating]))/_xlfn.STDEV.S(tblCustomers[Rating])</f>
        <v>-0.47141964258582142</v>
      </c>
    </row>
    <row r="288" spans="1:9" x14ac:dyDescent="0.2">
      <c r="A288" s="2">
        <v>34.536999999999999</v>
      </c>
      <c r="B288" s="3">
        <v>3271</v>
      </c>
      <c r="C288" s="1">
        <v>250</v>
      </c>
      <c r="D288" s="1">
        <v>3</v>
      </c>
      <c r="E288" s="1">
        <v>57</v>
      </c>
      <c r="F288" s="3">
        <v>47</v>
      </c>
      <c r="G288" s="2">
        <f>(tblCustomers4[[#This Row],[Income]] - AVERAGE(tblCustomers[Income]))/_xlfn.STDEV.S(tblCustomers[Income])</f>
        <v>-0.30308143822317374</v>
      </c>
      <c r="H288" s="2">
        <f>(tblCustomers4[[#This Row],[Limit]] - AVERAGE(tblCustomers[Limit]))/_xlfn.STDEV.S(tblCustomers[Limit])</f>
        <v>-0.63452072231945111</v>
      </c>
      <c r="I288" s="2">
        <f>(tblCustomers4[[#This Row],[Rating]] - AVERAGE(tblCustomers[Rating]))/_xlfn.STDEV.S(tblCustomers[Rating])</f>
        <v>-0.67823933771532907</v>
      </c>
    </row>
    <row r="289" spans="1:9" x14ac:dyDescent="0.2">
      <c r="A289" s="2">
        <v>13.561</v>
      </c>
      <c r="B289" s="3">
        <v>3261</v>
      </c>
      <c r="C289" s="1">
        <v>279</v>
      </c>
      <c r="D289" s="1">
        <v>5</v>
      </c>
      <c r="E289" s="1">
        <v>37</v>
      </c>
      <c r="F289" s="3">
        <v>297</v>
      </c>
      <c r="G289" s="2">
        <f>(tblCustomers4[[#This Row],[Income]] - AVERAGE(tblCustomers[Income]))/_xlfn.STDEV.S(tblCustomers[Income])</f>
        <v>-0.89824195981363308</v>
      </c>
      <c r="H289" s="2">
        <f>(tblCustomers4[[#This Row],[Limit]] - AVERAGE(tblCustomers[Limit]))/_xlfn.STDEV.S(tblCustomers[Limit])</f>
        <v>-0.63885310469224543</v>
      </c>
      <c r="I289" s="2">
        <f>(tblCustomers4[[#This Row],[Rating]] - AVERAGE(tblCustomers[Rating]))/_xlfn.STDEV.S(tblCustomers[Rating])</f>
        <v>-0.49080898900421277</v>
      </c>
    </row>
    <row r="290" spans="1:9" x14ac:dyDescent="0.2">
      <c r="A290" s="2">
        <v>20.936</v>
      </c>
      <c r="B290" s="3">
        <v>3254</v>
      </c>
      <c r="C290" s="1">
        <v>253</v>
      </c>
      <c r="D290" s="1">
        <v>1</v>
      </c>
      <c r="E290" s="1">
        <v>30</v>
      </c>
      <c r="F290" s="3">
        <v>145</v>
      </c>
      <c r="G290" s="2">
        <f>(tblCustomers4[[#This Row],[Income]] - AVERAGE(tblCustomers[Income]))/_xlfn.STDEV.S(tblCustomers[Income])</f>
        <v>-0.68898810556450851</v>
      </c>
      <c r="H290" s="2">
        <f>(tblCustomers4[[#This Row],[Limit]] - AVERAGE(tblCustomers[Limit]))/_xlfn.STDEV.S(tblCustomers[Limit])</f>
        <v>-0.64188577235320143</v>
      </c>
      <c r="I290" s="2">
        <f>(tblCustomers4[[#This Row],[Rating]] - AVERAGE(tblCustomers[Rating]))/_xlfn.STDEV.S(tblCustomers[Rating])</f>
        <v>-0.65884999129693766</v>
      </c>
    </row>
    <row r="291" spans="1:9" x14ac:dyDescent="0.2">
      <c r="A291" s="2">
        <v>26.37</v>
      </c>
      <c r="B291" s="3">
        <v>3235</v>
      </c>
      <c r="C291" s="1">
        <v>268</v>
      </c>
      <c r="D291" s="1">
        <v>5</v>
      </c>
      <c r="E291" s="1">
        <v>78</v>
      </c>
      <c r="F291" s="3">
        <v>159</v>
      </c>
      <c r="G291" s="2">
        <f>(tblCustomers4[[#This Row],[Income]] - AVERAGE(tblCustomers[Income]))/_xlfn.STDEV.S(tblCustomers[Income])</f>
        <v>-0.53480702841335681</v>
      </c>
      <c r="H291" s="2">
        <f>(tblCustomers4[[#This Row],[Limit]] - AVERAGE(tblCustomers[Limit]))/_xlfn.STDEV.S(tblCustomers[Limit])</f>
        <v>-0.6501172988615106</v>
      </c>
      <c r="I291" s="2">
        <f>(tblCustomers4[[#This Row],[Rating]] - AVERAGE(tblCustomers[Rating]))/_xlfn.STDEV.S(tblCustomers[Rating])</f>
        <v>-0.56190325920498096</v>
      </c>
    </row>
    <row r="292" spans="1:9" x14ac:dyDescent="0.2">
      <c r="A292" s="2">
        <v>19.588000000000001</v>
      </c>
      <c r="B292" s="3">
        <v>3211</v>
      </c>
      <c r="C292" s="1">
        <v>265</v>
      </c>
      <c r="D292" s="1">
        <v>4</v>
      </c>
      <c r="E292" s="1">
        <v>59</v>
      </c>
      <c r="F292" s="3">
        <v>199</v>
      </c>
      <c r="G292" s="2">
        <f>(tblCustomers4[[#This Row],[Income]] - AVERAGE(tblCustomers[Income]))/_xlfn.STDEV.S(tblCustomers[Income])</f>
        <v>-0.72723545411065349</v>
      </c>
      <c r="H292" s="2">
        <f>(tblCustomers4[[#This Row],[Limit]] - AVERAGE(tblCustomers[Limit]))/_xlfn.STDEV.S(tblCustomers[Limit])</f>
        <v>-0.66051501655621681</v>
      </c>
      <c r="I292" s="2">
        <f>(tblCustomers4[[#This Row],[Rating]] - AVERAGE(tblCustomers[Rating]))/_xlfn.STDEV.S(tblCustomers[Rating])</f>
        <v>-0.58129260562337237</v>
      </c>
    </row>
    <row r="293" spans="1:9" x14ac:dyDescent="0.2">
      <c r="A293" s="2">
        <v>24.542999999999999</v>
      </c>
      <c r="B293" s="3">
        <v>3206</v>
      </c>
      <c r="C293" s="1">
        <v>243</v>
      </c>
      <c r="D293" s="1">
        <v>2</v>
      </c>
      <c r="E293" s="1">
        <v>62</v>
      </c>
      <c r="F293" s="3">
        <v>95</v>
      </c>
      <c r="G293" s="2">
        <f>(tblCustomers4[[#This Row],[Income]] - AVERAGE(tblCustomers[Income]))/_xlfn.STDEV.S(tblCustomers[Income])</f>
        <v>-0.58664523745920782</v>
      </c>
      <c r="H293" s="2">
        <f>(tblCustomers4[[#This Row],[Limit]] - AVERAGE(tblCustomers[Limit]))/_xlfn.STDEV.S(tblCustomers[Limit])</f>
        <v>-0.66268120774261396</v>
      </c>
      <c r="I293" s="2">
        <f>(tblCustomers4[[#This Row],[Rating]] - AVERAGE(tblCustomers[Rating]))/_xlfn.STDEV.S(tblCustomers[Rating])</f>
        <v>-0.72348114602490887</v>
      </c>
    </row>
    <row r="294" spans="1:9" x14ac:dyDescent="0.2">
      <c r="A294" s="2">
        <v>28.474</v>
      </c>
      <c r="B294" s="3">
        <v>3202</v>
      </c>
      <c r="C294" s="1">
        <v>267</v>
      </c>
      <c r="D294" s="1">
        <v>5</v>
      </c>
      <c r="E294" s="1">
        <v>66</v>
      </c>
      <c r="F294" s="3">
        <v>132</v>
      </c>
      <c r="G294" s="2">
        <f>(tblCustomers4[[#This Row],[Income]] - AVERAGE(tblCustomers[Income]))/_xlfn.STDEV.S(tblCustomers[Income])</f>
        <v>-0.47510938646892864</v>
      </c>
      <c r="H294" s="2">
        <f>(tblCustomers4[[#This Row],[Limit]] - AVERAGE(tblCustomers[Limit]))/_xlfn.STDEV.S(tblCustomers[Limit])</f>
        <v>-0.66441416069173165</v>
      </c>
      <c r="I294" s="2">
        <f>(tblCustomers4[[#This Row],[Rating]] - AVERAGE(tblCustomers[Rating]))/_xlfn.STDEV.S(tblCustomers[Rating])</f>
        <v>-0.56836637467777817</v>
      </c>
    </row>
    <row r="295" spans="1:9" x14ac:dyDescent="0.2">
      <c r="A295" s="2">
        <v>39.11</v>
      </c>
      <c r="B295" s="3">
        <v>3189</v>
      </c>
      <c r="C295" s="1">
        <v>263</v>
      </c>
      <c r="D295" s="1">
        <v>3</v>
      </c>
      <c r="E295" s="1">
        <v>72</v>
      </c>
      <c r="F295" s="3">
        <v>0</v>
      </c>
      <c r="G295" s="2">
        <f>(tblCustomers4[[#This Row],[Income]] - AVERAGE(tblCustomers[Income]))/_xlfn.STDEV.S(tblCustomers[Income])</f>
        <v>-0.17332986188673347</v>
      </c>
      <c r="H295" s="2">
        <f>(tblCustomers4[[#This Row],[Limit]] - AVERAGE(tblCustomers[Limit]))/_xlfn.STDEV.S(tblCustomers[Limit])</f>
        <v>-0.67004625777636428</v>
      </c>
      <c r="I295" s="2">
        <f>(tblCustomers4[[#This Row],[Rating]] - AVERAGE(tblCustomers[Rating]))/_xlfn.STDEV.S(tblCustomers[Rating])</f>
        <v>-0.59421883656896657</v>
      </c>
    </row>
    <row r="296" spans="1:9" x14ac:dyDescent="0.2">
      <c r="A296" s="2">
        <v>12.031000000000001</v>
      </c>
      <c r="B296" s="3">
        <v>3182</v>
      </c>
      <c r="C296" s="1">
        <v>259</v>
      </c>
      <c r="D296" s="1">
        <v>2</v>
      </c>
      <c r="E296" s="1">
        <v>58</v>
      </c>
      <c r="F296" s="3">
        <v>210</v>
      </c>
      <c r="G296" s="2">
        <f>(tblCustomers4[[#This Row],[Income]] - AVERAGE(tblCustomers[Income]))/_xlfn.STDEV.S(tblCustomers[Income])</f>
        <v>-0.9416532678815871</v>
      </c>
      <c r="H296" s="2">
        <f>(tblCustomers4[[#This Row],[Limit]] - AVERAGE(tblCustomers[Limit]))/_xlfn.STDEV.S(tblCustomers[Limit])</f>
        <v>-0.67307892543732029</v>
      </c>
      <c r="I296" s="2">
        <f>(tblCustomers4[[#This Row],[Rating]] - AVERAGE(tblCustomers[Rating]))/_xlfn.STDEV.S(tblCustomers[Rating])</f>
        <v>-0.62007129846015507</v>
      </c>
    </row>
    <row r="297" spans="1:9" x14ac:dyDescent="0.2">
      <c r="A297" s="2">
        <v>33.017000000000003</v>
      </c>
      <c r="B297" s="3">
        <v>3180</v>
      </c>
      <c r="C297" s="1">
        <v>224</v>
      </c>
      <c r="D297" s="1">
        <v>2</v>
      </c>
      <c r="E297" s="1">
        <v>28</v>
      </c>
      <c r="F297" s="3">
        <v>29</v>
      </c>
      <c r="G297" s="2">
        <f>(tblCustomers4[[#This Row],[Income]] - AVERAGE(tblCustomers[Income]))/_xlfn.STDEV.S(tblCustomers[Income])</f>
        <v>-0.34620901225146777</v>
      </c>
      <c r="H297" s="2">
        <f>(tblCustomers4[[#This Row],[Limit]] - AVERAGE(tblCustomers[Limit]))/_xlfn.STDEV.S(tblCustomers[Limit])</f>
        <v>-0.67394540191187913</v>
      </c>
      <c r="I297" s="2">
        <f>(tblCustomers4[[#This Row],[Rating]] - AVERAGE(tblCustomers[Rating]))/_xlfn.STDEV.S(tblCustomers[Rating])</f>
        <v>-0.84628034000805397</v>
      </c>
    </row>
    <row r="298" spans="1:9" x14ac:dyDescent="0.2">
      <c r="A298" s="2">
        <v>55.055999999999997</v>
      </c>
      <c r="B298" s="3">
        <v>3155</v>
      </c>
      <c r="C298" s="1">
        <v>235</v>
      </c>
      <c r="D298" s="1">
        <v>2</v>
      </c>
      <c r="E298" s="1">
        <v>31</v>
      </c>
      <c r="F298" s="3">
        <v>0</v>
      </c>
      <c r="G298" s="2">
        <f>(tblCustomers4[[#This Row],[Income]] - AVERAGE(tblCustomers[Income]))/_xlfn.STDEV.S(tblCustomers[Income])</f>
        <v>0.27911243775483136</v>
      </c>
      <c r="H298" s="2">
        <f>(tblCustomers4[[#This Row],[Limit]] - AVERAGE(tblCustomers[Limit]))/_xlfn.STDEV.S(tblCustomers[Limit])</f>
        <v>-0.68477635784386481</v>
      </c>
      <c r="I298" s="2">
        <f>(tblCustomers4[[#This Row],[Rating]] - AVERAGE(tblCustomers[Rating]))/_xlfn.STDEV.S(tblCustomers[Rating])</f>
        <v>-0.77518606980728577</v>
      </c>
    </row>
    <row r="299" spans="1:9" x14ac:dyDescent="0.2">
      <c r="A299" s="2">
        <v>60.448999999999998</v>
      </c>
      <c r="B299" s="3">
        <v>3098</v>
      </c>
      <c r="C299" s="1">
        <v>272</v>
      </c>
      <c r="D299" s="1">
        <v>4</v>
      </c>
      <c r="E299" s="1">
        <v>69</v>
      </c>
      <c r="F299" s="3">
        <v>0</v>
      </c>
      <c r="G299" s="2">
        <f>(tblCustomers4[[#This Row],[Income]] - AVERAGE(tblCustomers[Income]))/_xlfn.STDEV.S(tblCustomers[Income])</f>
        <v>0.4321302053433777</v>
      </c>
      <c r="H299" s="2">
        <f>(tblCustomers4[[#This Row],[Limit]] - AVERAGE(tblCustomers[Limit]))/_xlfn.STDEV.S(tblCustomers[Limit])</f>
        <v>-0.7094709373687923</v>
      </c>
      <c r="I299" s="2">
        <f>(tblCustomers4[[#This Row],[Rating]] - AVERAGE(tblCustomers[Rating]))/_xlfn.STDEV.S(tblCustomers[Rating])</f>
        <v>-0.53605079731379257</v>
      </c>
    </row>
    <row r="300" spans="1:9" x14ac:dyDescent="0.2">
      <c r="A300" s="2">
        <v>25.077999999999999</v>
      </c>
      <c r="B300" s="3">
        <v>3096</v>
      </c>
      <c r="C300" s="1">
        <v>236</v>
      </c>
      <c r="D300" s="1">
        <v>2</v>
      </c>
      <c r="E300" s="1">
        <v>27</v>
      </c>
      <c r="F300" s="3">
        <v>81</v>
      </c>
      <c r="G300" s="2">
        <f>(tblCustomers4[[#This Row],[Income]] - AVERAGE(tblCustomers[Income]))/_xlfn.STDEV.S(tblCustomers[Income])</f>
        <v>-0.57146546633740691</v>
      </c>
      <c r="H300" s="2">
        <f>(tblCustomers4[[#This Row],[Limit]] - AVERAGE(tblCustomers[Limit]))/_xlfn.STDEV.S(tblCustomers[Limit])</f>
        <v>-0.71033741384335114</v>
      </c>
      <c r="I300" s="2">
        <f>(tblCustomers4[[#This Row],[Rating]] - AVERAGE(tblCustomers[Rating]))/_xlfn.STDEV.S(tblCustomers[Rating])</f>
        <v>-0.76872295433448867</v>
      </c>
    </row>
    <row r="301" spans="1:9" x14ac:dyDescent="0.2">
      <c r="A301" s="2">
        <v>21.238</v>
      </c>
      <c r="B301" s="3">
        <v>3089</v>
      </c>
      <c r="C301" s="1">
        <v>254</v>
      </c>
      <c r="D301" s="1">
        <v>3</v>
      </c>
      <c r="E301" s="1">
        <v>59</v>
      </c>
      <c r="F301" s="3">
        <v>108</v>
      </c>
      <c r="G301" s="2">
        <f>(tblCustomers4[[#This Row],[Income]] - AVERAGE(tblCustomers[Income]))/_xlfn.STDEV.S(tblCustomers[Income])</f>
        <v>-0.68041933756678163</v>
      </c>
      <c r="H301" s="2">
        <f>(tblCustomers4[[#This Row],[Limit]] - AVERAGE(tblCustomers[Limit]))/_xlfn.STDEV.S(tblCustomers[Limit])</f>
        <v>-0.71337008150430714</v>
      </c>
      <c r="I301" s="2">
        <f>(tblCustomers4[[#This Row],[Rating]] - AVERAGE(tblCustomers[Rating]))/_xlfn.STDEV.S(tblCustomers[Rating])</f>
        <v>-0.65238687582414057</v>
      </c>
    </row>
    <row r="302" spans="1:9" x14ac:dyDescent="0.2">
      <c r="A302" s="2">
        <v>15.866</v>
      </c>
      <c r="B302" s="3">
        <v>3085</v>
      </c>
      <c r="C302" s="1">
        <v>217</v>
      </c>
      <c r="D302" s="1">
        <v>1</v>
      </c>
      <c r="E302" s="1">
        <v>39</v>
      </c>
      <c r="F302" s="3">
        <v>136</v>
      </c>
      <c r="G302" s="2">
        <f>(tblCustomers4[[#This Row],[Income]] - AVERAGE(tblCustomers[Income]))/_xlfn.STDEV.S(tblCustomers[Income])</f>
        <v>-0.83284126367204225</v>
      </c>
      <c r="H302" s="2">
        <f>(tblCustomers4[[#This Row],[Limit]] - AVERAGE(tblCustomers[Limit]))/_xlfn.STDEV.S(tblCustomers[Limit])</f>
        <v>-0.71510303445342482</v>
      </c>
      <c r="I302" s="2">
        <f>(tblCustomers4[[#This Row],[Rating]] - AVERAGE(tblCustomers[Rating]))/_xlfn.STDEV.S(tblCustomers[Rating])</f>
        <v>-0.89152214831763377</v>
      </c>
    </row>
    <row r="303" spans="1:9" x14ac:dyDescent="0.2">
      <c r="A303" s="2">
        <v>38.009</v>
      </c>
      <c r="B303" s="3">
        <v>3075</v>
      </c>
      <c r="C303" s="1">
        <v>245</v>
      </c>
      <c r="D303" s="1">
        <v>3</v>
      </c>
      <c r="E303" s="1">
        <v>45</v>
      </c>
      <c r="F303" s="3">
        <v>0</v>
      </c>
      <c r="G303" s="2">
        <f>(tblCustomers4[[#This Row],[Income]] - AVERAGE(tblCustomers[Income]))/_xlfn.STDEV.S(tblCustomers[Income])</f>
        <v>-0.20456897965328072</v>
      </c>
      <c r="H303" s="2">
        <f>(tblCustomers4[[#This Row],[Limit]] - AVERAGE(tblCustomers[Limit]))/_xlfn.STDEV.S(tblCustomers[Limit])</f>
        <v>-0.71943541682621914</v>
      </c>
      <c r="I303" s="2">
        <f>(tblCustomers4[[#This Row],[Rating]] - AVERAGE(tblCustomers[Rating]))/_xlfn.STDEV.S(tblCustomers[Rating])</f>
        <v>-0.71055491507931468</v>
      </c>
    </row>
    <row r="304" spans="1:9" x14ac:dyDescent="0.2">
      <c r="A304" s="2">
        <v>54.319000000000003</v>
      </c>
      <c r="B304" s="3">
        <v>3063</v>
      </c>
      <c r="C304" s="1">
        <v>248</v>
      </c>
      <c r="D304" s="1">
        <v>3</v>
      </c>
      <c r="E304" s="1">
        <v>59</v>
      </c>
      <c r="F304" s="3">
        <v>269</v>
      </c>
      <c r="G304" s="2">
        <f>(tblCustomers4[[#This Row],[Income]] - AVERAGE(tblCustomers[Income]))/_xlfn.STDEV.S(tblCustomers[Income])</f>
        <v>0.25820123903190206</v>
      </c>
      <c r="H304" s="2">
        <f>(tblCustomers4[[#This Row],[Limit]] - AVERAGE(tblCustomers[Limit]))/_xlfn.STDEV.S(tblCustomers[Limit])</f>
        <v>-0.7246342756735723</v>
      </c>
      <c r="I304" s="2">
        <f>(tblCustomers4[[#This Row],[Rating]] - AVERAGE(tblCustomers[Rating]))/_xlfn.STDEV.S(tblCustomers[Rating])</f>
        <v>-0.69116556866092327</v>
      </c>
    </row>
    <row r="305" spans="1:9" x14ac:dyDescent="0.2">
      <c r="A305" s="2">
        <v>53.319000000000003</v>
      </c>
      <c r="B305" s="3">
        <v>3000</v>
      </c>
      <c r="C305" s="1">
        <v>235</v>
      </c>
      <c r="D305" s="1">
        <v>3</v>
      </c>
      <c r="E305" s="1">
        <v>53</v>
      </c>
      <c r="F305" s="3">
        <v>0</v>
      </c>
      <c r="G305" s="2">
        <f>(tblCustomers4[[#This Row],[Income]] - AVERAGE(tblCustomers[Income]))/_xlfn.STDEV.S(tblCustomers[Income])</f>
        <v>0.22982783506591906</v>
      </c>
      <c r="H305" s="2">
        <f>(tblCustomers4[[#This Row],[Limit]] - AVERAGE(tblCustomers[Limit]))/_xlfn.STDEV.S(tblCustomers[Limit])</f>
        <v>-0.7519282846221762</v>
      </c>
      <c r="I305" s="2">
        <f>(tblCustomers4[[#This Row],[Rating]] - AVERAGE(tblCustomers[Rating]))/_xlfn.STDEV.S(tblCustomers[Rating])</f>
        <v>-0.77518606980728577</v>
      </c>
    </row>
    <row r="306" spans="1:9" x14ac:dyDescent="0.2">
      <c r="A306" s="2">
        <v>14.132</v>
      </c>
      <c r="B306" s="3">
        <v>2998</v>
      </c>
      <c r="C306" s="1">
        <v>251</v>
      </c>
      <c r="D306" s="1">
        <v>4</v>
      </c>
      <c r="E306" s="1">
        <v>75</v>
      </c>
      <c r="F306" s="3">
        <v>133</v>
      </c>
      <c r="G306" s="2">
        <f>(tblCustomers4[[#This Row],[Income]] - AVERAGE(tblCustomers[Income]))/_xlfn.STDEV.S(tblCustomers[Income])</f>
        <v>-0.88204074614905692</v>
      </c>
      <c r="H306" s="2">
        <f>(tblCustomers4[[#This Row],[Limit]] - AVERAGE(tblCustomers[Limit]))/_xlfn.STDEV.S(tblCustomers[Limit])</f>
        <v>-0.75279476109673515</v>
      </c>
      <c r="I306" s="2">
        <f>(tblCustomers4[[#This Row],[Rating]] - AVERAGE(tblCustomers[Rating]))/_xlfn.STDEV.S(tblCustomers[Rating])</f>
        <v>-0.67177622224253197</v>
      </c>
    </row>
    <row r="307" spans="1:9" x14ac:dyDescent="0.2">
      <c r="A307" s="2">
        <v>36.295000000000002</v>
      </c>
      <c r="B307" s="3">
        <v>2963</v>
      </c>
      <c r="C307" s="1">
        <v>241</v>
      </c>
      <c r="D307" s="1">
        <v>2</v>
      </c>
      <c r="E307" s="1">
        <v>68</v>
      </c>
      <c r="F307" s="3">
        <v>375</v>
      </c>
      <c r="G307" s="2">
        <f>(tblCustomers4[[#This Row],[Income]] - AVERAGE(tblCustomers[Income]))/_xlfn.STDEV.S(tblCustomers[Income])</f>
        <v>-0.25320099405097557</v>
      </c>
      <c r="H307" s="2">
        <f>(tblCustomers4[[#This Row],[Limit]] - AVERAGE(tblCustomers[Limit]))/_xlfn.STDEV.S(tblCustomers[Limit])</f>
        <v>-0.76795809940151505</v>
      </c>
      <c r="I307" s="2">
        <f>(tblCustomers4[[#This Row],[Rating]] - AVERAGE(tblCustomers[Rating]))/_xlfn.STDEV.S(tblCustomers[Rating])</f>
        <v>-0.73640737697050307</v>
      </c>
    </row>
    <row r="308" spans="1:9" x14ac:dyDescent="0.2">
      <c r="A308" s="2">
        <v>28.574999999999999</v>
      </c>
      <c r="B308" s="3">
        <v>2959</v>
      </c>
      <c r="C308" s="1">
        <v>231</v>
      </c>
      <c r="D308" s="1">
        <v>2</v>
      </c>
      <c r="E308" s="1">
        <v>60</v>
      </c>
      <c r="F308" s="3">
        <v>0</v>
      </c>
      <c r="G308" s="2">
        <f>(tblCustomers4[[#This Row],[Income]] - AVERAGE(tblCustomers[Income]))/_xlfn.STDEV.S(tblCustomers[Income])</f>
        <v>-0.47224367266836437</v>
      </c>
      <c r="H308" s="2">
        <f>(tblCustomers4[[#This Row],[Limit]] - AVERAGE(tblCustomers[Limit]))/_xlfn.STDEV.S(tblCustomers[Limit])</f>
        <v>-0.76969105235063284</v>
      </c>
      <c r="I308" s="2">
        <f>(tblCustomers4[[#This Row],[Rating]] - AVERAGE(tblCustomers[Rating]))/_xlfn.STDEV.S(tblCustomers[Rating])</f>
        <v>-0.80103853169847417</v>
      </c>
    </row>
    <row r="309" spans="1:9" x14ac:dyDescent="0.2">
      <c r="A309" s="2">
        <v>14.595000000000001</v>
      </c>
      <c r="B309" s="3">
        <v>2955</v>
      </c>
      <c r="C309" s="1">
        <v>260</v>
      </c>
      <c r="D309" s="1">
        <v>5</v>
      </c>
      <c r="E309" s="1">
        <v>37</v>
      </c>
      <c r="F309" s="3">
        <v>204</v>
      </c>
      <c r="G309" s="2">
        <f>(tblCustomers4[[#This Row],[Income]] - AVERAGE(tblCustomers[Income]))/_xlfn.STDEV.S(tblCustomers[Income])</f>
        <v>-0.86890386011280674</v>
      </c>
      <c r="H309" s="2">
        <f>(tblCustomers4[[#This Row],[Limit]] - AVERAGE(tblCustomers[Limit]))/_xlfn.STDEV.S(tblCustomers[Limit])</f>
        <v>-0.77142400529975053</v>
      </c>
      <c r="I309" s="2">
        <f>(tblCustomers4[[#This Row],[Rating]] - AVERAGE(tblCustomers[Rating]))/_xlfn.STDEV.S(tblCustomers[Rating])</f>
        <v>-0.61360818298735798</v>
      </c>
    </row>
    <row r="310" spans="1:9" x14ac:dyDescent="0.2">
      <c r="A310" s="2">
        <v>32.164000000000001</v>
      </c>
      <c r="B310" s="3">
        <v>2937</v>
      </c>
      <c r="C310" s="1">
        <v>223</v>
      </c>
      <c r="D310" s="1">
        <v>2</v>
      </c>
      <c r="E310" s="1">
        <v>79</v>
      </c>
      <c r="F310" s="3">
        <v>0</v>
      </c>
      <c r="G310" s="2">
        <f>(tblCustomers4[[#This Row],[Income]] - AVERAGE(tblCustomers[Income]))/_xlfn.STDEV.S(tblCustomers[Income])</f>
        <v>-0.37041152583445131</v>
      </c>
      <c r="H310" s="2">
        <f>(tblCustomers4[[#This Row],[Limit]] - AVERAGE(tblCustomers[Limit]))/_xlfn.STDEV.S(tblCustomers[Limit])</f>
        <v>-0.77922229357078021</v>
      </c>
      <c r="I310" s="2">
        <f>(tblCustomers4[[#This Row],[Rating]] - AVERAGE(tblCustomers[Rating]))/_xlfn.STDEV.S(tblCustomers[Rating])</f>
        <v>-0.85274345548085106</v>
      </c>
    </row>
    <row r="311" spans="1:9" x14ac:dyDescent="0.2">
      <c r="A311" s="2">
        <v>10.503</v>
      </c>
      <c r="B311" s="3">
        <v>2923</v>
      </c>
      <c r="C311" s="1">
        <v>232</v>
      </c>
      <c r="D311" s="1">
        <v>3</v>
      </c>
      <c r="E311" s="1">
        <v>25</v>
      </c>
      <c r="F311" s="3">
        <v>191</v>
      </c>
      <c r="G311" s="2">
        <f>(tblCustomers4[[#This Row],[Income]] - AVERAGE(tblCustomers[Income]))/_xlfn.STDEV.S(tblCustomers[Income])</f>
        <v>-0.98500782914160911</v>
      </c>
      <c r="H311" s="2">
        <f>(tblCustomers4[[#This Row],[Limit]] - AVERAGE(tblCustomers[Limit]))/_xlfn.STDEV.S(tblCustomers[Limit])</f>
        <v>-0.78528762889269221</v>
      </c>
      <c r="I311" s="2">
        <f>(tblCustomers4[[#This Row],[Rating]] - AVERAGE(tblCustomers[Rating]))/_xlfn.STDEV.S(tblCustomers[Rating])</f>
        <v>-0.79457541622567707</v>
      </c>
    </row>
    <row r="312" spans="1:9" x14ac:dyDescent="0.2">
      <c r="A312" s="2">
        <v>26.532</v>
      </c>
      <c r="B312" s="3">
        <v>2910</v>
      </c>
      <c r="C312" s="1">
        <v>236</v>
      </c>
      <c r="D312" s="1">
        <v>6</v>
      </c>
      <c r="E312" s="1">
        <v>58</v>
      </c>
      <c r="F312" s="3">
        <v>52</v>
      </c>
      <c r="G312" s="2">
        <f>(tblCustomers4[[#This Row],[Income]] - AVERAGE(tblCustomers[Income]))/_xlfn.STDEV.S(tblCustomers[Income])</f>
        <v>-0.53021053697086762</v>
      </c>
      <c r="H312" s="2">
        <f>(tblCustomers4[[#This Row],[Limit]] - AVERAGE(tblCustomers[Limit]))/_xlfn.STDEV.S(tblCustomers[Limit])</f>
        <v>-0.79091972597732485</v>
      </c>
      <c r="I312" s="2">
        <f>(tblCustomers4[[#This Row],[Rating]] - AVERAGE(tblCustomers[Rating]))/_xlfn.STDEV.S(tblCustomers[Rating])</f>
        <v>-0.76872295433448867</v>
      </c>
    </row>
    <row r="313" spans="1:9" x14ac:dyDescent="0.2">
      <c r="A313" s="2">
        <v>43.54</v>
      </c>
      <c r="B313" s="3">
        <v>2906</v>
      </c>
      <c r="C313" s="1">
        <v>232</v>
      </c>
      <c r="D313" s="1">
        <v>4</v>
      </c>
      <c r="E313" s="1">
        <v>69</v>
      </c>
      <c r="F313" s="3">
        <v>0</v>
      </c>
      <c r="G313" s="2">
        <f>(tblCustomers4[[#This Row],[Income]] - AVERAGE(tblCustomers[Income]))/_xlfn.STDEV.S(tblCustomers[Income])</f>
        <v>-4.763568231742879E-2</v>
      </c>
      <c r="H313" s="2">
        <f>(tblCustomers4[[#This Row],[Limit]] - AVERAGE(tblCustomers[Limit]))/_xlfn.STDEV.S(tblCustomers[Limit])</f>
        <v>-0.79265267892644253</v>
      </c>
      <c r="I313" s="2">
        <f>(tblCustomers4[[#This Row],[Rating]] - AVERAGE(tblCustomers[Rating]))/_xlfn.STDEV.S(tblCustomers[Rating])</f>
        <v>-0.79457541622567707</v>
      </c>
    </row>
    <row r="314" spans="1:9" x14ac:dyDescent="0.2">
      <c r="A314" s="2">
        <v>35.691000000000003</v>
      </c>
      <c r="B314" s="3">
        <v>2880</v>
      </c>
      <c r="C314" s="1">
        <v>214</v>
      </c>
      <c r="D314" s="1">
        <v>2</v>
      </c>
      <c r="E314" s="1">
        <v>35</v>
      </c>
      <c r="F314" s="3">
        <v>0</v>
      </c>
      <c r="G314" s="2">
        <f>(tblCustomers4[[#This Row],[Income]] - AVERAGE(tblCustomers[Income]))/_xlfn.STDEV.S(tblCustomers[Income])</f>
        <v>-0.27033853004642927</v>
      </c>
      <c r="H314" s="2">
        <f>(tblCustomers4[[#This Row],[Limit]] - AVERAGE(tblCustomers[Limit]))/_xlfn.STDEV.S(tblCustomers[Limit])</f>
        <v>-0.8039168730957077</v>
      </c>
      <c r="I314" s="2">
        <f>(tblCustomers4[[#This Row],[Rating]] - AVERAGE(tblCustomers[Rating]))/_xlfn.STDEV.S(tblCustomers[Rating])</f>
        <v>-0.91091149473602517</v>
      </c>
    </row>
    <row r="315" spans="1:9" x14ac:dyDescent="0.2">
      <c r="A315" s="2">
        <v>31.029</v>
      </c>
      <c r="B315" s="3">
        <v>2863</v>
      </c>
      <c r="C315" s="1">
        <v>223</v>
      </c>
      <c r="D315" s="1">
        <v>2</v>
      </c>
      <c r="E315" s="1">
        <v>66</v>
      </c>
      <c r="F315" s="3">
        <v>415</v>
      </c>
      <c r="G315" s="2">
        <f>(tblCustomers4[[#This Row],[Income]] - AVERAGE(tblCustomers[Income]))/_xlfn.STDEV.S(tblCustomers[Income])</f>
        <v>-0.40261533933584209</v>
      </c>
      <c r="H315" s="2">
        <f>(tblCustomers4[[#This Row],[Limit]] - AVERAGE(tblCustomers[Limit]))/_xlfn.STDEV.S(tblCustomers[Limit])</f>
        <v>-0.8112819231294579</v>
      </c>
      <c r="I315" s="2">
        <f>(tblCustomers4[[#This Row],[Rating]] - AVERAGE(tblCustomers[Rating]))/_xlfn.STDEV.S(tblCustomers[Rating])</f>
        <v>-0.85274345548085106</v>
      </c>
    </row>
    <row r="316" spans="1:9" x14ac:dyDescent="0.2">
      <c r="A316" s="2">
        <v>53.308</v>
      </c>
      <c r="B316" s="3">
        <v>2860</v>
      </c>
      <c r="C316" s="1">
        <v>214</v>
      </c>
      <c r="D316" s="1">
        <v>1</v>
      </c>
      <c r="E316" s="1">
        <v>84</v>
      </c>
      <c r="F316" s="3">
        <v>0</v>
      </c>
      <c r="G316" s="2">
        <f>(tblCustomers4[[#This Row],[Income]] - AVERAGE(tblCustomers[Income]))/_xlfn.STDEV.S(tblCustomers[Income])</f>
        <v>0.22951572762229316</v>
      </c>
      <c r="H316" s="2">
        <f>(tblCustomers4[[#This Row],[Limit]] - AVERAGE(tblCustomers[Limit]))/_xlfn.STDEV.S(tblCustomers[Limit])</f>
        <v>-0.81258163784129622</v>
      </c>
      <c r="I316" s="2">
        <f>(tblCustomers4[[#This Row],[Rating]] - AVERAGE(tblCustomers[Rating]))/_xlfn.STDEV.S(tblCustomers[Rating])</f>
        <v>-0.91091149473602517</v>
      </c>
    </row>
    <row r="317" spans="1:9" x14ac:dyDescent="0.2">
      <c r="A317" s="2">
        <v>17.7</v>
      </c>
      <c r="B317" s="3">
        <v>2860</v>
      </c>
      <c r="C317" s="1">
        <v>235</v>
      </c>
      <c r="D317" s="1">
        <v>4</v>
      </c>
      <c r="E317" s="1">
        <v>63</v>
      </c>
      <c r="F317" s="3">
        <v>89</v>
      </c>
      <c r="G317" s="2">
        <f>(tblCustomers4[[#This Row],[Income]] - AVERAGE(tblCustomers[Income]))/_xlfn.STDEV.S(tblCustomers[Income])</f>
        <v>-0.78080444079842948</v>
      </c>
      <c r="H317" s="2">
        <f>(tblCustomers4[[#This Row],[Limit]] - AVERAGE(tblCustomers[Limit]))/_xlfn.STDEV.S(tblCustomers[Limit])</f>
        <v>-0.81258163784129622</v>
      </c>
      <c r="I317" s="2">
        <f>(tblCustomers4[[#This Row],[Rating]] - AVERAGE(tblCustomers[Rating]))/_xlfn.STDEV.S(tblCustomers[Rating])</f>
        <v>-0.77518606980728577</v>
      </c>
    </row>
    <row r="318" spans="1:9" x14ac:dyDescent="0.2">
      <c r="A318" s="2">
        <v>30.733000000000001</v>
      </c>
      <c r="B318" s="3">
        <v>2832</v>
      </c>
      <c r="C318" s="1">
        <v>249</v>
      </c>
      <c r="D318" s="1">
        <v>4</v>
      </c>
      <c r="E318" s="1">
        <v>51</v>
      </c>
      <c r="F318" s="3">
        <v>0</v>
      </c>
      <c r="G318" s="2">
        <f>(tblCustomers4[[#This Row],[Income]] - AVERAGE(tblCustomers[Income]))/_xlfn.STDEV.S(tblCustomers[Income])</f>
        <v>-0.41101386690977304</v>
      </c>
      <c r="H318" s="2">
        <f>(tblCustomers4[[#This Row],[Limit]] - AVERAGE(tblCustomers[Limit]))/_xlfn.STDEV.S(tblCustomers[Limit])</f>
        <v>-0.82471230848512023</v>
      </c>
      <c r="I318" s="2">
        <f>(tblCustomers4[[#This Row],[Rating]] - AVERAGE(tblCustomers[Rating]))/_xlfn.STDEV.S(tblCustomers[Rating])</f>
        <v>-0.68470245318812617</v>
      </c>
    </row>
    <row r="319" spans="1:9" x14ac:dyDescent="0.2">
      <c r="A319" s="2">
        <v>27.47</v>
      </c>
      <c r="B319" s="3">
        <v>2820</v>
      </c>
      <c r="C319" s="1">
        <v>219</v>
      </c>
      <c r="D319" s="1">
        <v>1</v>
      </c>
      <c r="E319" s="1">
        <v>32</v>
      </c>
      <c r="F319" s="3">
        <v>0</v>
      </c>
      <c r="G319" s="2">
        <f>(tblCustomers4[[#This Row],[Income]] - AVERAGE(tblCustomers[Income]))/_xlfn.STDEV.S(tblCustomers[Income])</f>
        <v>-0.50359628405077561</v>
      </c>
      <c r="H319" s="2">
        <f>(tblCustomers4[[#This Row],[Limit]] - AVERAGE(tblCustomers[Limit]))/_xlfn.STDEV.S(tblCustomers[Limit])</f>
        <v>-0.82991116733247339</v>
      </c>
      <c r="I319" s="2">
        <f>(tblCustomers4[[#This Row],[Rating]] - AVERAGE(tblCustomers[Rating]))/_xlfn.STDEV.S(tblCustomers[Rating])</f>
        <v>-0.87859591737203957</v>
      </c>
    </row>
    <row r="320" spans="1:9" x14ac:dyDescent="0.2">
      <c r="A320" s="2">
        <v>15.476000000000001</v>
      </c>
      <c r="B320" s="3">
        <v>2762</v>
      </c>
      <c r="C320" s="1">
        <v>215</v>
      </c>
      <c r="D320" s="1">
        <v>3</v>
      </c>
      <c r="E320" s="1">
        <v>60</v>
      </c>
      <c r="F320" s="3">
        <v>52</v>
      </c>
      <c r="G320" s="2">
        <f>(tblCustomers4[[#This Row],[Income]] - AVERAGE(tblCustomers[Income]))/_xlfn.STDEV.S(tblCustomers[Income])</f>
        <v>-0.84390689121877571</v>
      </c>
      <c r="H320" s="2">
        <f>(tblCustomers4[[#This Row],[Limit]] - AVERAGE(tblCustomers[Limit]))/_xlfn.STDEV.S(tblCustomers[Limit])</f>
        <v>-0.85503898509468024</v>
      </c>
      <c r="I320" s="2">
        <f>(tblCustomers4[[#This Row],[Rating]] - AVERAGE(tblCustomers[Rating]))/_xlfn.STDEV.S(tblCustomers[Rating])</f>
        <v>-0.90444837926322807</v>
      </c>
    </row>
    <row r="321" spans="1:9" x14ac:dyDescent="0.2">
      <c r="A321" s="2">
        <v>17.391999999999999</v>
      </c>
      <c r="B321" s="3">
        <v>2748</v>
      </c>
      <c r="C321" s="1">
        <v>228</v>
      </c>
      <c r="D321" s="1">
        <v>3</v>
      </c>
      <c r="E321" s="1">
        <v>32</v>
      </c>
      <c r="F321" s="3">
        <v>68</v>
      </c>
      <c r="G321" s="2">
        <f>(tblCustomers4[[#This Row],[Income]] - AVERAGE(tblCustomers[Income]))/_xlfn.STDEV.S(tblCustomers[Income])</f>
        <v>-0.78954344921995223</v>
      </c>
      <c r="H321" s="2">
        <f>(tblCustomers4[[#This Row],[Limit]] - AVERAGE(tblCustomers[Limit]))/_xlfn.STDEV.S(tblCustomers[Limit])</f>
        <v>-0.86110432041659224</v>
      </c>
      <c r="I321" s="2">
        <f>(tblCustomers4[[#This Row],[Rating]] - AVERAGE(tblCustomers[Rating]))/_xlfn.STDEV.S(tblCustomers[Rating])</f>
        <v>-0.82042787811686557</v>
      </c>
    </row>
    <row r="322" spans="1:9" x14ac:dyDescent="0.2">
      <c r="A322" s="2">
        <v>28.940999999999999</v>
      </c>
      <c r="B322" s="3">
        <v>2733</v>
      </c>
      <c r="C322" s="1">
        <v>210</v>
      </c>
      <c r="D322" s="1">
        <v>5</v>
      </c>
      <c r="E322" s="1">
        <v>43</v>
      </c>
      <c r="F322" s="3">
        <v>0</v>
      </c>
      <c r="G322" s="2">
        <f>(tblCustomers4[[#This Row],[Income]] - AVERAGE(tblCustomers[Income]))/_xlfn.STDEV.S(tblCustomers[Income])</f>
        <v>-0.46185900681681463</v>
      </c>
      <c r="H322" s="2">
        <f>(tblCustomers4[[#This Row],[Limit]] - AVERAGE(tblCustomers[Limit]))/_xlfn.STDEV.S(tblCustomers[Limit])</f>
        <v>-0.86760289397578361</v>
      </c>
      <c r="I322" s="2">
        <f>(tblCustomers4[[#This Row],[Rating]] - AVERAGE(tblCustomers[Rating]))/_xlfn.STDEV.S(tblCustomers[Rating])</f>
        <v>-0.93676395662721357</v>
      </c>
    </row>
    <row r="323" spans="1:9" x14ac:dyDescent="0.2">
      <c r="A323" s="2">
        <v>20.791</v>
      </c>
      <c r="B323" s="3">
        <v>2672</v>
      </c>
      <c r="C323" s="1">
        <v>204</v>
      </c>
      <c r="D323" s="1">
        <v>1</v>
      </c>
      <c r="E323" s="1">
        <v>70</v>
      </c>
      <c r="F323" s="3">
        <v>0</v>
      </c>
      <c r="G323" s="2">
        <f>(tblCustomers4[[#This Row],[Income]] - AVERAGE(tblCustomers[Income]))/_xlfn.STDEV.S(tblCustomers[Income])</f>
        <v>-0.69310224913957597</v>
      </c>
      <c r="H323" s="2">
        <f>(tblCustomers4[[#This Row],[Limit]] - AVERAGE(tblCustomers[Limit]))/_xlfn.STDEV.S(tblCustomers[Limit])</f>
        <v>-0.89403042644982877</v>
      </c>
      <c r="I323" s="2">
        <f>(tblCustomers4[[#This Row],[Rating]] - AVERAGE(tblCustomers[Rating]))/_xlfn.STDEV.S(tblCustomers[Rating])</f>
        <v>-0.97554264946399627</v>
      </c>
    </row>
    <row r="324" spans="1:9" x14ac:dyDescent="0.2">
      <c r="A324" s="2">
        <v>20.149999999999999</v>
      </c>
      <c r="B324" s="3">
        <v>2646</v>
      </c>
      <c r="C324" s="1">
        <v>199</v>
      </c>
      <c r="D324" s="1">
        <v>2</v>
      </c>
      <c r="E324" s="1">
        <v>25</v>
      </c>
      <c r="F324" s="3">
        <v>0</v>
      </c>
      <c r="G324" s="2">
        <f>(tblCustomers4[[#This Row],[Income]] - AVERAGE(tblCustomers[Income]))/_xlfn.STDEV.S(tblCustomers[Income])</f>
        <v>-0.71128960108177119</v>
      </c>
      <c r="H324" s="2">
        <f>(tblCustomers4[[#This Row],[Limit]] - AVERAGE(tblCustomers[Limit]))/_xlfn.STDEV.S(tblCustomers[Limit])</f>
        <v>-0.90529462061909394</v>
      </c>
      <c r="I324" s="2">
        <f>(tblCustomers4[[#This Row],[Rating]] - AVERAGE(tblCustomers[Rating]))/_xlfn.STDEV.S(tblCustomers[Rating])</f>
        <v>-1.0078582268279819</v>
      </c>
    </row>
    <row r="325" spans="1:9" x14ac:dyDescent="0.2">
      <c r="A325" s="2">
        <v>20.103000000000002</v>
      </c>
      <c r="B325" s="3">
        <v>2631</v>
      </c>
      <c r="C325" s="1">
        <v>213</v>
      </c>
      <c r="D325" s="1">
        <v>3</v>
      </c>
      <c r="E325" s="1">
        <v>61</v>
      </c>
      <c r="F325" s="3">
        <v>0</v>
      </c>
      <c r="G325" s="2">
        <f>(tblCustomers4[[#This Row],[Income]] - AVERAGE(tblCustomers[Income]))/_xlfn.STDEV.S(tblCustomers[Income])</f>
        <v>-0.71262315106817231</v>
      </c>
      <c r="H325" s="2">
        <f>(tblCustomers4[[#This Row],[Limit]] - AVERAGE(tblCustomers[Limit]))/_xlfn.STDEV.S(tblCustomers[Limit])</f>
        <v>-0.9117931941782853</v>
      </c>
      <c r="I325" s="2">
        <f>(tblCustomers4[[#This Row],[Rating]] - AVERAGE(tblCustomers[Rating]))/_xlfn.STDEV.S(tblCustomers[Rating])</f>
        <v>-0.91737461020882227</v>
      </c>
    </row>
    <row r="326" spans="1:9" x14ac:dyDescent="0.2">
      <c r="A326" s="2">
        <v>24.05</v>
      </c>
      <c r="B326" s="3">
        <v>2607</v>
      </c>
      <c r="C326" s="1">
        <v>221</v>
      </c>
      <c r="D326" s="1">
        <v>4</v>
      </c>
      <c r="E326" s="1">
        <v>32</v>
      </c>
      <c r="F326" s="3">
        <v>0</v>
      </c>
      <c r="G326" s="2">
        <f>(tblCustomers4[[#This Row],[Income]] - AVERAGE(tblCustomers[Income]))/_xlfn.STDEV.S(tblCustomers[Income])</f>
        <v>-0.60063332561443739</v>
      </c>
      <c r="H326" s="2">
        <f>(tblCustomers4[[#This Row],[Limit]] - AVERAGE(tblCustomers[Limit]))/_xlfn.STDEV.S(tblCustomers[Limit])</f>
        <v>-0.92219091187299163</v>
      </c>
      <c r="I326" s="2">
        <f>(tblCustomers4[[#This Row],[Rating]] - AVERAGE(tblCustomers[Rating]))/_xlfn.STDEV.S(tblCustomers[Rating])</f>
        <v>-0.86566968642644537</v>
      </c>
    </row>
    <row r="327" spans="1:9" x14ac:dyDescent="0.2">
      <c r="A327" s="2">
        <v>27.59</v>
      </c>
      <c r="B327" s="3">
        <v>2586</v>
      </c>
      <c r="C327" s="1">
        <v>229</v>
      </c>
      <c r="D327" s="1">
        <v>5</v>
      </c>
      <c r="E327" s="1">
        <v>54</v>
      </c>
      <c r="F327" s="3">
        <v>0</v>
      </c>
      <c r="G327" s="2">
        <f>(tblCustomers4[[#This Row],[Income]] - AVERAGE(tblCustomers[Income]))/_xlfn.STDEV.S(tblCustomers[Income])</f>
        <v>-0.50019147557485766</v>
      </c>
      <c r="H327" s="2">
        <f>(tblCustomers4[[#This Row],[Limit]] - AVERAGE(tblCustomers[Limit]))/_xlfn.STDEV.S(tblCustomers[Limit])</f>
        <v>-0.93128891485585963</v>
      </c>
      <c r="I327" s="2">
        <f>(tblCustomers4[[#This Row],[Rating]] - AVERAGE(tblCustomers[Rating]))/_xlfn.STDEV.S(tblCustomers[Rating])</f>
        <v>-0.81396476264406847</v>
      </c>
    </row>
    <row r="328" spans="1:9" x14ac:dyDescent="0.2">
      <c r="A328" s="2">
        <v>41.4</v>
      </c>
      <c r="B328" s="3">
        <v>2561</v>
      </c>
      <c r="C328" s="1">
        <v>215</v>
      </c>
      <c r="D328" s="1">
        <v>2</v>
      </c>
      <c r="E328" s="1">
        <v>36</v>
      </c>
      <c r="F328" s="3">
        <v>0</v>
      </c>
      <c r="G328" s="2">
        <f>(tblCustomers4[[#This Row],[Income]] - AVERAGE(tblCustomers[Income]))/_xlfn.STDEV.S(tblCustomers[Income])</f>
        <v>-0.10835476680463242</v>
      </c>
      <c r="H328" s="2">
        <f>(tblCustomers4[[#This Row],[Limit]] - AVERAGE(tblCustomers[Limit]))/_xlfn.STDEV.S(tblCustomers[Limit])</f>
        <v>-0.94211987078784531</v>
      </c>
      <c r="I328" s="2">
        <f>(tblCustomers4[[#This Row],[Rating]] - AVERAGE(tblCustomers[Rating]))/_xlfn.STDEV.S(tblCustomers[Rating])</f>
        <v>-0.90444837926322807</v>
      </c>
    </row>
    <row r="329" spans="1:9" x14ac:dyDescent="0.2">
      <c r="A329" s="2">
        <v>23.35</v>
      </c>
      <c r="B329" s="3">
        <v>2558</v>
      </c>
      <c r="C329" s="1">
        <v>220</v>
      </c>
      <c r="D329" s="1">
        <v>3</v>
      </c>
      <c r="E329" s="1">
        <v>49</v>
      </c>
      <c r="F329" s="3">
        <v>419</v>
      </c>
      <c r="G329" s="2">
        <f>(tblCustomers4[[#This Row],[Income]] - AVERAGE(tblCustomers[Income]))/_xlfn.STDEV.S(tblCustomers[Income])</f>
        <v>-0.62049470839062548</v>
      </c>
      <c r="H329" s="2">
        <f>(tblCustomers4[[#This Row],[Limit]] - AVERAGE(tblCustomers[Limit]))/_xlfn.STDEV.S(tblCustomers[Limit])</f>
        <v>-0.94341958549968363</v>
      </c>
      <c r="I329" s="2">
        <f>(tblCustomers4[[#This Row],[Rating]] - AVERAGE(tblCustomers[Rating]))/_xlfn.STDEV.S(tblCustomers[Rating])</f>
        <v>-0.87213280189924247</v>
      </c>
    </row>
    <row r="330" spans="1:9" x14ac:dyDescent="0.2">
      <c r="A330" s="2">
        <v>39.609000000000002</v>
      </c>
      <c r="B330" s="3">
        <v>2539</v>
      </c>
      <c r="C330" s="1">
        <v>188</v>
      </c>
      <c r="D330" s="1">
        <v>1</v>
      </c>
      <c r="E330" s="1">
        <v>40</v>
      </c>
      <c r="F330" s="3">
        <v>0</v>
      </c>
      <c r="G330" s="2">
        <f>(tblCustomers4[[#This Row],[Income]] - AVERAGE(tblCustomers[Income]))/_xlfn.STDEV.S(tblCustomers[Income])</f>
        <v>-0.15917153330770789</v>
      </c>
      <c r="H330" s="2">
        <f>(tblCustomers4[[#This Row],[Limit]] - AVERAGE(tblCustomers[Limit]))/_xlfn.STDEV.S(tblCustomers[Limit])</f>
        <v>-0.95165111200799279</v>
      </c>
      <c r="I330" s="2">
        <f>(tblCustomers4[[#This Row],[Rating]] - AVERAGE(tblCustomers[Rating]))/_xlfn.STDEV.S(tblCustomers[Rating])</f>
        <v>-1.0789524970287501</v>
      </c>
    </row>
    <row r="331" spans="1:9" x14ac:dyDescent="0.2">
      <c r="A331" s="2">
        <v>42.914999999999999</v>
      </c>
      <c r="B331" s="3">
        <v>2532</v>
      </c>
      <c r="C331" s="1">
        <v>205</v>
      </c>
      <c r="D331" s="1">
        <v>4</v>
      </c>
      <c r="E331" s="1">
        <v>42</v>
      </c>
      <c r="F331" s="3">
        <v>0</v>
      </c>
      <c r="G331" s="2">
        <f>(tblCustomers4[[#This Row],[Income]] - AVERAGE(tblCustomers[Income]))/_xlfn.STDEV.S(tblCustomers[Income])</f>
        <v>-6.5369059796168166E-2</v>
      </c>
      <c r="H331" s="2">
        <f>(tblCustomers4[[#This Row],[Limit]] - AVERAGE(tblCustomers[Limit]))/_xlfn.STDEV.S(tblCustomers[Limit])</f>
        <v>-0.9546837796689488</v>
      </c>
      <c r="I331" s="2">
        <f>(tblCustomers4[[#This Row],[Rating]] - AVERAGE(tblCustomers[Rating]))/_xlfn.STDEV.S(tblCustomers[Rating])</f>
        <v>-0.96907953399119917</v>
      </c>
    </row>
    <row r="332" spans="1:9" x14ac:dyDescent="0.2">
      <c r="A332" s="2">
        <v>27.577999999999999</v>
      </c>
      <c r="B332" s="3">
        <v>2531</v>
      </c>
      <c r="C332" s="1">
        <v>195</v>
      </c>
      <c r="D332" s="1">
        <v>1</v>
      </c>
      <c r="E332" s="1">
        <v>34</v>
      </c>
      <c r="F332" s="3">
        <v>0</v>
      </c>
      <c r="G332" s="2">
        <f>(tblCustomers4[[#This Row],[Income]] - AVERAGE(tblCustomers[Income]))/_xlfn.STDEV.S(tblCustomers[Income])</f>
        <v>-0.50053195642244941</v>
      </c>
      <c r="H332" s="2">
        <f>(tblCustomers4[[#This Row],[Limit]] - AVERAGE(tblCustomers[Limit]))/_xlfn.STDEV.S(tblCustomers[Limit])</f>
        <v>-0.95511701790622816</v>
      </c>
      <c r="I332" s="2">
        <f>(tblCustomers4[[#This Row],[Rating]] - AVERAGE(tblCustomers[Rating]))/_xlfn.STDEV.S(tblCustomers[Rating])</f>
        <v>-1.0337106887191703</v>
      </c>
    </row>
    <row r="333" spans="1:9" x14ac:dyDescent="0.2">
      <c r="A333" s="2">
        <v>29.564</v>
      </c>
      <c r="B333" s="3">
        <v>2529</v>
      </c>
      <c r="C333" s="1">
        <v>192</v>
      </c>
      <c r="D333" s="1">
        <v>1</v>
      </c>
      <c r="E333" s="1">
        <v>30</v>
      </c>
      <c r="F333" s="3">
        <v>0</v>
      </c>
      <c r="G333" s="2">
        <f>(tblCustomers4[[#This Row],[Income]] - AVERAGE(tblCustomers[Income]))/_xlfn.STDEV.S(tblCustomers[Income])</f>
        <v>-0.44418237614600714</v>
      </c>
      <c r="H333" s="2">
        <f>(tblCustomers4[[#This Row],[Limit]] - AVERAGE(tblCustomers[Limit]))/_xlfn.STDEV.S(tblCustomers[Limit])</f>
        <v>-0.95598349438078711</v>
      </c>
      <c r="I333" s="2">
        <f>(tblCustomers4[[#This Row],[Rating]] - AVERAGE(tblCustomers[Rating]))/_xlfn.STDEV.S(tblCustomers[Rating])</f>
        <v>-1.0531000351375617</v>
      </c>
    </row>
    <row r="334" spans="1:9" x14ac:dyDescent="0.2">
      <c r="A334" s="2">
        <v>20.088999999999999</v>
      </c>
      <c r="B334" s="3">
        <v>2525</v>
      </c>
      <c r="C334" s="1">
        <v>200</v>
      </c>
      <c r="D334" s="1">
        <v>3</v>
      </c>
      <c r="E334" s="1">
        <v>57</v>
      </c>
      <c r="F334" s="3">
        <v>0</v>
      </c>
      <c r="G334" s="2">
        <f>(tblCustomers4[[#This Row],[Income]] - AVERAGE(tblCustomers[Income]))/_xlfn.STDEV.S(tblCustomers[Income])</f>
        <v>-0.71302037872369617</v>
      </c>
      <c r="H334" s="2">
        <f>(tblCustomers4[[#This Row],[Limit]] - AVERAGE(tblCustomers[Limit]))/_xlfn.STDEV.S(tblCustomers[Limit])</f>
        <v>-0.9577164473299048</v>
      </c>
      <c r="I334" s="2">
        <f>(tblCustomers4[[#This Row],[Rating]] - AVERAGE(tblCustomers[Rating]))/_xlfn.STDEV.S(tblCustomers[Rating])</f>
        <v>-1.0013951113551847</v>
      </c>
    </row>
    <row r="335" spans="1:9" x14ac:dyDescent="0.2">
      <c r="A335" s="2">
        <v>37.728000000000002</v>
      </c>
      <c r="B335" s="3">
        <v>2525</v>
      </c>
      <c r="C335" s="1">
        <v>192</v>
      </c>
      <c r="D335" s="1">
        <v>1</v>
      </c>
      <c r="E335" s="1">
        <v>44</v>
      </c>
      <c r="F335" s="3">
        <v>0</v>
      </c>
      <c r="G335" s="2">
        <f>(tblCustomers4[[#This Row],[Income]] - AVERAGE(tblCustomers[Income]))/_xlfn.STDEV.S(tblCustomers[Income])</f>
        <v>-0.21254190616772192</v>
      </c>
      <c r="H335" s="2">
        <f>(tblCustomers4[[#This Row],[Limit]] - AVERAGE(tblCustomers[Limit]))/_xlfn.STDEV.S(tblCustomers[Limit])</f>
        <v>-0.9577164473299048</v>
      </c>
      <c r="I335" s="2">
        <f>(tblCustomers4[[#This Row],[Rating]] - AVERAGE(tblCustomers[Rating]))/_xlfn.STDEV.S(tblCustomers[Rating])</f>
        <v>-1.0531000351375617</v>
      </c>
    </row>
    <row r="336" spans="1:9" x14ac:dyDescent="0.2">
      <c r="A336" s="2">
        <v>15.629</v>
      </c>
      <c r="B336" s="3">
        <v>2493</v>
      </c>
      <c r="C336" s="1">
        <v>186</v>
      </c>
      <c r="D336" s="1">
        <v>1</v>
      </c>
      <c r="E336" s="1">
        <v>60</v>
      </c>
      <c r="F336" s="3">
        <v>0</v>
      </c>
      <c r="G336" s="2">
        <f>(tblCustomers4[[#This Row],[Income]] - AVERAGE(tblCustomers[Income]))/_xlfn.STDEV.S(tblCustomers[Income])</f>
        <v>-0.83956576041198028</v>
      </c>
      <c r="H336" s="2">
        <f>(tblCustomers4[[#This Row],[Limit]] - AVERAGE(tblCustomers[Limit]))/_xlfn.STDEV.S(tblCustomers[Limit])</f>
        <v>-0.97158007092284648</v>
      </c>
      <c r="I336" s="2">
        <f>(tblCustomers4[[#This Row],[Rating]] - AVERAGE(tblCustomers[Rating]))/_xlfn.STDEV.S(tblCustomers[Rating])</f>
        <v>-1.0918787279743443</v>
      </c>
    </row>
    <row r="337" spans="1:9" x14ac:dyDescent="0.2">
      <c r="A337" s="2">
        <v>23.45</v>
      </c>
      <c r="B337" s="3">
        <v>2450</v>
      </c>
      <c r="C337" s="1">
        <v>180</v>
      </c>
      <c r="D337" s="1">
        <v>2</v>
      </c>
      <c r="E337" s="1">
        <v>78</v>
      </c>
      <c r="F337" s="3">
        <v>0</v>
      </c>
      <c r="G337" s="2">
        <f>(tblCustomers4[[#This Row],[Income]] - AVERAGE(tblCustomers[Income]))/_xlfn.STDEV.S(tblCustomers[Income])</f>
        <v>-0.61765736799402726</v>
      </c>
      <c r="H337" s="2">
        <f>(tblCustomers4[[#This Row],[Limit]] - AVERAGE(tblCustomers[Limit]))/_xlfn.STDEV.S(tblCustomers[Limit])</f>
        <v>-0.99020931512586197</v>
      </c>
      <c r="I337" s="2">
        <f>(tblCustomers4[[#This Row],[Rating]] - AVERAGE(tblCustomers[Rating]))/_xlfn.STDEV.S(tblCustomers[Rating])</f>
        <v>-1.1306574208111271</v>
      </c>
    </row>
    <row r="338" spans="1:9" x14ac:dyDescent="0.2">
      <c r="A338" s="2">
        <v>17.975999999999999</v>
      </c>
      <c r="B338" s="3">
        <v>2433</v>
      </c>
      <c r="C338" s="1">
        <v>190</v>
      </c>
      <c r="D338" s="1">
        <v>3</v>
      </c>
      <c r="E338" s="1">
        <v>70</v>
      </c>
      <c r="F338" s="3">
        <v>431</v>
      </c>
      <c r="G338" s="2">
        <f>(tblCustomers4[[#This Row],[Income]] - AVERAGE(tblCustomers[Income]))/_xlfn.STDEV.S(tblCustomers[Income])</f>
        <v>-0.77297338130381821</v>
      </c>
      <c r="H338" s="2">
        <f>(tblCustomers4[[#This Row],[Limit]] - AVERAGE(tblCustomers[Limit]))/_xlfn.STDEV.S(tblCustomers[Limit])</f>
        <v>-0.99757436515961218</v>
      </c>
      <c r="I338" s="2">
        <f>(tblCustomers4[[#This Row],[Rating]] - AVERAGE(tblCustomers[Rating]))/_xlfn.STDEV.S(tblCustomers[Rating])</f>
        <v>-1.0660262660831559</v>
      </c>
    </row>
    <row r="339" spans="1:9" x14ac:dyDescent="0.2">
      <c r="A339" s="2">
        <v>10.363</v>
      </c>
      <c r="B339" s="3">
        <v>2430</v>
      </c>
      <c r="C339" s="1">
        <v>191</v>
      </c>
      <c r="D339" s="1">
        <v>2</v>
      </c>
      <c r="E339" s="1">
        <v>47</v>
      </c>
      <c r="F339" s="3">
        <v>0</v>
      </c>
      <c r="G339" s="2">
        <f>(tblCustomers4[[#This Row],[Income]] - AVERAGE(tblCustomers[Income]))/_xlfn.STDEV.S(tblCustomers[Income])</f>
        <v>-0.9889801056968468</v>
      </c>
      <c r="H339" s="2">
        <f>(tblCustomers4[[#This Row],[Limit]] - AVERAGE(tblCustomers[Limit]))/_xlfn.STDEV.S(tblCustomers[Limit])</f>
        <v>-0.99887407987145049</v>
      </c>
      <c r="I339" s="2">
        <f>(tblCustomers4[[#This Row],[Rating]] - AVERAGE(tblCustomers[Rating]))/_xlfn.STDEV.S(tblCustomers[Rating])</f>
        <v>-1.0595631506103587</v>
      </c>
    </row>
    <row r="340" spans="1:9" x14ac:dyDescent="0.2">
      <c r="A340" s="2">
        <v>15.183999999999999</v>
      </c>
      <c r="B340" s="3">
        <v>2420</v>
      </c>
      <c r="C340" s="1">
        <v>192</v>
      </c>
      <c r="D340" s="1">
        <v>2</v>
      </c>
      <c r="E340" s="1">
        <v>69</v>
      </c>
      <c r="F340" s="3">
        <v>0</v>
      </c>
      <c r="G340" s="2">
        <f>(tblCustomers4[[#This Row],[Income]] - AVERAGE(tblCustomers[Income]))/_xlfn.STDEV.S(tblCustomers[Income])</f>
        <v>-0.85219192517684272</v>
      </c>
      <c r="H340" s="2">
        <f>(tblCustomers4[[#This Row],[Limit]] - AVERAGE(tblCustomers[Limit]))/_xlfn.STDEV.S(tblCustomers[Limit])</f>
        <v>-1.0032064622442447</v>
      </c>
      <c r="I340" s="2">
        <f>(tblCustomers4[[#This Row],[Rating]] - AVERAGE(tblCustomers[Rating]))/_xlfn.STDEV.S(tblCustomers[Rating])</f>
        <v>-1.0531000351375617</v>
      </c>
    </row>
    <row r="341" spans="1:9" x14ac:dyDescent="0.2">
      <c r="A341" s="2">
        <v>13.676</v>
      </c>
      <c r="B341" s="3">
        <v>2330</v>
      </c>
      <c r="C341" s="1">
        <v>203</v>
      </c>
      <c r="D341" s="1">
        <v>5</v>
      </c>
      <c r="E341" s="1">
        <v>80</v>
      </c>
      <c r="F341" s="3">
        <v>0</v>
      </c>
      <c r="G341" s="2">
        <f>(tblCustomers4[[#This Row],[Income]] - AVERAGE(tblCustomers[Income]))/_xlfn.STDEV.S(tblCustomers[Income])</f>
        <v>-0.89497901835754501</v>
      </c>
      <c r="H341" s="2">
        <f>(tblCustomers4[[#This Row],[Limit]] - AVERAGE(tblCustomers[Limit]))/_xlfn.STDEV.S(tblCustomers[Limit])</f>
        <v>-1.0421979035993933</v>
      </c>
      <c r="I341" s="2">
        <f>(tblCustomers4[[#This Row],[Rating]] - AVERAGE(tblCustomers[Rating]))/_xlfn.STDEV.S(tblCustomers[Rating])</f>
        <v>-0.98200576493679337</v>
      </c>
    </row>
    <row r="342" spans="1:9" x14ac:dyDescent="0.2">
      <c r="A342" s="2">
        <v>29.402999999999999</v>
      </c>
      <c r="B342" s="3">
        <v>2327</v>
      </c>
      <c r="C342" s="1">
        <v>178</v>
      </c>
      <c r="D342" s="1">
        <v>1</v>
      </c>
      <c r="E342" s="1">
        <v>37</v>
      </c>
      <c r="F342" s="3">
        <v>0</v>
      </c>
      <c r="G342" s="2">
        <f>(tblCustomers4[[#This Row],[Income]] - AVERAGE(tblCustomers[Income]))/_xlfn.STDEV.S(tblCustomers[Income])</f>
        <v>-0.44875049418453045</v>
      </c>
      <c r="H342" s="2">
        <f>(tblCustomers4[[#This Row],[Limit]] - AVERAGE(tblCustomers[Limit]))/_xlfn.STDEV.S(tblCustomers[Limit])</f>
        <v>-1.0434976183112317</v>
      </c>
      <c r="I342" s="2">
        <f>(tblCustomers4[[#This Row],[Rating]] - AVERAGE(tblCustomers[Rating]))/_xlfn.STDEV.S(tblCustomers[Rating])</f>
        <v>-1.1435836517567213</v>
      </c>
    </row>
    <row r="343" spans="1:9" x14ac:dyDescent="0.2">
      <c r="A343" s="2">
        <v>25.974</v>
      </c>
      <c r="B343" s="3">
        <v>2308</v>
      </c>
      <c r="C343" s="1">
        <v>196</v>
      </c>
      <c r="D343" s="1">
        <v>2</v>
      </c>
      <c r="E343" s="1">
        <v>24</v>
      </c>
      <c r="F343" s="3">
        <v>0</v>
      </c>
      <c r="G343" s="2">
        <f>(tblCustomers4[[#This Row],[Income]] - AVERAGE(tblCustomers[Income]))/_xlfn.STDEV.S(tblCustomers[Income])</f>
        <v>-0.54604289638388614</v>
      </c>
      <c r="H343" s="2">
        <f>(tblCustomers4[[#This Row],[Limit]] - AVERAGE(tblCustomers[Limit]))/_xlfn.STDEV.S(tblCustomers[Limit])</f>
        <v>-1.0517291448195407</v>
      </c>
      <c r="I343" s="2">
        <f>(tblCustomers4[[#This Row],[Rating]] - AVERAGE(tblCustomers[Rating]))/_xlfn.STDEV.S(tblCustomers[Rating])</f>
        <v>-1.0272475732463733</v>
      </c>
    </row>
    <row r="344" spans="1:9" x14ac:dyDescent="0.2">
      <c r="A344" s="2">
        <v>11.603</v>
      </c>
      <c r="B344" s="3">
        <v>2278</v>
      </c>
      <c r="C344" s="1">
        <v>187</v>
      </c>
      <c r="D344" s="1">
        <v>3</v>
      </c>
      <c r="E344" s="1">
        <v>71</v>
      </c>
      <c r="F344" s="3">
        <v>0</v>
      </c>
      <c r="G344" s="2">
        <f>(tblCustomers4[[#This Row],[Income]] - AVERAGE(tblCustomers[Income]))/_xlfn.STDEV.S(tblCustomers[Income])</f>
        <v>-0.9537970847790278</v>
      </c>
      <c r="H344" s="2">
        <f>(tblCustomers4[[#This Row],[Limit]] - AVERAGE(tblCustomers[Limit]))/_xlfn.STDEV.S(tblCustomers[Limit])</f>
        <v>-1.0647262919379237</v>
      </c>
      <c r="I344" s="2">
        <f>(tblCustomers4[[#This Row],[Rating]] - AVERAGE(tblCustomers[Rating]))/_xlfn.STDEV.S(tblCustomers[Rating])</f>
        <v>-1.0854156125015473</v>
      </c>
    </row>
    <row r="345" spans="1:9" x14ac:dyDescent="0.2">
      <c r="A345" s="2">
        <v>11.741</v>
      </c>
      <c r="B345" s="3">
        <v>2271</v>
      </c>
      <c r="C345" s="1">
        <v>182</v>
      </c>
      <c r="D345" s="1">
        <v>4</v>
      </c>
      <c r="E345" s="1">
        <v>59</v>
      </c>
      <c r="F345" s="3">
        <v>0</v>
      </c>
      <c r="G345" s="2">
        <f>(tblCustomers4[[#This Row],[Income]] - AVERAGE(tblCustomers[Income]))/_xlfn.STDEV.S(tblCustomers[Income])</f>
        <v>-0.94988155503172222</v>
      </c>
      <c r="H345" s="2">
        <f>(tblCustomers4[[#This Row],[Limit]] - AVERAGE(tblCustomers[Limit]))/_xlfn.STDEV.S(tblCustomers[Limit])</f>
        <v>-1.0677589595988797</v>
      </c>
      <c r="I345" s="2">
        <f>(tblCustomers4[[#This Row],[Rating]] - AVERAGE(tblCustomers[Rating]))/_xlfn.STDEV.S(tblCustomers[Rating])</f>
        <v>-1.1177311898655327</v>
      </c>
    </row>
    <row r="346" spans="1:9" x14ac:dyDescent="0.2">
      <c r="A346" s="2">
        <v>44.521999999999998</v>
      </c>
      <c r="B346" s="3">
        <v>2252</v>
      </c>
      <c r="C346" s="1">
        <v>205</v>
      </c>
      <c r="D346" s="1">
        <v>6</v>
      </c>
      <c r="E346" s="1">
        <v>72</v>
      </c>
      <c r="F346" s="3">
        <v>0</v>
      </c>
      <c r="G346" s="2">
        <f>(tblCustomers4[[#This Row],[Income]] - AVERAGE(tblCustomers[Income]))/_xlfn.STDEV.S(tblCustomers[Income])</f>
        <v>-1.9772999622833506E-2</v>
      </c>
      <c r="H346" s="2">
        <f>(tblCustomers4[[#This Row],[Limit]] - AVERAGE(tblCustomers[Limit]))/_xlfn.STDEV.S(tblCustomers[Limit])</f>
        <v>-1.0759904861071887</v>
      </c>
      <c r="I346" s="2">
        <f>(tblCustomers4[[#This Row],[Rating]] - AVERAGE(tblCustomers[Rating]))/_xlfn.STDEV.S(tblCustomers[Rating])</f>
        <v>-0.96907953399119917</v>
      </c>
    </row>
    <row r="347" spans="1:9" x14ac:dyDescent="0.2">
      <c r="A347" s="2">
        <v>36.363999999999997</v>
      </c>
      <c r="B347" s="3">
        <v>2220</v>
      </c>
      <c r="C347" s="1">
        <v>188</v>
      </c>
      <c r="D347" s="1">
        <v>3</v>
      </c>
      <c r="E347" s="1">
        <v>50</v>
      </c>
      <c r="F347" s="3">
        <v>0</v>
      </c>
      <c r="G347" s="2">
        <f>(tblCustomers4[[#This Row],[Income]] - AVERAGE(tblCustomers[Income]))/_xlfn.STDEV.S(tblCustomers[Income])</f>
        <v>-0.25124322917732284</v>
      </c>
      <c r="H347" s="2">
        <f>(tblCustomers4[[#This Row],[Limit]] - AVERAGE(tblCustomers[Limit]))/_xlfn.STDEV.S(tblCustomers[Limit])</f>
        <v>-1.0898541097001304</v>
      </c>
      <c r="I347" s="2">
        <f>(tblCustomers4[[#This Row],[Rating]] - AVERAGE(tblCustomers[Rating]))/_xlfn.STDEV.S(tblCustomers[Rating])</f>
        <v>-1.0789524970287501</v>
      </c>
    </row>
    <row r="348" spans="1:9" x14ac:dyDescent="0.2">
      <c r="A348" s="2">
        <v>23.364999999999998</v>
      </c>
      <c r="B348" s="3">
        <v>2179</v>
      </c>
      <c r="C348" s="1">
        <v>167</v>
      </c>
      <c r="D348" s="1">
        <v>2</v>
      </c>
      <c r="E348" s="1">
        <v>75</v>
      </c>
      <c r="F348" s="3">
        <v>0</v>
      </c>
      <c r="G348" s="2">
        <f>(tblCustomers4[[#This Row],[Income]] - AVERAGE(tblCustomers[Income]))/_xlfn.STDEV.S(tblCustomers[Income])</f>
        <v>-0.62006910733113585</v>
      </c>
      <c r="H348" s="2">
        <f>(tblCustomers4[[#This Row],[Limit]] - AVERAGE(tblCustomers[Limit]))/_xlfn.STDEV.S(tblCustomers[Limit])</f>
        <v>-1.1076168774285871</v>
      </c>
      <c r="I348" s="2">
        <f>(tblCustomers4[[#This Row],[Rating]] - AVERAGE(tblCustomers[Rating]))/_xlfn.STDEV.S(tblCustomers[Rating])</f>
        <v>-1.2146779219574895</v>
      </c>
    </row>
    <row r="349" spans="1:9" x14ac:dyDescent="0.2">
      <c r="A349" s="2">
        <v>30.132000000000001</v>
      </c>
      <c r="B349" s="3">
        <v>2168</v>
      </c>
      <c r="C349" s="1">
        <v>206</v>
      </c>
      <c r="D349" s="1">
        <v>3</v>
      </c>
      <c r="E349" s="1">
        <v>52</v>
      </c>
      <c r="F349" s="3">
        <v>0</v>
      </c>
      <c r="G349" s="2">
        <f>(tblCustomers4[[#This Row],[Income]] - AVERAGE(tblCustomers[Income]))/_xlfn.STDEV.S(tblCustomers[Income])</f>
        <v>-0.4280662826933288</v>
      </c>
      <c r="H349" s="2">
        <f>(tblCustomers4[[#This Row],[Limit]] - AVERAGE(tblCustomers[Limit]))/_xlfn.STDEV.S(tblCustomers[Limit])</f>
        <v>-1.1123824980386607</v>
      </c>
      <c r="I349" s="2">
        <f>(tblCustomers4[[#This Row],[Rating]] - AVERAGE(tblCustomers[Rating]))/_xlfn.STDEV.S(tblCustomers[Rating])</f>
        <v>-0.96261641851840207</v>
      </c>
    </row>
    <row r="350" spans="1:9" x14ac:dyDescent="0.2">
      <c r="A350" s="2">
        <v>27.039000000000001</v>
      </c>
      <c r="B350" s="3">
        <v>2161</v>
      </c>
      <c r="C350" s="1">
        <v>173</v>
      </c>
      <c r="D350" s="1">
        <v>3</v>
      </c>
      <c r="E350" s="1">
        <v>40</v>
      </c>
      <c r="F350" s="3">
        <v>0</v>
      </c>
      <c r="G350" s="2">
        <f>(tblCustomers4[[#This Row],[Income]] - AVERAGE(tblCustomers[Income]))/_xlfn.STDEV.S(tblCustomers[Income])</f>
        <v>-0.5158252211601142</v>
      </c>
      <c r="H350" s="2">
        <f>(tblCustomers4[[#This Row],[Limit]] - AVERAGE(tblCustomers[Limit]))/_xlfn.STDEV.S(tblCustomers[Limit])</f>
        <v>-1.1154151656996167</v>
      </c>
      <c r="I350" s="2">
        <f>(tblCustomers4[[#This Row],[Rating]] - AVERAGE(tblCustomers[Rating]))/_xlfn.STDEV.S(tblCustomers[Rating])</f>
        <v>-1.1758992291207069</v>
      </c>
    </row>
    <row r="351" spans="1:9" x14ac:dyDescent="0.2">
      <c r="A351" s="2">
        <v>39.116</v>
      </c>
      <c r="B351" s="3">
        <v>2150</v>
      </c>
      <c r="C351" s="1">
        <v>173</v>
      </c>
      <c r="D351" s="1">
        <v>4</v>
      </c>
      <c r="E351" s="1">
        <v>75</v>
      </c>
      <c r="F351" s="3">
        <v>0</v>
      </c>
      <c r="G351" s="2">
        <f>(tblCustomers4[[#This Row],[Income]] - AVERAGE(tblCustomers[Income]))/_xlfn.STDEV.S(tblCustomers[Income])</f>
        <v>-0.17315962146293756</v>
      </c>
      <c r="H351" s="2">
        <f>(tblCustomers4[[#This Row],[Limit]] - AVERAGE(tblCustomers[Limit]))/_xlfn.STDEV.S(tblCustomers[Limit])</f>
        <v>-1.1201807863096904</v>
      </c>
      <c r="I351" s="2">
        <f>(tblCustomers4[[#This Row],[Rating]] - AVERAGE(tblCustomers[Rating]))/_xlfn.STDEV.S(tblCustomers[Rating])</f>
        <v>-1.1758992291207069</v>
      </c>
    </row>
    <row r="352" spans="1:9" x14ac:dyDescent="0.2">
      <c r="A352" s="2">
        <v>30.405999999999999</v>
      </c>
      <c r="B352" s="3">
        <v>2120</v>
      </c>
      <c r="C352" s="1">
        <v>181</v>
      </c>
      <c r="D352" s="1">
        <v>2</v>
      </c>
      <c r="E352" s="1">
        <v>79</v>
      </c>
      <c r="F352" s="3">
        <v>0</v>
      </c>
      <c r="G352" s="2">
        <f>(tblCustomers4[[#This Row],[Income]] - AVERAGE(tblCustomers[Income]))/_xlfn.STDEV.S(tblCustomers[Income])</f>
        <v>-0.42029197000664953</v>
      </c>
      <c r="H352" s="2">
        <f>(tblCustomers4[[#This Row],[Limit]] - AVERAGE(tblCustomers[Limit]))/_xlfn.STDEV.S(tblCustomers[Limit])</f>
        <v>-1.1331779334280734</v>
      </c>
      <c r="I352" s="2">
        <f>(tblCustomers4[[#This Row],[Rating]] - AVERAGE(tblCustomers[Rating]))/_xlfn.STDEV.S(tblCustomers[Rating])</f>
        <v>-1.1241943053383299</v>
      </c>
    </row>
    <row r="353" spans="1:9" x14ac:dyDescent="0.2">
      <c r="A353" s="2">
        <v>41.418999999999997</v>
      </c>
      <c r="B353" s="3">
        <v>2120</v>
      </c>
      <c r="C353" s="1">
        <v>184</v>
      </c>
      <c r="D353" s="1">
        <v>4</v>
      </c>
      <c r="E353" s="1">
        <v>24</v>
      </c>
      <c r="F353" s="3">
        <v>156</v>
      </c>
      <c r="G353" s="2">
        <f>(tblCustomers4[[#This Row],[Income]] - AVERAGE(tblCustomers[Income]))/_xlfn.STDEV.S(tblCustomers[Income])</f>
        <v>-0.1078156721292788</v>
      </c>
      <c r="H353" s="2">
        <f>(tblCustomers4[[#This Row],[Limit]] - AVERAGE(tblCustomers[Limit]))/_xlfn.STDEV.S(tblCustomers[Limit])</f>
        <v>-1.1331779334280734</v>
      </c>
      <c r="I353" s="2">
        <f>(tblCustomers4[[#This Row],[Rating]] - AVERAGE(tblCustomers[Rating]))/_xlfn.STDEV.S(tblCustomers[Rating])</f>
        <v>-1.1048049589199385</v>
      </c>
    </row>
    <row r="354" spans="1:9" x14ac:dyDescent="0.2">
      <c r="A354" s="2">
        <v>35.177</v>
      </c>
      <c r="B354" s="3">
        <v>2117</v>
      </c>
      <c r="C354" s="1">
        <v>186</v>
      </c>
      <c r="D354" s="1">
        <v>3</v>
      </c>
      <c r="E354" s="1">
        <v>62</v>
      </c>
      <c r="F354" s="3">
        <v>0</v>
      </c>
      <c r="G354" s="2">
        <f>(tblCustomers4[[#This Row],[Income]] - AVERAGE(tblCustomers[Income]))/_xlfn.STDEV.S(tblCustomers[Income])</f>
        <v>-0.28492245968494462</v>
      </c>
      <c r="H354" s="2">
        <f>(tblCustomers4[[#This Row],[Limit]] - AVERAGE(tblCustomers[Limit]))/_xlfn.STDEV.S(tblCustomers[Limit])</f>
        <v>-1.1344776481399117</v>
      </c>
      <c r="I354" s="2">
        <f>(tblCustomers4[[#This Row],[Rating]] - AVERAGE(tblCustomers[Rating]))/_xlfn.STDEV.S(tblCustomers[Rating])</f>
        <v>-1.0918787279743443</v>
      </c>
    </row>
    <row r="355" spans="1:9" x14ac:dyDescent="0.2">
      <c r="A355" s="2">
        <v>15.353999999999999</v>
      </c>
      <c r="B355" s="3">
        <v>2101</v>
      </c>
      <c r="C355" s="1">
        <v>171</v>
      </c>
      <c r="D355" s="1">
        <v>2</v>
      </c>
      <c r="E355" s="1">
        <v>65</v>
      </c>
      <c r="F355" s="3">
        <v>0</v>
      </c>
      <c r="G355" s="2">
        <f>(tblCustomers4[[#This Row],[Income]] - AVERAGE(tblCustomers[Income]))/_xlfn.STDEV.S(tblCustomers[Income])</f>
        <v>-0.84736844650262566</v>
      </c>
      <c r="H355" s="2">
        <f>(tblCustomers4[[#This Row],[Limit]] - AVERAGE(tblCustomers[Limit]))/_xlfn.STDEV.S(tblCustomers[Limit])</f>
        <v>-1.1414094599363824</v>
      </c>
      <c r="I355" s="2">
        <f>(tblCustomers4[[#This Row],[Rating]] - AVERAGE(tblCustomers[Rating]))/_xlfn.STDEV.S(tblCustomers[Rating])</f>
        <v>-1.1888254600663011</v>
      </c>
    </row>
    <row r="356" spans="1:9" x14ac:dyDescent="0.2">
      <c r="A356" s="2">
        <v>21.373999999999999</v>
      </c>
      <c r="B356" s="3">
        <v>2073</v>
      </c>
      <c r="C356" s="1">
        <v>175</v>
      </c>
      <c r="D356" s="1">
        <v>2</v>
      </c>
      <c r="E356" s="1">
        <v>74</v>
      </c>
      <c r="F356" s="3">
        <v>0</v>
      </c>
      <c r="G356" s="2">
        <f>(tblCustomers4[[#This Row],[Income]] - AVERAGE(tblCustomers[Income]))/_xlfn.STDEV.S(tblCustomers[Income])</f>
        <v>-0.67656055462740794</v>
      </c>
      <c r="H356" s="2">
        <f>(tblCustomers4[[#This Row],[Limit]] - AVERAGE(tblCustomers[Limit]))/_xlfn.STDEV.S(tblCustomers[Limit])</f>
        <v>-1.1535401305802064</v>
      </c>
      <c r="I356" s="2">
        <f>(tblCustomers4[[#This Row],[Rating]] - AVERAGE(tblCustomers[Rating]))/_xlfn.STDEV.S(tblCustomers[Rating])</f>
        <v>-1.1629729981751125</v>
      </c>
    </row>
    <row r="357" spans="1:9" x14ac:dyDescent="0.2">
      <c r="A357" s="2">
        <v>14.711</v>
      </c>
      <c r="B357" s="3">
        <v>2047</v>
      </c>
      <c r="C357" s="1">
        <v>167</v>
      </c>
      <c r="D357" s="1">
        <v>2</v>
      </c>
      <c r="E357" s="1">
        <v>67</v>
      </c>
      <c r="F357" s="3">
        <v>0</v>
      </c>
      <c r="G357" s="2">
        <f>(tblCustomers4[[#This Row],[Income]] - AVERAGE(tblCustomers[Income]))/_xlfn.STDEV.S(tblCustomers[Income])</f>
        <v>-0.86561254525275266</v>
      </c>
      <c r="H357" s="2">
        <f>(tblCustomers4[[#This Row],[Limit]] - AVERAGE(tblCustomers[Limit]))/_xlfn.STDEV.S(tblCustomers[Limit])</f>
        <v>-1.1648043247494715</v>
      </c>
      <c r="I357" s="2">
        <f>(tblCustomers4[[#This Row],[Rating]] - AVERAGE(tblCustomers[Rating]))/_xlfn.STDEV.S(tblCustomers[Rating])</f>
        <v>-1.2146779219574895</v>
      </c>
    </row>
    <row r="358" spans="1:9" x14ac:dyDescent="0.2">
      <c r="A358" s="2">
        <v>34.771999999999998</v>
      </c>
      <c r="B358" s="3">
        <v>2021</v>
      </c>
      <c r="C358" s="1">
        <v>167</v>
      </c>
      <c r="D358" s="1">
        <v>3</v>
      </c>
      <c r="E358" s="1">
        <v>57</v>
      </c>
      <c r="F358" s="3">
        <v>0</v>
      </c>
      <c r="G358" s="2">
        <f>(tblCustomers4[[#This Row],[Income]] - AVERAGE(tblCustomers[Income]))/_xlfn.STDEV.S(tblCustomers[Income])</f>
        <v>-0.29641368829116777</v>
      </c>
      <c r="H358" s="2">
        <f>(tblCustomers4[[#This Row],[Limit]] - AVERAGE(tblCustomers[Limit]))/_xlfn.STDEV.S(tblCustomers[Limit])</f>
        <v>-1.1760685189187368</v>
      </c>
      <c r="I358" s="2">
        <f>(tblCustomers4[[#This Row],[Rating]] - AVERAGE(tblCustomers[Rating]))/_xlfn.STDEV.S(tblCustomers[Rating])</f>
        <v>-1.2146779219574895</v>
      </c>
    </row>
    <row r="359" spans="1:9" x14ac:dyDescent="0.2">
      <c r="A359" s="2">
        <v>34.509</v>
      </c>
      <c r="B359" s="3">
        <v>2001</v>
      </c>
      <c r="C359" s="1">
        <v>189</v>
      </c>
      <c r="D359" s="1">
        <v>5</v>
      </c>
      <c r="E359" s="1">
        <v>80</v>
      </c>
      <c r="F359" s="3">
        <v>0</v>
      </c>
      <c r="G359" s="2">
        <f>(tblCustomers4[[#This Row],[Income]] - AVERAGE(tblCustomers[Income]))/_xlfn.STDEV.S(tblCustomers[Income])</f>
        <v>-0.30387589353422123</v>
      </c>
      <c r="H359" s="2">
        <f>(tblCustomers4[[#This Row],[Limit]] - AVERAGE(tblCustomers[Limit]))/_xlfn.STDEV.S(tblCustomers[Limit])</f>
        <v>-1.1847332836643254</v>
      </c>
      <c r="I359" s="2">
        <f>(tblCustomers4[[#This Row],[Rating]] - AVERAGE(tblCustomers[Rating]))/_xlfn.STDEV.S(tblCustomers[Rating])</f>
        <v>-1.0724893815559529</v>
      </c>
    </row>
    <row r="360" spans="1:9" x14ac:dyDescent="0.2">
      <c r="A360" s="2">
        <v>27.349</v>
      </c>
      <c r="B360" s="3">
        <v>2000</v>
      </c>
      <c r="C360" s="1">
        <v>169</v>
      </c>
      <c r="D360" s="1">
        <v>4</v>
      </c>
      <c r="E360" s="1">
        <v>51</v>
      </c>
      <c r="F360" s="3">
        <v>0</v>
      </c>
      <c r="G360" s="2">
        <f>(tblCustomers4[[#This Row],[Income]] - AVERAGE(tblCustomers[Income]))/_xlfn.STDEV.S(tblCustomers[Income])</f>
        <v>-0.50702946593065945</v>
      </c>
      <c r="H360" s="2">
        <f>(tblCustomers4[[#This Row],[Limit]] - AVERAGE(tblCustomers[Limit]))/_xlfn.STDEV.S(tblCustomers[Limit])</f>
        <v>-1.1851665219016048</v>
      </c>
      <c r="I360" s="2">
        <f>(tblCustomers4[[#This Row],[Rating]] - AVERAGE(tblCustomers[Rating]))/_xlfn.STDEV.S(tblCustomers[Rating])</f>
        <v>-1.2017516910118953</v>
      </c>
    </row>
    <row r="361" spans="1:9" x14ac:dyDescent="0.2">
      <c r="A361" s="2">
        <v>24.46</v>
      </c>
      <c r="B361" s="3">
        <v>1924</v>
      </c>
      <c r="C361" s="1">
        <v>165</v>
      </c>
      <c r="D361" s="1">
        <v>2</v>
      </c>
      <c r="E361" s="1">
        <v>50</v>
      </c>
      <c r="F361" s="3">
        <v>0</v>
      </c>
      <c r="G361" s="2">
        <f>(tblCustomers4[[#This Row],[Income]] - AVERAGE(tblCustomers[Income]))/_xlfn.STDEV.S(tblCustomers[Income])</f>
        <v>-0.58900022998838442</v>
      </c>
      <c r="H361" s="2">
        <f>(tblCustomers4[[#This Row],[Limit]] - AVERAGE(tblCustomers[Limit]))/_xlfn.STDEV.S(tblCustomers[Limit])</f>
        <v>-1.2180926279348414</v>
      </c>
      <c r="I361" s="2">
        <f>(tblCustomers4[[#This Row],[Rating]] - AVERAGE(tblCustomers[Rating]))/_xlfn.STDEV.S(tblCustomers[Rating])</f>
        <v>-1.2276041529030837</v>
      </c>
    </row>
    <row r="362" spans="1:9" x14ac:dyDescent="0.2">
      <c r="A362" s="2">
        <v>20.088000000000001</v>
      </c>
      <c r="B362" s="3">
        <v>1870</v>
      </c>
      <c r="C362" s="1">
        <v>180</v>
      </c>
      <c r="D362" s="1">
        <v>3</v>
      </c>
      <c r="E362" s="1">
        <v>76</v>
      </c>
      <c r="F362" s="3">
        <v>0</v>
      </c>
      <c r="G362" s="2">
        <f>(tblCustomers4[[#This Row],[Income]] - AVERAGE(tblCustomers[Income]))/_xlfn.STDEV.S(tblCustomers[Income])</f>
        <v>-0.71304875212766206</v>
      </c>
      <c r="H362" s="2">
        <f>(tblCustomers4[[#This Row],[Limit]] - AVERAGE(tblCustomers[Limit]))/_xlfn.STDEV.S(tblCustomers[Limit])</f>
        <v>-1.2414874927479305</v>
      </c>
      <c r="I362" s="2">
        <f>(tblCustomers4[[#This Row],[Rating]] - AVERAGE(tblCustomers[Rating]))/_xlfn.STDEV.S(tblCustomers[Rating])</f>
        <v>-1.1306574208111271</v>
      </c>
    </row>
    <row r="363" spans="1:9" x14ac:dyDescent="0.2">
      <c r="A363" s="2">
        <v>36.142000000000003</v>
      </c>
      <c r="B363" s="3">
        <v>1852</v>
      </c>
      <c r="C363" s="1">
        <v>183</v>
      </c>
      <c r="D363" s="1">
        <v>3</v>
      </c>
      <c r="E363" s="1">
        <v>33</v>
      </c>
      <c r="F363" s="3">
        <v>0</v>
      </c>
      <c r="G363" s="2">
        <f>(tblCustomers4[[#This Row],[Income]] - AVERAGE(tblCustomers[Income]))/_xlfn.STDEV.S(tblCustomers[Income])</f>
        <v>-0.25754212485777089</v>
      </c>
      <c r="H363" s="2">
        <f>(tblCustomers4[[#This Row],[Limit]] - AVERAGE(tblCustomers[Limit]))/_xlfn.STDEV.S(tblCustomers[Limit])</f>
        <v>-1.2492857810189602</v>
      </c>
      <c r="I363" s="2">
        <f>(tblCustomers4[[#This Row],[Rating]] - AVERAGE(tblCustomers[Rating]))/_xlfn.STDEV.S(tblCustomers[Rating])</f>
        <v>-1.1112680743927357</v>
      </c>
    </row>
    <row r="364" spans="1:9" x14ac:dyDescent="0.2">
      <c r="A364" s="2">
        <v>31.367000000000001</v>
      </c>
      <c r="B364" s="3">
        <v>1829</v>
      </c>
      <c r="C364" s="1">
        <v>162</v>
      </c>
      <c r="D364" s="1">
        <v>4</v>
      </c>
      <c r="E364" s="1">
        <v>30</v>
      </c>
      <c r="F364" s="3">
        <v>0</v>
      </c>
      <c r="G364" s="2">
        <f>(tblCustomers4[[#This Row],[Income]] - AVERAGE(tblCustomers[Income]))/_xlfn.STDEV.S(tblCustomers[Income])</f>
        <v>-0.3930251287953398</v>
      </c>
      <c r="H364" s="2">
        <f>(tblCustomers4[[#This Row],[Limit]] - AVERAGE(tblCustomers[Limit]))/_xlfn.STDEV.S(tblCustomers[Limit])</f>
        <v>-1.2592502604763871</v>
      </c>
      <c r="I364" s="2">
        <f>(tblCustomers4[[#This Row],[Rating]] - AVERAGE(tblCustomers[Rating]))/_xlfn.STDEV.S(tblCustomers[Rating])</f>
        <v>-1.2469934993214751</v>
      </c>
    </row>
    <row r="365" spans="1:9" x14ac:dyDescent="0.2">
      <c r="A365" s="2">
        <v>22.561</v>
      </c>
      <c r="B365" s="3">
        <v>1787</v>
      </c>
      <c r="C365" s="1">
        <v>147</v>
      </c>
      <c r="D365" s="1">
        <v>4</v>
      </c>
      <c r="E365" s="1">
        <v>66</v>
      </c>
      <c r="F365" s="3">
        <v>0</v>
      </c>
      <c r="G365" s="2">
        <f>(tblCustomers4[[#This Row],[Income]] - AVERAGE(tblCustomers[Income]))/_xlfn.STDEV.S(tblCustomers[Income])</f>
        <v>-0.64288132411978616</v>
      </c>
      <c r="H365" s="2">
        <f>(tblCustomers4[[#This Row],[Limit]] - AVERAGE(tblCustomers[Limit]))/_xlfn.STDEV.S(tblCustomers[Limit])</f>
        <v>-1.2774462664421231</v>
      </c>
      <c r="I365" s="2">
        <f>(tblCustomers4[[#This Row],[Rating]] - AVERAGE(tblCustomers[Rating]))/_xlfn.STDEV.S(tblCustomers[Rating])</f>
        <v>-1.3439402314134317</v>
      </c>
    </row>
    <row r="366" spans="1:9" x14ac:dyDescent="0.2">
      <c r="A366" s="2">
        <v>32.915999999999997</v>
      </c>
      <c r="B366" s="3">
        <v>1786</v>
      </c>
      <c r="C366" s="1">
        <v>154</v>
      </c>
      <c r="D366" s="1">
        <v>2</v>
      </c>
      <c r="E366" s="1">
        <v>60</v>
      </c>
      <c r="F366" s="3">
        <v>0</v>
      </c>
      <c r="G366" s="2">
        <f>(tblCustomers4[[#This Row],[Income]] - AVERAGE(tblCustomers[Income]))/_xlfn.STDEV.S(tblCustomers[Income])</f>
        <v>-0.34907472605203227</v>
      </c>
      <c r="H366" s="2">
        <f>(tblCustomers4[[#This Row],[Limit]] - AVERAGE(tblCustomers[Limit]))/_xlfn.STDEV.S(tblCustomers[Limit])</f>
        <v>-1.2778795046794025</v>
      </c>
      <c r="I366" s="2">
        <f>(tblCustomers4[[#This Row],[Rating]] - AVERAGE(tblCustomers[Rating]))/_xlfn.STDEV.S(tblCustomers[Rating])</f>
        <v>-1.2986984231038519</v>
      </c>
    </row>
    <row r="367" spans="1:9" x14ac:dyDescent="0.2">
      <c r="A367" s="2">
        <v>25.936</v>
      </c>
      <c r="B367" s="3">
        <v>1774</v>
      </c>
      <c r="C367" s="1">
        <v>135</v>
      </c>
      <c r="D367" s="1">
        <v>2</v>
      </c>
      <c r="E367" s="1">
        <v>71</v>
      </c>
      <c r="F367" s="3">
        <v>0</v>
      </c>
      <c r="G367" s="2">
        <f>(tblCustomers4[[#This Row],[Income]] - AVERAGE(tblCustomers[Income]))/_xlfn.STDEV.S(tblCustomers[Income])</f>
        <v>-0.5471210857345935</v>
      </c>
      <c r="H367" s="2">
        <f>(tblCustomers4[[#This Row],[Limit]] - AVERAGE(tblCustomers[Limit]))/_xlfn.STDEV.S(tblCustomers[Limit])</f>
        <v>-1.2830783635267555</v>
      </c>
      <c r="I367" s="2">
        <f>(tblCustomers4[[#This Row],[Rating]] - AVERAGE(tblCustomers[Rating]))/_xlfn.STDEV.S(tblCustomers[Rating])</f>
        <v>-1.4214976170869971</v>
      </c>
    </row>
    <row r="368" spans="1:9" x14ac:dyDescent="0.2">
      <c r="A368" s="2">
        <v>10.742000000000001</v>
      </c>
      <c r="B368" s="3">
        <v>1757</v>
      </c>
      <c r="C368" s="1">
        <v>156</v>
      </c>
      <c r="D368" s="1">
        <v>3</v>
      </c>
      <c r="E368" s="1">
        <v>57</v>
      </c>
      <c r="F368" s="3">
        <v>0</v>
      </c>
      <c r="G368" s="2">
        <f>(tblCustomers4[[#This Row],[Income]] - AVERAGE(tblCustomers[Income]))/_xlfn.STDEV.S(tblCustomers[Income])</f>
        <v>-0.97822658559373921</v>
      </c>
      <c r="H368" s="2">
        <f>(tblCustomers4[[#This Row],[Limit]] - AVERAGE(tblCustomers[Limit]))/_xlfn.STDEV.S(tblCustomers[Limit])</f>
        <v>-1.2904434135605058</v>
      </c>
      <c r="I368" s="2">
        <f>(tblCustomers4[[#This Row],[Rating]] - AVERAGE(tblCustomers[Rating]))/_xlfn.STDEV.S(tblCustomers[Rating])</f>
        <v>-1.2857721921582577</v>
      </c>
    </row>
    <row r="369" spans="1:9" x14ac:dyDescent="0.2">
      <c r="A369" s="2">
        <v>31.353000000000002</v>
      </c>
      <c r="B369" s="3">
        <v>1705</v>
      </c>
      <c r="C369" s="1">
        <v>160</v>
      </c>
      <c r="D369" s="1">
        <v>3</v>
      </c>
      <c r="E369" s="1">
        <v>81</v>
      </c>
      <c r="F369" s="3">
        <v>0</v>
      </c>
      <c r="G369" s="2">
        <f>(tblCustomers4[[#This Row],[Income]] - AVERAGE(tblCustomers[Income]))/_xlfn.STDEV.S(tblCustomers[Income])</f>
        <v>-0.39342235645086354</v>
      </c>
      <c r="H369" s="2">
        <f>(tblCustomers4[[#This Row],[Limit]] - AVERAGE(tblCustomers[Limit]))/_xlfn.STDEV.S(tblCustomers[Limit])</f>
        <v>-1.3129718018990362</v>
      </c>
      <c r="I369" s="2">
        <f>(tblCustomers4[[#This Row],[Rating]] - AVERAGE(tblCustomers[Rating]))/_xlfn.STDEV.S(tblCustomers[Rating])</f>
        <v>-1.2599197302670693</v>
      </c>
    </row>
    <row r="370" spans="1:9" x14ac:dyDescent="0.2">
      <c r="A370" s="2">
        <v>30.681999999999999</v>
      </c>
      <c r="B370" s="3">
        <v>1671</v>
      </c>
      <c r="C370" s="1">
        <v>160</v>
      </c>
      <c r="D370" s="1">
        <v>2</v>
      </c>
      <c r="E370" s="1">
        <v>77</v>
      </c>
      <c r="F370" s="3">
        <v>0</v>
      </c>
      <c r="G370" s="2">
        <f>(tblCustomers4[[#This Row],[Income]] - AVERAGE(tblCustomers[Income]))/_xlfn.STDEV.S(tblCustomers[Income])</f>
        <v>-0.4124609105120382</v>
      </c>
      <c r="H370" s="2">
        <f>(tblCustomers4[[#This Row],[Limit]] - AVERAGE(tblCustomers[Limit]))/_xlfn.STDEV.S(tblCustomers[Limit])</f>
        <v>-1.3277019019665368</v>
      </c>
      <c r="I370" s="2">
        <f>(tblCustomers4[[#This Row],[Rating]] - AVERAGE(tblCustomers[Rating]))/_xlfn.STDEV.S(tblCustomers[Rating])</f>
        <v>-1.2599197302670693</v>
      </c>
    </row>
    <row r="371" spans="1:9" x14ac:dyDescent="0.2">
      <c r="A371" s="2">
        <v>10.627000000000001</v>
      </c>
      <c r="B371" s="3">
        <v>1647</v>
      </c>
      <c r="C371" s="1">
        <v>149</v>
      </c>
      <c r="D371" s="1">
        <v>2</v>
      </c>
      <c r="E371" s="1">
        <v>71</v>
      </c>
      <c r="F371" s="3">
        <v>195</v>
      </c>
      <c r="G371" s="2">
        <f>(tblCustomers4[[#This Row],[Income]] - AVERAGE(tblCustomers[Income]))/_xlfn.STDEV.S(tblCustomers[Income])</f>
        <v>-0.98148952704982717</v>
      </c>
      <c r="H371" s="2">
        <f>(tblCustomers4[[#This Row],[Limit]] - AVERAGE(tblCustomers[Limit]))/_xlfn.STDEV.S(tblCustomers[Limit])</f>
        <v>-1.3380996196612429</v>
      </c>
      <c r="I371" s="2">
        <f>(tblCustomers4[[#This Row],[Rating]] - AVERAGE(tblCustomers[Rating]))/_xlfn.STDEV.S(tblCustomers[Rating])</f>
        <v>-1.3310140004678375</v>
      </c>
    </row>
    <row r="372" spans="1:9" x14ac:dyDescent="0.2">
      <c r="A372" s="2">
        <v>18.966999999999999</v>
      </c>
      <c r="B372" s="3">
        <v>1626</v>
      </c>
      <c r="C372" s="1">
        <v>156</v>
      </c>
      <c r="D372" s="1">
        <v>2</v>
      </c>
      <c r="E372" s="1">
        <v>41</v>
      </c>
      <c r="F372" s="3">
        <v>0</v>
      </c>
      <c r="G372" s="2">
        <f>(tblCustomers4[[#This Row],[Income]] - AVERAGE(tblCustomers[Income]))/_xlfn.STDEV.S(tblCustomers[Income])</f>
        <v>-0.7448553379735291</v>
      </c>
      <c r="H372" s="2">
        <f>(tblCustomers4[[#This Row],[Limit]] - AVERAGE(tblCustomers[Limit]))/_xlfn.STDEV.S(tblCustomers[Limit])</f>
        <v>-1.3471976226441109</v>
      </c>
      <c r="I372" s="2">
        <f>(tblCustomers4[[#This Row],[Rating]] - AVERAGE(tblCustomers[Rating]))/_xlfn.STDEV.S(tblCustomers[Rating])</f>
        <v>-1.2857721921582577</v>
      </c>
    </row>
    <row r="373" spans="1:9" x14ac:dyDescent="0.2">
      <c r="A373" s="2">
        <v>10.726000000000001</v>
      </c>
      <c r="B373" s="3">
        <v>1568</v>
      </c>
      <c r="C373" s="1">
        <v>162</v>
      </c>
      <c r="D373" s="1">
        <v>5</v>
      </c>
      <c r="E373" s="1">
        <v>46</v>
      </c>
      <c r="F373" s="3">
        <v>0</v>
      </c>
      <c r="G373" s="2">
        <f>(tblCustomers4[[#This Row],[Income]] - AVERAGE(tblCustomers[Income]))/_xlfn.STDEV.S(tblCustomers[Income])</f>
        <v>-0.97868056005719495</v>
      </c>
      <c r="H373" s="2">
        <f>(tblCustomers4[[#This Row],[Limit]] - AVERAGE(tblCustomers[Limit]))/_xlfn.STDEV.S(tblCustomers[Limit])</f>
        <v>-1.3723254404063179</v>
      </c>
      <c r="I373" s="2">
        <f>(tblCustomers4[[#This Row],[Rating]] - AVERAGE(tblCustomers[Rating]))/_xlfn.STDEV.S(tblCustomers[Rating])</f>
        <v>-1.2469934993214751</v>
      </c>
    </row>
    <row r="374" spans="1:9" x14ac:dyDescent="0.2">
      <c r="A374" s="2">
        <v>28.143999999999998</v>
      </c>
      <c r="B374" s="3">
        <v>1567</v>
      </c>
      <c r="C374" s="1">
        <v>142</v>
      </c>
      <c r="D374" s="1">
        <v>3</v>
      </c>
      <c r="E374" s="1">
        <v>51</v>
      </c>
      <c r="F374" s="3">
        <v>0</v>
      </c>
      <c r="G374" s="2">
        <f>(tblCustomers4[[#This Row],[Income]] - AVERAGE(tblCustomers[Income]))/_xlfn.STDEV.S(tblCustomers[Income])</f>
        <v>-0.48447260977770307</v>
      </c>
      <c r="H374" s="2">
        <f>(tblCustomers4[[#This Row],[Limit]] - AVERAGE(tblCustomers[Limit]))/_xlfn.STDEV.S(tblCustomers[Limit])</f>
        <v>-1.3727586786435972</v>
      </c>
      <c r="I374" s="2">
        <f>(tblCustomers4[[#This Row],[Rating]] - AVERAGE(tblCustomers[Rating]))/_xlfn.STDEV.S(tblCustomers[Rating])</f>
        <v>-1.3762558087774173</v>
      </c>
    </row>
    <row r="375" spans="1:9" x14ac:dyDescent="0.2">
      <c r="A375" s="2">
        <v>30.001999999999999</v>
      </c>
      <c r="B375" s="3">
        <v>1561</v>
      </c>
      <c r="C375" s="1">
        <v>155</v>
      </c>
      <c r="D375" s="1">
        <v>4</v>
      </c>
      <c r="E375" s="1">
        <v>70</v>
      </c>
      <c r="F375" s="3">
        <v>0</v>
      </c>
      <c r="G375" s="2">
        <f>(tblCustomers4[[#This Row],[Income]] - AVERAGE(tblCustomers[Income]))/_xlfn.STDEV.S(tblCustomers[Income])</f>
        <v>-0.43175482520890662</v>
      </c>
      <c r="H375" s="2">
        <f>(tblCustomers4[[#This Row],[Limit]] - AVERAGE(tblCustomers[Limit]))/_xlfn.STDEV.S(tblCustomers[Limit])</f>
        <v>-1.3753581080672739</v>
      </c>
      <c r="I375" s="2">
        <f>(tblCustomers4[[#This Row],[Rating]] - AVERAGE(tblCustomers[Rating]))/_xlfn.STDEV.S(tblCustomers[Rating])</f>
        <v>-1.2922353076310549</v>
      </c>
    </row>
    <row r="376" spans="1:9" x14ac:dyDescent="0.2">
      <c r="A376" s="2">
        <v>18.036000000000001</v>
      </c>
      <c r="B376" s="3">
        <v>1552</v>
      </c>
      <c r="C376" s="1">
        <v>142</v>
      </c>
      <c r="D376" s="1">
        <v>2</v>
      </c>
      <c r="E376" s="1">
        <v>48</v>
      </c>
      <c r="F376" s="3">
        <v>0</v>
      </c>
      <c r="G376" s="2">
        <f>(tblCustomers4[[#This Row],[Income]] - AVERAGE(tblCustomers[Income]))/_xlfn.STDEV.S(tblCustomers[Income])</f>
        <v>-0.77127097706585912</v>
      </c>
      <c r="H376" s="2">
        <f>(tblCustomers4[[#This Row],[Limit]] - AVERAGE(tblCustomers[Limit]))/_xlfn.STDEV.S(tblCustomers[Limit])</f>
        <v>-1.3792572522027886</v>
      </c>
      <c r="I376" s="2">
        <f>(tblCustomers4[[#This Row],[Rating]] - AVERAGE(tblCustomers[Rating]))/_xlfn.STDEV.S(tblCustomers[Rating])</f>
        <v>-1.3762558087774173</v>
      </c>
    </row>
    <row r="377" spans="1:9" x14ac:dyDescent="0.2">
      <c r="A377" s="2">
        <v>22.574000000000002</v>
      </c>
      <c r="B377" s="3">
        <v>1551</v>
      </c>
      <c r="C377" s="1">
        <v>134</v>
      </c>
      <c r="D377" s="1">
        <v>3</v>
      </c>
      <c r="E377" s="1">
        <v>43</v>
      </c>
      <c r="F377" s="3">
        <v>98</v>
      </c>
      <c r="G377" s="2">
        <f>(tblCustomers4[[#This Row],[Income]] - AVERAGE(tblCustomers[Income]))/_xlfn.STDEV.S(tblCustomers[Income])</f>
        <v>-0.6425124698682283</v>
      </c>
      <c r="H377" s="2">
        <f>(tblCustomers4[[#This Row],[Limit]] - AVERAGE(tblCustomers[Limit]))/_xlfn.STDEV.S(tblCustomers[Limit])</f>
        <v>-1.3796904904400682</v>
      </c>
      <c r="I377" s="2">
        <f>(tblCustomers4[[#This Row],[Rating]] - AVERAGE(tblCustomers[Rating]))/_xlfn.STDEV.S(tblCustomers[Rating])</f>
        <v>-1.4279607325597943</v>
      </c>
    </row>
    <row r="378" spans="1:9" x14ac:dyDescent="0.2">
      <c r="A378" s="2">
        <v>30.012</v>
      </c>
      <c r="B378" s="3">
        <v>1511</v>
      </c>
      <c r="C378" s="1">
        <v>137</v>
      </c>
      <c r="D378" s="1">
        <v>2</v>
      </c>
      <c r="E378" s="1">
        <v>33</v>
      </c>
      <c r="F378" s="3">
        <v>0</v>
      </c>
      <c r="G378" s="2">
        <f>(tblCustomers4[[#This Row],[Income]] - AVERAGE(tblCustomers[Income]))/_xlfn.STDEV.S(tblCustomers[Income])</f>
        <v>-0.43147109116924676</v>
      </c>
      <c r="H378" s="2">
        <f>(tblCustomers4[[#This Row],[Limit]] - AVERAGE(tblCustomers[Limit]))/_xlfn.STDEV.S(tblCustomers[Limit])</f>
        <v>-1.3970200199312452</v>
      </c>
      <c r="I378" s="2">
        <f>(tblCustomers4[[#This Row],[Rating]] - AVERAGE(tblCustomers[Rating]))/_xlfn.STDEV.S(tblCustomers[Rating])</f>
        <v>-1.4085713861414029</v>
      </c>
    </row>
    <row r="379" spans="1:9" x14ac:dyDescent="0.2">
      <c r="A379" s="2">
        <v>23.856999999999999</v>
      </c>
      <c r="B379" s="3">
        <v>1501</v>
      </c>
      <c r="C379" s="1">
        <v>150</v>
      </c>
      <c r="D379" s="1">
        <v>3</v>
      </c>
      <c r="E379" s="1">
        <v>56</v>
      </c>
      <c r="F379" s="3">
        <v>0</v>
      </c>
      <c r="G379" s="2">
        <f>(tblCustomers4[[#This Row],[Income]] - AVERAGE(tblCustomers[Income]))/_xlfn.STDEV.S(tblCustomers[Income])</f>
        <v>-0.60610939257987217</v>
      </c>
      <c r="H379" s="2">
        <f>(tblCustomers4[[#This Row],[Limit]] - AVERAGE(tblCustomers[Limit]))/_xlfn.STDEV.S(tblCustomers[Limit])</f>
        <v>-1.4013524023040396</v>
      </c>
      <c r="I379" s="2">
        <f>(tblCustomers4[[#This Row],[Rating]] - AVERAGE(tblCustomers[Rating]))/_xlfn.STDEV.S(tblCustomers[Rating])</f>
        <v>-1.3245508849950405</v>
      </c>
    </row>
    <row r="380" spans="1:9" x14ac:dyDescent="0.2">
      <c r="A380" s="2">
        <v>15.333</v>
      </c>
      <c r="B380" s="3">
        <v>1499</v>
      </c>
      <c r="C380" s="1">
        <v>138</v>
      </c>
      <c r="D380" s="1">
        <v>2</v>
      </c>
      <c r="E380" s="1">
        <v>47</v>
      </c>
      <c r="F380" s="3">
        <v>0</v>
      </c>
      <c r="G380" s="2">
        <f>(tblCustomers4[[#This Row],[Income]] - AVERAGE(tblCustomers[Income]))/_xlfn.STDEV.S(tblCustomers[Income])</f>
        <v>-0.84796428798591128</v>
      </c>
      <c r="H380" s="2">
        <f>(tblCustomers4[[#This Row],[Limit]] - AVERAGE(tblCustomers[Limit]))/_xlfn.STDEV.S(tblCustomers[Limit])</f>
        <v>-1.4022188787785983</v>
      </c>
      <c r="I380" s="2">
        <f>(tblCustomers4[[#This Row],[Rating]] - AVERAGE(tblCustomers[Rating]))/_xlfn.STDEV.S(tblCustomers[Rating])</f>
        <v>-1.4021082706686057</v>
      </c>
    </row>
    <row r="381" spans="1:9" x14ac:dyDescent="0.2">
      <c r="A381" s="2">
        <v>18.951000000000001</v>
      </c>
      <c r="B381" s="3">
        <v>1485</v>
      </c>
      <c r="C381" s="1">
        <v>129</v>
      </c>
      <c r="D381" s="1">
        <v>3</v>
      </c>
      <c r="E381" s="1">
        <v>82</v>
      </c>
      <c r="F381" s="3">
        <v>0</v>
      </c>
      <c r="G381" s="2">
        <f>(tblCustomers4[[#This Row],[Income]] - AVERAGE(tblCustomers[Income]))/_xlfn.STDEV.S(tblCustomers[Income])</f>
        <v>-0.74530931243698473</v>
      </c>
      <c r="H381" s="2">
        <f>(tblCustomers4[[#This Row],[Limit]] - AVERAGE(tblCustomers[Limit]))/_xlfn.STDEV.S(tblCustomers[Limit])</f>
        <v>-1.4082842141005103</v>
      </c>
      <c r="I381" s="2">
        <f>(tblCustomers4[[#This Row],[Rating]] - AVERAGE(tblCustomers[Rating]))/_xlfn.STDEV.S(tblCustomers[Rating])</f>
        <v>-1.4602763099237797</v>
      </c>
    </row>
    <row r="382" spans="1:9" x14ac:dyDescent="0.2">
      <c r="A382" s="2">
        <v>21.038</v>
      </c>
      <c r="B382" s="3">
        <v>1448</v>
      </c>
      <c r="C382" s="1">
        <v>145</v>
      </c>
      <c r="D382" s="1">
        <v>2</v>
      </c>
      <c r="E382" s="1">
        <v>58</v>
      </c>
      <c r="F382" s="3">
        <v>0</v>
      </c>
      <c r="G382" s="2">
        <f>(tblCustomers4[[#This Row],[Income]] - AVERAGE(tblCustomers[Income]))/_xlfn.STDEV.S(tblCustomers[Income])</f>
        <v>-0.68609401835997819</v>
      </c>
      <c r="H382" s="2">
        <f>(tblCustomers4[[#This Row],[Limit]] - AVERAGE(tblCustomers[Limit]))/_xlfn.STDEV.S(tblCustomers[Limit])</f>
        <v>-1.4243140288798493</v>
      </c>
      <c r="I382" s="2">
        <f>(tblCustomers4[[#This Row],[Rating]] - AVERAGE(tblCustomers[Rating]))/_xlfn.STDEV.S(tblCustomers[Rating])</f>
        <v>-1.3568664623590259</v>
      </c>
    </row>
    <row r="383" spans="1:9" x14ac:dyDescent="0.2">
      <c r="A383" s="2">
        <v>19.225000000000001</v>
      </c>
      <c r="B383" s="3">
        <v>1433</v>
      </c>
      <c r="C383" s="1">
        <v>122</v>
      </c>
      <c r="D383" s="1">
        <v>3</v>
      </c>
      <c r="E383" s="1">
        <v>38</v>
      </c>
      <c r="F383" s="3">
        <v>0</v>
      </c>
      <c r="G383" s="2">
        <f>(tblCustomers4[[#This Row],[Income]] - AVERAGE(tblCustomers[Income]))/_xlfn.STDEV.S(tblCustomers[Income])</f>
        <v>-0.73753499975030534</v>
      </c>
      <c r="H383" s="2">
        <f>(tblCustomers4[[#This Row],[Limit]] - AVERAGE(tblCustomers[Limit]))/_xlfn.STDEV.S(tblCustomers[Limit])</f>
        <v>-1.4308126024390406</v>
      </c>
      <c r="I383" s="2">
        <f>(tblCustomers4[[#This Row],[Rating]] - AVERAGE(tblCustomers[Rating]))/_xlfn.STDEV.S(tblCustomers[Rating])</f>
        <v>-1.5055181182333595</v>
      </c>
    </row>
    <row r="384" spans="1:9" x14ac:dyDescent="0.2">
      <c r="A384" s="2">
        <v>23.012</v>
      </c>
      <c r="B384" s="3">
        <v>1410</v>
      </c>
      <c r="C384" s="1">
        <v>137</v>
      </c>
      <c r="D384" s="1">
        <v>3</v>
      </c>
      <c r="E384" s="1">
        <v>81</v>
      </c>
      <c r="F384" s="3">
        <v>0</v>
      </c>
      <c r="G384" s="2">
        <f>(tblCustomers4[[#This Row],[Income]] - AVERAGE(tblCustomers[Income]))/_xlfn.STDEV.S(tblCustomers[Income])</f>
        <v>-0.63008491893112772</v>
      </c>
      <c r="H384" s="2">
        <f>(tblCustomers4[[#This Row],[Limit]] - AVERAGE(tblCustomers[Limit]))/_xlfn.STDEV.S(tblCustomers[Limit])</f>
        <v>-1.4407770818964676</v>
      </c>
      <c r="I384" s="2">
        <f>(tblCustomers4[[#This Row],[Rating]] - AVERAGE(tblCustomers[Rating]))/_xlfn.STDEV.S(tblCustomers[Rating])</f>
        <v>-1.4085713861414029</v>
      </c>
    </row>
    <row r="385" spans="1:9" x14ac:dyDescent="0.2">
      <c r="A385" s="2">
        <v>27.241</v>
      </c>
      <c r="B385" s="3">
        <v>1402</v>
      </c>
      <c r="C385" s="1">
        <v>128</v>
      </c>
      <c r="D385" s="1">
        <v>2</v>
      </c>
      <c r="E385" s="1">
        <v>67</v>
      </c>
      <c r="F385" s="3">
        <v>0</v>
      </c>
      <c r="G385" s="2">
        <f>(tblCustomers4[[#This Row],[Income]] - AVERAGE(tblCustomers[Income]))/_xlfn.STDEV.S(tblCustomers[Income])</f>
        <v>-0.51009379355898565</v>
      </c>
      <c r="H385" s="2">
        <f>(tblCustomers4[[#This Row],[Limit]] - AVERAGE(tblCustomers[Limit]))/_xlfn.STDEV.S(tblCustomers[Limit])</f>
        <v>-1.4442429877947029</v>
      </c>
      <c r="I385" s="2">
        <f>(tblCustomers4[[#This Row],[Rating]] - AVERAGE(tblCustomers[Rating]))/_xlfn.STDEV.S(tblCustomers[Rating])</f>
        <v>-1.4667394253965769</v>
      </c>
    </row>
    <row r="386" spans="1:9" x14ac:dyDescent="0.2">
      <c r="A386" s="2">
        <v>27.271999999999998</v>
      </c>
      <c r="B386" s="3">
        <v>1389</v>
      </c>
      <c r="C386" s="1">
        <v>149</v>
      </c>
      <c r="D386" s="1">
        <v>5</v>
      </c>
      <c r="E386" s="1">
        <v>67</v>
      </c>
      <c r="F386" s="3">
        <v>0</v>
      </c>
      <c r="G386" s="2">
        <f>(tblCustomers4[[#This Row],[Income]] - AVERAGE(tblCustomers[Income]))/_xlfn.STDEV.S(tblCustomers[Income])</f>
        <v>-0.50921421803604028</v>
      </c>
      <c r="H386" s="2">
        <f>(tblCustomers4[[#This Row],[Limit]] - AVERAGE(tblCustomers[Limit]))/_xlfn.STDEV.S(tblCustomers[Limit])</f>
        <v>-1.4498750848793356</v>
      </c>
      <c r="I386" s="2">
        <f>(tblCustomers4[[#This Row],[Rating]] - AVERAGE(tblCustomers[Rating]))/_xlfn.STDEV.S(tblCustomers[Rating])</f>
        <v>-1.3310140004678375</v>
      </c>
    </row>
    <row r="387" spans="1:9" x14ac:dyDescent="0.2">
      <c r="A387" s="2">
        <v>19.536999999999999</v>
      </c>
      <c r="B387" s="3">
        <v>1362</v>
      </c>
      <c r="C387" s="1">
        <v>143</v>
      </c>
      <c r="D387" s="1">
        <v>4</v>
      </c>
      <c r="E387" s="1">
        <v>34</v>
      </c>
      <c r="F387" s="3">
        <v>0</v>
      </c>
      <c r="G387" s="2">
        <f>(tblCustomers4[[#This Row],[Income]] - AVERAGE(tblCustomers[Income]))/_xlfn.STDEV.S(tblCustomers[Income])</f>
        <v>-0.72868249771291871</v>
      </c>
      <c r="H387" s="2">
        <f>(tblCustomers4[[#This Row],[Limit]] - AVERAGE(tblCustomers[Limit]))/_xlfn.STDEV.S(tblCustomers[Limit])</f>
        <v>-1.46157251728588</v>
      </c>
      <c r="I387" s="2">
        <f>(tblCustomers4[[#This Row],[Rating]] - AVERAGE(tblCustomers[Rating]))/_xlfn.STDEV.S(tblCustomers[Rating])</f>
        <v>-1.3697926933046203</v>
      </c>
    </row>
    <row r="388" spans="1:9" x14ac:dyDescent="0.2">
      <c r="A388" s="2">
        <v>16.529</v>
      </c>
      <c r="B388" s="3">
        <v>1357</v>
      </c>
      <c r="C388" s="1">
        <v>126</v>
      </c>
      <c r="D388" s="1">
        <v>3</v>
      </c>
      <c r="E388" s="1">
        <v>62</v>
      </c>
      <c r="F388" s="3">
        <v>0</v>
      </c>
      <c r="G388" s="2">
        <f>(tblCustomers4[[#This Row],[Income]] - AVERAGE(tblCustomers[Income]))/_xlfn.STDEV.S(tblCustomers[Income])</f>
        <v>-0.81402969684259552</v>
      </c>
      <c r="H388" s="2">
        <f>(tblCustomers4[[#This Row],[Limit]] - AVERAGE(tblCustomers[Limit]))/_xlfn.STDEV.S(tblCustomers[Limit])</f>
        <v>-1.4637387084722773</v>
      </c>
      <c r="I388" s="2">
        <f>(tblCustomers4[[#This Row],[Rating]] - AVERAGE(tblCustomers[Rating]))/_xlfn.STDEV.S(tblCustomers[Rating])</f>
        <v>-1.4796656563421711</v>
      </c>
    </row>
    <row r="389" spans="1:9" x14ac:dyDescent="0.2">
      <c r="A389" s="2">
        <v>25.988</v>
      </c>
      <c r="B389" s="3">
        <v>1349</v>
      </c>
      <c r="C389" s="1">
        <v>142</v>
      </c>
      <c r="D389" s="1">
        <v>4</v>
      </c>
      <c r="E389" s="1">
        <v>82</v>
      </c>
      <c r="F389" s="3">
        <v>0</v>
      </c>
      <c r="G389" s="2">
        <f>(tblCustomers4[[#This Row],[Income]] - AVERAGE(tblCustomers[Income]))/_xlfn.STDEV.S(tblCustomers[Income])</f>
        <v>-0.5456456687283624</v>
      </c>
      <c r="H389" s="2">
        <f>(tblCustomers4[[#This Row],[Limit]] - AVERAGE(tblCustomers[Limit]))/_xlfn.STDEV.S(tblCustomers[Limit])</f>
        <v>-1.4672046143705126</v>
      </c>
      <c r="I389" s="2">
        <f>(tblCustomers4[[#This Row],[Rating]] - AVERAGE(tblCustomers[Rating]))/_xlfn.STDEV.S(tblCustomers[Rating])</f>
        <v>-1.3762558087774173</v>
      </c>
    </row>
    <row r="390" spans="1:9" x14ac:dyDescent="0.2">
      <c r="A390" s="2">
        <v>16.818999999999999</v>
      </c>
      <c r="B390" s="3">
        <v>1337</v>
      </c>
      <c r="C390" s="1">
        <v>115</v>
      </c>
      <c r="D390" s="1">
        <v>2</v>
      </c>
      <c r="E390" s="1">
        <v>74</v>
      </c>
      <c r="F390" s="3">
        <v>0</v>
      </c>
      <c r="G390" s="2">
        <f>(tblCustomers4[[#This Row],[Income]] - AVERAGE(tblCustomers[Income]))/_xlfn.STDEV.S(tblCustomers[Income])</f>
        <v>-0.8058014096924605</v>
      </c>
      <c r="H390" s="2">
        <f>(tblCustomers4[[#This Row],[Limit]] - AVERAGE(tblCustomers[Limit]))/_xlfn.STDEV.S(tblCustomers[Limit])</f>
        <v>-1.4724034732178659</v>
      </c>
      <c r="I390" s="2">
        <f>(tblCustomers4[[#This Row],[Rating]] - AVERAGE(tblCustomers[Rating]))/_xlfn.STDEV.S(tblCustomers[Rating])</f>
        <v>-1.5507599265429393</v>
      </c>
    </row>
    <row r="391" spans="1:9" x14ac:dyDescent="0.2">
      <c r="A391" s="2">
        <v>17.315999999999999</v>
      </c>
      <c r="B391" s="3">
        <v>1335</v>
      </c>
      <c r="C391" s="1">
        <v>138</v>
      </c>
      <c r="D391" s="1">
        <v>2</v>
      </c>
      <c r="E391" s="1">
        <v>65</v>
      </c>
      <c r="F391" s="3">
        <v>0</v>
      </c>
      <c r="G391" s="2">
        <f>(tblCustomers4[[#This Row],[Income]] - AVERAGE(tblCustomers[Income]))/_xlfn.STDEV.S(tblCustomers[Income])</f>
        <v>-0.79169982792136695</v>
      </c>
      <c r="H391" s="2">
        <f>(tblCustomers4[[#This Row],[Limit]] - AVERAGE(tblCustomers[Limit]))/_xlfn.STDEV.S(tblCustomers[Limit])</f>
        <v>-1.4732699496924246</v>
      </c>
      <c r="I391" s="2">
        <f>(tblCustomers4[[#This Row],[Rating]] - AVERAGE(tblCustomers[Rating]))/_xlfn.STDEV.S(tblCustomers[Rating])</f>
        <v>-1.4021082706686057</v>
      </c>
    </row>
    <row r="392" spans="1:9" x14ac:dyDescent="0.2">
      <c r="A392" s="2">
        <v>15.045</v>
      </c>
      <c r="B392" s="3">
        <v>1311</v>
      </c>
      <c r="C392" s="1">
        <v>138</v>
      </c>
      <c r="D392" s="1">
        <v>3</v>
      </c>
      <c r="E392" s="1">
        <v>64</v>
      </c>
      <c r="F392" s="3">
        <v>0</v>
      </c>
      <c r="G392" s="2">
        <f>(tblCustomers4[[#This Row],[Income]] - AVERAGE(tblCustomers[Income]))/_xlfn.STDEV.S(tblCustomers[Income])</f>
        <v>-0.8561358283281143</v>
      </c>
      <c r="H392" s="2">
        <f>(tblCustomers4[[#This Row],[Limit]] - AVERAGE(tblCustomers[Limit]))/_xlfn.STDEV.S(tblCustomers[Limit])</f>
        <v>-1.483667667387131</v>
      </c>
      <c r="I392" s="2">
        <f>(tblCustomers4[[#This Row],[Rating]] - AVERAGE(tblCustomers[Rating]))/_xlfn.STDEV.S(tblCustomers[Rating])</f>
        <v>-1.4021082706686057</v>
      </c>
    </row>
    <row r="393" spans="1:9" x14ac:dyDescent="0.2">
      <c r="A393" s="2">
        <v>11.808</v>
      </c>
      <c r="B393" s="3">
        <v>1300</v>
      </c>
      <c r="C393" s="1">
        <v>117</v>
      </c>
      <c r="D393" s="1">
        <v>3</v>
      </c>
      <c r="E393" s="1">
        <v>77</v>
      </c>
      <c r="F393" s="3">
        <v>0</v>
      </c>
      <c r="G393" s="2">
        <f>(tblCustomers4[[#This Row],[Income]] - AVERAGE(tblCustomers[Income]))/_xlfn.STDEV.S(tblCustomers[Income])</f>
        <v>-0.94798053696600126</v>
      </c>
      <c r="H393" s="2">
        <f>(tblCustomers4[[#This Row],[Limit]] - AVERAGE(tblCustomers[Limit]))/_xlfn.STDEV.S(tblCustomers[Limit])</f>
        <v>-1.4884332879972046</v>
      </c>
      <c r="I393" s="2">
        <f>(tblCustomers4[[#This Row],[Rating]] - AVERAGE(tblCustomers[Rating]))/_xlfn.STDEV.S(tblCustomers[Rating])</f>
        <v>-1.5378336955973451</v>
      </c>
    </row>
    <row r="394" spans="1:9" x14ac:dyDescent="0.2">
      <c r="A394" s="2">
        <v>20.917999999999999</v>
      </c>
      <c r="B394" s="3">
        <v>1233</v>
      </c>
      <c r="C394" s="1">
        <v>128</v>
      </c>
      <c r="D394" s="1">
        <v>3</v>
      </c>
      <c r="E394" s="1">
        <v>47</v>
      </c>
      <c r="F394" s="3">
        <v>16</v>
      </c>
      <c r="G394" s="2">
        <f>(tblCustomers4[[#This Row],[Income]] - AVERAGE(tblCustomers[Income]))/_xlfn.STDEV.S(tblCustomers[Income])</f>
        <v>-0.68949882683589625</v>
      </c>
      <c r="H394" s="2">
        <f>(tblCustomers4[[#This Row],[Limit]] - AVERAGE(tblCustomers[Limit]))/_xlfn.STDEV.S(tblCustomers[Limit])</f>
        <v>-1.5174602498949263</v>
      </c>
      <c r="I394" s="2">
        <f>(tblCustomers4[[#This Row],[Rating]] - AVERAGE(tblCustomers[Rating]))/_xlfn.STDEV.S(tblCustomers[Rating])</f>
        <v>-1.4667394253965769</v>
      </c>
    </row>
    <row r="395" spans="1:9" x14ac:dyDescent="0.2">
      <c r="A395" s="2">
        <v>16.279</v>
      </c>
      <c r="B395" s="3">
        <v>1160</v>
      </c>
      <c r="C395" s="1">
        <v>126</v>
      </c>
      <c r="D395" s="1">
        <v>3</v>
      </c>
      <c r="E395" s="1">
        <v>78</v>
      </c>
      <c r="F395" s="3">
        <v>5</v>
      </c>
      <c r="G395" s="2">
        <f>(tblCustomers4[[#This Row],[Income]] - AVERAGE(tblCustomers[Income]))/_xlfn.STDEV.S(tblCustomers[Income])</f>
        <v>-0.82112304783409129</v>
      </c>
      <c r="H395" s="2">
        <f>(tblCustomers4[[#This Row],[Limit]] - AVERAGE(tblCustomers[Limit]))/_xlfn.STDEV.S(tblCustomers[Limit])</f>
        <v>-1.5490866412163247</v>
      </c>
      <c r="I395" s="2">
        <f>(tblCustomers4[[#This Row],[Rating]] - AVERAGE(tblCustomers[Rating]))/_xlfn.STDEV.S(tblCustomers[Rating])</f>
        <v>-1.4796656563421711</v>
      </c>
    </row>
    <row r="396" spans="1:9" x14ac:dyDescent="0.2">
      <c r="A396" s="2">
        <v>13.433</v>
      </c>
      <c r="B396" s="3">
        <v>1134</v>
      </c>
      <c r="C396" s="1">
        <v>112</v>
      </c>
      <c r="D396" s="1">
        <v>3</v>
      </c>
      <c r="E396" s="1">
        <v>70</v>
      </c>
      <c r="F396" s="3">
        <v>0</v>
      </c>
      <c r="G396" s="2">
        <f>(tblCustomers4[[#This Row],[Income]] - AVERAGE(tblCustomers[Income]))/_xlfn.STDEV.S(tblCustomers[Income])</f>
        <v>-0.90187375552127891</v>
      </c>
      <c r="H396" s="2">
        <f>(tblCustomers4[[#This Row],[Limit]] - AVERAGE(tblCustomers[Limit]))/_xlfn.STDEV.S(tblCustomers[Limit])</f>
        <v>-1.5603508353855897</v>
      </c>
      <c r="I396" s="2">
        <f>(tblCustomers4[[#This Row],[Rating]] - AVERAGE(tblCustomers[Rating]))/_xlfn.STDEV.S(tblCustomers[Rating])</f>
        <v>-1.5701492729613307</v>
      </c>
    </row>
    <row r="397" spans="1:9" x14ac:dyDescent="0.2">
      <c r="A397" s="2">
        <v>15.602</v>
      </c>
      <c r="B397" s="3">
        <v>906</v>
      </c>
      <c r="C397" s="1">
        <v>103</v>
      </c>
      <c r="D397" s="1">
        <v>2</v>
      </c>
      <c r="E397" s="1">
        <v>36</v>
      </c>
      <c r="F397" s="3">
        <v>0</v>
      </c>
      <c r="G397" s="2">
        <f>(tblCustomers4[[#This Row],[Income]] - AVERAGE(tblCustomers[Income]))/_xlfn.STDEV.S(tblCustomers[Income])</f>
        <v>-0.84033184231906177</v>
      </c>
      <c r="H397" s="2">
        <f>(tblCustomers4[[#This Row],[Limit]] - AVERAGE(tblCustomers[Limit]))/_xlfn.STDEV.S(tblCustomers[Limit])</f>
        <v>-1.6591291534852994</v>
      </c>
      <c r="I397" s="2">
        <f>(tblCustomers4[[#This Row],[Rating]] - AVERAGE(tblCustomers[Rating]))/_xlfn.STDEV.S(tblCustomers[Rating])</f>
        <v>-1.6283173122165047</v>
      </c>
    </row>
    <row r="398" spans="1:9" x14ac:dyDescent="0.2">
      <c r="A398" s="2">
        <v>15.717000000000001</v>
      </c>
      <c r="B398" s="3">
        <v>905</v>
      </c>
      <c r="C398" s="1">
        <v>93</v>
      </c>
      <c r="D398" s="1">
        <v>1</v>
      </c>
      <c r="E398" s="1">
        <v>38</v>
      </c>
      <c r="F398" s="3">
        <v>0</v>
      </c>
      <c r="G398" s="2">
        <f>(tblCustomers4[[#This Row],[Income]] - AVERAGE(tblCustomers[Income]))/_xlfn.STDEV.S(tblCustomers[Income])</f>
        <v>-0.83706890086297381</v>
      </c>
      <c r="H398" s="2">
        <f>(tblCustomers4[[#This Row],[Limit]] - AVERAGE(tblCustomers[Limit]))/_xlfn.STDEV.S(tblCustomers[Limit])</f>
        <v>-1.659562391722579</v>
      </c>
      <c r="I398" s="2">
        <f>(tblCustomers4[[#This Row],[Rating]] - AVERAGE(tblCustomers[Rating]))/_xlfn.STDEV.S(tblCustomers[Rating])</f>
        <v>-1.6929484669444759</v>
      </c>
    </row>
    <row r="399" spans="1:9" x14ac:dyDescent="0.2">
      <c r="A399" s="2">
        <v>13.444000000000001</v>
      </c>
      <c r="B399" s="3">
        <v>886</v>
      </c>
      <c r="C399" s="1">
        <v>121</v>
      </c>
      <c r="D399" s="1">
        <v>5</v>
      </c>
      <c r="E399" s="1">
        <v>44</v>
      </c>
      <c r="F399" s="3">
        <v>0</v>
      </c>
      <c r="G399" s="2">
        <f>(tblCustomers4[[#This Row],[Income]] - AVERAGE(tblCustomers[Income]))/_xlfn.STDEV.S(tblCustomers[Income])</f>
        <v>-0.90156164807765304</v>
      </c>
      <c r="H399" s="2">
        <f>(tblCustomers4[[#This Row],[Limit]] - AVERAGE(tblCustomers[Limit]))/_xlfn.STDEV.S(tblCustomers[Limit])</f>
        <v>-1.6677939182308881</v>
      </c>
      <c r="I399" s="2">
        <f>(tblCustomers4[[#This Row],[Rating]] - AVERAGE(tblCustomers[Rating]))/_xlfn.STDEV.S(tblCustomers[Rating])</f>
        <v>-1.5119812337061567</v>
      </c>
    </row>
    <row r="400" spans="1:9" x14ac:dyDescent="0.2">
      <c r="A400" s="2">
        <v>12.414</v>
      </c>
      <c r="B400" s="3">
        <v>855</v>
      </c>
      <c r="C400" s="1">
        <v>119</v>
      </c>
      <c r="D400" s="1">
        <v>3</v>
      </c>
      <c r="E400" s="1">
        <v>32</v>
      </c>
      <c r="F400" s="3">
        <v>0</v>
      </c>
      <c r="G400" s="2">
        <f>(tblCustomers4[[#This Row],[Income]] - AVERAGE(tblCustomers[Income]))/_xlfn.STDEV.S(tblCustomers[Income])</f>
        <v>-0.93078625416261551</v>
      </c>
      <c r="H400" s="2">
        <f>(tblCustomers4[[#This Row],[Limit]] - AVERAGE(tblCustomers[Limit]))/_xlfn.STDEV.S(tblCustomers[Limit])</f>
        <v>-1.6812243035865504</v>
      </c>
      <c r="I400" s="2">
        <f>(tblCustomers4[[#This Row],[Rating]] - AVERAGE(tblCustomers[Rating]))/_xlfn.STDEV.S(tblCustomers[Rating])</f>
        <v>-1.5249074646517509</v>
      </c>
    </row>
    <row r="401" spans="1:9" x14ac:dyDescent="0.2">
      <c r="A401" s="2">
        <v>14.084</v>
      </c>
      <c r="B401" s="3">
        <v>855</v>
      </c>
      <c r="C401" s="1">
        <v>120</v>
      </c>
      <c r="D401" s="1">
        <v>5</v>
      </c>
      <c r="E401" s="1">
        <v>46</v>
      </c>
      <c r="F401" s="3">
        <v>0</v>
      </c>
      <c r="G401" s="2">
        <f>(tblCustomers4[[#This Row],[Income]] - AVERAGE(tblCustomers[Income]))/_xlfn.STDEV.S(tblCustomers[Income])</f>
        <v>-0.88340266953942403</v>
      </c>
      <c r="H401" s="2">
        <f>(tblCustomers4[[#This Row],[Limit]] - AVERAGE(tblCustomers[Limit]))/_xlfn.STDEV.S(tblCustomers[Limit])</f>
        <v>-1.6812243035865504</v>
      </c>
      <c r="I401" s="2">
        <f>(tblCustomers4[[#This Row],[Rating]] - AVERAGE(tblCustomers[Rating]))/_xlfn.STDEV.S(tblCustomers[Rating])</f>
        <v>-1.5184443491789539</v>
      </c>
    </row>
  </sheetData>
  <conditionalFormatting sqref="A2:A401">
    <cfRule type="dataBar" priority="1">
      <dataBar>
        <cfvo type="min"/>
        <cfvo type="max"/>
        <color rgb="FF0070C0"/>
      </dataBar>
    </cfRule>
    <cfRule type="expression" dxfId="6" priority="10">
      <formula>A2&gt;AVERAGE($A$2:$A$401)+2*STDEV($A$2:$A$401)</formula>
    </cfRule>
  </conditionalFormatting>
  <conditionalFormatting sqref="B2:B401">
    <cfRule type="cellIs" dxfId="5" priority="2" operator="greaterThan">
      <formula>10000</formula>
    </cfRule>
    <cfRule type="duplicateValues" dxfId="4" priority="3"/>
  </conditionalFormatting>
  <conditionalFormatting sqref="C2:C40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401">
    <cfRule type="iconSet" priority="5">
      <iconSet reverse="1">
        <cfvo type="percent" val="0"/>
        <cfvo type="num" val="3"/>
        <cfvo type="num" val="5"/>
      </iconSet>
    </cfRule>
  </conditionalFormatting>
  <conditionalFormatting sqref="E2:E401">
    <cfRule type="cellIs" dxfId="3" priority="6" operator="between">
      <formula>18</formula>
      <formula>30</formula>
    </cfRule>
  </conditionalFormatting>
  <conditionalFormatting sqref="F2:F401">
    <cfRule type="top10" dxfId="2" priority="9" rank="10"/>
  </conditionalFormatting>
  <conditionalFormatting sqref="A2:F401">
    <cfRule type="expression" dxfId="1" priority="16">
      <formula>$F2=0</formula>
    </cfRule>
    <cfRule type="expression" dxfId="0" priority="17">
      <formula>AND(#REF!="Yes",$F2&gt;1000)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16"/>
  <sheetViews>
    <sheetView workbookViewId="0">
      <pane ySplit="4" topLeftCell="A5" activePane="bottomLeft" state="frozen"/>
      <selection pane="bottomLeft" activeCell="A16" sqref="A16"/>
    </sheetView>
  </sheetViews>
  <sheetFormatPr defaultRowHeight="12.75" x14ac:dyDescent="0.2"/>
  <cols>
    <col min="1" max="1" width="5" customWidth="1"/>
    <col min="2" max="2" width="11" customWidth="1"/>
    <col min="3" max="3" width="14" customWidth="1"/>
    <col min="4" max="4" width="34" customWidth="1"/>
    <col min="5" max="5" width="42" customWidth="1"/>
    <col min="6" max="6" width="46" customWidth="1"/>
    <col min="7" max="7" width="32" customWidth="1"/>
    <col min="8" max="8" width="11" customWidth="1"/>
    <col min="9" max="9" width="52" customWidth="1"/>
  </cols>
  <sheetData>
    <row r="1" spans="1:9" ht="15.75" x14ac:dyDescent="0.25">
      <c r="A1" s="4" t="s">
        <v>19</v>
      </c>
    </row>
    <row r="2" spans="1:9" x14ac:dyDescent="0.2">
      <c r="A2" s="5" t="s">
        <v>20</v>
      </c>
    </row>
    <row r="4" spans="1:9" ht="25.5" x14ac:dyDescent="0.2">
      <c r="A4" s="6" t="s">
        <v>21</v>
      </c>
      <c r="B4" s="6" t="s">
        <v>22</v>
      </c>
      <c r="C4" s="6" t="s">
        <v>23</v>
      </c>
      <c r="D4" s="6" t="s">
        <v>24</v>
      </c>
      <c r="E4" s="6" t="s">
        <v>25</v>
      </c>
      <c r="F4" s="6" t="s">
        <v>26</v>
      </c>
      <c r="G4" s="6" t="s">
        <v>27</v>
      </c>
      <c r="H4" s="6" t="s">
        <v>28</v>
      </c>
      <c r="I4" s="6" t="s">
        <v>29</v>
      </c>
    </row>
    <row r="5" spans="1:9" ht="25.5" x14ac:dyDescent="0.2">
      <c r="A5" s="7">
        <v>1</v>
      </c>
      <c r="B5" s="8" t="s">
        <v>1</v>
      </c>
      <c r="C5" s="8" t="s">
        <v>30</v>
      </c>
      <c r="D5" s="8" t="s">
        <v>31</v>
      </c>
      <c r="E5" s="8" t="s">
        <v>32</v>
      </c>
      <c r="F5" s="8" t="s">
        <v>33</v>
      </c>
      <c r="G5" s="8" t="s">
        <v>34</v>
      </c>
      <c r="H5" s="9">
        <f>COUNT(Customers!$B$2:$B$401)</f>
        <v>400</v>
      </c>
      <c r="I5" s="8" t="s">
        <v>35</v>
      </c>
    </row>
    <row r="6" spans="1:9" ht="25.5" x14ac:dyDescent="0.2">
      <c r="A6" s="7">
        <v>2</v>
      </c>
      <c r="B6" s="8" t="s">
        <v>2</v>
      </c>
      <c r="C6" s="8" t="s">
        <v>36</v>
      </c>
      <c r="D6" s="8" t="s">
        <v>37</v>
      </c>
      <c r="E6" s="8" t="s">
        <v>38</v>
      </c>
      <c r="F6" s="10" t="s">
        <v>39</v>
      </c>
      <c r="G6" s="8" t="s">
        <v>40</v>
      </c>
      <c r="H6" s="9">
        <f>COUNTIF(Customers!$C$2:$C$401,"&gt;10000")</f>
        <v>13</v>
      </c>
      <c r="I6" s="8" t="s">
        <v>41</v>
      </c>
    </row>
    <row r="7" spans="1:9" ht="25.5" x14ac:dyDescent="0.2">
      <c r="A7" s="7">
        <v>3</v>
      </c>
      <c r="B7" s="8" t="s">
        <v>2</v>
      </c>
      <c r="C7" s="8" t="s">
        <v>36</v>
      </c>
      <c r="D7" s="8" t="s">
        <v>42</v>
      </c>
      <c r="E7" s="8" t="s">
        <v>43</v>
      </c>
      <c r="F7" s="10" t="s">
        <v>44</v>
      </c>
      <c r="G7" s="8" t="s">
        <v>45</v>
      </c>
      <c r="H7" s="9">
        <f>SUMPRODUCT(--(COUNTIF(Customers!$C$2:$C$401,Customers!$C$2:$C$401)&gt;1))</f>
        <v>26</v>
      </c>
      <c r="I7" s="8" t="s">
        <v>46</v>
      </c>
    </row>
    <row r="8" spans="1:9" ht="38.25" x14ac:dyDescent="0.2">
      <c r="A8" s="7">
        <v>4</v>
      </c>
      <c r="B8" s="8" t="s">
        <v>3</v>
      </c>
      <c r="C8" s="8" t="s">
        <v>47</v>
      </c>
      <c r="D8" s="8" t="s">
        <v>48</v>
      </c>
      <c r="E8" s="8" t="s">
        <v>49</v>
      </c>
      <c r="F8" s="8" t="s">
        <v>50</v>
      </c>
      <c r="G8" s="8" t="s">
        <v>51</v>
      </c>
      <c r="H8" s="9">
        <f>COUNT(Customers!$D$2:$D$401)</f>
        <v>400</v>
      </c>
      <c r="I8" s="8" t="s">
        <v>52</v>
      </c>
    </row>
    <row r="9" spans="1:9" ht="38.25" x14ac:dyDescent="0.2">
      <c r="A9" s="7">
        <v>5</v>
      </c>
      <c r="B9" s="8" t="s">
        <v>4</v>
      </c>
      <c r="C9" s="8" t="s">
        <v>53</v>
      </c>
      <c r="D9" s="8" t="s">
        <v>54</v>
      </c>
      <c r="E9" s="8" t="s">
        <v>55</v>
      </c>
      <c r="F9" s="8" t="s">
        <v>50</v>
      </c>
      <c r="G9" s="8" t="s">
        <v>56</v>
      </c>
      <c r="H9" s="9">
        <f>COUNT(Customers!$E$2:$E$401)</f>
        <v>400</v>
      </c>
      <c r="I9" s="8" t="s">
        <v>57</v>
      </c>
    </row>
    <row r="10" spans="1:9" ht="25.5" x14ac:dyDescent="0.2">
      <c r="A10" s="7">
        <v>6</v>
      </c>
      <c r="B10" s="8" t="s">
        <v>5</v>
      </c>
      <c r="C10" s="8" t="s">
        <v>58</v>
      </c>
      <c r="D10" s="8" t="s">
        <v>59</v>
      </c>
      <c r="E10" s="8" t="s">
        <v>60</v>
      </c>
      <c r="F10" s="10" t="s">
        <v>61</v>
      </c>
      <c r="G10" s="8" t="s">
        <v>62</v>
      </c>
      <c r="H10" s="9">
        <f>COUNTIFS(Customers!$F$2:$F$401,"&gt;=18",Customers!$F$2:$F$401,"&lt;=30")</f>
        <v>32</v>
      </c>
      <c r="I10" s="8" t="s">
        <v>63</v>
      </c>
    </row>
    <row r="11" spans="1:9" ht="25.5" x14ac:dyDescent="0.2">
      <c r="A11" s="7">
        <v>7</v>
      </c>
      <c r="B11" s="8" t="s">
        <v>6</v>
      </c>
      <c r="C11" s="8" t="s">
        <v>64</v>
      </c>
      <c r="D11" s="8" t="s">
        <v>65</v>
      </c>
      <c r="E11" s="8" t="s">
        <v>66</v>
      </c>
      <c r="F11" s="10" t="s">
        <v>67</v>
      </c>
      <c r="G11" s="8" t="s">
        <v>68</v>
      </c>
      <c r="H11" s="9">
        <f>COUNTIF(Customers!$G$2:$G$401,"&gt;"&amp;AVERAGE(Customers!$G$2:$G$401))</f>
        <v>215</v>
      </c>
      <c r="I11" s="8" t="s">
        <v>69</v>
      </c>
    </row>
    <row r="12" spans="1:9" ht="38.25" x14ac:dyDescent="0.2">
      <c r="A12" s="7">
        <v>8</v>
      </c>
      <c r="B12" s="8" t="s">
        <v>8</v>
      </c>
      <c r="C12" s="8" t="s">
        <v>70</v>
      </c>
      <c r="D12" s="8" t="s">
        <v>71</v>
      </c>
      <c r="E12" s="8" t="s">
        <v>72</v>
      </c>
      <c r="F12" s="10" t="s">
        <v>73</v>
      </c>
      <c r="G12" s="8" t="s">
        <v>74</v>
      </c>
      <c r="H12" s="9">
        <f>COUNTIF(Customers!$I$2:$I$401,"Yes")</f>
        <v>40</v>
      </c>
      <c r="I12" s="8" t="s">
        <v>75</v>
      </c>
    </row>
    <row r="13" spans="1:9" ht="38.25" x14ac:dyDescent="0.2">
      <c r="A13" s="7">
        <v>9</v>
      </c>
      <c r="B13" s="8" t="s">
        <v>11</v>
      </c>
      <c r="C13" s="8" t="s">
        <v>76</v>
      </c>
      <c r="D13" s="8" t="s">
        <v>77</v>
      </c>
      <c r="E13" s="8" t="s">
        <v>78</v>
      </c>
      <c r="F13" s="10" t="s">
        <v>79</v>
      </c>
      <c r="G13" s="8" t="s">
        <v>80</v>
      </c>
      <c r="H13" s="9">
        <f>COUNTIF(Customers!$L$2:$L$401,"&gt;="&amp;LARGE(Customers!$L$2:$L$401,10))</f>
        <v>10</v>
      </c>
      <c r="I13" s="8" t="s">
        <v>81</v>
      </c>
    </row>
    <row r="14" spans="1:9" ht="51" x14ac:dyDescent="0.2">
      <c r="A14" s="7">
        <v>10</v>
      </c>
      <c r="B14" s="8" t="s">
        <v>1</v>
      </c>
      <c r="C14" s="8" t="s">
        <v>30</v>
      </c>
      <c r="D14" s="8" t="s">
        <v>82</v>
      </c>
      <c r="E14" s="10" t="s">
        <v>83</v>
      </c>
      <c r="F14" s="8" t="s">
        <v>84</v>
      </c>
      <c r="G14" s="8" t="s">
        <v>85</v>
      </c>
      <c r="H14" s="9">
        <f>COUNTIF(Customers!$B$2:$B$401,"&gt;"&amp;(AVERAGE(Customers!$B$2:$B$401)+2*STDEV(Customers!$B$2:$B$401)))</f>
        <v>24</v>
      </c>
      <c r="I14" s="8" t="s">
        <v>86</v>
      </c>
    </row>
    <row r="15" spans="1:9" ht="38.25" x14ac:dyDescent="0.2">
      <c r="A15" s="7">
        <v>11</v>
      </c>
      <c r="B15" s="8" t="s">
        <v>87</v>
      </c>
      <c r="C15" s="8" t="s">
        <v>88</v>
      </c>
      <c r="D15" s="8" t="s">
        <v>82</v>
      </c>
      <c r="E15" s="10" t="s">
        <v>89</v>
      </c>
      <c r="F15" s="8" t="s">
        <v>84</v>
      </c>
      <c r="G15" s="8" t="s">
        <v>90</v>
      </c>
      <c r="H15" s="9">
        <f>COUNTIF(Customers!$L$2:$L$401,0)</f>
        <v>90</v>
      </c>
      <c r="I15" s="8" t="s">
        <v>91</v>
      </c>
    </row>
    <row r="16" spans="1:9" ht="38.25" x14ac:dyDescent="0.2">
      <c r="A16" s="7">
        <v>12</v>
      </c>
      <c r="B16" s="8" t="s">
        <v>87</v>
      </c>
      <c r="C16" s="8" t="s">
        <v>88</v>
      </c>
      <c r="D16" s="8" t="s">
        <v>82</v>
      </c>
      <c r="E16" s="10" t="s">
        <v>92</v>
      </c>
      <c r="F16" s="8" t="s">
        <v>84</v>
      </c>
      <c r="G16" s="8" t="s">
        <v>93</v>
      </c>
      <c r="H16" s="9">
        <f>COUNTIFS(Customers!$I$2:$I$401,"Yes",Customers!$L$2:$L$401,"&gt;1000")</f>
        <v>20</v>
      </c>
      <c r="I16" s="8" t="s">
        <v>94</v>
      </c>
    </row>
  </sheetData>
  <pageMargins left="0.75" right="0.75" top="1" bottom="1" header="0.5" footer="0.5"/>
  <pageSetup fitToHeight="0"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Customers</vt:lpstr>
      <vt:lpstr>Numeric Columns</vt:lpstr>
      <vt:lpstr>Rules</vt:lpstr>
      <vt:lpstr>n</vt:lpstr>
      <vt:lpstr>Customers!Print_Titles</vt:lpstr>
      <vt:lpstr>Rules!Print_Titles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Antonio Piemontese</cp:lastModifiedBy>
  <dcterms:created xsi:type="dcterms:W3CDTF">2026-09-15T18:18:26Z</dcterms:created>
  <dcterms:modified xsi:type="dcterms:W3CDTF">2026-09-16T21:03:31Z</dcterms:modified>
</cp:coreProperties>
</file>