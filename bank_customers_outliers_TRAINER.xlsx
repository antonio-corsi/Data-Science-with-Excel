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salvataggi\SALVATAGGIO DATI\Documents\Seminari\Data Science (corsi)\Corso Data Science con Excel\"/>
    </mc:Choice>
  </mc:AlternateContent>
  <xr:revisionPtr revIDLastSave="0" documentId="13_ncr:1_{681D6B80-9007-4C8B-8254-8E33DEEFC0D5}" xr6:coauthVersionLast="47" xr6:coauthVersionMax="47" xr10:uidLastSave="{00000000-0000-0000-0000-000000000000}"/>
  <bookViews>
    <workbookView xWindow="-120" yWindow="-120" windowWidth="29040" windowHeight="15840" tabRatio="500" xr2:uid="{00000000-000D-0000-FFFF-FFFF00000000}"/>
  </bookViews>
  <sheets>
    <sheet name="Customers" sheetId="1" r:id="rId1"/>
    <sheet name="Data_Dictionary" sheetId="2" r:id="rId2"/>
    <sheet name="Statistics" sheetId="3" r:id="rId3"/>
    <sheet name="Checks" sheetId="4" r:id="rId4"/>
    <sheet name="Outlier_Key_Trainer" sheetId="5" r:id="rId5"/>
  </sheets>
  <definedNames>
    <definedName name="_xlnm._FilterDatabase" localSheetId="3" hidden="1">Checks!$A$1:$P$1001</definedName>
    <definedName name="_xlnm._FilterDatabase" localSheetId="0" hidden="1">Customers!$A$1:$V$1001</definedName>
    <definedName name="_xlnm._FilterDatabase" localSheetId="4" hidden="1">Outlier_Key_Trainer!$A$4:$I$99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0" i="5" l="1"/>
  <c r="C109" i="5"/>
  <c r="C108" i="5"/>
  <c r="C107" i="5"/>
  <c r="C106" i="5"/>
  <c r="C105" i="5"/>
  <c r="C104" i="5"/>
  <c r="C103" i="5"/>
  <c r="C102" i="5"/>
  <c r="O1001" i="4"/>
  <c r="N1001" i="4"/>
  <c r="M1001" i="4"/>
  <c r="L1001" i="4"/>
  <c r="K1001" i="4"/>
  <c r="J1001" i="4"/>
  <c r="I1001" i="4"/>
  <c r="H1001" i="4"/>
  <c r="G1001" i="4"/>
  <c r="F1001" i="4"/>
  <c r="E1001" i="4"/>
  <c r="D1001" i="4"/>
  <c r="A1001" i="4"/>
  <c r="O1000" i="4"/>
  <c r="N1000" i="4"/>
  <c r="M1000" i="4"/>
  <c r="L1000" i="4"/>
  <c r="K1000" i="4"/>
  <c r="J1000" i="4"/>
  <c r="I1000" i="4"/>
  <c r="H1000" i="4"/>
  <c r="G1000" i="4"/>
  <c r="F1000" i="4"/>
  <c r="E1000" i="4"/>
  <c r="D1000" i="4"/>
  <c r="A1000" i="4"/>
  <c r="O999" i="4"/>
  <c r="N999" i="4"/>
  <c r="M999" i="4"/>
  <c r="L999" i="4"/>
  <c r="K999" i="4"/>
  <c r="J999" i="4"/>
  <c r="I999" i="4"/>
  <c r="H999" i="4"/>
  <c r="G999" i="4"/>
  <c r="F999" i="4"/>
  <c r="E999" i="4"/>
  <c r="D999" i="4"/>
  <c r="A999" i="4"/>
  <c r="O998" i="4"/>
  <c r="N998" i="4"/>
  <c r="M998" i="4"/>
  <c r="L998" i="4"/>
  <c r="K998" i="4"/>
  <c r="J998" i="4"/>
  <c r="I998" i="4"/>
  <c r="H998" i="4"/>
  <c r="G998" i="4"/>
  <c r="F998" i="4"/>
  <c r="E998" i="4"/>
  <c r="D998" i="4"/>
  <c r="A998" i="4"/>
  <c r="O997" i="4"/>
  <c r="N997" i="4"/>
  <c r="M997" i="4"/>
  <c r="L997" i="4"/>
  <c r="K997" i="4"/>
  <c r="J997" i="4"/>
  <c r="I997" i="4"/>
  <c r="H997" i="4"/>
  <c r="G997" i="4"/>
  <c r="F997" i="4"/>
  <c r="E997" i="4"/>
  <c r="D997" i="4"/>
  <c r="A997" i="4"/>
  <c r="O996" i="4"/>
  <c r="N996" i="4"/>
  <c r="M996" i="4"/>
  <c r="L996" i="4"/>
  <c r="K996" i="4"/>
  <c r="J996" i="4"/>
  <c r="I996" i="4"/>
  <c r="H996" i="4"/>
  <c r="G996" i="4"/>
  <c r="F996" i="4"/>
  <c r="E996" i="4"/>
  <c r="D996" i="4"/>
  <c r="A996" i="4"/>
  <c r="O995" i="4"/>
  <c r="N995" i="4"/>
  <c r="M995" i="4"/>
  <c r="L995" i="4"/>
  <c r="K995" i="4"/>
  <c r="J995" i="4"/>
  <c r="I995" i="4"/>
  <c r="H995" i="4"/>
  <c r="G995" i="4"/>
  <c r="F995" i="4"/>
  <c r="E995" i="4"/>
  <c r="D995" i="4"/>
  <c r="A995" i="4"/>
  <c r="O994" i="4"/>
  <c r="N994" i="4"/>
  <c r="M994" i="4"/>
  <c r="L994" i="4"/>
  <c r="K994" i="4"/>
  <c r="J994" i="4"/>
  <c r="I994" i="4"/>
  <c r="H994" i="4"/>
  <c r="G994" i="4"/>
  <c r="F994" i="4"/>
  <c r="E994" i="4"/>
  <c r="D994" i="4"/>
  <c r="A994" i="4"/>
  <c r="O993" i="4"/>
  <c r="N993" i="4"/>
  <c r="M993" i="4"/>
  <c r="L993" i="4"/>
  <c r="K993" i="4"/>
  <c r="J993" i="4"/>
  <c r="I993" i="4"/>
  <c r="H993" i="4"/>
  <c r="G993" i="4"/>
  <c r="F993" i="4"/>
  <c r="E993" i="4"/>
  <c r="D993" i="4"/>
  <c r="A993" i="4"/>
  <c r="O992" i="4"/>
  <c r="N992" i="4"/>
  <c r="M992" i="4"/>
  <c r="L992" i="4"/>
  <c r="K992" i="4"/>
  <c r="J992" i="4"/>
  <c r="I992" i="4"/>
  <c r="H992" i="4"/>
  <c r="G992" i="4"/>
  <c r="F992" i="4"/>
  <c r="E992" i="4"/>
  <c r="D992" i="4"/>
  <c r="A992" i="4"/>
  <c r="O991" i="4"/>
  <c r="N991" i="4"/>
  <c r="M991" i="4"/>
  <c r="L991" i="4"/>
  <c r="K991" i="4"/>
  <c r="J991" i="4"/>
  <c r="I991" i="4"/>
  <c r="H991" i="4"/>
  <c r="G991" i="4"/>
  <c r="F991" i="4"/>
  <c r="E991" i="4"/>
  <c r="D991" i="4"/>
  <c r="A991" i="4"/>
  <c r="O990" i="4"/>
  <c r="N990" i="4"/>
  <c r="M990" i="4"/>
  <c r="L990" i="4"/>
  <c r="K990" i="4"/>
  <c r="J990" i="4"/>
  <c r="I990" i="4"/>
  <c r="H990" i="4"/>
  <c r="G990" i="4"/>
  <c r="F990" i="4"/>
  <c r="E990" i="4"/>
  <c r="D990" i="4"/>
  <c r="A990" i="4"/>
  <c r="O989" i="4"/>
  <c r="N989" i="4"/>
  <c r="M989" i="4"/>
  <c r="L989" i="4"/>
  <c r="K989" i="4"/>
  <c r="J989" i="4"/>
  <c r="I989" i="4"/>
  <c r="H989" i="4"/>
  <c r="G989" i="4"/>
  <c r="F989" i="4"/>
  <c r="E989" i="4"/>
  <c r="D989" i="4"/>
  <c r="A989" i="4"/>
  <c r="O988" i="4"/>
  <c r="N988" i="4"/>
  <c r="M988" i="4"/>
  <c r="L988" i="4"/>
  <c r="K988" i="4"/>
  <c r="J988" i="4"/>
  <c r="I988" i="4"/>
  <c r="H988" i="4"/>
  <c r="G988" i="4"/>
  <c r="F988" i="4"/>
  <c r="E988" i="4"/>
  <c r="D988" i="4"/>
  <c r="A988" i="4"/>
  <c r="O987" i="4"/>
  <c r="N987" i="4"/>
  <c r="M987" i="4"/>
  <c r="L987" i="4"/>
  <c r="K987" i="4"/>
  <c r="J987" i="4"/>
  <c r="I987" i="4"/>
  <c r="H987" i="4"/>
  <c r="G987" i="4"/>
  <c r="F987" i="4"/>
  <c r="E987" i="4"/>
  <c r="D987" i="4"/>
  <c r="A987" i="4"/>
  <c r="O986" i="4"/>
  <c r="N986" i="4"/>
  <c r="M986" i="4"/>
  <c r="L986" i="4"/>
  <c r="K986" i="4"/>
  <c r="J986" i="4"/>
  <c r="I986" i="4"/>
  <c r="H986" i="4"/>
  <c r="G986" i="4"/>
  <c r="F986" i="4"/>
  <c r="E986" i="4"/>
  <c r="D986" i="4"/>
  <c r="A986" i="4"/>
  <c r="O985" i="4"/>
  <c r="N985" i="4"/>
  <c r="M985" i="4"/>
  <c r="L985" i="4"/>
  <c r="K985" i="4"/>
  <c r="J985" i="4"/>
  <c r="I985" i="4"/>
  <c r="H985" i="4"/>
  <c r="G985" i="4"/>
  <c r="F985" i="4"/>
  <c r="E985" i="4"/>
  <c r="D985" i="4"/>
  <c r="A985" i="4"/>
  <c r="O984" i="4"/>
  <c r="N984" i="4"/>
  <c r="M984" i="4"/>
  <c r="L984" i="4"/>
  <c r="K984" i="4"/>
  <c r="J984" i="4"/>
  <c r="I984" i="4"/>
  <c r="H984" i="4"/>
  <c r="G984" i="4"/>
  <c r="F984" i="4"/>
  <c r="E984" i="4"/>
  <c r="D984" i="4"/>
  <c r="A984" i="4"/>
  <c r="O983" i="4"/>
  <c r="N983" i="4"/>
  <c r="M983" i="4"/>
  <c r="L983" i="4"/>
  <c r="K983" i="4"/>
  <c r="J983" i="4"/>
  <c r="I983" i="4"/>
  <c r="H983" i="4"/>
  <c r="G983" i="4"/>
  <c r="F983" i="4"/>
  <c r="E983" i="4"/>
  <c r="D983" i="4"/>
  <c r="A983" i="4"/>
  <c r="O982" i="4"/>
  <c r="N982" i="4"/>
  <c r="M982" i="4"/>
  <c r="L982" i="4"/>
  <c r="K982" i="4"/>
  <c r="J982" i="4"/>
  <c r="I982" i="4"/>
  <c r="H982" i="4"/>
  <c r="G982" i="4"/>
  <c r="F982" i="4"/>
  <c r="E982" i="4"/>
  <c r="D982" i="4"/>
  <c r="A982" i="4"/>
  <c r="O981" i="4"/>
  <c r="N981" i="4"/>
  <c r="M981" i="4"/>
  <c r="L981" i="4"/>
  <c r="K981" i="4"/>
  <c r="J981" i="4"/>
  <c r="I981" i="4"/>
  <c r="H981" i="4"/>
  <c r="G981" i="4"/>
  <c r="F981" i="4"/>
  <c r="E981" i="4"/>
  <c r="D981" i="4"/>
  <c r="A981" i="4"/>
  <c r="O980" i="4"/>
  <c r="N980" i="4"/>
  <c r="M980" i="4"/>
  <c r="L980" i="4"/>
  <c r="K980" i="4"/>
  <c r="J980" i="4"/>
  <c r="I980" i="4"/>
  <c r="H980" i="4"/>
  <c r="G980" i="4"/>
  <c r="F980" i="4"/>
  <c r="E980" i="4"/>
  <c r="D980" i="4"/>
  <c r="A980" i="4"/>
  <c r="O979" i="4"/>
  <c r="N979" i="4"/>
  <c r="M979" i="4"/>
  <c r="L979" i="4"/>
  <c r="K979" i="4"/>
  <c r="J979" i="4"/>
  <c r="I979" i="4"/>
  <c r="H979" i="4"/>
  <c r="G979" i="4"/>
  <c r="F979" i="4"/>
  <c r="E979" i="4"/>
  <c r="D979" i="4"/>
  <c r="A979" i="4"/>
  <c r="O978" i="4"/>
  <c r="N978" i="4"/>
  <c r="M978" i="4"/>
  <c r="L978" i="4"/>
  <c r="K978" i="4"/>
  <c r="J978" i="4"/>
  <c r="I978" i="4"/>
  <c r="H978" i="4"/>
  <c r="G978" i="4"/>
  <c r="F978" i="4"/>
  <c r="E978" i="4"/>
  <c r="D978" i="4"/>
  <c r="A978" i="4"/>
  <c r="O977" i="4"/>
  <c r="N977" i="4"/>
  <c r="M977" i="4"/>
  <c r="L977" i="4"/>
  <c r="K977" i="4"/>
  <c r="J977" i="4"/>
  <c r="I977" i="4"/>
  <c r="H977" i="4"/>
  <c r="G977" i="4"/>
  <c r="F977" i="4"/>
  <c r="E977" i="4"/>
  <c r="D977" i="4"/>
  <c r="A977" i="4"/>
  <c r="O976" i="4"/>
  <c r="N976" i="4"/>
  <c r="M976" i="4"/>
  <c r="L976" i="4"/>
  <c r="K976" i="4"/>
  <c r="J976" i="4"/>
  <c r="I976" i="4"/>
  <c r="H976" i="4"/>
  <c r="G976" i="4"/>
  <c r="F976" i="4"/>
  <c r="E976" i="4"/>
  <c r="D976" i="4"/>
  <c r="A976" i="4"/>
  <c r="O975" i="4"/>
  <c r="N975" i="4"/>
  <c r="M975" i="4"/>
  <c r="L975" i="4"/>
  <c r="K975" i="4"/>
  <c r="J975" i="4"/>
  <c r="I975" i="4"/>
  <c r="H975" i="4"/>
  <c r="G975" i="4"/>
  <c r="F975" i="4"/>
  <c r="E975" i="4"/>
  <c r="D975" i="4"/>
  <c r="A975" i="4"/>
  <c r="O974" i="4"/>
  <c r="N974" i="4"/>
  <c r="M974" i="4"/>
  <c r="L974" i="4"/>
  <c r="K974" i="4"/>
  <c r="J974" i="4"/>
  <c r="I974" i="4"/>
  <c r="H974" i="4"/>
  <c r="G974" i="4"/>
  <c r="F974" i="4"/>
  <c r="E974" i="4"/>
  <c r="D974" i="4"/>
  <c r="A974" i="4"/>
  <c r="O973" i="4"/>
  <c r="N973" i="4"/>
  <c r="M973" i="4"/>
  <c r="L973" i="4"/>
  <c r="K973" i="4"/>
  <c r="J973" i="4"/>
  <c r="I973" i="4"/>
  <c r="H973" i="4"/>
  <c r="G973" i="4"/>
  <c r="F973" i="4"/>
  <c r="E973" i="4"/>
  <c r="D973" i="4"/>
  <c r="A973" i="4"/>
  <c r="O972" i="4"/>
  <c r="N972" i="4"/>
  <c r="M972" i="4"/>
  <c r="L972" i="4"/>
  <c r="K972" i="4"/>
  <c r="J972" i="4"/>
  <c r="I972" i="4"/>
  <c r="H972" i="4"/>
  <c r="G972" i="4"/>
  <c r="F972" i="4"/>
  <c r="E972" i="4"/>
  <c r="D972" i="4"/>
  <c r="A972" i="4"/>
  <c r="O971" i="4"/>
  <c r="N971" i="4"/>
  <c r="M971" i="4"/>
  <c r="L971" i="4"/>
  <c r="K971" i="4"/>
  <c r="J971" i="4"/>
  <c r="I971" i="4"/>
  <c r="H971" i="4"/>
  <c r="G971" i="4"/>
  <c r="F971" i="4"/>
  <c r="E971" i="4"/>
  <c r="D971" i="4"/>
  <c r="A971" i="4"/>
  <c r="O970" i="4"/>
  <c r="N970" i="4"/>
  <c r="M970" i="4"/>
  <c r="L970" i="4"/>
  <c r="K970" i="4"/>
  <c r="J970" i="4"/>
  <c r="I970" i="4"/>
  <c r="H970" i="4"/>
  <c r="G970" i="4"/>
  <c r="F970" i="4"/>
  <c r="E970" i="4"/>
  <c r="D970" i="4"/>
  <c r="A970" i="4"/>
  <c r="O969" i="4"/>
  <c r="N969" i="4"/>
  <c r="M969" i="4"/>
  <c r="L969" i="4"/>
  <c r="K969" i="4"/>
  <c r="J969" i="4"/>
  <c r="I969" i="4"/>
  <c r="H969" i="4"/>
  <c r="G969" i="4"/>
  <c r="F969" i="4"/>
  <c r="E969" i="4"/>
  <c r="D969" i="4"/>
  <c r="A969" i="4"/>
  <c r="O968" i="4"/>
  <c r="N968" i="4"/>
  <c r="M968" i="4"/>
  <c r="L968" i="4"/>
  <c r="K968" i="4"/>
  <c r="J968" i="4"/>
  <c r="I968" i="4"/>
  <c r="H968" i="4"/>
  <c r="G968" i="4"/>
  <c r="F968" i="4"/>
  <c r="E968" i="4"/>
  <c r="D968" i="4"/>
  <c r="A968" i="4"/>
  <c r="O967" i="4"/>
  <c r="N967" i="4"/>
  <c r="M967" i="4"/>
  <c r="L967" i="4"/>
  <c r="K967" i="4"/>
  <c r="J967" i="4"/>
  <c r="I967" i="4"/>
  <c r="H967" i="4"/>
  <c r="G967" i="4"/>
  <c r="F967" i="4"/>
  <c r="E967" i="4"/>
  <c r="D967" i="4"/>
  <c r="A967" i="4"/>
  <c r="O966" i="4"/>
  <c r="N966" i="4"/>
  <c r="M966" i="4"/>
  <c r="L966" i="4"/>
  <c r="K966" i="4"/>
  <c r="J966" i="4"/>
  <c r="I966" i="4"/>
  <c r="H966" i="4"/>
  <c r="G966" i="4"/>
  <c r="F966" i="4"/>
  <c r="E966" i="4"/>
  <c r="D966" i="4"/>
  <c r="A966" i="4"/>
  <c r="O965" i="4"/>
  <c r="N965" i="4"/>
  <c r="M965" i="4"/>
  <c r="L965" i="4"/>
  <c r="K965" i="4"/>
  <c r="J965" i="4"/>
  <c r="I965" i="4"/>
  <c r="H965" i="4"/>
  <c r="G965" i="4"/>
  <c r="F965" i="4"/>
  <c r="E965" i="4"/>
  <c r="D965" i="4"/>
  <c r="A965" i="4"/>
  <c r="O964" i="4"/>
  <c r="N964" i="4"/>
  <c r="M964" i="4"/>
  <c r="L964" i="4"/>
  <c r="K964" i="4"/>
  <c r="J964" i="4"/>
  <c r="I964" i="4"/>
  <c r="H964" i="4"/>
  <c r="G964" i="4"/>
  <c r="F964" i="4"/>
  <c r="E964" i="4"/>
  <c r="D964" i="4"/>
  <c r="A964" i="4"/>
  <c r="O963" i="4"/>
  <c r="N963" i="4"/>
  <c r="M963" i="4"/>
  <c r="L963" i="4"/>
  <c r="K963" i="4"/>
  <c r="J963" i="4"/>
  <c r="I963" i="4"/>
  <c r="H963" i="4"/>
  <c r="G963" i="4"/>
  <c r="F963" i="4"/>
  <c r="E963" i="4"/>
  <c r="D963" i="4"/>
  <c r="A963" i="4"/>
  <c r="O962" i="4"/>
  <c r="N962" i="4"/>
  <c r="M962" i="4"/>
  <c r="L962" i="4"/>
  <c r="K962" i="4"/>
  <c r="J962" i="4"/>
  <c r="I962" i="4"/>
  <c r="H962" i="4"/>
  <c r="G962" i="4"/>
  <c r="F962" i="4"/>
  <c r="E962" i="4"/>
  <c r="D962" i="4"/>
  <c r="A962" i="4"/>
  <c r="O961" i="4"/>
  <c r="N961" i="4"/>
  <c r="M961" i="4"/>
  <c r="L961" i="4"/>
  <c r="K961" i="4"/>
  <c r="J961" i="4"/>
  <c r="I961" i="4"/>
  <c r="H961" i="4"/>
  <c r="G961" i="4"/>
  <c r="F961" i="4"/>
  <c r="E961" i="4"/>
  <c r="D961" i="4"/>
  <c r="A961" i="4"/>
  <c r="O960" i="4"/>
  <c r="N960" i="4"/>
  <c r="M960" i="4"/>
  <c r="L960" i="4"/>
  <c r="K960" i="4"/>
  <c r="J960" i="4"/>
  <c r="I960" i="4"/>
  <c r="H960" i="4"/>
  <c r="G960" i="4"/>
  <c r="F960" i="4"/>
  <c r="E960" i="4"/>
  <c r="D960" i="4"/>
  <c r="A960" i="4"/>
  <c r="O959" i="4"/>
  <c r="N959" i="4"/>
  <c r="M959" i="4"/>
  <c r="L959" i="4"/>
  <c r="K959" i="4"/>
  <c r="J959" i="4"/>
  <c r="I959" i="4"/>
  <c r="H959" i="4"/>
  <c r="G959" i="4"/>
  <c r="F959" i="4"/>
  <c r="E959" i="4"/>
  <c r="D959" i="4"/>
  <c r="A959" i="4"/>
  <c r="O958" i="4"/>
  <c r="N958" i="4"/>
  <c r="M958" i="4"/>
  <c r="L958" i="4"/>
  <c r="K958" i="4"/>
  <c r="J958" i="4"/>
  <c r="I958" i="4"/>
  <c r="H958" i="4"/>
  <c r="G958" i="4"/>
  <c r="F958" i="4"/>
  <c r="E958" i="4"/>
  <c r="D958" i="4"/>
  <c r="A958" i="4"/>
  <c r="O957" i="4"/>
  <c r="N957" i="4"/>
  <c r="M957" i="4"/>
  <c r="L957" i="4"/>
  <c r="K957" i="4"/>
  <c r="J957" i="4"/>
  <c r="I957" i="4"/>
  <c r="H957" i="4"/>
  <c r="G957" i="4"/>
  <c r="F957" i="4"/>
  <c r="E957" i="4"/>
  <c r="D957" i="4"/>
  <c r="A957" i="4"/>
  <c r="O956" i="4"/>
  <c r="N956" i="4"/>
  <c r="M956" i="4"/>
  <c r="L956" i="4"/>
  <c r="K956" i="4"/>
  <c r="J956" i="4"/>
  <c r="I956" i="4"/>
  <c r="H956" i="4"/>
  <c r="G956" i="4"/>
  <c r="F956" i="4"/>
  <c r="E956" i="4"/>
  <c r="D956" i="4"/>
  <c r="A956" i="4"/>
  <c r="O955" i="4"/>
  <c r="N955" i="4"/>
  <c r="M955" i="4"/>
  <c r="L955" i="4"/>
  <c r="K955" i="4"/>
  <c r="J955" i="4"/>
  <c r="I955" i="4"/>
  <c r="H955" i="4"/>
  <c r="G955" i="4"/>
  <c r="F955" i="4"/>
  <c r="E955" i="4"/>
  <c r="D955" i="4"/>
  <c r="A955" i="4"/>
  <c r="O954" i="4"/>
  <c r="N954" i="4"/>
  <c r="M954" i="4"/>
  <c r="L954" i="4"/>
  <c r="K954" i="4"/>
  <c r="J954" i="4"/>
  <c r="I954" i="4"/>
  <c r="H954" i="4"/>
  <c r="G954" i="4"/>
  <c r="F954" i="4"/>
  <c r="E954" i="4"/>
  <c r="D954" i="4"/>
  <c r="A954" i="4"/>
  <c r="O953" i="4"/>
  <c r="N953" i="4"/>
  <c r="M953" i="4"/>
  <c r="L953" i="4"/>
  <c r="K953" i="4"/>
  <c r="J953" i="4"/>
  <c r="I953" i="4"/>
  <c r="H953" i="4"/>
  <c r="G953" i="4"/>
  <c r="F953" i="4"/>
  <c r="E953" i="4"/>
  <c r="D953" i="4"/>
  <c r="A953" i="4"/>
  <c r="O952" i="4"/>
  <c r="N952" i="4"/>
  <c r="M952" i="4"/>
  <c r="L952" i="4"/>
  <c r="K952" i="4"/>
  <c r="J952" i="4"/>
  <c r="I952" i="4"/>
  <c r="H952" i="4"/>
  <c r="G952" i="4"/>
  <c r="F952" i="4"/>
  <c r="E952" i="4"/>
  <c r="D952" i="4"/>
  <c r="A952" i="4"/>
  <c r="O951" i="4"/>
  <c r="N951" i="4"/>
  <c r="M951" i="4"/>
  <c r="L951" i="4"/>
  <c r="K951" i="4"/>
  <c r="J951" i="4"/>
  <c r="I951" i="4"/>
  <c r="H951" i="4"/>
  <c r="G951" i="4"/>
  <c r="F951" i="4"/>
  <c r="E951" i="4"/>
  <c r="D951" i="4"/>
  <c r="A951" i="4"/>
  <c r="O950" i="4"/>
  <c r="N950" i="4"/>
  <c r="M950" i="4"/>
  <c r="L950" i="4"/>
  <c r="K950" i="4"/>
  <c r="J950" i="4"/>
  <c r="I950" i="4"/>
  <c r="H950" i="4"/>
  <c r="G950" i="4"/>
  <c r="F950" i="4"/>
  <c r="E950" i="4"/>
  <c r="D950" i="4"/>
  <c r="A950" i="4"/>
  <c r="O949" i="4"/>
  <c r="N949" i="4"/>
  <c r="M949" i="4"/>
  <c r="L949" i="4"/>
  <c r="K949" i="4"/>
  <c r="J949" i="4"/>
  <c r="I949" i="4"/>
  <c r="H949" i="4"/>
  <c r="G949" i="4"/>
  <c r="F949" i="4"/>
  <c r="E949" i="4"/>
  <c r="D949" i="4"/>
  <c r="A949" i="4"/>
  <c r="O948" i="4"/>
  <c r="N948" i="4"/>
  <c r="M948" i="4"/>
  <c r="L948" i="4"/>
  <c r="K948" i="4"/>
  <c r="J948" i="4"/>
  <c r="I948" i="4"/>
  <c r="H948" i="4"/>
  <c r="G948" i="4"/>
  <c r="F948" i="4"/>
  <c r="E948" i="4"/>
  <c r="D948" i="4"/>
  <c r="A948" i="4"/>
  <c r="O947" i="4"/>
  <c r="N947" i="4"/>
  <c r="M947" i="4"/>
  <c r="L947" i="4"/>
  <c r="K947" i="4"/>
  <c r="J947" i="4"/>
  <c r="I947" i="4"/>
  <c r="H947" i="4"/>
  <c r="G947" i="4"/>
  <c r="F947" i="4"/>
  <c r="E947" i="4"/>
  <c r="D947" i="4"/>
  <c r="A947" i="4"/>
  <c r="O946" i="4"/>
  <c r="N946" i="4"/>
  <c r="M946" i="4"/>
  <c r="L946" i="4"/>
  <c r="K946" i="4"/>
  <c r="J946" i="4"/>
  <c r="I946" i="4"/>
  <c r="H946" i="4"/>
  <c r="G946" i="4"/>
  <c r="F946" i="4"/>
  <c r="E946" i="4"/>
  <c r="D946" i="4"/>
  <c r="A946" i="4"/>
  <c r="O945" i="4"/>
  <c r="N945" i="4"/>
  <c r="M945" i="4"/>
  <c r="L945" i="4"/>
  <c r="K945" i="4"/>
  <c r="J945" i="4"/>
  <c r="I945" i="4"/>
  <c r="H945" i="4"/>
  <c r="G945" i="4"/>
  <c r="F945" i="4"/>
  <c r="E945" i="4"/>
  <c r="D945" i="4"/>
  <c r="A945" i="4"/>
  <c r="O944" i="4"/>
  <c r="N944" i="4"/>
  <c r="M944" i="4"/>
  <c r="L944" i="4"/>
  <c r="K944" i="4"/>
  <c r="J944" i="4"/>
  <c r="I944" i="4"/>
  <c r="H944" i="4"/>
  <c r="G944" i="4"/>
  <c r="F944" i="4"/>
  <c r="E944" i="4"/>
  <c r="D944" i="4"/>
  <c r="A944" i="4"/>
  <c r="O943" i="4"/>
  <c r="N943" i="4"/>
  <c r="M943" i="4"/>
  <c r="L943" i="4"/>
  <c r="K943" i="4"/>
  <c r="J943" i="4"/>
  <c r="I943" i="4"/>
  <c r="H943" i="4"/>
  <c r="G943" i="4"/>
  <c r="F943" i="4"/>
  <c r="E943" i="4"/>
  <c r="D943" i="4"/>
  <c r="A943" i="4"/>
  <c r="O942" i="4"/>
  <c r="N942" i="4"/>
  <c r="M942" i="4"/>
  <c r="L942" i="4"/>
  <c r="K942" i="4"/>
  <c r="J942" i="4"/>
  <c r="I942" i="4"/>
  <c r="H942" i="4"/>
  <c r="G942" i="4"/>
  <c r="F942" i="4"/>
  <c r="E942" i="4"/>
  <c r="D942" i="4"/>
  <c r="A942" i="4"/>
  <c r="O941" i="4"/>
  <c r="N941" i="4"/>
  <c r="M941" i="4"/>
  <c r="L941" i="4"/>
  <c r="K941" i="4"/>
  <c r="J941" i="4"/>
  <c r="I941" i="4"/>
  <c r="H941" i="4"/>
  <c r="G941" i="4"/>
  <c r="F941" i="4"/>
  <c r="E941" i="4"/>
  <c r="D941" i="4"/>
  <c r="A941" i="4"/>
  <c r="O940" i="4"/>
  <c r="N940" i="4"/>
  <c r="M940" i="4"/>
  <c r="L940" i="4"/>
  <c r="K940" i="4"/>
  <c r="J940" i="4"/>
  <c r="I940" i="4"/>
  <c r="H940" i="4"/>
  <c r="G940" i="4"/>
  <c r="F940" i="4"/>
  <c r="E940" i="4"/>
  <c r="D940" i="4"/>
  <c r="A940" i="4"/>
  <c r="O939" i="4"/>
  <c r="N939" i="4"/>
  <c r="M939" i="4"/>
  <c r="L939" i="4"/>
  <c r="K939" i="4"/>
  <c r="J939" i="4"/>
  <c r="I939" i="4"/>
  <c r="H939" i="4"/>
  <c r="G939" i="4"/>
  <c r="F939" i="4"/>
  <c r="E939" i="4"/>
  <c r="D939" i="4"/>
  <c r="A939" i="4"/>
  <c r="O938" i="4"/>
  <c r="N938" i="4"/>
  <c r="M938" i="4"/>
  <c r="L938" i="4"/>
  <c r="K938" i="4"/>
  <c r="J938" i="4"/>
  <c r="I938" i="4"/>
  <c r="H938" i="4"/>
  <c r="G938" i="4"/>
  <c r="F938" i="4"/>
  <c r="E938" i="4"/>
  <c r="D938" i="4"/>
  <c r="A938" i="4"/>
  <c r="O937" i="4"/>
  <c r="N937" i="4"/>
  <c r="M937" i="4"/>
  <c r="L937" i="4"/>
  <c r="K937" i="4"/>
  <c r="J937" i="4"/>
  <c r="I937" i="4"/>
  <c r="H937" i="4"/>
  <c r="G937" i="4"/>
  <c r="F937" i="4"/>
  <c r="E937" i="4"/>
  <c r="D937" i="4"/>
  <c r="A937" i="4"/>
  <c r="O936" i="4"/>
  <c r="N936" i="4"/>
  <c r="M936" i="4"/>
  <c r="L936" i="4"/>
  <c r="K936" i="4"/>
  <c r="J936" i="4"/>
  <c r="I936" i="4"/>
  <c r="H936" i="4"/>
  <c r="G936" i="4"/>
  <c r="F936" i="4"/>
  <c r="E936" i="4"/>
  <c r="D936" i="4"/>
  <c r="A936" i="4"/>
  <c r="O935" i="4"/>
  <c r="N935" i="4"/>
  <c r="M935" i="4"/>
  <c r="L935" i="4"/>
  <c r="K935" i="4"/>
  <c r="J935" i="4"/>
  <c r="I935" i="4"/>
  <c r="H935" i="4"/>
  <c r="G935" i="4"/>
  <c r="F935" i="4"/>
  <c r="E935" i="4"/>
  <c r="D935" i="4"/>
  <c r="A935" i="4"/>
  <c r="O934" i="4"/>
  <c r="N934" i="4"/>
  <c r="M934" i="4"/>
  <c r="L934" i="4"/>
  <c r="K934" i="4"/>
  <c r="J934" i="4"/>
  <c r="I934" i="4"/>
  <c r="H934" i="4"/>
  <c r="G934" i="4"/>
  <c r="F934" i="4"/>
  <c r="E934" i="4"/>
  <c r="D934" i="4"/>
  <c r="A934" i="4"/>
  <c r="O933" i="4"/>
  <c r="N933" i="4"/>
  <c r="M933" i="4"/>
  <c r="L933" i="4"/>
  <c r="K933" i="4"/>
  <c r="J933" i="4"/>
  <c r="I933" i="4"/>
  <c r="H933" i="4"/>
  <c r="G933" i="4"/>
  <c r="F933" i="4"/>
  <c r="E933" i="4"/>
  <c r="D933" i="4"/>
  <c r="A933" i="4"/>
  <c r="O932" i="4"/>
  <c r="N932" i="4"/>
  <c r="M932" i="4"/>
  <c r="L932" i="4"/>
  <c r="K932" i="4"/>
  <c r="J932" i="4"/>
  <c r="I932" i="4"/>
  <c r="H932" i="4"/>
  <c r="G932" i="4"/>
  <c r="F932" i="4"/>
  <c r="E932" i="4"/>
  <c r="D932" i="4"/>
  <c r="A932" i="4"/>
  <c r="O931" i="4"/>
  <c r="N931" i="4"/>
  <c r="M931" i="4"/>
  <c r="L931" i="4"/>
  <c r="K931" i="4"/>
  <c r="J931" i="4"/>
  <c r="I931" i="4"/>
  <c r="H931" i="4"/>
  <c r="G931" i="4"/>
  <c r="F931" i="4"/>
  <c r="E931" i="4"/>
  <c r="D931" i="4"/>
  <c r="A931" i="4"/>
  <c r="O930" i="4"/>
  <c r="N930" i="4"/>
  <c r="M930" i="4"/>
  <c r="L930" i="4"/>
  <c r="K930" i="4"/>
  <c r="J930" i="4"/>
  <c r="I930" i="4"/>
  <c r="H930" i="4"/>
  <c r="G930" i="4"/>
  <c r="F930" i="4"/>
  <c r="E930" i="4"/>
  <c r="D930" i="4"/>
  <c r="A930" i="4"/>
  <c r="O929" i="4"/>
  <c r="N929" i="4"/>
  <c r="M929" i="4"/>
  <c r="L929" i="4"/>
  <c r="K929" i="4"/>
  <c r="J929" i="4"/>
  <c r="I929" i="4"/>
  <c r="H929" i="4"/>
  <c r="G929" i="4"/>
  <c r="F929" i="4"/>
  <c r="E929" i="4"/>
  <c r="D929" i="4"/>
  <c r="A929" i="4"/>
  <c r="O928" i="4"/>
  <c r="N928" i="4"/>
  <c r="M928" i="4"/>
  <c r="L928" i="4"/>
  <c r="K928" i="4"/>
  <c r="J928" i="4"/>
  <c r="I928" i="4"/>
  <c r="H928" i="4"/>
  <c r="G928" i="4"/>
  <c r="F928" i="4"/>
  <c r="E928" i="4"/>
  <c r="D928" i="4"/>
  <c r="A928" i="4"/>
  <c r="O927" i="4"/>
  <c r="N927" i="4"/>
  <c r="M927" i="4"/>
  <c r="L927" i="4"/>
  <c r="K927" i="4"/>
  <c r="J927" i="4"/>
  <c r="I927" i="4"/>
  <c r="H927" i="4"/>
  <c r="G927" i="4"/>
  <c r="F927" i="4"/>
  <c r="E927" i="4"/>
  <c r="D927" i="4"/>
  <c r="A927" i="4"/>
  <c r="O926" i="4"/>
  <c r="N926" i="4"/>
  <c r="M926" i="4"/>
  <c r="L926" i="4"/>
  <c r="K926" i="4"/>
  <c r="J926" i="4"/>
  <c r="I926" i="4"/>
  <c r="H926" i="4"/>
  <c r="G926" i="4"/>
  <c r="F926" i="4"/>
  <c r="E926" i="4"/>
  <c r="D926" i="4"/>
  <c r="A926" i="4"/>
  <c r="O925" i="4"/>
  <c r="N925" i="4"/>
  <c r="M925" i="4"/>
  <c r="L925" i="4"/>
  <c r="K925" i="4"/>
  <c r="J925" i="4"/>
  <c r="I925" i="4"/>
  <c r="H925" i="4"/>
  <c r="G925" i="4"/>
  <c r="F925" i="4"/>
  <c r="E925" i="4"/>
  <c r="D925" i="4"/>
  <c r="A925" i="4"/>
  <c r="O924" i="4"/>
  <c r="N924" i="4"/>
  <c r="M924" i="4"/>
  <c r="L924" i="4"/>
  <c r="K924" i="4"/>
  <c r="J924" i="4"/>
  <c r="I924" i="4"/>
  <c r="H924" i="4"/>
  <c r="G924" i="4"/>
  <c r="F924" i="4"/>
  <c r="E924" i="4"/>
  <c r="D924" i="4"/>
  <c r="A924" i="4"/>
  <c r="O923" i="4"/>
  <c r="N923" i="4"/>
  <c r="M923" i="4"/>
  <c r="L923" i="4"/>
  <c r="K923" i="4"/>
  <c r="J923" i="4"/>
  <c r="I923" i="4"/>
  <c r="H923" i="4"/>
  <c r="G923" i="4"/>
  <c r="F923" i="4"/>
  <c r="E923" i="4"/>
  <c r="D923" i="4"/>
  <c r="A923" i="4"/>
  <c r="O922" i="4"/>
  <c r="N922" i="4"/>
  <c r="M922" i="4"/>
  <c r="L922" i="4"/>
  <c r="K922" i="4"/>
  <c r="J922" i="4"/>
  <c r="I922" i="4"/>
  <c r="H922" i="4"/>
  <c r="G922" i="4"/>
  <c r="F922" i="4"/>
  <c r="E922" i="4"/>
  <c r="D922" i="4"/>
  <c r="A922" i="4"/>
  <c r="O921" i="4"/>
  <c r="N921" i="4"/>
  <c r="M921" i="4"/>
  <c r="L921" i="4"/>
  <c r="K921" i="4"/>
  <c r="J921" i="4"/>
  <c r="I921" i="4"/>
  <c r="H921" i="4"/>
  <c r="G921" i="4"/>
  <c r="F921" i="4"/>
  <c r="E921" i="4"/>
  <c r="D921" i="4"/>
  <c r="A921" i="4"/>
  <c r="O920" i="4"/>
  <c r="N920" i="4"/>
  <c r="M920" i="4"/>
  <c r="L920" i="4"/>
  <c r="K920" i="4"/>
  <c r="J920" i="4"/>
  <c r="I920" i="4"/>
  <c r="H920" i="4"/>
  <c r="G920" i="4"/>
  <c r="F920" i="4"/>
  <c r="E920" i="4"/>
  <c r="D920" i="4"/>
  <c r="A920" i="4"/>
  <c r="O919" i="4"/>
  <c r="N919" i="4"/>
  <c r="M919" i="4"/>
  <c r="L919" i="4"/>
  <c r="K919" i="4"/>
  <c r="J919" i="4"/>
  <c r="I919" i="4"/>
  <c r="H919" i="4"/>
  <c r="G919" i="4"/>
  <c r="F919" i="4"/>
  <c r="E919" i="4"/>
  <c r="D919" i="4"/>
  <c r="A919" i="4"/>
  <c r="O918" i="4"/>
  <c r="N918" i="4"/>
  <c r="M918" i="4"/>
  <c r="L918" i="4"/>
  <c r="K918" i="4"/>
  <c r="J918" i="4"/>
  <c r="I918" i="4"/>
  <c r="H918" i="4"/>
  <c r="G918" i="4"/>
  <c r="F918" i="4"/>
  <c r="E918" i="4"/>
  <c r="D918" i="4"/>
  <c r="A918" i="4"/>
  <c r="O917" i="4"/>
  <c r="N917" i="4"/>
  <c r="M917" i="4"/>
  <c r="L917" i="4"/>
  <c r="K917" i="4"/>
  <c r="J917" i="4"/>
  <c r="I917" i="4"/>
  <c r="H917" i="4"/>
  <c r="G917" i="4"/>
  <c r="F917" i="4"/>
  <c r="E917" i="4"/>
  <c r="D917" i="4"/>
  <c r="A917" i="4"/>
  <c r="O916" i="4"/>
  <c r="N916" i="4"/>
  <c r="M916" i="4"/>
  <c r="L916" i="4"/>
  <c r="K916" i="4"/>
  <c r="J916" i="4"/>
  <c r="I916" i="4"/>
  <c r="H916" i="4"/>
  <c r="G916" i="4"/>
  <c r="F916" i="4"/>
  <c r="E916" i="4"/>
  <c r="D916" i="4"/>
  <c r="A916" i="4"/>
  <c r="O915" i="4"/>
  <c r="N915" i="4"/>
  <c r="M915" i="4"/>
  <c r="L915" i="4"/>
  <c r="K915" i="4"/>
  <c r="J915" i="4"/>
  <c r="I915" i="4"/>
  <c r="H915" i="4"/>
  <c r="G915" i="4"/>
  <c r="F915" i="4"/>
  <c r="E915" i="4"/>
  <c r="D915" i="4"/>
  <c r="A915" i="4"/>
  <c r="O914" i="4"/>
  <c r="N914" i="4"/>
  <c r="M914" i="4"/>
  <c r="L914" i="4"/>
  <c r="K914" i="4"/>
  <c r="J914" i="4"/>
  <c r="I914" i="4"/>
  <c r="H914" i="4"/>
  <c r="G914" i="4"/>
  <c r="F914" i="4"/>
  <c r="E914" i="4"/>
  <c r="D914" i="4"/>
  <c r="A914" i="4"/>
  <c r="O913" i="4"/>
  <c r="N913" i="4"/>
  <c r="M913" i="4"/>
  <c r="L913" i="4"/>
  <c r="K913" i="4"/>
  <c r="J913" i="4"/>
  <c r="I913" i="4"/>
  <c r="H913" i="4"/>
  <c r="G913" i="4"/>
  <c r="F913" i="4"/>
  <c r="E913" i="4"/>
  <c r="D913" i="4"/>
  <c r="A913" i="4"/>
  <c r="O912" i="4"/>
  <c r="N912" i="4"/>
  <c r="M912" i="4"/>
  <c r="L912" i="4"/>
  <c r="K912" i="4"/>
  <c r="J912" i="4"/>
  <c r="I912" i="4"/>
  <c r="H912" i="4"/>
  <c r="G912" i="4"/>
  <c r="F912" i="4"/>
  <c r="E912" i="4"/>
  <c r="D912" i="4"/>
  <c r="A912" i="4"/>
  <c r="O911" i="4"/>
  <c r="N911" i="4"/>
  <c r="M911" i="4"/>
  <c r="L911" i="4"/>
  <c r="K911" i="4"/>
  <c r="J911" i="4"/>
  <c r="I911" i="4"/>
  <c r="H911" i="4"/>
  <c r="G911" i="4"/>
  <c r="F911" i="4"/>
  <c r="E911" i="4"/>
  <c r="D911" i="4"/>
  <c r="A911" i="4"/>
  <c r="O910" i="4"/>
  <c r="N910" i="4"/>
  <c r="M910" i="4"/>
  <c r="L910" i="4"/>
  <c r="K910" i="4"/>
  <c r="J910" i="4"/>
  <c r="I910" i="4"/>
  <c r="H910" i="4"/>
  <c r="G910" i="4"/>
  <c r="F910" i="4"/>
  <c r="E910" i="4"/>
  <c r="D910" i="4"/>
  <c r="A910" i="4"/>
  <c r="O909" i="4"/>
  <c r="N909" i="4"/>
  <c r="M909" i="4"/>
  <c r="L909" i="4"/>
  <c r="K909" i="4"/>
  <c r="J909" i="4"/>
  <c r="I909" i="4"/>
  <c r="H909" i="4"/>
  <c r="G909" i="4"/>
  <c r="F909" i="4"/>
  <c r="E909" i="4"/>
  <c r="D909" i="4"/>
  <c r="A909" i="4"/>
  <c r="O908" i="4"/>
  <c r="N908" i="4"/>
  <c r="M908" i="4"/>
  <c r="L908" i="4"/>
  <c r="K908" i="4"/>
  <c r="J908" i="4"/>
  <c r="I908" i="4"/>
  <c r="H908" i="4"/>
  <c r="G908" i="4"/>
  <c r="F908" i="4"/>
  <c r="E908" i="4"/>
  <c r="D908" i="4"/>
  <c r="A908" i="4"/>
  <c r="O907" i="4"/>
  <c r="N907" i="4"/>
  <c r="M907" i="4"/>
  <c r="L907" i="4"/>
  <c r="K907" i="4"/>
  <c r="J907" i="4"/>
  <c r="I907" i="4"/>
  <c r="H907" i="4"/>
  <c r="G907" i="4"/>
  <c r="F907" i="4"/>
  <c r="E907" i="4"/>
  <c r="D907" i="4"/>
  <c r="A907" i="4"/>
  <c r="O906" i="4"/>
  <c r="N906" i="4"/>
  <c r="M906" i="4"/>
  <c r="L906" i="4"/>
  <c r="K906" i="4"/>
  <c r="J906" i="4"/>
  <c r="I906" i="4"/>
  <c r="H906" i="4"/>
  <c r="G906" i="4"/>
  <c r="F906" i="4"/>
  <c r="E906" i="4"/>
  <c r="D906" i="4"/>
  <c r="A906" i="4"/>
  <c r="O905" i="4"/>
  <c r="N905" i="4"/>
  <c r="M905" i="4"/>
  <c r="L905" i="4"/>
  <c r="K905" i="4"/>
  <c r="J905" i="4"/>
  <c r="I905" i="4"/>
  <c r="H905" i="4"/>
  <c r="G905" i="4"/>
  <c r="F905" i="4"/>
  <c r="E905" i="4"/>
  <c r="D905" i="4"/>
  <c r="A905" i="4"/>
  <c r="O904" i="4"/>
  <c r="N904" i="4"/>
  <c r="M904" i="4"/>
  <c r="L904" i="4"/>
  <c r="K904" i="4"/>
  <c r="J904" i="4"/>
  <c r="I904" i="4"/>
  <c r="H904" i="4"/>
  <c r="G904" i="4"/>
  <c r="F904" i="4"/>
  <c r="E904" i="4"/>
  <c r="D904" i="4"/>
  <c r="A904" i="4"/>
  <c r="O903" i="4"/>
  <c r="N903" i="4"/>
  <c r="M903" i="4"/>
  <c r="L903" i="4"/>
  <c r="K903" i="4"/>
  <c r="J903" i="4"/>
  <c r="I903" i="4"/>
  <c r="H903" i="4"/>
  <c r="G903" i="4"/>
  <c r="F903" i="4"/>
  <c r="E903" i="4"/>
  <c r="D903" i="4"/>
  <c r="A903" i="4"/>
  <c r="O902" i="4"/>
  <c r="N902" i="4"/>
  <c r="M902" i="4"/>
  <c r="L902" i="4"/>
  <c r="K902" i="4"/>
  <c r="J902" i="4"/>
  <c r="I902" i="4"/>
  <c r="H902" i="4"/>
  <c r="G902" i="4"/>
  <c r="F902" i="4"/>
  <c r="E902" i="4"/>
  <c r="D902" i="4"/>
  <c r="A902" i="4"/>
  <c r="O901" i="4"/>
  <c r="N901" i="4"/>
  <c r="M901" i="4"/>
  <c r="L901" i="4"/>
  <c r="K901" i="4"/>
  <c r="J901" i="4"/>
  <c r="I901" i="4"/>
  <c r="H901" i="4"/>
  <c r="G901" i="4"/>
  <c r="F901" i="4"/>
  <c r="E901" i="4"/>
  <c r="D901" i="4"/>
  <c r="A901" i="4"/>
  <c r="O900" i="4"/>
  <c r="N900" i="4"/>
  <c r="M900" i="4"/>
  <c r="L900" i="4"/>
  <c r="K900" i="4"/>
  <c r="J900" i="4"/>
  <c r="I900" i="4"/>
  <c r="H900" i="4"/>
  <c r="G900" i="4"/>
  <c r="F900" i="4"/>
  <c r="E900" i="4"/>
  <c r="D900" i="4"/>
  <c r="A900" i="4"/>
  <c r="O899" i="4"/>
  <c r="N899" i="4"/>
  <c r="M899" i="4"/>
  <c r="L899" i="4"/>
  <c r="K899" i="4"/>
  <c r="J899" i="4"/>
  <c r="I899" i="4"/>
  <c r="H899" i="4"/>
  <c r="G899" i="4"/>
  <c r="F899" i="4"/>
  <c r="E899" i="4"/>
  <c r="D899" i="4"/>
  <c r="A899" i="4"/>
  <c r="O898" i="4"/>
  <c r="N898" i="4"/>
  <c r="M898" i="4"/>
  <c r="L898" i="4"/>
  <c r="K898" i="4"/>
  <c r="J898" i="4"/>
  <c r="I898" i="4"/>
  <c r="H898" i="4"/>
  <c r="G898" i="4"/>
  <c r="F898" i="4"/>
  <c r="E898" i="4"/>
  <c r="D898" i="4"/>
  <c r="A898" i="4"/>
  <c r="O897" i="4"/>
  <c r="N897" i="4"/>
  <c r="M897" i="4"/>
  <c r="L897" i="4"/>
  <c r="K897" i="4"/>
  <c r="J897" i="4"/>
  <c r="I897" i="4"/>
  <c r="H897" i="4"/>
  <c r="G897" i="4"/>
  <c r="F897" i="4"/>
  <c r="E897" i="4"/>
  <c r="D897" i="4"/>
  <c r="A897" i="4"/>
  <c r="O896" i="4"/>
  <c r="N896" i="4"/>
  <c r="M896" i="4"/>
  <c r="L896" i="4"/>
  <c r="K896" i="4"/>
  <c r="J896" i="4"/>
  <c r="I896" i="4"/>
  <c r="H896" i="4"/>
  <c r="G896" i="4"/>
  <c r="F896" i="4"/>
  <c r="E896" i="4"/>
  <c r="D896" i="4"/>
  <c r="A896" i="4"/>
  <c r="O895" i="4"/>
  <c r="N895" i="4"/>
  <c r="M895" i="4"/>
  <c r="L895" i="4"/>
  <c r="K895" i="4"/>
  <c r="J895" i="4"/>
  <c r="I895" i="4"/>
  <c r="H895" i="4"/>
  <c r="G895" i="4"/>
  <c r="F895" i="4"/>
  <c r="E895" i="4"/>
  <c r="D895" i="4"/>
  <c r="A895" i="4"/>
  <c r="O894" i="4"/>
  <c r="N894" i="4"/>
  <c r="M894" i="4"/>
  <c r="L894" i="4"/>
  <c r="K894" i="4"/>
  <c r="J894" i="4"/>
  <c r="I894" i="4"/>
  <c r="H894" i="4"/>
  <c r="G894" i="4"/>
  <c r="F894" i="4"/>
  <c r="E894" i="4"/>
  <c r="D894" i="4"/>
  <c r="A894" i="4"/>
  <c r="O893" i="4"/>
  <c r="N893" i="4"/>
  <c r="M893" i="4"/>
  <c r="L893" i="4"/>
  <c r="K893" i="4"/>
  <c r="J893" i="4"/>
  <c r="I893" i="4"/>
  <c r="H893" i="4"/>
  <c r="G893" i="4"/>
  <c r="F893" i="4"/>
  <c r="E893" i="4"/>
  <c r="D893" i="4"/>
  <c r="A893" i="4"/>
  <c r="O892" i="4"/>
  <c r="N892" i="4"/>
  <c r="M892" i="4"/>
  <c r="L892" i="4"/>
  <c r="K892" i="4"/>
  <c r="J892" i="4"/>
  <c r="I892" i="4"/>
  <c r="H892" i="4"/>
  <c r="G892" i="4"/>
  <c r="F892" i="4"/>
  <c r="E892" i="4"/>
  <c r="D892" i="4"/>
  <c r="A892" i="4"/>
  <c r="O891" i="4"/>
  <c r="N891" i="4"/>
  <c r="M891" i="4"/>
  <c r="L891" i="4"/>
  <c r="K891" i="4"/>
  <c r="J891" i="4"/>
  <c r="I891" i="4"/>
  <c r="H891" i="4"/>
  <c r="G891" i="4"/>
  <c r="F891" i="4"/>
  <c r="E891" i="4"/>
  <c r="D891" i="4"/>
  <c r="A891" i="4"/>
  <c r="O890" i="4"/>
  <c r="N890" i="4"/>
  <c r="M890" i="4"/>
  <c r="L890" i="4"/>
  <c r="K890" i="4"/>
  <c r="J890" i="4"/>
  <c r="I890" i="4"/>
  <c r="H890" i="4"/>
  <c r="G890" i="4"/>
  <c r="F890" i="4"/>
  <c r="E890" i="4"/>
  <c r="D890" i="4"/>
  <c r="A890" i="4"/>
  <c r="O889" i="4"/>
  <c r="N889" i="4"/>
  <c r="M889" i="4"/>
  <c r="L889" i="4"/>
  <c r="K889" i="4"/>
  <c r="J889" i="4"/>
  <c r="I889" i="4"/>
  <c r="H889" i="4"/>
  <c r="G889" i="4"/>
  <c r="F889" i="4"/>
  <c r="E889" i="4"/>
  <c r="D889" i="4"/>
  <c r="A889" i="4"/>
  <c r="O888" i="4"/>
  <c r="N888" i="4"/>
  <c r="M888" i="4"/>
  <c r="L888" i="4"/>
  <c r="K888" i="4"/>
  <c r="J888" i="4"/>
  <c r="I888" i="4"/>
  <c r="H888" i="4"/>
  <c r="G888" i="4"/>
  <c r="F888" i="4"/>
  <c r="E888" i="4"/>
  <c r="D888" i="4"/>
  <c r="A888" i="4"/>
  <c r="O887" i="4"/>
  <c r="N887" i="4"/>
  <c r="M887" i="4"/>
  <c r="L887" i="4"/>
  <c r="K887" i="4"/>
  <c r="J887" i="4"/>
  <c r="I887" i="4"/>
  <c r="H887" i="4"/>
  <c r="G887" i="4"/>
  <c r="F887" i="4"/>
  <c r="E887" i="4"/>
  <c r="D887" i="4"/>
  <c r="A887" i="4"/>
  <c r="O886" i="4"/>
  <c r="N886" i="4"/>
  <c r="M886" i="4"/>
  <c r="L886" i="4"/>
  <c r="K886" i="4"/>
  <c r="J886" i="4"/>
  <c r="I886" i="4"/>
  <c r="H886" i="4"/>
  <c r="G886" i="4"/>
  <c r="F886" i="4"/>
  <c r="E886" i="4"/>
  <c r="D886" i="4"/>
  <c r="A886" i="4"/>
  <c r="O885" i="4"/>
  <c r="N885" i="4"/>
  <c r="M885" i="4"/>
  <c r="L885" i="4"/>
  <c r="K885" i="4"/>
  <c r="J885" i="4"/>
  <c r="I885" i="4"/>
  <c r="H885" i="4"/>
  <c r="G885" i="4"/>
  <c r="F885" i="4"/>
  <c r="E885" i="4"/>
  <c r="D885" i="4"/>
  <c r="A885" i="4"/>
  <c r="O884" i="4"/>
  <c r="N884" i="4"/>
  <c r="M884" i="4"/>
  <c r="L884" i="4"/>
  <c r="K884" i="4"/>
  <c r="J884" i="4"/>
  <c r="I884" i="4"/>
  <c r="H884" i="4"/>
  <c r="G884" i="4"/>
  <c r="F884" i="4"/>
  <c r="E884" i="4"/>
  <c r="D884" i="4"/>
  <c r="A884" i="4"/>
  <c r="O883" i="4"/>
  <c r="N883" i="4"/>
  <c r="M883" i="4"/>
  <c r="L883" i="4"/>
  <c r="K883" i="4"/>
  <c r="J883" i="4"/>
  <c r="I883" i="4"/>
  <c r="H883" i="4"/>
  <c r="G883" i="4"/>
  <c r="F883" i="4"/>
  <c r="E883" i="4"/>
  <c r="D883" i="4"/>
  <c r="A883" i="4"/>
  <c r="O882" i="4"/>
  <c r="N882" i="4"/>
  <c r="M882" i="4"/>
  <c r="L882" i="4"/>
  <c r="K882" i="4"/>
  <c r="J882" i="4"/>
  <c r="I882" i="4"/>
  <c r="H882" i="4"/>
  <c r="G882" i="4"/>
  <c r="F882" i="4"/>
  <c r="E882" i="4"/>
  <c r="D882" i="4"/>
  <c r="A882" i="4"/>
  <c r="O881" i="4"/>
  <c r="N881" i="4"/>
  <c r="M881" i="4"/>
  <c r="L881" i="4"/>
  <c r="K881" i="4"/>
  <c r="J881" i="4"/>
  <c r="I881" i="4"/>
  <c r="H881" i="4"/>
  <c r="G881" i="4"/>
  <c r="F881" i="4"/>
  <c r="E881" i="4"/>
  <c r="D881" i="4"/>
  <c r="A881" i="4"/>
  <c r="O880" i="4"/>
  <c r="N880" i="4"/>
  <c r="M880" i="4"/>
  <c r="L880" i="4"/>
  <c r="K880" i="4"/>
  <c r="J880" i="4"/>
  <c r="I880" i="4"/>
  <c r="H880" i="4"/>
  <c r="G880" i="4"/>
  <c r="F880" i="4"/>
  <c r="E880" i="4"/>
  <c r="D880" i="4"/>
  <c r="A880" i="4"/>
  <c r="O879" i="4"/>
  <c r="N879" i="4"/>
  <c r="M879" i="4"/>
  <c r="L879" i="4"/>
  <c r="K879" i="4"/>
  <c r="J879" i="4"/>
  <c r="I879" i="4"/>
  <c r="H879" i="4"/>
  <c r="G879" i="4"/>
  <c r="F879" i="4"/>
  <c r="E879" i="4"/>
  <c r="D879" i="4"/>
  <c r="A879" i="4"/>
  <c r="O878" i="4"/>
  <c r="N878" i="4"/>
  <c r="M878" i="4"/>
  <c r="L878" i="4"/>
  <c r="K878" i="4"/>
  <c r="J878" i="4"/>
  <c r="I878" i="4"/>
  <c r="H878" i="4"/>
  <c r="G878" i="4"/>
  <c r="F878" i="4"/>
  <c r="E878" i="4"/>
  <c r="D878" i="4"/>
  <c r="A878" i="4"/>
  <c r="O877" i="4"/>
  <c r="N877" i="4"/>
  <c r="M877" i="4"/>
  <c r="L877" i="4"/>
  <c r="K877" i="4"/>
  <c r="J877" i="4"/>
  <c r="I877" i="4"/>
  <c r="H877" i="4"/>
  <c r="G877" i="4"/>
  <c r="F877" i="4"/>
  <c r="E877" i="4"/>
  <c r="D877" i="4"/>
  <c r="A877" i="4"/>
  <c r="O876" i="4"/>
  <c r="N876" i="4"/>
  <c r="M876" i="4"/>
  <c r="L876" i="4"/>
  <c r="K876" i="4"/>
  <c r="J876" i="4"/>
  <c r="I876" i="4"/>
  <c r="H876" i="4"/>
  <c r="G876" i="4"/>
  <c r="F876" i="4"/>
  <c r="E876" i="4"/>
  <c r="D876" i="4"/>
  <c r="A876" i="4"/>
  <c r="O875" i="4"/>
  <c r="N875" i="4"/>
  <c r="M875" i="4"/>
  <c r="L875" i="4"/>
  <c r="K875" i="4"/>
  <c r="J875" i="4"/>
  <c r="I875" i="4"/>
  <c r="H875" i="4"/>
  <c r="G875" i="4"/>
  <c r="F875" i="4"/>
  <c r="E875" i="4"/>
  <c r="D875" i="4"/>
  <c r="A875" i="4"/>
  <c r="O874" i="4"/>
  <c r="N874" i="4"/>
  <c r="M874" i="4"/>
  <c r="L874" i="4"/>
  <c r="K874" i="4"/>
  <c r="J874" i="4"/>
  <c r="I874" i="4"/>
  <c r="H874" i="4"/>
  <c r="G874" i="4"/>
  <c r="F874" i="4"/>
  <c r="E874" i="4"/>
  <c r="D874" i="4"/>
  <c r="A874" i="4"/>
  <c r="O873" i="4"/>
  <c r="N873" i="4"/>
  <c r="M873" i="4"/>
  <c r="L873" i="4"/>
  <c r="K873" i="4"/>
  <c r="J873" i="4"/>
  <c r="I873" i="4"/>
  <c r="H873" i="4"/>
  <c r="G873" i="4"/>
  <c r="F873" i="4"/>
  <c r="E873" i="4"/>
  <c r="D873" i="4"/>
  <c r="A873" i="4"/>
  <c r="O872" i="4"/>
  <c r="N872" i="4"/>
  <c r="M872" i="4"/>
  <c r="L872" i="4"/>
  <c r="K872" i="4"/>
  <c r="J872" i="4"/>
  <c r="I872" i="4"/>
  <c r="H872" i="4"/>
  <c r="G872" i="4"/>
  <c r="F872" i="4"/>
  <c r="E872" i="4"/>
  <c r="D872" i="4"/>
  <c r="A872" i="4"/>
  <c r="O871" i="4"/>
  <c r="N871" i="4"/>
  <c r="M871" i="4"/>
  <c r="L871" i="4"/>
  <c r="K871" i="4"/>
  <c r="J871" i="4"/>
  <c r="I871" i="4"/>
  <c r="H871" i="4"/>
  <c r="G871" i="4"/>
  <c r="F871" i="4"/>
  <c r="E871" i="4"/>
  <c r="D871" i="4"/>
  <c r="A871" i="4"/>
  <c r="O870" i="4"/>
  <c r="N870" i="4"/>
  <c r="M870" i="4"/>
  <c r="L870" i="4"/>
  <c r="K870" i="4"/>
  <c r="J870" i="4"/>
  <c r="I870" i="4"/>
  <c r="H870" i="4"/>
  <c r="G870" i="4"/>
  <c r="F870" i="4"/>
  <c r="E870" i="4"/>
  <c r="D870" i="4"/>
  <c r="A870" i="4"/>
  <c r="O869" i="4"/>
  <c r="N869" i="4"/>
  <c r="M869" i="4"/>
  <c r="L869" i="4"/>
  <c r="K869" i="4"/>
  <c r="J869" i="4"/>
  <c r="I869" i="4"/>
  <c r="H869" i="4"/>
  <c r="G869" i="4"/>
  <c r="F869" i="4"/>
  <c r="E869" i="4"/>
  <c r="D869" i="4"/>
  <c r="A869" i="4"/>
  <c r="O868" i="4"/>
  <c r="N868" i="4"/>
  <c r="M868" i="4"/>
  <c r="L868" i="4"/>
  <c r="K868" i="4"/>
  <c r="J868" i="4"/>
  <c r="I868" i="4"/>
  <c r="H868" i="4"/>
  <c r="G868" i="4"/>
  <c r="F868" i="4"/>
  <c r="E868" i="4"/>
  <c r="D868" i="4"/>
  <c r="A868" i="4"/>
  <c r="O867" i="4"/>
  <c r="N867" i="4"/>
  <c r="M867" i="4"/>
  <c r="L867" i="4"/>
  <c r="K867" i="4"/>
  <c r="J867" i="4"/>
  <c r="I867" i="4"/>
  <c r="H867" i="4"/>
  <c r="G867" i="4"/>
  <c r="F867" i="4"/>
  <c r="E867" i="4"/>
  <c r="D867" i="4"/>
  <c r="A867" i="4"/>
  <c r="O866" i="4"/>
  <c r="N866" i="4"/>
  <c r="M866" i="4"/>
  <c r="L866" i="4"/>
  <c r="K866" i="4"/>
  <c r="J866" i="4"/>
  <c r="I866" i="4"/>
  <c r="H866" i="4"/>
  <c r="G866" i="4"/>
  <c r="F866" i="4"/>
  <c r="E866" i="4"/>
  <c r="D866" i="4"/>
  <c r="A866" i="4"/>
  <c r="O865" i="4"/>
  <c r="N865" i="4"/>
  <c r="M865" i="4"/>
  <c r="L865" i="4"/>
  <c r="K865" i="4"/>
  <c r="J865" i="4"/>
  <c r="I865" i="4"/>
  <c r="H865" i="4"/>
  <c r="G865" i="4"/>
  <c r="F865" i="4"/>
  <c r="E865" i="4"/>
  <c r="D865" i="4"/>
  <c r="A865" i="4"/>
  <c r="O864" i="4"/>
  <c r="N864" i="4"/>
  <c r="M864" i="4"/>
  <c r="L864" i="4"/>
  <c r="K864" i="4"/>
  <c r="J864" i="4"/>
  <c r="I864" i="4"/>
  <c r="H864" i="4"/>
  <c r="G864" i="4"/>
  <c r="F864" i="4"/>
  <c r="E864" i="4"/>
  <c r="D864" i="4"/>
  <c r="A864" i="4"/>
  <c r="O863" i="4"/>
  <c r="N863" i="4"/>
  <c r="M863" i="4"/>
  <c r="L863" i="4"/>
  <c r="K863" i="4"/>
  <c r="J863" i="4"/>
  <c r="I863" i="4"/>
  <c r="H863" i="4"/>
  <c r="G863" i="4"/>
  <c r="F863" i="4"/>
  <c r="E863" i="4"/>
  <c r="D863" i="4"/>
  <c r="A863" i="4"/>
  <c r="O862" i="4"/>
  <c r="N862" i="4"/>
  <c r="M862" i="4"/>
  <c r="L862" i="4"/>
  <c r="K862" i="4"/>
  <c r="J862" i="4"/>
  <c r="I862" i="4"/>
  <c r="H862" i="4"/>
  <c r="G862" i="4"/>
  <c r="F862" i="4"/>
  <c r="E862" i="4"/>
  <c r="D862" i="4"/>
  <c r="A862" i="4"/>
  <c r="O861" i="4"/>
  <c r="N861" i="4"/>
  <c r="M861" i="4"/>
  <c r="L861" i="4"/>
  <c r="K861" i="4"/>
  <c r="J861" i="4"/>
  <c r="I861" i="4"/>
  <c r="H861" i="4"/>
  <c r="G861" i="4"/>
  <c r="F861" i="4"/>
  <c r="E861" i="4"/>
  <c r="D861" i="4"/>
  <c r="A861" i="4"/>
  <c r="O860" i="4"/>
  <c r="N860" i="4"/>
  <c r="M860" i="4"/>
  <c r="L860" i="4"/>
  <c r="K860" i="4"/>
  <c r="J860" i="4"/>
  <c r="I860" i="4"/>
  <c r="H860" i="4"/>
  <c r="G860" i="4"/>
  <c r="F860" i="4"/>
  <c r="E860" i="4"/>
  <c r="D860" i="4"/>
  <c r="A860" i="4"/>
  <c r="O859" i="4"/>
  <c r="N859" i="4"/>
  <c r="M859" i="4"/>
  <c r="L859" i="4"/>
  <c r="K859" i="4"/>
  <c r="J859" i="4"/>
  <c r="I859" i="4"/>
  <c r="H859" i="4"/>
  <c r="G859" i="4"/>
  <c r="F859" i="4"/>
  <c r="E859" i="4"/>
  <c r="D859" i="4"/>
  <c r="A859" i="4"/>
  <c r="O858" i="4"/>
  <c r="N858" i="4"/>
  <c r="M858" i="4"/>
  <c r="L858" i="4"/>
  <c r="K858" i="4"/>
  <c r="J858" i="4"/>
  <c r="I858" i="4"/>
  <c r="H858" i="4"/>
  <c r="G858" i="4"/>
  <c r="F858" i="4"/>
  <c r="E858" i="4"/>
  <c r="D858" i="4"/>
  <c r="A858" i="4"/>
  <c r="O857" i="4"/>
  <c r="N857" i="4"/>
  <c r="M857" i="4"/>
  <c r="L857" i="4"/>
  <c r="K857" i="4"/>
  <c r="J857" i="4"/>
  <c r="I857" i="4"/>
  <c r="H857" i="4"/>
  <c r="G857" i="4"/>
  <c r="F857" i="4"/>
  <c r="E857" i="4"/>
  <c r="D857" i="4"/>
  <c r="A857" i="4"/>
  <c r="O856" i="4"/>
  <c r="N856" i="4"/>
  <c r="M856" i="4"/>
  <c r="L856" i="4"/>
  <c r="K856" i="4"/>
  <c r="J856" i="4"/>
  <c r="I856" i="4"/>
  <c r="H856" i="4"/>
  <c r="G856" i="4"/>
  <c r="F856" i="4"/>
  <c r="E856" i="4"/>
  <c r="D856" i="4"/>
  <c r="A856" i="4"/>
  <c r="O855" i="4"/>
  <c r="N855" i="4"/>
  <c r="M855" i="4"/>
  <c r="L855" i="4"/>
  <c r="K855" i="4"/>
  <c r="J855" i="4"/>
  <c r="I855" i="4"/>
  <c r="H855" i="4"/>
  <c r="G855" i="4"/>
  <c r="F855" i="4"/>
  <c r="E855" i="4"/>
  <c r="D855" i="4"/>
  <c r="A855" i="4"/>
  <c r="O854" i="4"/>
  <c r="N854" i="4"/>
  <c r="M854" i="4"/>
  <c r="L854" i="4"/>
  <c r="K854" i="4"/>
  <c r="J854" i="4"/>
  <c r="I854" i="4"/>
  <c r="H854" i="4"/>
  <c r="G854" i="4"/>
  <c r="F854" i="4"/>
  <c r="E854" i="4"/>
  <c r="D854" i="4"/>
  <c r="A854" i="4"/>
  <c r="O853" i="4"/>
  <c r="N853" i="4"/>
  <c r="M853" i="4"/>
  <c r="L853" i="4"/>
  <c r="K853" i="4"/>
  <c r="J853" i="4"/>
  <c r="I853" i="4"/>
  <c r="H853" i="4"/>
  <c r="G853" i="4"/>
  <c r="F853" i="4"/>
  <c r="E853" i="4"/>
  <c r="D853" i="4"/>
  <c r="A853" i="4"/>
  <c r="O852" i="4"/>
  <c r="N852" i="4"/>
  <c r="M852" i="4"/>
  <c r="L852" i="4"/>
  <c r="K852" i="4"/>
  <c r="J852" i="4"/>
  <c r="I852" i="4"/>
  <c r="H852" i="4"/>
  <c r="G852" i="4"/>
  <c r="F852" i="4"/>
  <c r="E852" i="4"/>
  <c r="D852" i="4"/>
  <c r="A852" i="4"/>
  <c r="O851" i="4"/>
  <c r="N851" i="4"/>
  <c r="M851" i="4"/>
  <c r="L851" i="4"/>
  <c r="K851" i="4"/>
  <c r="J851" i="4"/>
  <c r="I851" i="4"/>
  <c r="H851" i="4"/>
  <c r="G851" i="4"/>
  <c r="F851" i="4"/>
  <c r="E851" i="4"/>
  <c r="D851" i="4"/>
  <c r="A851" i="4"/>
  <c r="O850" i="4"/>
  <c r="N850" i="4"/>
  <c r="M850" i="4"/>
  <c r="L850" i="4"/>
  <c r="K850" i="4"/>
  <c r="J850" i="4"/>
  <c r="I850" i="4"/>
  <c r="H850" i="4"/>
  <c r="G850" i="4"/>
  <c r="F850" i="4"/>
  <c r="E850" i="4"/>
  <c r="D850" i="4"/>
  <c r="A850" i="4"/>
  <c r="O849" i="4"/>
  <c r="N849" i="4"/>
  <c r="M849" i="4"/>
  <c r="L849" i="4"/>
  <c r="K849" i="4"/>
  <c r="J849" i="4"/>
  <c r="I849" i="4"/>
  <c r="H849" i="4"/>
  <c r="G849" i="4"/>
  <c r="F849" i="4"/>
  <c r="E849" i="4"/>
  <c r="D849" i="4"/>
  <c r="A849" i="4"/>
  <c r="O848" i="4"/>
  <c r="N848" i="4"/>
  <c r="M848" i="4"/>
  <c r="L848" i="4"/>
  <c r="K848" i="4"/>
  <c r="J848" i="4"/>
  <c r="I848" i="4"/>
  <c r="H848" i="4"/>
  <c r="G848" i="4"/>
  <c r="F848" i="4"/>
  <c r="E848" i="4"/>
  <c r="D848" i="4"/>
  <c r="A848" i="4"/>
  <c r="O847" i="4"/>
  <c r="N847" i="4"/>
  <c r="M847" i="4"/>
  <c r="L847" i="4"/>
  <c r="K847" i="4"/>
  <c r="J847" i="4"/>
  <c r="I847" i="4"/>
  <c r="H847" i="4"/>
  <c r="G847" i="4"/>
  <c r="F847" i="4"/>
  <c r="E847" i="4"/>
  <c r="D847" i="4"/>
  <c r="C847" i="4"/>
  <c r="P847" i="4" s="1"/>
  <c r="B847" i="4"/>
  <c r="A847" i="4"/>
  <c r="O846" i="4"/>
  <c r="N846" i="4"/>
  <c r="M846" i="4"/>
  <c r="L846" i="4"/>
  <c r="K846" i="4"/>
  <c r="J846" i="4"/>
  <c r="I846" i="4"/>
  <c r="H846" i="4"/>
  <c r="G846" i="4"/>
  <c r="F846" i="4"/>
  <c r="E846" i="4"/>
  <c r="D846" i="4"/>
  <c r="A846" i="4"/>
  <c r="O845" i="4"/>
  <c r="N845" i="4"/>
  <c r="M845" i="4"/>
  <c r="L845" i="4"/>
  <c r="K845" i="4"/>
  <c r="J845" i="4"/>
  <c r="I845" i="4"/>
  <c r="H845" i="4"/>
  <c r="G845" i="4"/>
  <c r="F845" i="4"/>
  <c r="E845" i="4"/>
  <c r="D845" i="4"/>
  <c r="A845" i="4"/>
  <c r="O844" i="4"/>
  <c r="N844" i="4"/>
  <c r="M844" i="4"/>
  <c r="L844" i="4"/>
  <c r="K844" i="4"/>
  <c r="J844" i="4"/>
  <c r="I844" i="4"/>
  <c r="H844" i="4"/>
  <c r="G844" i="4"/>
  <c r="F844" i="4"/>
  <c r="E844" i="4"/>
  <c r="D844" i="4"/>
  <c r="A844" i="4"/>
  <c r="O843" i="4"/>
  <c r="N843" i="4"/>
  <c r="M843" i="4"/>
  <c r="L843" i="4"/>
  <c r="K843" i="4"/>
  <c r="J843" i="4"/>
  <c r="I843" i="4"/>
  <c r="H843" i="4"/>
  <c r="G843" i="4"/>
  <c r="F843" i="4"/>
  <c r="E843" i="4"/>
  <c r="D843" i="4"/>
  <c r="A843" i="4"/>
  <c r="O842" i="4"/>
  <c r="N842" i="4"/>
  <c r="M842" i="4"/>
  <c r="L842" i="4"/>
  <c r="K842" i="4"/>
  <c r="J842" i="4"/>
  <c r="I842" i="4"/>
  <c r="H842" i="4"/>
  <c r="G842" i="4"/>
  <c r="F842" i="4"/>
  <c r="E842" i="4"/>
  <c r="D842" i="4"/>
  <c r="A842" i="4"/>
  <c r="O841" i="4"/>
  <c r="N841" i="4"/>
  <c r="M841" i="4"/>
  <c r="L841" i="4"/>
  <c r="K841" i="4"/>
  <c r="J841" i="4"/>
  <c r="I841" i="4"/>
  <c r="H841" i="4"/>
  <c r="G841" i="4"/>
  <c r="F841" i="4"/>
  <c r="E841" i="4"/>
  <c r="D841" i="4"/>
  <c r="A841" i="4"/>
  <c r="O840" i="4"/>
  <c r="N840" i="4"/>
  <c r="M840" i="4"/>
  <c r="L840" i="4"/>
  <c r="K840" i="4"/>
  <c r="J840" i="4"/>
  <c r="I840" i="4"/>
  <c r="H840" i="4"/>
  <c r="G840" i="4"/>
  <c r="F840" i="4"/>
  <c r="E840" i="4"/>
  <c r="D840" i="4"/>
  <c r="A840" i="4"/>
  <c r="O839" i="4"/>
  <c r="N839" i="4"/>
  <c r="M839" i="4"/>
  <c r="L839" i="4"/>
  <c r="K839" i="4"/>
  <c r="J839" i="4"/>
  <c r="I839" i="4"/>
  <c r="H839" i="4"/>
  <c r="G839" i="4"/>
  <c r="F839" i="4"/>
  <c r="E839" i="4"/>
  <c r="D839" i="4"/>
  <c r="A839" i="4"/>
  <c r="O838" i="4"/>
  <c r="N838" i="4"/>
  <c r="M838" i="4"/>
  <c r="L838" i="4"/>
  <c r="K838" i="4"/>
  <c r="J838" i="4"/>
  <c r="I838" i="4"/>
  <c r="H838" i="4"/>
  <c r="G838" i="4"/>
  <c r="F838" i="4"/>
  <c r="E838" i="4"/>
  <c r="D838" i="4"/>
  <c r="A838" i="4"/>
  <c r="O837" i="4"/>
  <c r="N837" i="4"/>
  <c r="M837" i="4"/>
  <c r="L837" i="4"/>
  <c r="K837" i="4"/>
  <c r="J837" i="4"/>
  <c r="I837" i="4"/>
  <c r="H837" i="4"/>
  <c r="G837" i="4"/>
  <c r="F837" i="4"/>
  <c r="E837" i="4"/>
  <c r="D837" i="4"/>
  <c r="A837" i="4"/>
  <c r="O836" i="4"/>
  <c r="N836" i="4"/>
  <c r="M836" i="4"/>
  <c r="L836" i="4"/>
  <c r="K836" i="4"/>
  <c r="J836" i="4"/>
  <c r="I836" i="4"/>
  <c r="H836" i="4"/>
  <c r="G836" i="4"/>
  <c r="F836" i="4"/>
  <c r="E836" i="4"/>
  <c r="D836" i="4"/>
  <c r="A836" i="4"/>
  <c r="O835" i="4"/>
  <c r="N835" i="4"/>
  <c r="M835" i="4"/>
  <c r="L835" i="4"/>
  <c r="K835" i="4"/>
  <c r="J835" i="4"/>
  <c r="I835" i="4"/>
  <c r="H835" i="4"/>
  <c r="G835" i="4"/>
  <c r="F835" i="4"/>
  <c r="E835" i="4"/>
  <c r="D835" i="4"/>
  <c r="A835" i="4"/>
  <c r="O834" i="4"/>
  <c r="N834" i="4"/>
  <c r="M834" i="4"/>
  <c r="L834" i="4"/>
  <c r="K834" i="4"/>
  <c r="J834" i="4"/>
  <c r="I834" i="4"/>
  <c r="H834" i="4"/>
  <c r="G834" i="4"/>
  <c r="F834" i="4"/>
  <c r="E834" i="4"/>
  <c r="D834" i="4"/>
  <c r="A834" i="4"/>
  <c r="O833" i="4"/>
  <c r="N833" i="4"/>
  <c r="M833" i="4"/>
  <c r="L833" i="4"/>
  <c r="K833" i="4"/>
  <c r="J833" i="4"/>
  <c r="I833" i="4"/>
  <c r="H833" i="4"/>
  <c r="G833" i="4"/>
  <c r="F833" i="4"/>
  <c r="E833" i="4"/>
  <c r="D833" i="4"/>
  <c r="A833" i="4"/>
  <c r="O832" i="4"/>
  <c r="N832" i="4"/>
  <c r="M832" i="4"/>
  <c r="L832" i="4"/>
  <c r="K832" i="4"/>
  <c r="J832" i="4"/>
  <c r="I832" i="4"/>
  <c r="H832" i="4"/>
  <c r="G832" i="4"/>
  <c r="F832" i="4"/>
  <c r="E832" i="4"/>
  <c r="D832" i="4"/>
  <c r="A832" i="4"/>
  <c r="O831" i="4"/>
  <c r="N831" i="4"/>
  <c r="M831" i="4"/>
  <c r="L831" i="4"/>
  <c r="K831" i="4"/>
  <c r="J831" i="4"/>
  <c r="I831" i="4"/>
  <c r="H831" i="4"/>
  <c r="G831" i="4"/>
  <c r="F831" i="4"/>
  <c r="E831" i="4"/>
  <c r="D831" i="4"/>
  <c r="A831" i="4"/>
  <c r="O830" i="4"/>
  <c r="N830" i="4"/>
  <c r="M830" i="4"/>
  <c r="L830" i="4"/>
  <c r="K830" i="4"/>
  <c r="J830" i="4"/>
  <c r="I830" i="4"/>
  <c r="H830" i="4"/>
  <c r="G830" i="4"/>
  <c r="F830" i="4"/>
  <c r="E830" i="4"/>
  <c r="D830" i="4"/>
  <c r="A830" i="4"/>
  <c r="O829" i="4"/>
  <c r="N829" i="4"/>
  <c r="M829" i="4"/>
  <c r="L829" i="4"/>
  <c r="K829" i="4"/>
  <c r="J829" i="4"/>
  <c r="I829" i="4"/>
  <c r="H829" i="4"/>
  <c r="G829" i="4"/>
  <c r="F829" i="4"/>
  <c r="E829" i="4"/>
  <c r="D829" i="4"/>
  <c r="A829" i="4"/>
  <c r="O828" i="4"/>
  <c r="N828" i="4"/>
  <c r="M828" i="4"/>
  <c r="L828" i="4"/>
  <c r="K828" i="4"/>
  <c r="J828" i="4"/>
  <c r="I828" i="4"/>
  <c r="H828" i="4"/>
  <c r="G828" i="4"/>
  <c r="F828" i="4"/>
  <c r="E828" i="4"/>
  <c r="D828" i="4"/>
  <c r="A828" i="4"/>
  <c r="O827" i="4"/>
  <c r="N827" i="4"/>
  <c r="M827" i="4"/>
  <c r="L827" i="4"/>
  <c r="K827" i="4"/>
  <c r="J827" i="4"/>
  <c r="I827" i="4"/>
  <c r="H827" i="4"/>
  <c r="G827" i="4"/>
  <c r="F827" i="4"/>
  <c r="E827" i="4"/>
  <c r="D827" i="4"/>
  <c r="A827" i="4"/>
  <c r="O826" i="4"/>
  <c r="N826" i="4"/>
  <c r="M826" i="4"/>
  <c r="L826" i="4"/>
  <c r="K826" i="4"/>
  <c r="J826" i="4"/>
  <c r="I826" i="4"/>
  <c r="H826" i="4"/>
  <c r="G826" i="4"/>
  <c r="F826" i="4"/>
  <c r="E826" i="4"/>
  <c r="D826" i="4"/>
  <c r="A826" i="4"/>
  <c r="O825" i="4"/>
  <c r="N825" i="4"/>
  <c r="M825" i="4"/>
  <c r="L825" i="4"/>
  <c r="K825" i="4"/>
  <c r="J825" i="4"/>
  <c r="I825" i="4"/>
  <c r="H825" i="4"/>
  <c r="G825" i="4"/>
  <c r="F825" i="4"/>
  <c r="E825" i="4"/>
  <c r="D825" i="4"/>
  <c r="A825" i="4"/>
  <c r="O824" i="4"/>
  <c r="N824" i="4"/>
  <c r="M824" i="4"/>
  <c r="L824" i="4"/>
  <c r="K824" i="4"/>
  <c r="J824" i="4"/>
  <c r="I824" i="4"/>
  <c r="H824" i="4"/>
  <c r="G824" i="4"/>
  <c r="F824" i="4"/>
  <c r="E824" i="4"/>
  <c r="D824" i="4"/>
  <c r="A824" i="4"/>
  <c r="O823" i="4"/>
  <c r="N823" i="4"/>
  <c r="M823" i="4"/>
  <c r="L823" i="4"/>
  <c r="K823" i="4"/>
  <c r="J823" i="4"/>
  <c r="I823" i="4"/>
  <c r="H823" i="4"/>
  <c r="G823" i="4"/>
  <c r="F823" i="4"/>
  <c r="E823" i="4"/>
  <c r="D823" i="4"/>
  <c r="A823" i="4"/>
  <c r="O822" i="4"/>
  <c r="N822" i="4"/>
  <c r="M822" i="4"/>
  <c r="L822" i="4"/>
  <c r="K822" i="4"/>
  <c r="J822" i="4"/>
  <c r="I822" i="4"/>
  <c r="H822" i="4"/>
  <c r="G822" i="4"/>
  <c r="F822" i="4"/>
  <c r="E822" i="4"/>
  <c r="D822" i="4"/>
  <c r="A822" i="4"/>
  <c r="O821" i="4"/>
  <c r="N821" i="4"/>
  <c r="M821" i="4"/>
  <c r="L821" i="4"/>
  <c r="K821" i="4"/>
  <c r="J821" i="4"/>
  <c r="I821" i="4"/>
  <c r="H821" i="4"/>
  <c r="G821" i="4"/>
  <c r="F821" i="4"/>
  <c r="E821" i="4"/>
  <c r="D821" i="4"/>
  <c r="A821" i="4"/>
  <c r="O820" i="4"/>
  <c r="N820" i="4"/>
  <c r="M820" i="4"/>
  <c r="L820" i="4"/>
  <c r="K820" i="4"/>
  <c r="J820" i="4"/>
  <c r="I820" i="4"/>
  <c r="H820" i="4"/>
  <c r="G820" i="4"/>
  <c r="F820" i="4"/>
  <c r="E820" i="4"/>
  <c r="D820" i="4"/>
  <c r="A820" i="4"/>
  <c r="O819" i="4"/>
  <c r="N819" i="4"/>
  <c r="M819" i="4"/>
  <c r="L819" i="4"/>
  <c r="K819" i="4"/>
  <c r="J819" i="4"/>
  <c r="I819" i="4"/>
  <c r="H819" i="4"/>
  <c r="G819" i="4"/>
  <c r="F819" i="4"/>
  <c r="E819" i="4"/>
  <c r="D819" i="4"/>
  <c r="A819" i="4"/>
  <c r="O818" i="4"/>
  <c r="N818" i="4"/>
  <c r="M818" i="4"/>
  <c r="L818" i="4"/>
  <c r="K818" i="4"/>
  <c r="J818" i="4"/>
  <c r="I818" i="4"/>
  <c r="H818" i="4"/>
  <c r="G818" i="4"/>
  <c r="F818" i="4"/>
  <c r="E818" i="4"/>
  <c r="D818" i="4"/>
  <c r="A818" i="4"/>
  <c r="O817" i="4"/>
  <c r="N817" i="4"/>
  <c r="M817" i="4"/>
  <c r="L817" i="4"/>
  <c r="K817" i="4"/>
  <c r="J817" i="4"/>
  <c r="I817" i="4"/>
  <c r="H817" i="4"/>
  <c r="G817" i="4"/>
  <c r="F817" i="4"/>
  <c r="E817" i="4"/>
  <c r="D817" i="4"/>
  <c r="A817" i="4"/>
  <c r="O816" i="4"/>
  <c r="N816" i="4"/>
  <c r="M816" i="4"/>
  <c r="L816" i="4"/>
  <c r="K816" i="4"/>
  <c r="J816" i="4"/>
  <c r="I816" i="4"/>
  <c r="H816" i="4"/>
  <c r="G816" i="4"/>
  <c r="F816" i="4"/>
  <c r="E816" i="4"/>
  <c r="D816" i="4"/>
  <c r="A816" i="4"/>
  <c r="O815" i="4"/>
  <c r="N815" i="4"/>
  <c r="M815" i="4"/>
  <c r="L815" i="4"/>
  <c r="K815" i="4"/>
  <c r="J815" i="4"/>
  <c r="I815" i="4"/>
  <c r="H815" i="4"/>
  <c r="G815" i="4"/>
  <c r="F815" i="4"/>
  <c r="E815" i="4"/>
  <c r="D815" i="4"/>
  <c r="A815" i="4"/>
  <c r="O814" i="4"/>
  <c r="N814" i="4"/>
  <c r="M814" i="4"/>
  <c r="L814" i="4"/>
  <c r="K814" i="4"/>
  <c r="J814" i="4"/>
  <c r="I814" i="4"/>
  <c r="H814" i="4"/>
  <c r="G814" i="4"/>
  <c r="F814" i="4"/>
  <c r="E814" i="4"/>
  <c r="D814" i="4"/>
  <c r="A814" i="4"/>
  <c r="O813" i="4"/>
  <c r="N813" i="4"/>
  <c r="M813" i="4"/>
  <c r="L813" i="4"/>
  <c r="K813" i="4"/>
  <c r="J813" i="4"/>
  <c r="I813" i="4"/>
  <c r="H813" i="4"/>
  <c r="G813" i="4"/>
  <c r="F813" i="4"/>
  <c r="E813" i="4"/>
  <c r="D813" i="4"/>
  <c r="A813" i="4"/>
  <c r="O812" i="4"/>
  <c r="N812" i="4"/>
  <c r="M812" i="4"/>
  <c r="L812" i="4"/>
  <c r="K812" i="4"/>
  <c r="J812" i="4"/>
  <c r="I812" i="4"/>
  <c r="H812" i="4"/>
  <c r="G812" i="4"/>
  <c r="F812" i="4"/>
  <c r="E812" i="4"/>
  <c r="D812" i="4"/>
  <c r="A812" i="4"/>
  <c r="O811" i="4"/>
  <c r="N811" i="4"/>
  <c r="M811" i="4"/>
  <c r="L811" i="4"/>
  <c r="K811" i="4"/>
  <c r="J811" i="4"/>
  <c r="I811" i="4"/>
  <c r="H811" i="4"/>
  <c r="G811" i="4"/>
  <c r="F811" i="4"/>
  <c r="E811" i="4"/>
  <c r="D811" i="4"/>
  <c r="A811" i="4"/>
  <c r="O810" i="4"/>
  <c r="N810" i="4"/>
  <c r="M810" i="4"/>
  <c r="L810" i="4"/>
  <c r="K810" i="4"/>
  <c r="J810" i="4"/>
  <c r="I810" i="4"/>
  <c r="H810" i="4"/>
  <c r="G810" i="4"/>
  <c r="F810" i="4"/>
  <c r="E810" i="4"/>
  <c r="D810" i="4"/>
  <c r="A810" i="4"/>
  <c r="O809" i="4"/>
  <c r="N809" i="4"/>
  <c r="M809" i="4"/>
  <c r="L809" i="4"/>
  <c r="K809" i="4"/>
  <c r="J809" i="4"/>
  <c r="I809" i="4"/>
  <c r="H809" i="4"/>
  <c r="G809" i="4"/>
  <c r="F809" i="4"/>
  <c r="E809" i="4"/>
  <c r="D809" i="4"/>
  <c r="A809" i="4"/>
  <c r="O808" i="4"/>
  <c r="N808" i="4"/>
  <c r="M808" i="4"/>
  <c r="L808" i="4"/>
  <c r="K808" i="4"/>
  <c r="J808" i="4"/>
  <c r="I808" i="4"/>
  <c r="H808" i="4"/>
  <c r="G808" i="4"/>
  <c r="F808" i="4"/>
  <c r="E808" i="4"/>
  <c r="D808" i="4"/>
  <c r="A808" i="4"/>
  <c r="O807" i="4"/>
  <c r="N807" i="4"/>
  <c r="M807" i="4"/>
  <c r="L807" i="4"/>
  <c r="K807" i="4"/>
  <c r="J807" i="4"/>
  <c r="I807" i="4"/>
  <c r="H807" i="4"/>
  <c r="G807" i="4"/>
  <c r="F807" i="4"/>
  <c r="E807" i="4"/>
  <c r="D807" i="4"/>
  <c r="A807" i="4"/>
  <c r="O806" i="4"/>
  <c r="N806" i="4"/>
  <c r="M806" i="4"/>
  <c r="L806" i="4"/>
  <c r="K806" i="4"/>
  <c r="J806" i="4"/>
  <c r="I806" i="4"/>
  <c r="H806" i="4"/>
  <c r="G806" i="4"/>
  <c r="F806" i="4"/>
  <c r="E806" i="4"/>
  <c r="D806" i="4"/>
  <c r="A806" i="4"/>
  <c r="O805" i="4"/>
  <c r="N805" i="4"/>
  <c r="M805" i="4"/>
  <c r="L805" i="4"/>
  <c r="K805" i="4"/>
  <c r="J805" i="4"/>
  <c r="I805" i="4"/>
  <c r="H805" i="4"/>
  <c r="G805" i="4"/>
  <c r="F805" i="4"/>
  <c r="E805" i="4"/>
  <c r="D805" i="4"/>
  <c r="A805" i="4"/>
  <c r="O804" i="4"/>
  <c r="N804" i="4"/>
  <c r="M804" i="4"/>
  <c r="L804" i="4"/>
  <c r="K804" i="4"/>
  <c r="J804" i="4"/>
  <c r="I804" i="4"/>
  <c r="H804" i="4"/>
  <c r="G804" i="4"/>
  <c r="F804" i="4"/>
  <c r="E804" i="4"/>
  <c r="D804" i="4"/>
  <c r="A804" i="4"/>
  <c r="O803" i="4"/>
  <c r="N803" i="4"/>
  <c r="M803" i="4"/>
  <c r="L803" i="4"/>
  <c r="K803" i="4"/>
  <c r="J803" i="4"/>
  <c r="I803" i="4"/>
  <c r="H803" i="4"/>
  <c r="G803" i="4"/>
  <c r="F803" i="4"/>
  <c r="E803" i="4"/>
  <c r="D803" i="4"/>
  <c r="A803" i="4"/>
  <c r="O802" i="4"/>
  <c r="N802" i="4"/>
  <c r="M802" i="4"/>
  <c r="L802" i="4"/>
  <c r="K802" i="4"/>
  <c r="J802" i="4"/>
  <c r="I802" i="4"/>
  <c r="H802" i="4"/>
  <c r="G802" i="4"/>
  <c r="F802" i="4"/>
  <c r="E802" i="4"/>
  <c r="D802" i="4"/>
  <c r="A802" i="4"/>
  <c r="O801" i="4"/>
  <c r="N801" i="4"/>
  <c r="M801" i="4"/>
  <c r="L801" i="4"/>
  <c r="K801" i="4"/>
  <c r="J801" i="4"/>
  <c r="I801" i="4"/>
  <c r="H801" i="4"/>
  <c r="G801" i="4"/>
  <c r="F801" i="4"/>
  <c r="E801" i="4"/>
  <c r="D801" i="4"/>
  <c r="A801" i="4"/>
  <c r="O800" i="4"/>
  <c r="N800" i="4"/>
  <c r="M800" i="4"/>
  <c r="L800" i="4"/>
  <c r="K800" i="4"/>
  <c r="J800" i="4"/>
  <c r="I800" i="4"/>
  <c r="H800" i="4"/>
  <c r="G800" i="4"/>
  <c r="F800" i="4"/>
  <c r="E800" i="4"/>
  <c r="D800" i="4"/>
  <c r="A800" i="4"/>
  <c r="O799" i="4"/>
  <c r="N799" i="4"/>
  <c r="M799" i="4"/>
  <c r="L799" i="4"/>
  <c r="K799" i="4"/>
  <c r="J799" i="4"/>
  <c r="I799" i="4"/>
  <c r="H799" i="4"/>
  <c r="G799" i="4"/>
  <c r="F799" i="4"/>
  <c r="E799" i="4"/>
  <c r="D799" i="4"/>
  <c r="A799" i="4"/>
  <c r="O798" i="4"/>
  <c r="N798" i="4"/>
  <c r="M798" i="4"/>
  <c r="L798" i="4"/>
  <c r="K798" i="4"/>
  <c r="J798" i="4"/>
  <c r="I798" i="4"/>
  <c r="H798" i="4"/>
  <c r="G798" i="4"/>
  <c r="F798" i="4"/>
  <c r="E798" i="4"/>
  <c r="D798" i="4"/>
  <c r="A798" i="4"/>
  <c r="O797" i="4"/>
  <c r="N797" i="4"/>
  <c r="M797" i="4"/>
  <c r="L797" i="4"/>
  <c r="K797" i="4"/>
  <c r="J797" i="4"/>
  <c r="I797" i="4"/>
  <c r="H797" i="4"/>
  <c r="G797" i="4"/>
  <c r="F797" i="4"/>
  <c r="E797" i="4"/>
  <c r="D797" i="4"/>
  <c r="A797" i="4"/>
  <c r="O796" i="4"/>
  <c r="N796" i="4"/>
  <c r="M796" i="4"/>
  <c r="L796" i="4"/>
  <c r="K796" i="4"/>
  <c r="J796" i="4"/>
  <c r="I796" i="4"/>
  <c r="H796" i="4"/>
  <c r="G796" i="4"/>
  <c r="F796" i="4"/>
  <c r="E796" i="4"/>
  <c r="D796" i="4"/>
  <c r="A796" i="4"/>
  <c r="O795" i="4"/>
  <c r="N795" i="4"/>
  <c r="M795" i="4"/>
  <c r="L795" i="4"/>
  <c r="K795" i="4"/>
  <c r="J795" i="4"/>
  <c r="I795" i="4"/>
  <c r="H795" i="4"/>
  <c r="G795" i="4"/>
  <c r="F795" i="4"/>
  <c r="E795" i="4"/>
  <c r="D795" i="4"/>
  <c r="A795" i="4"/>
  <c r="O794" i="4"/>
  <c r="N794" i="4"/>
  <c r="M794" i="4"/>
  <c r="L794" i="4"/>
  <c r="K794" i="4"/>
  <c r="J794" i="4"/>
  <c r="I794" i="4"/>
  <c r="H794" i="4"/>
  <c r="G794" i="4"/>
  <c r="F794" i="4"/>
  <c r="E794" i="4"/>
  <c r="D794" i="4"/>
  <c r="A794" i="4"/>
  <c r="O793" i="4"/>
  <c r="N793" i="4"/>
  <c r="M793" i="4"/>
  <c r="L793" i="4"/>
  <c r="K793" i="4"/>
  <c r="J793" i="4"/>
  <c r="I793" i="4"/>
  <c r="H793" i="4"/>
  <c r="G793" i="4"/>
  <c r="F793" i="4"/>
  <c r="E793" i="4"/>
  <c r="D793" i="4"/>
  <c r="A793" i="4"/>
  <c r="O792" i="4"/>
  <c r="N792" i="4"/>
  <c r="M792" i="4"/>
  <c r="L792" i="4"/>
  <c r="K792" i="4"/>
  <c r="J792" i="4"/>
  <c r="I792" i="4"/>
  <c r="H792" i="4"/>
  <c r="G792" i="4"/>
  <c r="F792" i="4"/>
  <c r="E792" i="4"/>
  <c r="D792" i="4"/>
  <c r="A792" i="4"/>
  <c r="O791" i="4"/>
  <c r="N791" i="4"/>
  <c r="M791" i="4"/>
  <c r="L791" i="4"/>
  <c r="K791" i="4"/>
  <c r="J791" i="4"/>
  <c r="I791" i="4"/>
  <c r="H791" i="4"/>
  <c r="G791" i="4"/>
  <c r="F791" i="4"/>
  <c r="E791" i="4"/>
  <c r="D791" i="4"/>
  <c r="A791" i="4"/>
  <c r="O790" i="4"/>
  <c r="N790" i="4"/>
  <c r="M790" i="4"/>
  <c r="L790" i="4"/>
  <c r="K790" i="4"/>
  <c r="J790" i="4"/>
  <c r="I790" i="4"/>
  <c r="H790" i="4"/>
  <c r="G790" i="4"/>
  <c r="F790" i="4"/>
  <c r="E790" i="4"/>
  <c r="D790" i="4"/>
  <c r="A790" i="4"/>
  <c r="O789" i="4"/>
  <c r="N789" i="4"/>
  <c r="M789" i="4"/>
  <c r="L789" i="4"/>
  <c r="K789" i="4"/>
  <c r="J789" i="4"/>
  <c r="I789" i="4"/>
  <c r="H789" i="4"/>
  <c r="G789" i="4"/>
  <c r="F789" i="4"/>
  <c r="E789" i="4"/>
  <c r="D789" i="4"/>
  <c r="A789" i="4"/>
  <c r="O788" i="4"/>
  <c r="N788" i="4"/>
  <c r="M788" i="4"/>
  <c r="L788" i="4"/>
  <c r="K788" i="4"/>
  <c r="J788" i="4"/>
  <c r="I788" i="4"/>
  <c r="H788" i="4"/>
  <c r="G788" i="4"/>
  <c r="F788" i="4"/>
  <c r="E788" i="4"/>
  <c r="D788" i="4"/>
  <c r="A788" i="4"/>
  <c r="O787" i="4"/>
  <c r="N787" i="4"/>
  <c r="M787" i="4"/>
  <c r="L787" i="4"/>
  <c r="K787" i="4"/>
  <c r="J787" i="4"/>
  <c r="I787" i="4"/>
  <c r="H787" i="4"/>
  <c r="G787" i="4"/>
  <c r="F787" i="4"/>
  <c r="E787" i="4"/>
  <c r="D787" i="4"/>
  <c r="A787" i="4"/>
  <c r="O786" i="4"/>
  <c r="N786" i="4"/>
  <c r="M786" i="4"/>
  <c r="L786" i="4"/>
  <c r="K786" i="4"/>
  <c r="J786" i="4"/>
  <c r="I786" i="4"/>
  <c r="H786" i="4"/>
  <c r="G786" i="4"/>
  <c r="F786" i="4"/>
  <c r="E786" i="4"/>
  <c r="D786" i="4"/>
  <c r="A786" i="4"/>
  <c r="O785" i="4"/>
  <c r="N785" i="4"/>
  <c r="M785" i="4"/>
  <c r="L785" i="4"/>
  <c r="K785" i="4"/>
  <c r="J785" i="4"/>
  <c r="I785" i="4"/>
  <c r="H785" i="4"/>
  <c r="G785" i="4"/>
  <c r="F785" i="4"/>
  <c r="E785" i="4"/>
  <c r="D785" i="4"/>
  <c r="A785" i="4"/>
  <c r="O784" i="4"/>
  <c r="N784" i="4"/>
  <c r="M784" i="4"/>
  <c r="L784" i="4"/>
  <c r="K784" i="4"/>
  <c r="J784" i="4"/>
  <c r="I784" i="4"/>
  <c r="H784" i="4"/>
  <c r="G784" i="4"/>
  <c r="F784" i="4"/>
  <c r="E784" i="4"/>
  <c r="D784" i="4"/>
  <c r="A784" i="4"/>
  <c r="O783" i="4"/>
  <c r="N783" i="4"/>
  <c r="M783" i="4"/>
  <c r="L783" i="4"/>
  <c r="K783" i="4"/>
  <c r="J783" i="4"/>
  <c r="I783" i="4"/>
  <c r="H783" i="4"/>
  <c r="G783" i="4"/>
  <c r="F783" i="4"/>
  <c r="E783" i="4"/>
  <c r="D783" i="4"/>
  <c r="A783" i="4"/>
  <c r="O782" i="4"/>
  <c r="N782" i="4"/>
  <c r="M782" i="4"/>
  <c r="L782" i="4"/>
  <c r="K782" i="4"/>
  <c r="J782" i="4"/>
  <c r="I782" i="4"/>
  <c r="H782" i="4"/>
  <c r="G782" i="4"/>
  <c r="F782" i="4"/>
  <c r="E782" i="4"/>
  <c r="D782" i="4"/>
  <c r="A782" i="4"/>
  <c r="O781" i="4"/>
  <c r="N781" i="4"/>
  <c r="M781" i="4"/>
  <c r="L781" i="4"/>
  <c r="K781" i="4"/>
  <c r="J781" i="4"/>
  <c r="I781" i="4"/>
  <c r="H781" i="4"/>
  <c r="G781" i="4"/>
  <c r="F781" i="4"/>
  <c r="E781" i="4"/>
  <c r="D781" i="4"/>
  <c r="A781" i="4"/>
  <c r="O780" i="4"/>
  <c r="N780" i="4"/>
  <c r="M780" i="4"/>
  <c r="L780" i="4"/>
  <c r="K780" i="4"/>
  <c r="J780" i="4"/>
  <c r="I780" i="4"/>
  <c r="H780" i="4"/>
  <c r="G780" i="4"/>
  <c r="F780" i="4"/>
  <c r="E780" i="4"/>
  <c r="D780" i="4"/>
  <c r="A780" i="4"/>
  <c r="O779" i="4"/>
  <c r="N779" i="4"/>
  <c r="M779" i="4"/>
  <c r="L779" i="4"/>
  <c r="K779" i="4"/>
  <c r="J779" i="4"/>
  <c r="I779" i="4"/>
  <c r="H779" i="4"/>
  <c r="G779" i="4"/>
  <c r="F779" i="4"/>
  <c r="E779" i="4"/>
  <c r="D779" i="4"/>
  <c r="A779" i="4"/>
  <c r="O778" i="4"/>
  <c r="N778" i="4"/>
  <c r="M778" i="4"/>
  <c r="L778" i="4"/>
  <c r="K778" i="4"/>
  <c r="J778" i="4"/>
  <c r="I778" i="4"/>
  <c r="H778" i="4"/>
  <c r="G778" i="4"/>
  <c r="F778" i="4"/>
  <c r="E778" i="4"/>
  <c r="D778" i="4"/>
  <c r="A778" i="4"/>
  <c r="O777" i="4"/>
  <c r="N777" i="4"/>
  <c r="M777" i="4"/>
  <c r="L777" i="4"/>
  <c r="K777" i="4"/>
  <c r="J777" i="4"/>
  <c r="I777" i="4"/>
  <c r="H777" i="4"/>
  <c r="G777" i="4"/>
  <c r="F777" i="4"/>
  <c r="E777" i="4"/>
  <c r="D777" i="4"/>
  <c r="A777" i="4"/>
  <c r="O776" i="4"/>
  <c r="N776" i="4"/>
  <c r="M776" i="4"/>
  <c r="L776" i="4"/>
  <c r="K776" i="4"/>
  <c r="J776" i="4"/>
  <c r="I776" i="4"/>
  <c r="H776" i="4"/>
  <c r="G776" i="4"/>
  <c r="F776" i="4"/>
  <c r="E776" i="4"/>
  <c r="D776" i="4"/>
  <c r="A776" i="4"/>
  <c r="O775" i="4"/>
  <c r="N775" i="4"/>
  <c r="M775" i="4"/>
  <c r="L775" i="4"/>
  <c r="K775" i="4"/>
  <c r="J775" i="4"/>
  <c r="I775" i="4"/>
  <c r="H775" i="4"/>
  <c r="G775" i="4"/>
  <c r="F775" i="4"/>
  <c r="E775" i="4"/>
  <c r="D775" i="4"/>
  <c r="A775" i="4"/>
  <c r="O774" i="4"/>
  <c r="N774" i="4"/>
  <c r="M774" i="4"/>
  <c r="L774" i="4"/>
  <c r="K774" i="4"/>
  <c r="J774" i="4"/>
  <c r="I774" i="4"/>
  <c r="H774" i="4"/>
  <c r="G774" i="4"/>
  <c r="F774" i="4"/>
  <c r="E774" i="4"/>
  <c r="D774" i="4"/>
  <c r="A774" i="4"/>
  <c r="O773" i="4"/>
  <c r="N773" i="4"/>
  <c r="M773" i="4"/>
  <c r="L773" i="4"/>
  <c r="K773" i="4"/>
  <c r="J773" i="4"/>
  <c r="I773" i="4"/>
  <c r="H773" i="4"/>
  <c r="G773" i="4"/>
  <c r="F773" i="4"/>
  <c r="E773" i="4"/>
  <c r="D773" i="4"/>
  <c r="A773" i="4"/>
  <c r="O772" i="4"/>
  <c r="N772" i="4"/>
  <c r="M772" i="4"/>
  <c r="L772" i="4"/>
  <c r="K772" i="4"/>
  <c r="J772" i="4"/>
  <c r="I772" i="4"/>
  <c r="H772" i="4"/>
  <c r="G772" i="4"/>
  <c r="F772" i="4"/>
  <c r="E772" i="4"/>
  <c r="D772" i="4"/>
  <c r="A772" i="4"/>
  <c r="O771" i="4"/>
  <c r="N771" i="4"/>
  <c r="M771" i="4"/>
  <c r="L771" i="4"/>
  <c r="K771" i="4"/>
  <c r="J771" i="4"/>
  <c r="I771" i="4"/>
  <c r="H771" i="4"/>
  <c r="G771" i="4"/>
  <c r="F771" i="4"/>
  <c r="E771" i="4"/>
  <c r="D771" i="4"/>
  <c r="A771" i="4"/>
  <c r="O770" i="4"/>
  <c r="N770" i="4"/>
  <c r="M770" i="4"/>
  <c r="L770" i="4"/>
  <c r="K770" i="4"/>
  <c r="J770" i="4"/>
  <c r="I770" i="4"/>
  <c r="H770" i="4"/>
  <c r="G770" i="4"/>
  <c r="F770" i="4"/>
  <c r="E770" i="4"/>
  <c r="D770" i="4"/>
  <c r="A770" i="4"/>
  <c r="O769" i="4"/>
  <c r="N769" i="4"/>
  <c r="M769" i="4"/>
  <c r="L769" i="4"/>
  <c r="K769" i="4"/>
  <c r="J769" i="4"/>
  <c r="I769" i="4"/>
  <c r="H769" i="4"/>
  <c r="G769" i="4"/>
  <c r="F769" i="4"/>
  <c r="E769" i="4"/>
  <c r="D769" i="4"/>
  <c r="A769" i="4"/>
  <c r="O768" i="4"/>
  <c r="N768" i="4"/>
  <c r="M768" i="4"/>
  <c r="L768" i="4"/>
  <c r="K768" i="4"/>
  <c r="J768" i="4"/>
  <c r="I768" i="4"/>
  <c r="H768" i="4"/>
  <c r="G768" i="4"/>
  <c r="F768" i="4"/>
  <c r="E768" i="4"/>
  <c r="D768" i="4"/>
  <c r="A768" i="4"/>
  <c r="O767" i="4"/>
  <c r="N767" i="4"/>
  <c r="M767" i="4"/>
  <c r="L767" i="4"/>
  <c r="K767" i="4"/>
  <c r="J767" i="4"/>
  <c r="I767" i="4"/>
  <c r="H767" i="4"/>
  <c r="G767" i="4"/>
  <c r="F767" i="4"/>
  <c r="E767" i="4"/>
  <c r="D767" i="4"/>
  <c r="A767" i="4"/>
  <c r="O766" i="4"/>
  <c r="N766" i="4"/>
  <c r="M766" i="4"/>
  <c r="L766" i="4"/>
  <c r="K766" i="4"/>
  <c r="J766" i="4"/>
  <c r="I766" i="4"/>
  <c r="H766" i="4"/>
  <c r="G766" i="4"/>
  <c r="F766" i="4"/>
  <c r="E766" i="4"/>
  <c r="D766" i="4"/>
  <c r="A766" i="4"/>
  <c r="O765" i="4"/>
  <c r="N765" i="4"/>
  <c r="M765" i="4"/>
  <c r="L765" i="4"/>
  <c r="K765" i="4"/>
  <c r="J765" i="4"/>
  <c r="I765" i="4"/>
  <c r="H765" i="4"/>
  <c r="G765" i="4"/>
  <c r="F765" i="4"/>
  <c r="E765" i="4"/>
  <c r="D765" i="4"/>
  <c r="A765" i="4"/>
  <c r="O764" i="4"/>
  <c r="N764" i="4"/>
  <c r="M764" i="4"/>
  <c r="L764" i="4"/>
  <c r="K764" i="4"/>
  <c r="J764" i="4"/>
  <c r="I764" i="4"/>
  <c r="H764" i="4"/>
  <c r="G764" i="4"/>
  <c r="F764" i="4"/>
  <c r="E764" i="4"/>
  <c r="D764" i="4"/>
  <c r="A764" i="4"/>
  <c r="O763" i="4"/>
  <c r="N763" i="4"/>
  <c r="M763" i="4"/>
  <c r="L763" i="4"/>
  <c r="K763" i="4"/>
  <c r="J763" i="4"/>
  <c r="I763" i="4"/>
  <c r="H763" i="4"/>
  <c r="G763" i="4"/>
  <c r="F763" i="4"/>
  <c r="E763" i="4"/>
  <c r="D763" i="4"/>
  <c r="A763" i="4"/>
  <c r="O762" i="4"/>
  <c r="N762" i="4"/>
  <c r="M762" i="4"/>
  <c r="L762" i="4"/>
  <c r="K762" i="4"/>
  <c r="J762" i="4"/>
  <c r="I762" i="4"/>
  <c r="H762" i="4"/>
  <c r="G762" i="4"/>
  <c r="F762" i="4"/>
  <c r="E762" i="4"/>
  <c r="D762" i="4"/>
  <c r="A762" i="4"/>
  <c r="O761" i="4"/>
  <c r="N761" i="4"/>
  <c r="M761" i="4"/>
  <c r="L761" i="4"/>
  <c r="K761" i="4"/>
  <c r="J761" i="4"/>
  <c r="I761" i="4"/>
  <c r="H761" i="4"/>
  <c r="G761" i="4"/>
  <c r="F761" i="4"/>
  <c r="E761" i="4"/>
  <c r="D761" i="4"/>
  <c r="A761" i="4"/>
  <c r="O760" i="4"/>
  <c r="N760" i="4"/>
  <c r="M760" i="4"/>
  <c r="L760" i="4"/>
  <c r="K760" i="4"/>
  <c r="J760" i="4"/>
  <c r="I760" i="4"/>
  <c r="H760" i="4"/>
  <c r="G760" i="4"/>
  <c r="F760" i="4"/>
  <c r="E760" i="4"/>
  <c r="D760" i="4"/>
  <c r="A760" i="4"/>
  <c r="O759" i="4"/>
  <c r="N759" i="4"/>
  <c r="M759" i="4"/>
  <c r="L759" i="4"/>
  <c r="K759" i="4"/>
  <c r="J759" i="4"/>
  <c r="I759" i="4"/>
  <c r="H759" i="4"/>
  <c r="G759" i="4"/>
  <c r="F759" i="4"/>
  <c r="E759" i="4"/>
  <c r="D759" i="4"/>
  <c r="A759" i="4"/>
  <c r="O758" i="4"/>
  <c r="N758" i="4"/>
  <c r="M758" i="4"/>
  <c r="L758" i="4"/>
  <c r="K758" i="4"/>
  <c r="J758" i="4"/>
  <c r="I758" i="4"/>
  <c r="H758" i="4"/>
  <c r="G758" i="4"/>
  <c r="F758" i="4"/>
  <c r="E758" i="4"/>
  <c r="D758" i="4"/>
  <c r="A758" i="4"/>
  <c r="O757" i="4"/>
  <c r="N757" i="4"/>
  <c r="M757" i="4"/>
  <c r="L757" i="4"/>
  <c r="K757" i="4"/>
  <c r="J757" i="4"/>
  <c r="I757" i="4"/>
  <c r="H757" i="4"/>
  <c r="G757" i="4"/>
  <c r="F757" i="4"/>
  <c r="E757" i="4"/>
  <c r="D757" i="4"/>
  <c r="A757" i="4"/>
  <c r="O756" i="4"/>
  <c r="N756" i="4"/>
  <c r="M756" i="4"/>
  <c r="L756" i="4"/>
  <c r="K756" i="4"/>
  <c r="J756" i="4"/>
  <c r="I756" i="4"/>
  <c r="H756" i="4"/>
  <c r="G756" i="4"/>
  <c r="F756" i="4"/>
  <c r="E756" i="4"/>
  <c r="D756" i="4"/>
  <c r="A756" i="4"/>
  <c r="O755" i="4"/>
  <c r="N755" i="4"/>
  <c r="M755" i="4"/>
  <c r="L755" i="4"/>
  <c r="K755" i="4"/>
  <c r="J755" i="4"/>
  <c r="I755" i="4"/>
  <c r="H755" i="4"/>
  <c r="G755" i="4"/>
  <c r="F755" i="4"/>
  <c r="E755" i="4"/>
  <c r="D755" i="4"/>
  <c r="A755" i="4"/>
  <c r="O754" i="4"/>
  <c r="N754" i="4"/>
  <c r="M754" i="4"/>
  <c r="L754" i="4"/>
  <c r="K754" i="4"/>
  <c r="J754" i="4"/>
  <c r="I754" i="4"/>
  <c r="H754" i="4"/>
  <c r="G754" i="4"/>
  <c r="F754" i="4"/>
  <c r="E754" i="4"/>
  <c r="D754" i="4"/>
  <c r="A754" i="4"/>
  <c r="O753" i="4"/>
  <c r="N753" i="4"/>
  <c r="M753" i="4"/>
  <c r="L753" i="4"/>
  <c r="K753" i="4"/>
  <c r="J753" i="4"/>
  <c r="I753" i="4"/>
  <c r="H753" i="4"/>
  <c r="G753" i="4"/>
  <c r="F753" i="4"/>
  <c r="E753" i="4"/>
  <c r="D753" i="4"/>
  <c r="A753" i="4"/>
  <c r="O752" i="4"/>
  <c r="N752" i="4"/>
  <c r="M752" i="4"/>
  <c r="L752" i="4"/>
  <c r="K752" i="4"/>
  <c r="J752" i="4"/>
  <c r="I752" i="4"/>
  <c r="H752" i="4"/>
  <c r="G752" i="4"/>
  <c r="F752" i="4"/>
  <c r="E752" i="4"/>
  <c r="D752" i="4"/>
  <c r="A752" i="4"/>
  <c r="O751" i="4"/>
  <c r="N751" i="4"/>
  <c r="M751" i="4"/>
  <c r="L751" i="4"/>
  <c r="K751" i="4"/>
  <c r="J751" i="4"/>
  <c r="I751" i="4"/>
  <c r="H751" i="4"/>
  <c r="G751" i="4"/>
  <c r="F751" i="4"/>
  <c r="E751" i="4"/>
  <c r="D751" i="4"/>
  <c r="A751" i="4"/>
  <c r="O750" i="4"/>
  <c r="N750" i="4"/>
  <c r="M750" i="4"/>
  <c r="L750" i="4"/>
  <c r="K750" i="4"/>
  <c r="J750" i="4"/>
  <c r="I750" i="4"/>
  <c r="H750" i="4"/>
  <c r="G750" i="4"/>
  <c r="F750" i="4"/>
  <c r="E750" i="4"/>
  <c r="D750" i="4"/>
  <c r="A750" i="4"/>
  <c r="O749" i="4"/>
  <c r="N749" i="4"/>
  <c r="M749" i="4"/>
  <c r="L749" i="4"/>
  <c r="K749" i="4"/>
  <c r="J749" i="4"/>
  <c r="I749" i="4"/>
  <c r="H749" i="4"/>
  <c r="G749" i="4"/>
  <c r="F749" i="4"/>
  <c r="E749" i="4"/>
  <c r="D749" i="4"/>
  <c r="A749" i="4"/>
  <c r="O748" i="4"/>
  <c r="N748" i="4"/>
  <c r="M748" i="4"/>
  <c r="L748" i="4"/>
  <c r="K748" i="4"/>
  <c r="J748" i="4"/>
  <c r="I748" i="4"/>
  <c r="H748" i="4"/>
  <c r="G748" i="4"/>
  <c r="F748" i="4"/>
  <c r="E748" i="4"/>
  <c r="D748" i="4"/>
  <c r="A748" i="4"/>
  <c r="O747" i="4"/>
  <c r="N747" i="4"/>
  <c r="M747" i="4"/>
  <c r="L747" i="4"/>
  <c r="K747" i="4"/>
  <c r="J747" i="4"/>
  <c r="I747" i="4"/>
  <c r="H747" i="4"/>
  <c r="G747" i="4"/>
  <c r="F747" i="4"/>
  <c r="E747" i="4"/>
  <c r="D747" i="4"/>
  <c r="A747" i="4"/>
  <c r="O746" i="4"/>
  <c r="N746" i="4"/>
  <c r="M746" i="4"/>
  <c r="L746" i="4"/>
  <c r="K746" i="4"/>
  <c r="J746" i="4"/>
  <c r="I746" i="4"/>
  <c r="H746" i="4"/>
  <c r="G746" i="4"/>
  <c r="F746" i="4"/>
  <c r="E746" i="4"/>
  <c r="D746" i="4"/>
  <c r="A746" i="4"/>
  <c r="O745" i="4"/>
  <c r="N745" i="4"/>
  <c r="M745" i="4"/>
  <c r="L745" i="4"/>
  <c r="K745" i="4"/>
  <c r="J745" i="4"/>
  <c r="I745" i="4"/>
  <c r="H745" i="4"/>
  <c r="G745" i="4"/>
  <c r="F745" i="4"/>
  <c r="E745" i="4"/>
  <c r="D745" i="4"/>
  <c r="A745" i="4"/>
  <c r="O744" i="4"/>
  <c r="N744" i="4"/>
  <c r="M744" i="4"/>
  <c r="L744" i="4"/>
  <c r="K744" i="4"/>
  <c r="J744" i="4"/>
  <c r="I744" i="4"/>
  <c r="H744" i="4"/>
  <c r="G744" i="4"/>
  <c r="F744" i="4"/>
  <c r="E744" i="4"/>
  <c r="D744" i="4"/>
  <c r="A744" i="4"/>
  <c r="O743" i="4"/>
  <c r="N743" i="4"/>
  <c r="M743" i="4"/>
  <c r="L743" i="4"/>
  <c r="K743" i="4"/>
  <c r="J743" i="4"/>
  <c r="I743" i="4"/>
  <c r="H743" i="4"/>
  <c r="G743" i="4"/>
  <c r="F743" i="4"/>
  <c r="E743" i="4"/>
  <c r="D743" i="4"/>
  <c r="A743" i="4"/>
  <c r="O742" i="4"/>
  <c r="N742" i="4"/>
  <c r="M742" i="4"/>
  <c r="L742" i="4"/>
  <c r="K742" i="4"/>
  <c r="J742" i="4"/>
  <c r="I742" i="4"/>
  <c r="H742" i="4"/>
  <c r="G742" i="4"/>
  <c r="F742" i="4"/>
  <c r="E742" i="4"/>
  <c r="D742" i="4"/>
  <c r="A742" i="4"/>
  <c r="O741" i="4"/>
  <c r="N741" i="4"/>
  <c r="M741" i="4"/>
  <c r="L741" i="4"/>
  <c r="K741" i="4"/>
  <c r="J741" i="4"/>
  <c r="I741" i="4"/>
  <c r="H741" i="4"/>
  <c r="G741" i="4"/>
  <c r="F741" i="4"/>
  <c r="E741" i="4"/>
  <c r="D741" i="4"/>
  <c r="A741" i="4"/>
  <c r="O740" i="4"/>
  <c r="N740" i="4"/>
  <c r="M740" i="4"/>
  <c r="L740" i="4"/>
  <c r="K740" i="4"/>
  <c r="J740" i="4"/>
  <c r="I740" i="4"/>
  <c r="H740" i="4"/>
  <c r="G740" i="4"/>
  <c r="F740" i="4"/>
  <c r="E740" i="4"/>
  <c r="D740" i="4"/>
  <c r="A740" i="4"/>
  <c r="O739" i="4"/>
  <c r="N739" i="4"/>
  <c r="M739" i="4"/>
  <c r="L739" i="4"/>
  <c r="K739" i="4"/>
  <c r="J739" i="4"/>
  <c r="I739" i="4"/>
  <c r="H739" i="4"/>
  <c r="G739" i="4"/>
  <c r="F739" i="4"/>
  <c r="E739" i="4"/>
  <c r="D739" i="4"/>
  <c r="A739" i="4"/>
  <c r="O738" i="4"/>
  <c r="N738" i="4"/>
  <c r="M738" i="4"/>
  <c r="L738" i="4"/>
  <c r="K738" i="4"/>
  <c r="J738" i="4"/>
  <c r="I738" i="4"/>
  <c r="H738" i="4"/>
  <c r="G738" i="4"/>
  <c r="F738" i="4"/>
  <c r="E738" i="4"/>
  <c r="D738" i="4"/>
  <c r="A738" i="4"/>
  <c r="O737" i="4"/>
  <c r="N737" i="4"/>
  <c r="M737" i="4"/>
  <c r="L737" i="4"/>
  <c r="K737" i="4"/>
  <c r="J737" i="4"/>
  <c r="I737" i="4"/>
  <c r="H737" i="4"/>
  <c r="G737" i="4"/>
  <c r="F737" i="4"/>
  <c r="E737" i="4"/>
  <c r="D737" i="4"/>
  <c r="A737" i="4"/>
  <c r="O736" i="4"/>
  <c r="N736" i="4"/>
  <c r="M736" i="4"/>
  <c r="L736" i="4"/>
  <c r="K736" i="4"/>
  <c r="J736" i="4"/>
  <c r="I736" i="4"/>
  <c r="H736" i="4"/>
  <c r="G736" i="4"/>
  <c r="F736" i="4"/>
  <c r="E736" i="4"/>
  <c r="D736" i="4"/>
  <c r="A736" i="4"/>
  <c r="O735" i="4"/>
  <c r="N735" i="4"/>
  <c r="M735" i="4"/>
  <c r="L735" i="4"/>
  <c r="K735" i="4"/>
  <c r="J735" i="4"/>
  <c r="I735" i="4"/>
  <c r="H735" i="4"/>
  <c r="G735" i="4"/>
  <c r="F735" i="4"/>
  <c r="E735" i="4"/>
  <c r="D735" i="4"/>
  <c r="A735" i="4"/>
  <c r="O734" i="4"/>
  <c r="N734" i="4"/>
  <c r="M734" i="4"/>
  <c r="L734" i="4"/>
  <c r="K734" i="4"/>
  <c r="J734" i="4"/>
  <c r="I734" i="4"/>
  <c r="H734" i="4"/>
  <c r="G734" i="4"/>
  <c r="F734" i="4"/>
  <c r="E734" i="4"/>
  <c r="D734" i="4"/>
  <c r="A734" i="4"/>
  <c r="O733" i="4"/>
  <c r="N733" i="4"/>
  <c r="M733" i="4"/>
  <c r="L733" i="4"/>
  <c r="K733" i="4"/>
  <c r="J733" i="4"/>
  <c r="I733" i="4"/>
  <c r="H733" i="4"/>
  <c r="G733" i="4"/>
  <c r="F733" i="4"/>
  <c r="E733" i="4"/>
  <c r="D733" i="4"/>
  <c r="A733" i="4"/>
  <c r="O732" i="4"/>
  <c r="N732" i="4"/>
  <c r="M732" i="4"/>
  <c r="L732" i="4"/>
  <c r="K732" i="4"/>
  <c r="J732" i="4"/>
  <c r="I732" i="4"/>
  <c r="H732" i="4"/>
  <c r="G732" i="4"/>
  <c r="F732" i="4"/>
  <c r="E732" i="4"/>
  <c r="D732" i="4"/>
  <c r="A732" i="4"/>
  <c r="O731" i="4"/>
  <c r="N731" i="4"/>
  <c r="M731" i="4"/>
  <c r="L731" i="4"/>
  <c r="K731" i="4"/>
  <c r="J731" i="4"/>
  <c r="I731" i="4"/>
  <c r="H731" i="4"/>
  <c r="G731" i="4"/>
  <c r="F731" i="4"/>
  <c r="E731" i="4"/>
  <c r="D731" i="4"/>
  <c r="A731" i="4"/>
  <c r="O730" i="4"/>
  <c r="N730" i="4"/>
  <c r="M730" i="4"/>
  <c r="L730" i="4"/>
  <c r="K730" i="4"/>
  <c r="J730" i="4"/>
  <c r="I730" i="4"/>
  <c r="H730" i="4"/>
  <c r="G730" i="4"/>
  <c r="F730" i="4"/>
  <c r="E730" i="4"/>
  <c r="D730" i="4"/>
  <c r="A730" i="4"/>
  <c r="O729" i="4"/>
  <c r="N729" i="4"/>
  <c r="M729" i="4"/>
  <c r="L729" i="4"/>
  <c r="K729" i="4"/>
  <c r="J729" i="4"/>
  <c r="I729" i="4"/>
  <c r="H729" i="4"/>
  <c r="G729" i="4"/>
  <c r="F729" i="4"/>
  <c r="E729" i="4"/>
  <c r="D729" i="4"/>
  <c r="A729" i="4"/>
  <c r="O728" i="4"/>
  <c r="N728" i="4"/>
  <c r="M728" i="4"/>
  <c r="L728" i="4"/>
  <c r="K728" i="4"/>
  <c r="J728" i="4"/>
  <c r="I728" i="4"/>
  <c r="H728" i="4"/>
  <c r="G728" i="4"/>
  <c r="F728" i="4"/>
  <c r="E728" i="4"/>
  <c r="D728" i="4"/>
  <c r="A728" i="4"/>
  <c r="O727" i="4"/>
  <c r="N727" i="4"/>
  <c r="M727" i="4"/>
  <c r="L727" i="4"/>
  <c r="K727" i="4"/>
  <c r="J727" i="4"/>
  <c r="I727" i="4"/>
  <c r="H727" i="4"/>
  <c r="G727" i="4"/>
  <c r="F727" i="4"/>
  <c r="E727" i="4"/>
  <c r="D727" i="4"/>
  <c r="A727" i="4"/>
  <c r="O726" i="4"/>
  <c r="N726" i="4"/>
  <c r="M726" i="4"/>
  <c r="L726" i="4"/>
  <c r="K726" i="4"/>
  <c r="J726" i="4"/>
  <c r="I726" i="4"/>
  <c r="H726" i="4"/>
  <c r="G726" i="4"/>
  <c r="F726" i="4"/>
  <c r="E726" i="4"/>
  <c r="D726" i="4"/>
  <c r="A726" i="4"/>
  <c r="O725" i="4"/>
  <c r="N725" i="4"/>
  <c r="M725" i="4"/>
  <c r="L725" i="4"/>
  <c r="K725" i="4"/>
  <c r="J725" i="4"/>
  <c r="I725" i="4"/>
  <c r="H725" i="4"/>
  <c r="G725" i="4"/>
  <c r="F725" i="4"/>
  <c r="E725" i="4"/>
  <c r="D725" i="4"/>
  <c r="A725" i="4"/>
  <c r="O724" i="4"/>
  <c r="N724" i="4"/>
  <c r="M724" i="4"/>
  <c r="L724" i="4"/>
  <c r="K724" i="4"/>
  <c r="J724" i="4"/>
  <c r="I724" i="4"/>
  <c r="H724" i="4"/>
  <c r="G724" i="4"/>
  <c r="F724" i="4"/>
  <c r="E724" i="4"/>
  <c r="D724" i="4"/>
  <c r="A724" i="4"/>
  <c r="O723" i="4"/>
  <c r="N723" i="4"/>
  <c r="M723" i="4"/>
  <c r="L723" i="4"/>
  <c r="K723" i="4"/>
  <c r="J723" i="4"/>
  <c r="I723" i="4"/>
  <c r="H723" i="4"/>
  <c r="G723" i="4"/>
  <c r="F723" i="4"/>
  <c r="E723" i="4"/>
  <c r="D723" i="4"/>
  <c r="A723" i="4"/>
  <c r="O722" i="4"/>
  <c r="N722" i="4"/>
  <c r="M722" i="4"/>
  <c r="L722" i="4"/>
  <c r="K722" i="4"/>
  <c r="J722" i="4"/>
  <c r="I722" i="4"/>
  <c r="H722" i="4"/>
  <c r="G722" i="4"/>
  <c r="F722" i="4"/>
  <c r="E722" i="4"/>
  <c r="D722" i="4"/>
  <c r="A722" i="4"/>
  <c r="O721" i="4"/>
  <c r="N721" i="4"/>
  <c r="M721" i="4"/>
  <c r="L721" i="4"/>
  <c r="K721" i="4"/>
  <c r="J721" i="4"/>
  <c r="I721" i="4"/>
  <c r="H721" i="4"/>
  <c r="G721" i="4"/>
  <c r="F721" i="4"/>
  <c r="E721" i="4"/>
  <c r="D721" i="4"/>
  <c r="A721" i="4"/>
  <c r="O720" i="4"/>
  <c r="N720" i="4"/>
  <c r="M720" i="4"/>
  <c r="L720" i="4"/>
  <c r="K720" i="4"/>
  <c r="J720" i="4"/>
  <c r="I720" i="4"/>
  <c r="H720" i="4"/>
  <c r="G720" i="4"/>
  <c r="F720" i="4"/>
  <c r="E720" i="4"/>
  <c r="D720" i="4"/>
  <c r="A720" i="4"/>
  <c r="O719" i="4"/>
  <c r="N719" i="4"/>
  <c r="M719" i="4"/>
  <c r="L719" i="4"/>
  <c r="K719" i="4"/>
  <c r="J719" i="4"/>
  <c r="I719" i="4"/>
  <c r="H719" i="4"/>
  <c r="G719" i="4"/>
  <c r="F719" i="4"/>
  <c r="E719" i="4"/>
  <c r="D719" i="4"/>
  <c r="A719" i="4"/>
  <c r="O718" i="4"/>
  <c r="N718" i="4"/>
  <c r="M718" i="4"/>
  <c r="L718" i="4"/>
  <c r="K718" i="4"/>
  <c r="J718" i="4"/>
  <c r="I718" i="4"/>
  <c r="H718" i="4"/>
  <c r="G718" i="4"/>
  <c r="F718" i="4"/>
  <c r="E718" i="4"/>
  <c r="D718" i="4"/>
  <c r="A718" i="4"/>
  <c r="O717" i="4"/>
  <c r="N717" i="4"/>
  <c r="M717" i="4"/>
  <c r="L717" i="4"/>
  <c r="K717" i="4"/>
  <c r="J717" i="4"/>
  <c r="I717" i="4"/>
  <c r="H717" i="4"/>
  <c r="G717" i="4"/>
  <c r="F717" i="4"/>
  <c r="E717" i="4"/>
  <c r="D717" i="4"/>
  <c r="A717" i="4"/>
  <c r="O716" i="4"/>
  <c r="N716" i="4"/>
  <c r="M716" i="4"/>
  <c r="L716" i="4"/>
  <c r="K716" i="4"/>
  <c r="J716" i="4"/>
  <c r="I716" i="4"/>
  <c r="H716" i="4"/>
  <c r="G716" i="4"/>
  <c r="F716" i="4"/>
  <c r="E716" i="4"/>
  <c r="D716" i="4"/>
  <c r="A716" i="4"/>
  <c r="O715" i="4"/>
  <c r="N715" i="4"/>
  <c r="M715" i="4"/>
  <c r="L715" i="4"/>
  <c r="K715" i="4"/>
  <c r="J715" i="4"/>
  <c r="I715" i="4"/>
  <c r="H715" i="4"/>
  <c r="G715" i="4"/>
  <c r="F715" i="4"/>
  <c r="E715" i="4"/>
  <c r="D715" i="4"/>
  <c r="A715" i="4"/>
  <c r="O714" i="4"/>
  <c r="N714" i="4"/>
  <c r="M714" i="4"/>
  <c r="L714" i="4"/>
  <c r="K714" i="4"/>
  <c r="J714" i="4"/>
  <c r="I714" i="4"/>
  <c r="H714" i="4"/>
  <c r="G714" i="4"/>
  <c r="F714" i="4"/>
  <c r="E714" i="4"/>
  <c r="D714" i="4"/>
  <c r="A714" i="4"/>
  <c r="O713" i="4"/>
  <c r="N713" i="4"/>
  <c r="M713" i="4"/>
  <c r="L713" i="4"/>
  <c r="K713" i="4"/>
  <c r="J713" i="4"/>
  <c r="I713" i="4"/>
  <c r="H713" i="4"/>
  <c r="G713" i="4"/>
  <c r="F713" i="4"/>
  <c r="E713" i="4"/>
  <c r="D713" i="4"/>
  <c r="A713" i="4"/>
  <c r="O712" i="4"/>
  <c r="N712" i="4"/>
  <c r="M712" i="4"/>
  <c r="L712" i="4"/>
  <c r="K712" i="4"/>
  <c r="J712" i="4"/>
  <c r="I712" i="4"/>
  <c r="H712" i="4"/>
  <c r="G712" i="4"/>
  <c r="F712" i="4"/>
  <c r="E712" i="4"/>
  <c r="D712" i="4"/>
  <c r="A712" i="4"/>
  <c r="O711" i="4"/>
  <c r="N711" i="4"/>
  <c r="M711" i="4"/>
  <c r="L711" i="4"/>
  <c r="K711" i="4"/>
  <c r="J711" i="4"/>
  <c r="I711" i="4"/>
  <c r="H711" i="4"/>
  <c r="G711" i="4"/>
  <c r="F711" i="4"/>
  <c r="E711" i="4"/>
  <c r="D711" i="4"/>
  <c r="A711" i="4"/>
  <c r="O710" i="4"/>
  <c r="N710" i="4"/>
  <c r="M710" i="4"/>
  <c r="L710" i="4"/>
  <c r="K710" i="4"/>
  <c r="J710" i="4"/>
  <c r="I710" i="4"/>
  <c r="H710" i="4"/>
  <c r="G710" i="4"/>
  <c r="F710" i="4"/>
  <c r="E710" i="4"/>
  <c r="D710" i="4"/>
  <c r="A710" i="4"/>
  <c r="O709" i="4"/>
  <c r="N709" i="4"/>
  <c r="M709" i="4"/>
  <c r="L709" i="4"/>
  <c r="K709" i="4"/>
  <c r="J709" i="4"/>
  <c r="I709" i="4"/>
  <c r="H709" i="4"/>
  <c r="G709" i="4"/>
  <c r="F709" i="4"/>
  <c r="E709" i="4"/>
  <c r="D709" i="4"/>
  <c r="A709" i="4"/>
  <c r="O708" i="4"/>
  <c r="N708" i="4"/>
  <c r="M708" i="4"/>
  <c r="L708" i="4"/>
  <c r="K708" i="4"/>
  <c r="J708" i="4"/>
  <c r="I708" i="4"/>
  <c r="H708" i="4"/>
  <c r="G708" i="4"/>
  <c r="F708" i="4"/>
  <c r="E708" i="4"/>
  <c r="D708" i="4"/>
  <c r="A708" i="4"/>
  <c r="O707" i="4"/>
  <c r="N707" i="4"/>
  <c r="M707" i="4"/>
  <c r="L707" i="4"/>
  <c r="K707" i="4"/>
  <c r="J707" i="4"/>
  <c r="I707" i="4"/>
  <c r="H707" i="4"/>
  <c r="G707" i="4"/>
  <c r="F707" i="4"/>
  <c r="E707" i="4"/>
  <c r="D707" i="4"/>
  <c r="A707" i="4"/>
  <c r="O706" i="4"/>
  <c r="N706" i="4"/>
  <c r="M706" i="4"/>
  <c r="L706" i="4"/>
  <c r="K706" i="4"/>
  <c r="J706" i="4"/>
  <c r="I706" i="4"/>
  <c r="H706" i="4"/>
  <c r="G706" i="4"/>
  <c r="F706" i="4"/>
  <c r="E706" i="4"/>
  <c r="D706" i="4"/>
  <c r="A706" i="4"/>
  <c r="O705" i="4"/>
  <c r="N705" i="4"/>
  <c r="M705" i="4"/>
  <c r="L705" i="4"/>
  <c r="K705" i="4"/>
  <c r="J705" i="4"/>
  <c r="I705" i="4"/>
  <c r="H705" i="4"/>
  <c r="G705" i="4"/>
  <c r="F705" i="4"/>
  <c r="E705" i="4"/>
  <c r="D705" i="4"/>
  <c r="A705" i="4"/>
  <c r="O704" i="4"/>
  <c r="N704" i="4"/>
  <c r="M704" i="4"/>
  <c r="L704" i="4"/>
  <c r="K704" i="4"/>
  <c r="J704" i="4"/>
  <c r="I704" i="4"/>
  <c r="H704" i="4"/>
  <c r="G704" i="4"/>
  <c r="F704" i="4"/>
  <c r="E704" i="4"/>
  <c r="D704" i="4"/>
  <c r="A704" i="4"/>
  <c r="O703" i="4"/>
  <c r="N703" i="4"/>
  <c r="M703" i="4"/>
  <c r="L703" i="4"/>
  <c r="K703" i="4"/>
  <c r="J703" i="4"/>
  <c r="I703" i="4"/>
  <c r="H703" i="4"/>
  <c r="G703" i="4"/>
  <c r="F703" i="4"/>
  <c r="E703" i="4"/>
  <c r="D703" i="4"/>
  <c r="A703" i="4"/>
  <c r="O702" i="4"/>
  <c r="N702" i="4"/>
  <c r="M702" i="4"/>
  <c r="L702" i="4"/>
  <c r="K702" i="4"/>
  <c r="J702" i="4"/>
  <c r="I702" i="4"/>
  <c r="H702" i="4"/>
  <c r="G702" i="4"/>
  <c r="F702" i="4"/>
  <c r="E702" i="4"/>
  <c r="D702" i="4"/>
  <c r="A702" i="4"/>
  <c r="O701" i="4"/>
  <c r="N701" i="4"/>
  <c r="M701" i="4"/>
  <c r="L701" i="4"/>
  <c r="K701" i="4"/>
  <c r="J701" i="4"/>
  <c r="I701" i="4"/>
  <c r="H701" i="4"/>
  <c r="G701" i="4"/>
  <c r="F701" i="4"/>
  <c r="E701" i="4"/>
  <c r="D701" i="4"/>
  <c r="A701" i="4"/>
  <c r="O700" i="4"/>
  <c r="N700" i="4"/>
  <c r="M700" i="4"/>
  <c r="L700" i="4"/>
  <c r="K700" i="4"/>
  <c r="J700" i="4"/>
  <c r="I700" i="4"/>
  <c r="H700" i="4"/>
  <c r="G700" i="4"/>
  <c r="F700" i="4"/>
  <c r="E700" i="4"/>
  <c r="D700" i="4"/>
  <c r="A700" i="4"/>
  <c r="O699" i="4"/>
  <c r="N699" i="4"/>
  <c r="M699" i="4"/>
  <c r="L699" i="4"/>
  <c r="K699" i="4"/>
  <c r="J699" i="4"/>
  <c r="I699" i="4"/>
  <c r="H699" i="4"/>
  <c r="G699" i="4"/>
  <c r="F699" i="4"/>
  <c r="E699" i="4"/>
  <c r="D699" i="4"/>
  <c r="A699" i="4"/>
  <c r="O698" i="4"/>
  <c r="N698" i="4"/>
  <c r="M698" i="4"/>
  <c r="L698" i="4"/>
  <c r="K698" i="4"/>
  <c r="J698" i="4"/>
  <c r="I698" i="4"/>
  <c r="H698" i="4"/>
  <c r="G698" i="4"/>
  <c r="F698" i="4"/>
  <c r="E698" i="4"/>
  <c r="D698" i="4"/>
  <c r="A698" i="4"/>
  <c r="O697" i="4"/>
  <c r="N697" i="4"/>
  <c r="M697" i="4"/>
  <c r="L697" i="4"/>
  <c r="K697" i="4"/>
  <c r="J697" i="4"/>
  <c r="I697" i="4"/>
  <c r="H697" i="4"/>
  <c r="G697" i="4"/>
  <c r="F697" i="4"/>
  <c r="E697" i="4"/>
  <c r="D697" i="4"/>
  <c r="A697" i="4"/>
  <c r="O696" i="4"/>
  <c r="N696" i="4"/>
  <c r="M696" i="4"/>
  <c r="L696" i="4"/>
  <c r="K696" i="4"/>
  <c r="J696" i="4"/>
  <c r="I696" i="4"/>
  <c r="H696" i="4"/>
  <c r="G696" i="4"/>
  <c r="F696" i="4"/>
  <c r="E696" i="4"/>
  <c r="D696" i="4"/>
  <c r="A696" i="4"/>
  <c r="O695" i="4"/>
  <c r="N695" i="4"/>
  <c r="M695" i="4"/>
  <c r="L695" i="4"/>
  <c r="K695" i="4"/>
  <c r="J695" i="4"/>
  <c r="I695" i="4"/>
  <c r="H695" i="4"/>
  <c r="G695" i="4"/>
  <c r="F695" i="4"/>
  <c r="E695" i="4"/>
  <c r="D695" i="4"/>
  <c r="A695" i="4"/>
  <c r="O694" i="4"/>
  <c r="N694" i="4"/>
  <c r="M694" i="4"/>
  <c r="L694" i="4"/>
  <c r="K694" i="4"/>
  <c r="J694" i="4"/>
  <c r="I694" i="4"/>
  <c r="H694" i="4"/>
  <c r="G694" i="4"/>
  <c r="F694" i="4"/>
  <c r="E694" i="4"/>
  <c r="D694" i="4"/>
  <c r="C694" i="4"/>
  <c r="B694" i="4"/>
  <c r="A694" i="4"/>
  <c r="O693" i="4"/>
  <c r="N693" i="4"/>
  <c r="M693" i="4"/>
  <c r="L693" i="4"/>
  <c r="K693" i="4"/>
  <c r="J693" i="4"/>
  <c r="I693" i="4"/>
  <c r="H693" i="4"/>
  <c r="G693" i="4"/>
  <c r="F693" i="4"/>
  <c r="E693" i="4"/>
  <c r="D693" i="4"/>
  <c r="A693" i="4"/>
  <c r="O692" i="4"/>
  <c r="N692" i="4"/>
  <c r="M692" i="4"/>
  <c r="L692" i="4"/>
  <c r="K692" i="4"/>
  <c r="J692" i="4"/>
  <c r="I692" i="4"/>
  <c r="H692" i="4"/>
  <c r="G692" i="4"/>
  <c r="F692" i="4"/>
  <c r="E692" i="4"/>
  <c r="D692" i="4"/>
  <c r="A692" i="4"/>
  <c r="O691" i="4"/>
  <c r="N691" i="4"/>
  <c r="M691" i="4"/>
  <c r="L691" i="4"/>
  <c r="K691" i="4"/>
  <c r="J691" i="4"/>
  <c r="I691" i="4"/>
  <c r="H691" i="4"/>
  <c r="G691" i="4"/>
  <c r="F691" i="4"/>
  <c r="E691" i="4"/>
  <c r="D691" i="4"/>
  <c r="A691" i="4"/>
  <c r="O690" i="4"/>
  <c r="N690" i="4"/>
  <c r="M690" i="4"/>
  <c r="L690" i="4"/>
  <c r="K690" i="4"/>
  <c r="J690" i="4"/>
  <c r="I690" i="4"/>
  <c r="H690" i="4"/>
  <c r="G690" i="4"/>
  <c r="F690" i="4"/>
  <c r="E690" i="4"/>
  <c r="D690" i="4"/>
  <c r="A690" i="4"/>
  <c r="O689" i="4"/>
  <c r="N689" i="4"/>
  <c r="M689" i="4"/>
  <c r="L689" i="4"/>
  <c r="K689" i="4"/>
  <c r="J689" i="4"/>
  <c r="I689" i="4"/>
  <c r="H689" i="4"/>
  <c r="G689" i="4"/>
  <c r="F689" i="4"/>
  <c r="E689" i="4"/>
  <c r="D689" i="4"/>
  <c r="A689" i="4"/>
  <c r="O688" i="4"/>
  <c r="N688" i="4"/>
  <c r="M688" i="4"/>
  <c r="L688" i="4"/>
  <c r="K688" i="4"/>
  <c r="J688" i="4"/>
  <c r="I688" i="4"/>
  <c r="H688" i="4"/>
  <c r="G688" i="4"/>
  <c r="F688" i="4"/>
  <c r="E688" i="4"/>
  <c r="D688" i="4"/>
  <c r="A688" i="4"/>
  <c r="O687" i="4"/>
  <c r="N687" i="4"/>
  <c r="M687" i="4"/>
  <c r="L687" i="4"/>
  <c r="K687" i="4"/>
  <c r="J687" i="4"/>
  <c r="I687" i="4"/>
  <c r="H687" i="4"/>
  <c r="G687" i="4"/>
  <c r="F687" i="4"/>
  <c r="E687" i="4"/>
  <c r="D687" i="4"/>
  <c r="A687" i="4"/>
  <c r="O686" i="4"/>
  <c r="N686" i="4"/>
  <c r="M686" i="4"/>
  <c r="L686" i="4"/>
  <c r="K686" i="4"/>
  <c r="J686" i="4"/>
  <c r="I686" i="4"/>
  <c r="H686" i="4"/>
  <c r="G686" i="4"/>
  <c r="F686" i="4"/>
  <c r="E686" i="4"/>
  <c r="D686" i="4"/>
  <c r="A686" i="4"/>
  <c r="O685" i="4"/>
  <c r="N685" i="4"/>
  <c r="M685" i="4"/>
  <c r="L685" i="4"/>
  <c r="K685" i="4"/>
  <c r="J685" i="4"/>
  <c r="I685" i="4"/>
  <c r="H685" i="4"/>
  <c r="G685" i="4"/>
  <c r="F685" i="4"/>
  <c r="E685" i="4"/>
  <c r="D685" i="4"/>
  <c r="A685" i="4"/>
  <c r="O684" i="4"/>
  <c r="N684" i="4"/>
  <c r="M684" i="4"/>
  <c r="L684" i="4"/>
  <c r="K684" i="4"/>
  <c r="J684" i="4"/>
  <c r="I684" i="4"/>
  <c r="H684" i="4"/>
  <c r="G684" i="4"/>
  <c r="F684" i="4"/>
  <c r="E684" i="4"/>
  <c r="D684" i="4"/>
  <c r="A684" i="4"/>
  <c r="O683" i="4"/>
  <c r="N683" i="4"/>
  <c r="M683" i="4"/>
  <c r="L683" i="4"/>
  <c r="K683" i="4"/>
  <c r="J683" i="4"/>
  <c r="I683" i="4"/>
  <c r="H683" i="4"/>
  <c r="G683" i="4"/>
  <c r="F683" i="4"/>
  <c r="E683" i="4"/>
  <c r="D683" i="4"/>
  <c r="A683" i="4"/>
  <c r="O682" i="4"/>
  <c r="N682" i="4"/>
  <c r="M682" i="4"/>
  <c r="L682" i="4"/>
  <c r="K682" i="4"/>
  <c r="J682" i="4"/>
  <c r="I682" i="4"/>
  <c r="H682" i="4"/>
  <c r="G682" i="4"/>
  <c r="F682" i="4"/>
  <c r="E682" i="4"/>
  <c r="D682" i="4"/>
  <c r="A682" i="4"/>
  <c r="O681" i="4"/>
  <c r="N681" i="4"/>
  <c r="M681" i="4"/>
  <c r="L681" i="4"/>
  <c r="K681" i="4"/>
  <c r="J681" i="4"/>
  <c r="I681" i="4"/>
  <c r="H681" i="4"/>
  <c r="G681" i="4"/>
  <c r="F681" i="4"/>
  <c r="E681" i="4"/>
  <c r="D681" i="4"/>
  <c r="A681" i="4"/>
  <c r="O680" i="4"/>
  <c r="N680" i="4"/>
  <c r="M680" i="4"/>
  <c r="L680" i="4"/>
  <c r="K680" i="4"/>
  <c r="J680" i="4"/>
  <c r="I680" i="4"/>
  <c r="H680" i="4"/>
  <c r="G680" i="4"/>
  <c r="F680" i="4"/>
  <c r="E680" i="4"/>
  <c r="D680" i="4"/>
  <c r="A680" i="4"/>
  <c r="O679" i="4"/>
  <c r="N679" i="4"/>
  <c r="M679" i="4"/>
  <c r="L679" i="4"/>
  <c r="K679" i="4"/>
  <c r="J679" i="4"/>
  <c r="I679" i="4"/>
  <c r="H679" i="4"/>
  <c r="G679" i="4"/>
  <c r="F679" i="4"/>
  <c r="E679" i="4"/>
  <c r="D679" i="4"/>
  <c r="A679" i="4"/>
  <c r="O678" i="4"/>
  <c r="N678" i="4"/>
  <c r="M678" i="4"/>
  <c r="L678" i="4"/>
  <c r="K678" i="4"/>
  <c r="J678" i="4"/>
  <c r="I678" i="4"/>
  <c r="H678" i="4"/>
  <c r="G678" i="4"/>
  <c r="F678" i="4"/>
  <c r="E678" i="4"/>
  <c r="D678" i="4"/>
  <c r="A678" i="4"/>
  <c r="O677" i="4"/>
  <c r="N677" i="4"/>
  <c r="M677" i="4"/>
  <c r="L677" i="4"/>
  <c r="K677" i="4"/>
  <c r="J677" i="4"/>
  <c r="I677" i="4"/>
  <c r="H677" i="4"/>
  <c r="G677" i="4"/>
  <c r="F677" i="4"/>
  <c r="E677" i="4"/>
  <c r="D677" i="4"/>
  <c r="A677" i="4"/>
  <c r="O676" i="4"/>
  <c r="N676" i="4"/>
  <c r="M676" i="4"/>
  <c r="L676" i="4"/>
  <c r="K676" i="4"/>
  <c r="J676" i="4"/>
  <c r="I676" i="4"/>
  <c r="H676" i="4"/>
  <c r="G676" i="4"/>
  <c r="F676" i="4"/>
  <c r="E676" i="4"/>
  <c r="D676" i="4"/>
  <c r="A676" i="4"/>
  <c r="O675" i="4"/>
  <c r="N675" i="4"/>
  <c r="M675" i="4"/>
  <c r="L675" i="4"/>
  <c r="K675" i="4"/>
  <c r="J675" i="4"/>
  <c r="I675" i="4"/>
  <c r="H675" i="4"/>
  <c r="G675" i="4"/>
  <c r="F675" i="4"/>
  <c r="E675" i="4"/>
  <c r="D675" i="4"/>
  <c r="A675" i="4"/>
  <c r="O674" i="4"/>
  <c r="N674" i="4"/>
  <c r="M674" i="4"/>
  <c r="L674" i="4"/>
  <c r="K674" i="4"/>
  <c r="J674" i="4"/>
  <c r="I674" i="4"/>
  <c r="H674" i="4"/>
  <c r="G674" i="4"/>
  <c r="F674" i="4"/>
  <c r="E674" i="4"/>
  <c r="D674" i="4"/>
  <c r="A674" i="4"/>
  <c r="O673" i="4"/>
  <c r="N673" i="4"/>
  <c r="M673" i="4"/>
  <c r="L673" i="4"/>
  <c r="K673" i="4"/>
  <c r="J673" i="4"/>
  <c r="I673" i="4"/>
  <c r="H673" i="4"/>
  <c r="G673" i="4"/>
  <c r="F673" i="4"/>
  <c r="E673" i="4"/>
  <c r="D673" i="4"/>
  <c r="A673" i="4"/>
  <c r="O672" i="4"/>
  <c r="N672" i="4"/>
  <c r="M672" i="4"/>
  <c r="L672" i="4"/>
  <c r="K672" i="4"/>
  <c r="J672" i="4"/>
  <c r="I672" i="4"/>
  <c r="H672" i="4"/>
  <c r="G672" i="4"/>
  <c r="F672" i="4"/>
  <c r="E672" i="4"/>
  <c r="D672" i="4"/>
  <c r="A672" i="4"/>
  <c r="O671" i="4"/>
  <c r="N671" i="4"/>
  <c r="M671" i="4"/>
  <c r="L671" i="4"/>
  <c r="K671" i="4"/>
  <c r="J671" i="4"/>
  <c r="I671" i="4"/>
  <c r="H671" i="4"/>
  <c r="G671" i="4"/>
  <c r="F671" i="4"/>
  <c r="E671" i="4"/>
  <c r="D671" i="4"/>
  <c r="A671" i="4"/>
  <c r="O670" i="4"/>
  <c r="N670" i="4"/>
  <c r="M670" i="4"/>
  <c r="L670" i="4"/>
  <c r="K670" i="4"/>
  <c r="J670" i="4"/>
  <c r="I670" i="4"/>
  <c r="H670" i="4"/>
  <c r="G670" i="4"/>
  <c r="F670" i="4"/>
  <c r="E670" i="4"/>
  <c r="D670" i="4"/>
  <c r="A670" i="4"/>
  <c r="O669" i="4"/>
  <c r="N669" i="4"/>
  <c r="M669" i="4"/>
  <c r="L669" i="4"/>
  <c r="K669" i="4"/>
  <c r="J669" i="4"/>
  <c r="I669" i="4"/>
  <c r="H669" i="4"/>
  <c r="G669" i="4"/>
  <c r="F669" i="4"/>
  <c r="E669" i="4"/>
  <c r="D669" i="4"/>
  <c r="A669" i="4"/>
  <c r="O668" i="4"/>
  <c r="N668" i="4"/>
  <c r="M668" i="4"/>
  <c r="L668" i="4"/>
  <c r="K668" i="4"/>
  <c r="J668" i="4"/>
  <c r="I668" i="4"/>
  <c r="H668" i="4"/>
  <c r="G668" i="4"/>
  <c r="F668" i="4"/>
  <c r="E668" i="4"/>
  <c r="D668" i="4"/>
  <c r="A668" i="4"/>
  <c r="O667" i="4"/>
  <c r="N667" i="4"/>
  <c r="M667" i="4"/>
  <c r="L667" i="4"/>
  <c r="K667" i="4"/>
  <c r="J667" i="4"/>
  <c r="I667" i="4"/>
  <c r="H667" i="4"/>
  <c r="G667" i="4"/>
  <c r="F667" i="4"/>
  <c r="E667" i="4"/>
  <c r="D667" i="4"/>
  <c r="A667" i="4"/>
  <c r="O666" i="4"/>
  <c r="N666" i="4"/>
  <c r="M666" i="4"/>
  <c r="L666" i="4"/>
  <c r="K666" i="4"/>
  <c r="J666" i="4"/>
  <c r="I666" i="4"/>
  <c r="H666" i="4"/>
  <c r="G666" i="4"/>
  <c r="F666" i="4"/>
  <c r="E666" i="4"/>
  <c r="D666" i="4"/>
  <c r="A666" i="4"/>
  <c r="O665" i="4"/>
  <c r="N665" i="4"/>
  <c r="M665" i="4"/>
  <c r="L665" i="4"/>
  <c r="K665" i="4"/>
  <c r="J665" i="4"/>
  <c r="I665" i="4"/>
  <c r="H665" i="4"/>
  <c r="G665" i="4"/>
  <c r="F665" i="4"/>
  <c r="E665" i="4"/>
  <c r="D665" i="4"/>
  <c r="A665" i="4"/>
  <c r="O664" i="4"/>
  <c r="N664" i="4"/>
  <c r="M664" i="4"/>
  <c r="L664" i="4"/>
  <c r="K664" i="4"/>
  <c r="J664" i="4"/>
  <c r="I664" i="4"/>
  <c r="H664" i="4"/>
  <c r="G664" i="4"/>
  <c r="F664" i="4"/>
  <c r="E664" i="4"/>
  <c r="D664" i="4"/>
  <c r="A664" i="4"/>
  <c r="O663" i="4"/>
  <c r="N663" i="4"/>
  <c r="M663" i="4"/>
  <c r="L663" i="4"/>
  <c r="K663" i="4"/>
  <c r="J663" i="4"/>
  <c r="I663" i="4"/>
  <c r="H663" i="4"/>
  <c r="G663" i="4"/>
  <c r="F663" i="4"/>
  <c r="E663" i="4"/>
  <c r="D663" i="4"/>
  <c r="A663" i="4"/>
  <c r="O662" i="4"/>
  <c r="N662" i="4"/>
  <c r="M662" i="4"/>
  <c r="L662" i="4"/>
  <c r="K662" i="4"/>
  <c r="J662" i="4"/>
  <c r="I662" i="4"/>
  <c r="H662" i="4"/>
  <c r="G662" i="4"/>
  <c r="F662" i="4"/>
  <c r="E662" i="4"/>
  <c r="D662" i="4"/>
  <c r="A662" i="4"/>
  <c r="O661" i="4"/>
  <c r="N661" i="4"/>
  <c r="M661" i="4"/>
  <c r="L661" i="4"/>
  <c r="K661" i="4"/>
  <c r="J661" i="4"/>
  <c r="I661" i="4"/>
  <c r="H661" i="4"/>
  <c r="G661" i="4"/>
  <c r="F661" i="4"/>
  <c r="E661" i="4"/>
  <c r="D661" i="4"/>
  <c r="A661" i="4"/>
  <c r="O660" i="4"/>
  <c r="N660" i="4"/>
  <c r="M660" i="4"/>
  <c r="L660" i="4"/>
  <c r="K660" i="4"/>
  <c r="J660" i="4"/>
  <c r="I660" i="4"/>
  <c r="H660" i="4"/>
  <c r="G660" i="4"/>
  <c r="F660" i="4"/>
  <c r="E660" i="4"/>
  <c r="D660" i="4"/>
  <c r="A660" i="4"/>
  <c r="O659" i="4"/>
  <c r="N659" i="4"/>
  <c r="M659" i="4"/>
  <c r="L659" i="4"/>
  <c r="K659" i="4"/>
  <c r="J659" i="4"/>
  <c r="I659" i="4"/>
  <c r="H659" i="4"/>
  <c r="G659" i="4"/>
  <c r="F659" i="4"/>
  <c r="E659" i="4"/>
  <c r="D659" i="4"/>
  <c r="A659" i="4"/>
  <c r="O658" i="4"/>
  <c r="N658" i="4"/>
  <c r="M658" i="4"/>
  <c r="L658" i="4"/>
  <c r="K658" i="4"/>
  <c r="J658" i="4"/>
  <c r="I658" i="4"/>
  <c r="H658" i="4"/>
  <c r="G658" i="4"/>
  <c r="F658" i="4"/>
  <c r="E658" i="4"/>
  <c r="D658" i="4"/>
  <c r="A658" i="4"/>
  <c r="O657" i="4"/>
  <c r="N657" i="4"/>
  <c r="M657" i="4"/>
  <c r="L657" i="4"/>
  <c r="K657" i="4"/>
  <c r="J657" i="4"/>
  <c r="I657" i="4"/>
  <c r="H657" i="4"/>
  <c r="G657" i="4"/>
  <c r="F657" i="4"/>
  <c r="E657" i="4"/>
  <c r="D657" i="4"/>
  <c r="A657" i="4"/>
  <c r="O656" i="4"/>
  <c r="N656" i="4"/>
  <c r="M656" i="4"/>
  <c r="L656" i="4"/>
  <c r="K656" i="4"/>
  <c r="J656" i="4"/>
  <c r="I656" i="4"/>
  <c r="H656" i="4"/>
  <c r="G656" i="4"/>
  <c r="F656" i="4"/>
  <c r="E656" i="4"/>
  <c r="D656" i="4"/>
  <c r="A656" i="4"/>
  <c r="O655" i="4"/>
  <c r="N655" i="4"/>
  <c r="M655" i="4"/>
  <c r="L655" i="4"/>
  <c r="K655" i="4"/>
  <c r="J655" i="4"/>
  <c r="I655" i="4"/>
  <c r="H655" i="4"/>
  <c r="G655" i="4"/>
  <c r="F655" i="4"/>
  <c r="E655" i="4"/>
  <c r="D655" i="4"/>
  <c r="A655" i="4"/>
  <c r="O654" i="4"/>
  <c r="N654" i="4"/>
  <c r="M654" i="4"/>
  <c r="L654" i="4"/>
  <c r="K654" i="4"/>
  <c r="J654" i="4"/>
  <c r="I654" i="4"/>
  <c r="H654" i="4"/>
  <c r="G654" i="4"/>
  <c r="F654" i="4"/>
  <c r="E654" i="4"/>
  <c r="D654" i="4"/>
  <c r="A654" i="4"/>
  <c r="O653" i="4"/>
  <c r="N653" i="4"/>
  <c r="M653" i="4"/>
  <c r="L653" i="4"/>
  <c r="K653" i="4"/>
  <c r="J653" i="4"/>
  <c r="I653" i="4"/>
  <c r="H653" i="4"/>
  <c r="G653" i="4"/>
  <c r="F653" i="4"/>
  <c r="E653" i="4"/>
  <c r="D653" i="4"/>
  <c r="A653" i="4"/>
  <c r="O652" i="4"/>
  <c r="N652" i="4"/>
  <c r="M652" i="4"/>
  <c r="L652" i="4"/>
  <c r="K652" i="4"/>
  <c r="J652" i="4"/>
  <c r="I652" i="4"/>
  <c r="H652" i="4"/>
  <c r="G652" i="4"/>
  <c r="F652" i="4"/>
  <c r="E652" i="4"/>
  <c r="D652" i="4"/>
  <c r="A652" i="4"/>
  <c r="O651" i="4"/>
  <c r="N651" i="4"/>
  <c r="M651" i="4"/>
  <c r="L651" i="4"/>
  <c r="K651" i="4"/>
  <c r="J651" i="4"/>
  <c r="I651" i="4"/>
  <c r="H651" i="4"/>
  <c r="G651" i="4"/>
  <c r="F651" i="4"/>
  <c r="E651" i="4"/>
  <c r="D651" i="4"/>
  <c r="A651" i="4"/>
  <c r="O650" i="4"/>
  <c r="N650" i="4"/>
  <c r="M650" i="4"/>
  <c r="L650" i="4"/>
  <c r="K650" i="4"/>
  <c r="J650" i="4"/>
  <c r="I650" i="4"/>
  <c r="H650" i="4"/>
  <c r="G650" i="4"/>
  <c r="F650" i="4"/>
  <c r="E650" i="4"/>
  <c r="D650" i="4"/>
  <c r="A650" i="4"/>
  <c r="O649" i="4"/>
  <c r="N649" i="4"/>
  <c r="M649" i="4"/>
  <c r="L649" i="4"/>
  <c r="K649" i="4"/>
  <c r="J649" i="4"/>
  <c r="I649" i="4"/>
  <c r="H649" i="4"/>
  <c r="G649" i="4"/>
  <c r="F649" i="4"/>
  <c r="E649" i="4"/>
  <c r="D649" i="4"/>
  <c r="A649" i="4"/>
  <c r="O648" i="4"/>
  <c r="N648" i="4"/>
  <c r="M648" i="4"/>
  <c r="L648" i="4"/>
  <c r="K648" i="4"/>
  <c r="J648" i="4"/>
  <c r="I648" i="4"/>
  <c r="H648" i="4"/>
  <c r="G648" i="4"/>
  <c r="F648" i="4"/>
  <c r="E648" i="4"/>
  <c r="D648" i="4"/>
  <c r="A648" i="4"/>
  <c r="O647" i="4"/>
  <c r="N647" i="4"/>
  <c r="M647" i="4"/>
  <c r="L647" i="4"/>
  <c r="K647" i="4"/>
  <c r="J647" i="4"/>
  <c r="I647" i="4"/>
  <c r="H647" i="4"/>
  <c r="G647" i="4"/>
  <c r="F647" i="4"/>
  <c r="E647" i="4"/>
  <c r="D647" i="4"/>
  <c r="A647" i="4"/>
  <c r="O646" i="4"/>
  <c r="N646" i="4"/>
  <c r="M646" i="4"/>
  <c r="L646" i="4"/>
  <c r="K646" i="4"/>
  <c r="J646" i="4"/>
  <c r="I646" i="4"/>
  <c r="H646" i="4"/>
  <c r="G646" i="4"/>
  <c r="F646" i="4"/>
  <c r="E646" i="4"/>
  <c r="D646" i="4"/>
  <c r="A646" i="4"/>
  <c r="O645" i="4"/>
  <c r="N645" i="4"/>
  <c r="M645" i="4"/>
  <c r="L645" i="4"/>
  <c r="K645" i="4"/>
  <c r="J645" i="4"/>
  <c r="I645" i="4"/>
  <c r="H645" i="4"/>
  <c r="G645" i="4"/>
  <c r="F645" i="4"/>
  <c r="E645" i="4"/>
  <c r="D645" i="4"/>
  <c r="A645" i="4"/>
  <c r="O644" i="4"/>
  <c r="N644" i="4"/>
  <c r="M644" i="4"/>
  <c r="L644" i="4"/>
  <c r="K644" i="4"/>
  <c r="J644" i="4"/>
  <c r="I644" i="4"/>
  <c r="H644" i="4"/>
  <c r="G644" i="4"/>
  <c r="F644" i="4"/>
  <c r="E644" i="4"/>
  <c r="D644" i="4"/>
  <c r="A644" i="4"/>
  <c r="O643" i="4"/>
  <c r="N643" i="4"/>
  <c r="M643" i="4"/>
  <c r="L643" i="4"/>
  <c r="K643" i="4"/>
  <c r="J643" i="4"/>
  <c r="I643" i="4"/>
  <c r="H643" i="4"/>
  <c r="G643" i="4"/>
  <c r="F643" i="4"/>
  <c r="E643" i="4"/>
  <c r="D643" i="4"/>
  <c r="A643" i="4"/>
  <c r="O642" i="4"/>
  <c r="N642" i="4"/>
  <c r="M642" i="4"/>
  <c r="L642" i="4"/>
  <c r="K642" i="4"/>
  <c r="J642" i="4"/>
  <c r="I642" i="4"/>
  <c r="H642" i="4"/>
  <c r="G642" i="4"/>
  <c r="F642" i="4"/>
  <c r="E642" i="4"/>
  <c r="D642" i="4"/>
  <c r="A642" i="4"/>
  <c r="O641" i="4"/>
  <c r="N641" i="4"/>
  <c r="M641" i="4"/>
  <c r="L641" i="4"/>
  <c r="K641" i="4"/>
  <c r="J641" i="4"/>
  <c r="I641" i="4"/>
  <c r="H641" i="4"/>
  <c r="G641" i="4"/>
  <c r="F641" i="4"/>
  <c r="E641" i="4"/>
  <c r="D641" i="4"/>
  <c r="A641" i="4"/>
  <c r="O640" i="4"/>
  <c r="N640" i="4"/>
  <c r="M640" i="4"/>
  <c r="L640" i="4"/>
  <c r="K640" i="4"/>
  <c r="J640" i="4"/>
  <c r="I640" i="4"/>
  <c r="H640" i="4"/>
  <c r="G640" i="4"/>
  <c r="F640" i="4"/>
  <c r="E640" i="4"/>
  <c r="D640" i="4"/>
  <c r="A640" i="4"/>
  <c r="O639" i="4"/>
  <c r="N639" i="4"/>
  <c r="M639" i="4"/>
  <c r="L639" i="4"/>
  <c r="K639" i="4"/>
  <c r="J639" i="4"/>
  <c r="I639" i="4"/>
  <c r="H639" i="4"/>
  <c r="G639" i="4"/>
  <c r="F639" i="4"/>
  <c r="E639" i="4"/>
  <c r="D639" i="4"/>
  <c r="A639" i="4"/>
  <c r="O638" i="4"/>
  <c r="N638" i="4"/>
  <c r="M638" i="4"/>
  <c r="L638" i="4"/>
  <c r="K638" i="4"/>
  <c r="J638" i="4"/>
  <c r="I638" i="4"/>
  <c r="H638" i="4"/>
  <c r="G638" i="4"/>
  <c r="F638" i="4"/>
  <c r="E638" i="4"/>
  <c r="D638" i="4"/>
  <c r="A638" i="4"/>
  <c r="O637" i="4"/>
  <c r="N637" i="4"/>
  <c r="M637" i="4"/>
  <c r="L637" i="4"/>
  <c r="K637" i="4"/>
  <c r="J637" i="4"/>
  <c r="I637" i="4"/>
  <c r="H637" i="4"/>
  <c r="G637" i="4"/>
  <c r="F637" i="4"/>
  <c r="E637" i="4"/>
  <c r="D637" i="4"/>
  <c r="A637" i="4"/>
  <c r="O636" i="4"/>
  <c r="N636" i="4"/>
  <c r="M636" i="4"/>
  <c r="L636" i="4"/>
  <c r="K636" i="4"/>
  <c r="J636" i="4"/>
  <c r="I636" i="4"/>
  <c r="H636" i="4"/>
  <c r="G636" i="4"/>
  <c r="F636" i="4"/>
  <c r="E636" i="4"/>
  <c r="D636" i="4"/>
  <c r="A636" i="4"/>
  <c r="O635" i="4"/>
  <c r="N635" i="4"/>
  <c r="M635" i="4"/>
  <c r="L635" i="4"/>
  <c r="K635" i="4"/>
  <c r="J635" i="4"/>
  <c r="I635" i="4"/>
  <c r="H635" i="4"/>
  <c r="G635" i="4"/>
  <c r="F635" i="4"/>
  <c r="E635" i="4"/>
  <c r="D635" i="4"/>
  <c r="A635" i="4"/>
  <c r="O634" i="4"/>
  <c r="N634" i="4"/>
  <c r="M634" i="4"/>
  <c r="L634" i="4"/>
  <c r="K634" i="4"/>
  <c r="J634" i="4"/>
  <c r="I634" i="4"/>
  <c r="H634" i="4"/>
  <c r="G634" i="4"/>
  <c r="F634" i="4"/>
  <c r="E634" i="4"/>
  <c r="D634" i="4"/>
  <c r="A634" i="4"/>
  <c r="O633" i="4"/>
  <c r="N633" i="4"/>
  <c r="M633" i="4"/>
  <c r="L633" i="4"/>
  <c r="K633" i="4"/>
  <c r="J633" i="4"/>
  <c r="I633" i="4"/>
  <c r="H633" i="4"/>
  <c r="G633" i="4"/>
  <c r="F633" i="4"/>
  <c r="E633" i="4"/>
  <c r="D633" i="4"/>
  <c r="A633" i="4"/>
  <c r="O632" i="4"/>
  <c r="N632" i="4"/>
  <c r="M632" i="4"/>
  <c r="L632" i="4"/>
  <c r="K632" i="4"/>
  <c r="J632" i="4"/>
  <c r="I632" i="4"/>
  <c r="H632" i="4"/>
  <c r="G632" i="4"/>
  <c r="F632" i="4"/>
  <c r="E632" i="4"/>
  <c r="D632" i="4"/>
  <c r="A632" i="4"/>
  <c r="O631" i="4"/>
  <c r="N631" i="4"/>
  <c r="M631" i="4"/>
  <c r="L631" i="4"/>
  <c r="K631" i="4"/>
  <c r="J631" i="4"/>
  <c r="I631" i="4"/>
  <c r="H631" i="4"/>
  <c r="G631" i="4"/>
  <c r="F631" i="4"/>
  <c r="E631" i="4"/>
  <c r="D631" i="4"/>
  <c r="A631" i="4"/>
  <c r="O630" i="4"/>
  <c r="N630" i="4"/>
  <c r="M630" i="4"/>
  <c r="L630" i="4"/>
  <c r="K630" i="4"/>
  <c r="J630" i="4"/>
  <c r="I630" i="4"/>
  <c r="H630" i="4"/>
  <c r="G630" i="4"/>
  <c r="F630" i="4"/>
  <c r="E630" i="4"/>
  <c r="D630" i="4"/>
  <c r="A630" i="4"/>
  <c r="O629" i="4"/>
  <c r="N629" i="4"/>
  <c r="M629" i="4"/>
  <c r="L629" i="4"/>
  <c r="K629" i="4"/>
  <c r="J629" i="4"/>
  <c r="I629" i="4"/>
  <c r="H629" i="4"/>
  <c r="G629" i="4"/>
  <c r="F629" i="4"/>
  <c r="E629" i="4"/>
  <c r="D629" i="4"/>
  <c r="A629" i="4"/>
  <c r="O628" i="4"/>
  <c r="N628" i="4"/>
  <c r="M628" i="4"/>
  <c r="L628" i="4"/>
  <c r="K628" i="4"/>
  <c r="J628" i="4"/>
  <c r="I628" i="4"/>
  <c r="H628" i="4"/>
  <c r="G628" i="4"/>
  <c r="F628" i="4"/>
  <c r="E628" i="4"/>
  <c r="D628" i="4"/>
  <c r="A628" i="4"/>
  <c r="O627" i="4"/>
  <c r="N627" i="4"/>
  <c r="M627" i="4"/>
  <c r="L627" i="4"/>
  <c r="K627" i="4"/>
  <c r="J627" i="4"/>
  <c r="I627" i="4"/>
  <c r="H627" i="4"/>
  <c r="G627" i="4"/>
  <c r="F627" i="4"/>
  <c r="E627" i="4"/>
  <c r="D627" i="4"/>
  <c r="A627" i="4"/>
  <c r="O626" i="4"/>
  <c r="N626" i="4"/>
  <c r="M626" i="4"/>
  <c r="L626" i="4"/>
  <c r="K626" i="4"/>
  <c r="J626" i="4"/>
  <c r="I626" i="4"/>
  <c r="H626" i="4"/>
  <c r="G626" i="4"/>
  <c r="F626" i="4"/>
  <c r="E626" i="4"/>
  <c r="D626" i="4"/>
  <c r="A626" i="4"/>
  <c r="O625" i="4"/>
  <c r="N625" i="4"/>
  <c r="M625" i="4"/>
  <c r="L625" i="4"/>
  <c r="K625" i="4"/>
  <c r="J625" i="4"/>
  <c r="I625" i="4"/>
  <c r="H625" i="4"/>
  <c r="G625" i="4"/>
  <c r="F625" i="4"/>
  <c r="E625" i="4"/>
  <c r="D625" i="4"/>
  <c r="A625" i="4"/>
  <c r="O624" i="4"/>
  <c r="N624" i="4"/>
  <c r="M624" i="4"/>
  <c r="L624" i="4"/>
  <c r="K624" i="4"/>
  <c r="J624" i="4"/>
  <c r="I624" i="4"/>
  <c r="H624" i="4"/>
  <c r="G624" i="4"/>
  <c r="F624" i="4"/>
  <c r="E624" i="4"/>
  <c r="D624" i="4"/>
  <c r="A624" i="4"/>
  <c r="O623" i="4"/>
  <c r="N623" i="4"/>
  <c r="M623" i="4"/>
  <c r="L623" i="4"/>
  <c r="K623" i="4"/>
  <c r="J623" i="4"/>
  <c r="I623" i="4"/>
  <c r="H623" i="4"/>
  <c r="G623" i="4"/>
  <c r="F623" i="4"/>
  <c r="E623" i="4"/>
  <c r="D623" i="4"/>
  <c r="A623" i="4"/>
  <c r="O622" i="4"/>
  <c r="N622" i="4"/>
  <c r="M622" i="4"/>
  <c r="L622" i="4"/>
  <c r="K622" i="4"/>
  <c r="J622" i="4"/>
  <c r="I622" i="4"/>
  <c r="H622" i="4"/>
  <c r="G622" i="4"/>
  <c r="F622" i="4"/>
  <c r="E622" i="4"/>
  <c r="D622" i="4"/>
  <c r="A622" i="4"/>
  <c r="O621" i="4"/>
  <c r="N621" i="4"/>
  <c r="M621" i="4"/>
  <c r="L621" i="4"/>
  <c r="K621" i="4"/>
  <c r="J621" i="4"/>
  <c r="I621" i="4"/>
  <c r="H621" i="4"/>
  <c r="G621" i="4"/>
  <c r="F621" i="4"/>
  <c r="E621" i="4"/>
  <c r="D621" i="4"/>
  <c r="A621" i="4"/>
  <c r="O620" i="4"/>
  <c r="N620" i="4"/>
  <c r="M620" i="4"/>
  <c r="L620" i="4"/>
  <c r="K620" i="4"/>
  <c r="J620" i="4"/>
  <c r="I620" i="4"/>
  <c r="H620" i="4"/>
  <c r="G620" i="4"/>
  <c r="F620" i="4"/>
  <c r="E620" i="4"/>
  <c r="D620" i="4"/>
  <c r="A620" i="4"/>
  <c r="O619" i="4"/>
  <c r="N619" i="4"/>
  <c r="M619" i="4"/>
  <c r="L619" i="4"/>
  <c r="K619" i="4"/>
  <c r="J619" i="4"/>
  <c r="I619" i="4"/>
  <c r="H619" i="4"/>
  <c r="G619" i="4"/>
  <c r="F619" i="4"/>
  <c r="E619" i="4"/>
  <c r="D619" i="4"/>
  <c r="A619" i="4"/>
  <c r="O618" i="4"/>
  <c r="N618" i="4"/>
  <c r="M618" i="4"/>
  <c r="L618" i="4"/>
  <c r="K618" i="4"/>
  <c r="J618" i="4"/>
  <c r="I618" i="4"/>
  <c r="H618" i="4"/>
  <c r="G618" i="4"/>
  <c r="F618" i="4"/>
  <c r="E618" i="4"/>
  <c r="D618" i="4"/>
  <c r="A618" i="4"/>
  <c r="O617" i="4"/>
  <c r="N617" i="4"/>
  <c r="M617" i="4"/>
  <c r="L617" i="4"/>
  <c r="K617" i="4"/>
  <c r="J617" i="4"/>
  <c r="I617" i="4"/>
  <c r="H617" i="4"/>
  <c r="G617" i="4"/>
  <c r="F617" i="4"/>
  <c r="E617" i="4"/>
  <c r="D617" i="4"/>
  <c r="A617" i="4"/>
  <c r="O616" i="4"/>
  <c r="N616" i="4"/>
  <c r="M616" i="4"/>
  <c r="L616" i="4"/>
  <c r="K616" i="4"/>
  <c r="J616" i="4"/>
  <c r="I616" i="4"/>
  <c r="H616" i="4"/>
  <c r="G616" i="4"/>
  <c r="F616" i="4"/>
  <c r="E616" i="4"/>
  <c r="D616" i="4"/>
  <c r="A616" i="4"/>
  <c r="O615" i="4"/>
  <c r="N615" i="4"/>
  <c r="M615" i="4"/>
  <c r="L615" i="4"/>
  <c r="K615" i="4"/>
  <c r="J615" i="4"/>
  <c r="I615" i="4"/>
  <c r="H615" i="4"/>
  <c r="G615" i="4"/>
  <c r="F615" i="4"/>
  <c r="E615" i="4"/>
  <c r="D615" i="4"/>
  <c r="A615" i="4"/>
  <c r="O614" i="4"/>
  <c r="N614" i="4"/>
  <c r="M614" i="4"/>
  <c r="L614" i="4"/>
  <c r="K614" i="4"/>
  <c r="J614" i="4"/>
  <c r="I614" i="4"/>
  <c r="H614" i="4"/>
  <c r="G614" i="4"/>
  <c r="F614" i="4"/>
  <c r="E614" i="4"/>
  <c r="D614" i="4"/>
  <c r="A614" i="4"/>
  <c r="O613" i="4"/>
  <c r="N613" i="4"/>
  <c r="M613" i="4"/>
  <c r="L613" i="4"/>
  <c r="K613" i="4"/>
  <c r="J613" i="4"/>
  <c r="I613" i="4"/>
  <c r="H613" i="4"/>
  <c r="G613" i="4"/>
  <c r="F613" i="4"/>
  <c r="E613" i="4"/>
  <c r="D613" i="4"/>
  <c r="A613" i="4"/>
  <c r="O612" i="4"/>
  <c r="N612" i="4"/>
  <c r="M612" i="4"/>
  <c r="L612" i="4"/>
  <c r="K612" i="4"/>
  <c r="J612" i="4"/>
  <c r="I612" i="4"/>
  <c r="H612" i="4"/>
  <c r="G612" i="4"/>
  <c r="F612" i="4"/>
  <c r="E612" i="4"/>
  <c r="D612" i="4"/>
  <c r="A612" i="4"/>
  <c r="O611" i="4"/>
  <c r="N611" i="4"/>
  <c r="M611" i="4"/>
  <c r="L611" i="4"/>
  <c r="K611" i="4"/>
  <c r="J611" i="4"/>
  <c r="I611" i="4"/>
  <c r="H611" i="4"/>
  <c r="G611" i="4"/>
  <c r="F611" i="4"/>
  <c r="E611" i="4"/>
  <c r="D611" i="4"/>
  <c r="A611" i="4"/>
  <c r="O610" i="4"/>
  <c r="N610" i="4"/>
  <c r="M610" i="4"/>
  <c r="L610" i="4"/>
  <c r="K610" i="4"/>
  <c r="J610" i="4"/>
  <c r="I610" i="4"/>
  <c r="H610" i="4"/>
  <c r="G610" i="4"/>
  <c r="F610" i="4"/>
  <c r="E610" i="4"/>
  <c r="D610" i="4"/>
  <c r="A610" i="4"/>
  <c r="O609" i="4"/>
  <c r="N609" i="4"/>
  <c r="M609" i="4"/>
  <c r="L609" i="4"/>
  <c r="K609" i="4"/>
  <c r="J609" i="4"/>
  <c r="I609" i="4"/>
  <c r="H609" i="4"/>
  <c r="G609" i="4"/>
  <c r="F609" i="4"/>
  <c r="E609" i="4"/>
  <c r="D609" i="4"/>
  <c r="A609" i="4"/>
  <c r="O608" i="4"/>
  <c r="N608" i="4"/>
  <c r="M608" i="4"/>
  <c r="L608" i="4"/>
  <c r="K608" i="4"/>
  <c r="J608" i="4"/>
  <c r="I608" i="4"/>
  <c r="H608" i="4"/>
  <c r="G608" i="4"/>
  <c r="F608" i="4"/>
  <c r="E608" i="4"/>
  <c r="D608" i="4"/>
  <c r="A608" i="4"/>
  <c r="O607" i="4"/>
  <c r="N607" i="4"/>
  <c r="M607" i="4"/>
  <c r="L607" i="4"/>
  <c r="K607" i="4"/>
  <c r="J607" i="4"/>
  <c r="I607" i="4"/>
  <c r="H607" i="4"/>
  <c r="G607" i="4"/>
  <c r="F607" i="4"/>
  <c r="E607" i="4"/>
  <c r="D607" i="4"/>
  <c r="A607" i="4"/>
  <c r="O606" i="4"/>
  <c r="N606" i="4"/>
  <c r="M606" i="4"/>
  <c r="L606" i="4"/>
  <c r="K606" i="4"/>
  <c r="J606" i="4"/>
  <c r="I606" i="4"/>
  <c r="H606" i="4"/>
  <c r="G606" i="4"/>
  <c r="F606" i="4"/>
  <c r="E606" i="4"/>
  <c r="D606" i="4"/>
  <c r="A606" i="4"/>
  <c r="O605" i="4"/>
  <c r="N605" i="4"/>
  <c r="M605" i="4"/>
  <c r="L605" i="4"/>
  <c r="K605" i="4"/>
  <c r="J605" i="4"/>
  <c r="I605" i="4"/>
  <c r="H605" i="4"/>
  <c r="G605" i="4"/>
  <c r="F605" i="4"/>
  <c r="E605" i="4"/>
  <c r="D605" i="4"/>
  <c r="A605" i="4"/>
  <c r="O604" i="4"/>
  <c r="N604" i="4"/>
  <c r="M604" i="4"/>
  <c r="L604" i="4"/>
  <c r="K604" i="4"/>
  <c r="J604" i="4"/>
  <c r="I604" i="4"/>
  <c r="H604" i="4"/>
  <c r="G604" i="4"/>
  <c r="F604" i="4"/>
  <c r="E604" i="4"/>
  <c r="D604" i="4"/>
  <c r="A604" i="4"/>
  <c r="O603" i="4"/>
  <c r="N603" i="4"/>
  <c r="M603" i="4"/>
  <c r="L603" i="4"/>
  <c r="K603" i="4"/>
  <c r="J603" i="4"/>
  <c r="I603" i="4"/>
  <c r="H603" i="4"/>
  <c r="G603" i="4"/>
  <c r="F603" i="4"/>
  <c r="E603" i="4"/>
  <c r="D603" i="4"/>
  <c r="A603" i="4"/>
  <c r="O602" i="4"/>
  <c r="N602" i="4"/>
  <c r="M602" i="4"/>
  <c r="L602" i="4"/>
  <c r="K602" i="4"/>
  <c r="J602" i="4"/>
  <c r="I602" i="4"/>
  <c r="H602" i="4"/>
  <c r="G602" i="4"/>
  <c r="F602" i="4"/>
  <c r="E602" i="4"/>
  <c r="D602" i="4"/>
  <c r="A602" i="4"/>
  <c r="O601" i="4"/>
  <c r="N601" i="4"/>
  <c r="M601" i="4"/>
  <c r="L601" i="4"/>
  <c r="K601" i="4"/>
  <c r="J601" i="4"/>
  <c r="I601" i="4"/>
  <c r="H601" i="4"/>
  <c r="G601" i="4"/>
  <c r="F601" i="4"/>
  <c r="E601" i="4"/>
  <c r="D601" i="4"/>
  <c r="A601" i="4"/>
  <c r="O600" i="4"/>
  <c r="N600" i="4"/>
  <c r="M600" i="4"/>
  <c r="L600" i="4"/>
  <c r="K600" i="4"/>
  <c r="J600" i="4"/>
  <c r="I600" i="4"/>
  <c r="H600" i="4"/>
  <c r="G600" i="4"/>
  <c r="F600" i="4"/>
  <c r="E600" i="4"/>
  <c r="D600" i="4"/>
  <c r="A600" i="4"/>
  <c r="O599" i="4"/>
  <c r="N599" i="4"/>
  <c r="M599" i="4"/>
  <c r="L599" i="4"/>
  <c r="K599" i="4"/>
  <c r="J599" i="4"/>
  <c r="I599" i="4"/>
  <c r="H599" i="4"/>
  <c r="G599" i="4"/>
  <c r="F599" i="4"/>
  <c r="E599" i="4"/>
  <c r="D599" i="4"/>
  <c r="A599" i="4"/>
  <c r="O598" i="4"/>
  <c r="N598" i="4"/>
  <c r="M598" i="4"/>
  <c r="L598" i="4"/>
  <c r="K598" i="4"/>
  <c r="J598" i="4"/>
  <c r="I598" i="4"/>
  <c r="H598" i="4"/>
  <c r="G598" i="4"/>
  <c r="F598" i="4"/>
  <c r="E598" i="4"/>
  <c r="D598" i="4"/>
  <c r="A598" i="4"/>
  <c r="O597" i="4"/>
  <c r="N597" i="4"/>
  <c r="M597" i="4"/>
  <c r="L597" i="4"/>
  <c r="K597" i="4"/>
  <c r="J597" i="4"/>
  <c r="I597" i="4"/>
  <c r="H597" i="4"/>
  <c r="G597" i="4"/>
  <c r="F597" i="4"/>
  <c r="E597" i="4"/>
  <c r="D597" i="4"/>
  <c r="A597" i="4"/>
  <c r="O596" i="4"/>
  <c r="N596" i="4"/>
  <c r="M596" i="4"/>
  <c r="L596" i="4"/>
  <c r="K596" i="4"/>
  <c r="J596" i="4"/>
  <c r="I596" i="4"/>
  <c r="H596" i="4"/>
  <c r="G596" i="4"/>
  <c r="F596" i="4"/>
  <c r="E596" i="4"/>
  <c r="D596" i="4"/>
  <c r="A596" i="4"/>
  <c r="O595" i="4"/>
  <c r="N595" i="4"/>
  <c r="M595" i="4"/>
  <c r="L595" i="4"/>
  <c r="K595" i="4"/>
  <c r="J595" i="4"/>
  <c r="I595" i="4"/>
  <c r="H595" i="4"/>
  <c r="G595" i="4"/>
  <c r="F595" i="4"/>
  <c r="E595" i="4"/>
  <c r="D595" i="4"/>
  <c r="A595" i="4"/>
  <c r="O594" i="4"/>
  <c r="N594" i="4"/>
  <c r="M594" i="4"/>
  <c r="L594" i="4"/>
  <c r="K594" i="4"/>
  <c r="J594" i="4"/>
  <c r="I594" i="4"/>
  <c r="H594" i="4"/>
  <c r="G594" i="4"/>
  <c r="F594" i="4"/>
  <c r="E594" i="4"/>
  <c r="D594" i="4"/>
  <c r="A594" i="4"/>
  <c r="O593" i="4"/>
  <c r="N593" i="4"/>
  <c r="M593" i="4"/>
  <c r="L593" i="4"/>
  <c r="K593" i="4"/>
  <c r="J593" i="4"/>
  <c r="I593" i="4"/>
  <c r="H593" i="4"/>
  <c r="G593" i="4"/>
  <c r="F593" i="4"/>
  <c r="E593" i="4"/>
  <c r="D593" i="4"/>
  <c r="A593" i="4"/>
  <c r="O592" i="4"/>
  <c r="N592" i="4"/>
  <c r="M592" i="4"/>
  <c r="L592" i="4"/>
  <c r="K592" i="4"/>
  <c r="J592" i="4"/>
  <c r="I592" i="4"/>
  <c r="H592" i="4"/>
  <c r="G592" i="4"/>
  <c r="F592" i="4"/>
  <c r="E592" i="4"/>
  <c r="D592" i="4"/>
  <c r="A592" i="4"/>
  <c r="O591" i="4"/>
  <c r="N591" i="4"/>
  <c r="M591" i="4"/>
  <c r="L591" i="4"/>
  <c r="K591" i="4"/>
  <c r="J591" i="4"/>
  <c r="I591" i="4"/>
  <c r="H591" i="4"/>
  <c r="G591" i="4"/>
  <c r="F591" i="4"/>
  <c r="E591" i="4"/>
  <c r="D591" i="4"/>
  <c r="A591" i="4"/>
  <c r="O590" i="4"/>
  <c r="N590" i="4"/>
  <c r="M590" i="4"/>
  <c r="L590" i="4"/>
  <c r="K590" i="4"/>
  <c r="J590" i="4"/>
  <c r="I590" i="4"/>
  <c r="H590" i="4"/>
  <c r="G590" i="4"/>
  <c r="F590" i="4"/>
  <c r="E590" i="4"/>
  <c r="D590" i="4"/>
  <c r="A590" i="4"/>
  <c r="O589" i="4"/>
  <c r="N589" i="4"/>
  <c r="M589" i="4"/>
  <c r="L589" i="4"/>
  <c r="K589" i="4"/>
  <c r="J589" i="4"/>
  <c r="I589" i="4"/>
  <c r="H589" i="4"/>
  <c r="G589" i="4"/>
  <c r="F589" i="4"/>
  <c r="E589" i="4"/>
  <c r="D589" i="4"/>
  <c r="A589" i="4"/>
  <c r="O588" i="4"/>
  <c r="N588" i="4"/>
  <c r="M588" i="4"/>
  <c r="L588" i="4"/>
  <c r="K588" i="4"/>
  <c r="J588" i="4"/>
  <c r="I588" i="4"/>
  <c r="H588" i="4"/>
  <c r="G588" i="4"/>
  <c r="F588" i="4"/>
  <c r="E588" i="4"/>
  <c r="D588" i="4"/>
  <c r="A588" i="4"/>
  <c r="O587" i="4"/>
  <c r="N587" i="4"/>
  <c r="M587" i="4"/>
  <c r="L587" i="4"/>
  <c r="K587" i="4"/>
  <c r="J587" i="4"/>
  <c r="I587" i="4"/>
  <c r="H587" i="4"/>
  <c r="G587" i="4"/>
  <c r="F587" i="4"/>
  <c r="E587" i="4"/>
  <c r="D587" i="4"/>
  <c r="A587" i="4"/>
  <c r="O586" i="4"/>
  <c r="N586" i="4"/>
  <c r="M586" i="4"/>
  <c r="L586" i="4"/>
  <c r="K586" i="4"/>
  <c r="J586" i="4"/>
  <c r="I586" i="4"/>
  <c r="H586" i="4"/>
  <c r="G586" i="4"/>
  <c r="F586" i="4"/>
  <c r="E586" i="4"/>
  <c r="D586" i="4"/>
  <c r="A586" i="4"/>
  <c r="O585" i="4"/>
  <c r="N585" i="4"/>
  <c r="M585" i="4"/>
  <c r="L585" i="4"/>
  <c r="K585" i="4"/>
  <c r="J585" i="4"/>
  <c r="I585" i="4"/>
  <c r="H585" i="4"/>
  <c r="G585" i="4"/>
  <c r="F585" i="4"/>
  <c r="E585" i="4"/>
  <c r="D585" i="4"/>
  <c r="A585" i="4"/>
  <c r="O584" i="4"/>
  <c r="N584" i="4"/>
  <c r="M584" i="4"/>
  <c r="L584" i="4"/>
  <c r="K584" i="4"/>
  <c r="J584" i="4"/>
  <c r="I584" i="4"/>
  <c r="H584" i="4"/>
  <c r="G584" i="4"/>
  <c r="F584" i="4"/>
  <c r="E584" i="4"/>
  <c r="D584" i="4"/>
  <c r="A584" i="4"/>
  <c r="O583" i="4"/>
  <c r="N583" i="4"/>
  <c r="M583" i="4"/>
  <c r="L583" i="4"/>
  <c r="K583" i="4"/>
  <c r="J583" i="4"/>
  <c r="I583" i="4"/>
  <c r="H583" i="4"/>
  <c r="G583" i="4"/>
  <c r="F583" i="4"/>
  <c r="E583" i="4"/>
  <c r="D583" i="4"/>
  <c r="A583" i="4"/>
  <c r="O582" i="4"/>
  <c r="N582" i="4"/>
  <c r="M582" i="4"/>
  <c r="L582" i="4"/>
  <c r="K582" i="4"/>
  <c r="J582" i="4"/>
  <c r="I582" i="4"/>
  <c r="H582" i="4"/>
  <c r="G582" i="4"/>
  <c r="F582" i="4"/>
  <c r="E582" i="4"/>
  <c r="D582" i="4"/>
  <c r="A582" i="4"/>
  <c r="O581" i="4"/>
  <c r="N581" i="4"/>
  <c r="M581" i="4"/>
  <c r="L581" i="4"/>
  <c r="K581" i="4"/>
  <c r="J581" i="4"/>
  <c r="I581" i="4"/>
  <c r="H581" i="4"/>
  <c r="G581" i="4"/>
  <c r="F581" i="4"/>
  <c r="E581" i="4"/>
  <c r="D581" i="4"/>
  <c r="A581" i="4"/>
  <c r="O580" i="4"/>
  <c r="N580" i="4"/>
  <c r="M580" i="4"/>
  <c r="L580" i="4"/>
  <c r="K580" i="4"/>
  <c r="J580" i="4"/>
  <c r="I580" i="4"/>
  <c r="H580" i="4"/>
  <c r="G580" i="4"/>
  <c r="F580" i="4"/>
  <c r="E580" i="4"/>
  <c r="D580" i="4"/>
  <c r="A580" i="4"/>
  <c r="O579" i="4"/>
  <c r="N579" i="4"/>
  <c r="M579" i="4"/>
  <c r="L579" i="4"/>
  <c r="K579" i="4"/>
  <c r="J579" i="4"/>
  <c r="I579" i="4"/>
  <c r="H579" i="4"/>
  <c r="G579" i="4"/>
  <c r="F579" i="4"/>
  <c r="E579" i="4"/>
  <c r="D579" i="4"/>
  <c r="A579" i="4"/>
  <c r="O578" i="4"/>
  <c r="N578" i="4"/>
  <c r="M578" i="4"/>
  <c r="L578" i="4"/>
  <c r="K578" i="4"/>
  <c r="J578" i="4"/>
  <c r="I578" i="4"/>
  <c r="H578" i="4"/>
  <c r="G578" i="4"/>
  <c r="F578" i="4"/>
  <c r="E578" i="4"/>
  <c r="D578" i="4"/>
  <c r="A578" i="4"/>
  <c r="O577" i="4"/>
  <c r="N577" i="4"/>
  <c r="M577" i="4"/>
  <c r="L577" i="4"/>
  <c r="K577" i="4"/>
  <c r="J577" i="4"/>
  <c r="I577" i="4"/>
  <c r="H577" i="4"/>
  <c r="G577" i="4"/>
  <c r="F577" i="4"/>
  <c r="E577" i="4"/>
  <c r="D577" i="4"/>
  <c r="A577" i="4"/>
  <c r="O576" i="4"/>
  <c r="N576" i="4"/>
  <c r="M576" i="4"/>
  <c r="L576" i="4"/>
  <c r="K576" i="4"/>
  <c r="J576" i="4"/>
  <c r="I576" i="4"/>
  <c r="H576" i="4"/>
  <c r="G576" i="4"/>
  <c r="F576" i="4"/>
  <c r="E576" i="4"/>
  <c r="D576" i="4"/>
  <c r="A576" i="4"/>
  <c r="O575" i="4"/>
  <c r="N575" i="4"/>
  <c r="M575" i="4"/>
  <c r="L575" i="4"/>
  <c r="K575" i="4"/>
  <c r="J575" i="4"/>
  <c r="I575" i="4"/>
  <c r="H575" i="4"/>
  <c r="G575" i="4"/>
  <c r="F575" i="4"/>
  <c r="E575" i="4"/>
  <c r="D575" i="4"/>
  <c r="A575" i="4"/>
  <c r="O574" i="4"/>
  <c r="N574" i="4"/>
  <c r="M574" i="4"/>
  <c r="L574" i="4"/>
  <c r="K574" i="4"/>
  <c r="J574" i="4"/>
  <c r="I574" i="4"/>
  <c r="H574" i="4"/>
  <c r="G574" i="4"/>
  <c r="F574" i="4"/>
  <c r="E574" i="4"/>
  <c r="D574" i="4"/>
  <c r="A574" i="4"/>
  <c r="O573" i="4"/>
  <c r="N573" i="4"/>
  <c r="M573" i="4"/>
  <c r="L573" i="4"/>
  <c r="K573" i="4"/>
  <c r="J573" i="4"/>
  <c r="I573" i="4"/>
  <c r="H573" i="4"/>
  <c r="G573" i="4"/>
  <c r="F573" i="4"/>
  <c r="E573" i="4"/>
  <c r="D573" i="4"/>
  <c r="A573" i="4"/>
  <c r="O572" i="4"/>
  <c r="N572" i="4"/>
  <c r="M572" i="4"/>
  <c r="L572" i="4"/>
  <c r="K572" i="4"/>
  <c r="J572" i="4"/>
  <c r="I572" i="4"/>
  <c r="H572" i="4"/>
  <c r="G572" i="4"/>
  <c r="F572" i="4"/>
  <c r="E572" i="4"/>
  <c r="D572" i="4"/>
  <c r="A572" i="4"/>
  <c r="O571" i="4"/>
  <c r="N571" i="4"/>
  <c r="M571" i="4"/>
  <c r="L571" i="4"/>
  <c r="K571" i="4"/>
  <c r="J571" i="4"/>
  <c r="I571" i="4"/>
  <c r="H571" i="4"/>
  <c r="G571" i="4"/>
  <c r="F571" i="4"/>
  <c r="E571" i="4"/>
  <c r="D571" i="4"/>
  <c r="A571" i="4"/>
  <c r="O570" i="4"/>
  <c r="N570" i="4"/>
  <c r="M570" i="4"/>
  <c r="L570" i="4"/>
  <c r="K570" i="4"/>
  <c r="J570" i="4"/>
  <c r="I570" i="4"/>
  <c r="H570" i="4"/>
  <c r="G570" i="4"/>
  <c r="F570" i="4"/>
  <c r="E570" i="4"/>
  <c r="D570" i="4"/>
  <c r="A570" i="4"/>
  <c r="O569" i="4"/>
  <c r="N569" i="4"/>
  <c r="M569" i="4"/>
  <c r="L569" i="4"/>
  <c r="K569" i="4"/>
  <c r="J569" i="4"/>
  <c r="I569" i="4"/>
  <c r="H569" i="4"/>
  <c r="G569" i="4"/>
  <c r="F569" i="4"/>
  <c r="E569" i="4"/>
  <c r="D569" i="4"/>
  <c r="A569" i="4"/>
  <c r="O568" i="4"/>
  <c r="N568" i="4"/>
  <c r="M568" i="4"/>
  <c r="L568" i="4"/>
  <c r="K568" i="4"/>
  <c r="J568" i="4"/>
  <c r="I568" i="4"/>
  <c r="H568" i="4"/>
  <c r="G568" i="4"/>
  <c r="F568" i="4"/>
  <c r="E568" i="4"/>
  <c r="D568" i="4"/>
  <c r="A568" i="4"/>
  <c r="O567" i="4"/>
  <c r="N567" i="4"/>
  <c r="M567" i="4"/>
  <c r="L567" i="4"/>
  <c r="K567" i="4"/>
  <c r="J567" i="4"/>
  <c r="I567" i="4"/>
  <c r="H567" i="4"/>
  <c r="G567" i="4"/>
  <c r="F567" i="4"/>
  <c r="E567" i="4"/>
  <c r="D567" i="4"/>
  <c r="A567" i="4"/>
  <c r="O566" i="4"/>
  <c r="N566" i="4"/>
  <c r="M566" i="4"/>
  <c r="L566" i="4"/>
  <c r="K566" i="4"/>
  <c r="J566" i="4"/>
  <c r="I566" i="4"/>
  <c r="H566" i="4"/>
  <c r="G566" i="4"/>
  <c r="F566" i="4"/>
  <c r="E566" i="4"/>
  <c r="D566" i="4"/>
  <c r="A566" i="4"/>
  <c r="O565" i="4"/>
  <c r="N565" i="4"/>
  <c r="M565" i="4"/>
  <c r="L565" i="4"/>
  <c r="K565" i="4"/>
  <c r="J565" i="4"/>
  <c r="I565" i="4"/>
  <c r="H565" i="4"/>
  <c r="G565" i="4"/>
  <c r="F565" i="4"/>
  <c r="E565" i="4"/>
  <c r="D565" i="4"/>
  <c r="A565" i="4"/>
  <c r="O564" i="4"/>
  <c r="N564" i="4"/>
  <c r="M564" i="4"/>
  <c r="L564" i="4"/>
  <c r="K564" i="4"/>
  <c r="J564" i="4"/>
  <c r="I564" i="4"/>
  <c r="H564" i="4"/>
  <c r="G564" i="4"/>
  <c r="F564" i="4"/>
  <c r="E564" i="4"/>
  <c r="D564" i="4"/>
  <c r="A564" i="4"/>
  <c r="O563" i="4"/>
  <c r="N563" i="4"/>
  <c r="M563" i="4"/>
  <c r="L563" i="4"/>
  <c r="K563" i="4"/>
  <c r="J563" i="4"/>
  <c r="I563" i="4"/>
  <c r="H563" i="4"/>
  <c r="G563" i="4"/>
  <c r="F563" i="4"/>
  <c r="E563" i="4"/>
  <c r="D563" i="4"/>
  <c r="A563" i="4"/>
  <c r="O562" i="4"/>
  <c r="N562" i="4"/>
  <c r="M562" i="4"/>
  <c r="L562" i="4"/>
  <c r="K562" i="4"/>
  <c r="J562" i="4"/>
  <c r="I562" i="4"/>
  <c r="H562" i="4"/>
  <c r="G562" i="4"/>
  <c r="F562" i="4"/>
  <c r="E562" i="4"/>
  <c r="D562" i="4"/>
  <c r="A562" i="4"/>
  <c r="O561" i="4"/>
  <c r="N561" i="4"/>
  <c r="M561" i="4"/>
  <c r="L561" i="4"/>
  <c r="K561" i="4"/>
  <c r="J561" i="4"/>
  <c r="I561" i="4"/>
  <c r="H561" i="4"/>
  <c r="G561" i="4"/>
  <c r="F561" i="4"/>
  <c r="E561" i="4"/>
  <c r="D561" i="4"/>
  <c r="A561" i="4"/>
  <c r="O560" i="4"/>
  <c r="N560" i="4"/>
  <c r="M560" i="4"/>
  <c r="L560" i="4"/>
  <c r="K560" i="4"/>
  <c r="J560" i="4"/>
  <c r="I560" i="4"/>
  <c r="H560" i="4"/>
  <c r="G560" i="4"/>
  <c r="F560" i="4"/>
  <c r="E560" i="4"/>
  <c r="D560" i="4"/>
  <c r="A560" i="4"/>
  <c r="O559" i="4"/>
  <c r="N559" i="4"/>
  <c r="M559" i="4"/>
  <c r="L559" i="4"/>
  <c r="K559" i="4"/>
  <c r="J559" i="4"/>
  <c r="I559" i="4"/>
  <c r="H559" i="4"/>
  <c r="G559" i="4"/>
  <c r="F559" i="4"/>
  <c r="E559" i="4"/>
  <c r="D559" i="4"/>
  <c r="A559" i="4"/>
  <c r="O558" i="4"/>
  <c r="N558" i="4"/>
  <c r="M558" i="4"/>
  <c r="L558" i="4"/>
  <c r="K558" i="4"/>
  <c r="J558" i="4"/>
  <c r="I558" i="4"/>
  <c r="H558" i="4"/>
  <c r="G558" i="4"/>
  <c r="F558" i="4"/>
  <c r="E558" i="4"/>
  <c r="D558" i="4"/>
  <c r="A558" i="4"/>
  <c r="O557" i="4"/>
  <c r="N557" i="4"/>
  <c r="M557" i="4"/>
  <c r="L557" i="4"/>
  <c r="K557" i="4"/>
  <c r="J557" i="4"/>
  <c r="I557" i="4"/>
  <c r="H557" i="4"/>
  <c r="G557" i="4"/>
  <c r="F557" i="4"/>
  <c r="E557" i="4"/>
  <c r="D557" i="4"/>
  <c r="A557" i="4"/>
  <c r="O556" i="4"/>
  <c r="N556" i="4"/>
  <c r="M556" i="4"/>
  <c r="L556" i="4"/>
  <c r="K556" i="4"/>
  <c r="J556" i="4"/>
  <c r="I556" i="4"/>
  <c r="H556" i="4"/>
  <c r="G556" i="4"/>
  <c r="F556" i="4"/>
  <c r="E556" i="4"/>
  <c r="D556" i="4"/>
  <c r="A556" i="4"/>
  <c r="O555" i="4"/>
  <c r="N555" i="4"/>
  <c r="M555" i="4"/>
  <c r="L555" i="4"/>
  <c r="K555" i="4"/>
  <c r="J555" i="4"/>
  <c r="I555" i="4"/>
  <c r="H555" i="4"/>
  <c r="G555" i="4"/>
  <c r="F555" i="4"/>
  <c r="E555" i="4"/>
  <c r="D555" i="4"/>
  <c r="A555" i="4"/>
  <c r="O554" i="4"/>
  <c r="N554" i="4"/>
  <c r="M554" i="4"/>
  <c r="L554" i="4"/>
  <c r="K554" i="4"/>
  <c r="J554" i="4"/>
  <c r="I554" i="4"/>
  <c r="H554" i="4"/>
  <c r="G554" i="4"/>
  <c r="F554" i="4"/>
  <c r="E554" i="4"/>
  <c r="D554" i="4"/>
  <c r="A554" i="4"/>
  <c r="O553" i="4"/>
  <c r="N553" i="4"/>
  <c r="M553" i="4"/>
  <c r="L553" i="4"/>
  <c r="K553" i="4"/>
  <c r="J553" i="4"/>
  <c r="I553" i="4"/>
  <c r="H553" i="4"/>
  <c r="G553" i="4"/>
  <c r="F553" i="4"/>
  <c r="E553" i="4"/>
  <c r="D553" i="4"/>
  <c r="A553" i="4"/>
  <c r="O552" i="4"/>
  <c r="N552" i="4"/>
  <c r="M552" i="4"/>
  <c r="L552" i="4"/>
  <c r="K552" i="4"/>
  <c r="J552" i="4"/>
  <c r="I552" i="4"/>
  <c r="H552" i="4"/>
  <c r="G552" i="4"/>
  <c r="F552" i="4"/>
  <c r="E552" i="4"/>
  <c r="D552" i="4"/>
  <c r="A552" i="4"/>
  <c r="O551" i="4"/>
  <c r="N551" i="4"/>
  <c r="M551" i="4"/>
  <c r="L551" i="4"/>
  <c r="K551" i="4"/>
  <c r="J551" i="4"/>
  <c r="I551" i="4"/>
  <c r="H551" i="4"/>
  <c r="G551" i="4"/>
  <c r="F551" i="4"/>
  <c r="E551" i="4"/>
  <c r="D551" i="4"/>
  <c r="A551" i="4"/>
  <c r="O550" i="4"/>
  <c r="N550" i="4"/>
  <c r="M550" i="4"/>
  <c r="L550" i="4"/>
  <c r="K550" i="4"/>
  <c r="J550" i="4"/>
  <c r="I550" i="4"/>
  <c r="H550" i="4"/>
  <c r="G550" i="4"/>
  <c r="F550" i="4"/>
  <c r="E550" i="4"/>
  <c r="D550" i="4"/>
  <c r="A550" i="4"/>
  <c r="O549" i="4"/>
  <c r="N549" i="4"/>
  <c r="M549" i="4"/>
  <c r="L549" i="4"/>
  <c r="K549" i="4"/>
  <c r="J549" i="4"/>
  <c r="I549" i="4"/>
  <c r="H549" i="4"/>
  <c r="G549" i="4"/>
  <c r="F549" i="4"/>
  <c r="E549" i="4"/>
  <c r="D549" i="4"/>
  <c r="A549" i="4"/>
  <c r="O548" i="4"/>
  <c r="N548" i="4"/>
  <c r="M548" i="4"/>
  <c r="L548" i="4"/>
  <c r="K548" i="4"/>
  <c r="J548" i="4"/>
  <c r="I548" i="4"/>
  <c r="H548" i="4"/>
  <c r="G548" i="4"/>
  <c r="F548" i="4"/>
  <c r="E548" i="4"/>
  <c r="D548" i="4"/>
  <c r="A548" i="4"/>
  <c r="O547" i="4"/>
  <c r="N547" i="4"/>
  <c r="M547" i="4"/>
  <c r="L547" i="4"/>
  <c r="K547" i="4"/>
  <c r="J547" i="4"/>
  <c r="I547" i="4"/>
  <c r="H547" i="4"/>
  <c r="G547" i="4"/>
  <c r="F547" i="4"/>
  <c r="E547" i="4"/>
  <c r="D547" i="4"/>
  <c r="A547" i="4"/>
  <c r="O546" i="4"/>
  <c r="N546" i="4"/>
  <c r="M546" i="4"/>
  <c r="L546" i="4"/>
  <c r="K546" i="4"/>
  <c r="J546" i="4"/>
  <c r="I546" i="4"/>
  <c r="H546" i="4"/>
  <c r="G546" i="4"/>
  <c r="F546" i="4"/>
  <c r="E546" i="4"/>
  <c r="D546" i="4"/>
  <c r="A546" i="4"/>
  <c r="O545" i="4"/>
  <c r="N545" i="4"/>
  <c r="M545" i="4"/>
  <c r="L545" i="4"/>
  <c r="K545" i="4"/>
  <c r="J545" i="4"/>
  <c r="I545" i="4"/>
  <c r="H545" i="4"/>
  <c r="G545" i="4"/>
  <c r="F545" i="4"/>
  <c r="E545" i="4"/>
  <c r="D545" i="4"/>
  <c r="A545" i="4"/>
  <c r="O544" i="4"/>
  <c r="N544" i="4"/>
  <c r="M544" i="4"/>
  <c r="L544" i="4"/>
  <c r="K544" i="4"/>
  <c r="J544" i="4"/>
  <c r="I544" i="4"/>
  <c r="H544" i="4"/>
  <c r="G544" i="4"/>
  <c r="F544" i="4"/>
  <c r="E544" i="4"/>
  <c r="D544" i="4"/>
  <c r="A544" i="4"/>
  <c r="O543" i="4"/>
  <c r="N543" i="4"/>
  <c r="M543" i="4"/>
  <c r="L543" i="4"/>
  <c r="K543" i="4"/>
  <c r="J543" i="4"/>
  <c r="I543" i="4"/>
  <c r="H543" i="4"/>
  <c r="G543" i="4"/>
  <c r="F543" i="4"/>
  <c r="E543" i="4"/>
  <c r="D543" i="4"/>
  <c r="A543" i="4"/>
  <c r="O542" i="4"/>
  <c r="N542" i="4"/>
  <c r="M542" i="4"/>
  <c r="L542" i="4"/>
  <c r="K542" i="4"/>
  <c r="J542" i="4"/>
  <c r="I542" i="4"/>
  <c r="H542" i="4"/>
  <c r="G542" i="4"/>
  <c r="F542" i="4"/>
  <c r="E542" i="4"/>
  <c r="D542" i="4"/>
  <c r="A542" i="4"/>
  <c r="O541" i="4"/>
  <c r="N541" i="4"/>
  <c r="M541" i="4"/>
  <c r="L541" i="4"/>
  <c r="K541" i="4"/>
  <c r="J541" i="4"/>
  <c r="I541" i="4"/>
  <c r="H541" i="4"/>
  <c r="G541" i="4"/>
  <c r="F541" i="4"/>
  <c r="E541" i="4"/>
  <c r="D541" i="4"/>
  <c r="A541" i="4"/>
  <c r="O540" i="4"/>
  <c r="N540" i="4"/>
  <c r="M540" i="4"/>
  <c r="L540" i="4"/>
  <c r="K540" i="4"/>
  <c r="J540" i="4"/>
  <c r="I540" i="4"/>
  <c r="H540" i="4"/>
  <c r="G540" i="4"/>
  <c r="F540" i="4"/>
  <c r="E540" i="4"/>
  <c r="D540" i="4"/>
  <c r="A540" i="4"/>
  <c r="O539" i="4"/>
  <c r="N539" i="4"/>
  <c r="M539" i="4"/>
  <c r="L539" i="4"/>
  <c r="K539" i="4"/>
  <c r="J539" i="4"/>
  <c r="I539" i="4"/>
  <c r="H539" i="4"/>
  <c r="G539" i="4"/>
  <c r="F539" i="4"/>
  <c r="E539" i="4"/>
  <c r="D539" i="4"/>
  <c r="A539" i="4"/>
  <c r="O538" i="4"/>
  <c r="N538" i="4"/>
  <c r="M538" i="4"/>
  <c r="L538" i="4"/>
  <c r="K538" i="4"/>
  <c r="J538" i="4"/>
  <c r="I538" i="4"/>
  <c r="H538" i="4"/>
  <c r="G538" i="4"/>
  <c r="F538" i="4"/>
  <c r="E538" i="4"/>
  <c r="D538" i="4"/>
  <c r="A538" i="4"/>
  <c r="O537" i="4"/>
  <c r="N537" i="4"/>
  <c r="M537" i="4"/>
  <c r="L537" i="4"/>
  <c r="K537" i="4"/>
  <c r="J537" i="4"/>
  <c r="I537" i="4"/>
  <c r="H537" i="4"/>
  <c r="G537" i="4"/>
  <c r="F537" i="4"/>
  <c r="E537" i="4"/>
  <c r="D537" i="4"/>
  <c r="A537" i="4"/>
  <c r="O536" i="4"/>
  <c r="N536" i="4"/>
  <c r="M536" i="4"/>
  <c r="L536" i="4"/>
  <c r="K536" i="4"/>
  <c r="J536" i="4"/>
  <c r="I536" i="4"/>
  <c r="H536" i="4"/>
  <c r="G536" i="4"/>
  <c r="F536" i="4"/>
  <c r="E536" i="4"/>
  <c r="D536" i="4"/>
  <c r="A536" i="4"/>
  <c r="O535" i="4"/>
  <c r="N535" i="4"/>
  <c r="M535" i="4"/>
  <c r="L535" i="4"/>
  <c r="K535" i="4"/>
  <c r="J535" i="4"/>
  <c r="I535" i="4"/>
  <c r="H535" i="4"/>
  <c r="G535" i="4"/>
  <c r="F535" i="4"/>
  <c r="E535" i="4"/>
  <c r="D535" i="4"/>
  <c r="A535" i="4"/>
  <c r="O534" i="4"/>
  <c r="N534" i="4"/>
  <c r="M534" i="4"/>
  <c r="L534" i="4"/>
  <c r="K534" i="4"/>
  <c r="J534" i="4"/>
  <c r="I534" i="4"/>
  <c r="H534" i="4"/>
  <c r="G534" i="4"/>
  <c r="F534" i="4"/>
  <c r="E534" i="4"/>
  <c r="D534" i="4"/>
  <c r="A534" i="4"/>
  <c r="O533" i="4"/>
  <c r="N533" i="4"/>
  <c r="M533" i="4"/>
  <c r="L533" i="4"/>
  <c r="K533" i="4"/>
  <c r="J533" i="4"/>
  <c r="I533" i="4"/>
  <c r="H533" i="4"/>
  <c r="G533" i="4"/>
  <c r="F533" i="4"/>
  <c r="E533" i="4"/>
  <c r="D533" i="4"/>
  <c r="A533" i="4"/>
  <c r="O532" i="4"/>
  <c r="N532" i="4"/>
  <c r="M532" i="4"/>
  <c r="L532" i="4"/>
  <c r="K532" i="4"/>
  <c r="J532" i="4"/>
  <c r="I532" i="4"/>
  <c r="H532" i="4"/>
  <c r="G532" i="4"/>
  <c r="F532" i="4"/>
  <c r="E532" i="4"/>
  <c r="D532" i="4"/>
  <c r="A532" i="4"/>
  <c r="O531" i="4"/>
  <c r="N531" i="4"/>
  <c r="M531" i="4"/>
  <c r="L531" i="4"/>
  <c r="K531" i="4"/>
  <c r="J531" i="4"/>
  <c r="I531" i="4"/>
  <c r="H531" i="4"/>
  <c r="G531" i="4"/>
  <c r="F531" i="4"/>
  <c r="E531" i="4"/>
  <c r="D531" i="4"/>
  <c r="A531" i="4"/>
  <c r="O530" i="4"/>
  <c r="N530" i="4"/>
  <c r="M530" i="4"/>
  <c r="L530" i="4"/>
  <c r="K530" i="4"/>
  <c r="J530" i="4"/>
  <c r="I530" i="4"/>
  <c r="H530" i="4"/>
  <c r="G530" i="4"/>
  <c r="F530" i="4"/>
  <c r="E530" i="4"/>
  <c r="D530" i="4"/>
  <c r="A530" i="4"/>
  <c r="O529" i="4"/>
  <c r="N529" i="4"/>
  <c r="M529" i="4"/>
  <c r="L529" i="4"/>
  <c r="K529" i="4"/>
  <c r="J529" i="4"/>
  <c r="I529" i="4"/>
  <c r="H529" i="4"/>
  <c r="G529" i="4"/>
  <c r="F529" i="4"/>
  <c r="E529" i="4"/>
  <c r="D529" i="4"/>
  <c r="A529" i="4"/>
  <c r="O528" i="4"/>
  <c r="N528" i="4"/>
  <c r="M528" i="4"/>
  <c r="L528" i="4"/>
  <c r="K528" i="4"/>
  <c r="J528" i="4"/>
  <c r="I528" i="4"/>
  <c r="H528" i="4"/>
  <c r="G528" i="4"/>
  <c r="F528" i="4"/>
  <c r="E528" i="4"/>
  <c r="D528" i="4"/>
  <c r="A528" i="4"/>
  <c r="O527" i="4"/>
  <c r="N527" i="4"/>
  <c r="M527" i="4"/>
  <c r="L527" i="4"/>
  <c r="K527" i="4"/>
  <c r="J527" i="4"/>
  <c r="I527" i="4"/>
  <c r="H527" i="4"/>
  <c r="G527" i="4"/>
  <c r="F527" i="4"/>
  <c r="E527" i="4"/>
  <c r="D527" i="4"/>
  <c r="A527" i="4"/>
  <c r="O526" i="4"/>
  <c r="N526" i="4"/>
  <c r="M526" i="4"/>
  <c r="L526" i="4"/>
  <c r="K526" i="4"/>
  <c r="J526" i="4"/>
  <c r="I526" i="4"/>
  <c r="H526" i="4"/>
  <c r="G526" i="4"/>
  <c r="F526" i="4"/>
  <c r="E526" i="4"/>
  <c r="D526" i="4"/>
  <c r="A526" i="4"/>
  <c r="O525" i="4"/>
  <c r="N525" i="4"/>
  <c r="M525" i="4"/>
  <c r="L525" i="4"/>
  <c r="K525" i="4"/>
  <c r="J525" i="4"/>
  <c r="I525" i="4"/>
  <c r="H525" i="4"/>
  <c r="G525" i="4"/>
  <c r="F525" i="4"/>
  <c r="E525" i="4"/>
  <c r="D525" i="4"/>
  <c r="A525" i="4"/>
  <c r="O524" i="4"/>
  <c r="N524" i="4"/>
  <c r="M524" i="4"/>
  <c r="L524" i="4"/>
  <c r="K524" i="4"/>
  <c r="J524" i="4"/>
  <c r="I524" i="4"/>
  <c r="H524" i="4"/>
  <c r="G524" i="4"/>
  <c r="F524" i="4"/>
  <c r="E524" i="4"/>
  <c r="D524" i="4"/>
  <c r="A524" i="4"/>
  <c r="O523" i="4"/>
  <c r="N523" i="4"/>
  <c r="M523" i="4"/>
  <c r="L523" i="4"/>
  <c r="K523" i="4"/>
  <c r="J523" i="4"/>
  <c r="I523" i="4"/>
  <c r="H523" i="4"/>
  <c r="G523" i="4"/>
  <c r="F523" i="4"/>
  <c r="E523" i="4"/>
  <c r="D523" i="4"/>
  <c r="A523" i="4"/>
  <c r="O522" i="4"/>
  <c r="N522" i="4"/>
  <c r="M522" i="4"/>
  <c r="L522" i="4"/>
  <c r="K522" i="4"/>
  <c r="J522" i="4"/>
  <c r="I522" i="4"/>
  <c r="H522" i="4"/>
  <c r="G522" i="4"/>
  <c r="F522" i="4"/>
  <c r="E522" i="4"/>
  <c r="D522" i="4"/>
  <c r="A522" i="4"/>
  <c r="O521" i="4"/>
  <c r="N521" i="4"/>
  <c r="M521" i="4"/>
  <c r="L521" i="4"/>
  <c r="K521" i="4"/>
  <c r="J521" i="4"/>
  <c r="I521" i="4"/>
  <c r="H521" i="4"/>
  <c r="G521" i="4"/>
  <c r="F521" i="4"/>
  <c r="E521" i="4"/>
  <c r="D521" i="4"/>
  <c r="A521" i="4"/>
  <c r="O520" i="4"/>
  <c r="N520" i="4"/>
  <c r="M520" i="4"/>
  <c r="L520" i="4"/>
  <c r="K520" i="4"/>
  <c r="J520" i="4"/>
  <c r="I520" i="4"/>
  <c r="H520" i="4"/>
  <c r="G520" i="4"/>
  <c r="F520" i="4"/>
  <c r="E520" i="4"/>
  <c r="D520" i="4"/>
  <c r="A520" i="4"/>
  <c r="O519" i="4"/>
  <c r="N519" i="4"/>
  <c r="M519" i="4"/>
  <c r="L519" i="4"/>
  <c r="K519" i="4"/>
  <c r="J519" i="4"/>
  <c r="I519" i="4"/>
  <c r="H519" i="4"/>
  <c r="G519" i="4"/>
  <c r="F519" i="4"/>
  <c r="E519" i="4"/>
  <c r="D519" i="4"/>
  <c r="A519" i="4"/>
  <c r="O518" i="4"/>
  <c r="N518" i="4"/>
  <c r="M518" i="4"/>
  <c r="L518" i="4"/>
  <c r="K518" i="4"/>
  <c r="J518" i="4"/>
  <c r="I518" i="4"/>
  <c r="H518" i="4"/>
  <c r="G518" i="4"/>
  <c r="F518" i="4"/>
  <c r="E518" i="4"/>
  <c r="D518" i="4"/>
  <c r="A518" i="4"/>
  <c r="O517" i="4"/>
  <c r="N517" i="4"/>
  <c r="M517" i="4"/>
  <c r="L517" i="4"/>
  <c r="K517" i="4"/>
  <c r="J517" i="4"/>
  <c r="I517" i="4"/>
  <c r="H517" i="4"/>
  <c r="G517" i="4"/>
  <c r="F517" i="4"/>
  <c r="E517" i="4"/>
  <c r="D517" i="4"/>
  <c r="A517" i="4"/>
  <c r="O516" i="4"/>
  <c r="N516" i="4"/>
  <c r="M516" i="4"/>
  <c r="L516" i="4"/>
  <c r="K516" i="4"/>
  <c r="J516" i="4"/>
  <c r="I516" i="4"/>
  <c r="H516" i="4"/>
  <c r="G516" i="4"/>
  <c r="F516" i="4"/>
  <c r="E516" i="4"/>
  <c r="D516" i="4"/>
  <c r="A516" i="4"/>
  <c r="O515" i="4"/>
  <c r="N515" i="4"/>
  <c r="M515" i="4"/>
  <c r="L515" i="4"/>
  <c r="K515" i="4"/>
  <c r="J515" i="4"/>
  <c r="I515" i="4"/>
  <c r="H515" i="4"/>
  <c r="G515" i="4"/>
  <c r="F515" i="4"/>
  <c r="E515" i="4"/>
  <c r="D515" i="4"/>
  <c r="A515" i="4"/>
  <c r="O514" i="4"/>
  <c r="N514" i="4"/>
  <c r="M514" i="4"/>
  <c r="L514" i="4"/>
  <c r="K514" i="4"/>
  <c r="J514" i="4"/>
  <c r="I514" i="4"/>
  <c r="H514" i="4"/>
  <c r="G514" i="4"/>
  <c r="F514" i="4"/>
  <c r="E514" i="4"/>
  <c r="D514" i="4"/>
  <c r="A514" i="4"/>
  <c r="O513" i="4"/>
  <c r="N513" i="4"/>
  <c r="M513" i="4"/>
  <c r="L513" i="4"/>
  <c r="K513" i="4"/>
  <c r="J513" i="4"/>
  <c r="I513" i="4"/>
  <c r="H513" i="4"/>
  <c r="G513" i="4"/>
  <c r="F513" i="4"/>
  <c r="E513" i="4"/>
  <c r="D513" i="4"/>
  <c r="A513" i="4"/>
  <c r="O512" i="4"/>
  <c r="N512" i="4"/>
  <c r="M512" i="4"/>
  <c r="L512" i="4"/>
  <c r="K512" i="4"/>
  <c r="J512" i="4"/>
  <c r="I512" i="4"/>
  <c r="H512" i="4"/>
  <c r="G512" i="4"/>
  <c r="F512" i="4"/>
  <c r="E512" i="4"/>
  <c r="D512" i="4"/>
  <c r="A512" i="4"/>
  <c r="O511" i="4"/>
  <c r="N511" i="4"/>
  <c r="M511" i="4"/>
  <c r="L511" i="4"/>
  <c r="K511" i="4"/>
  <c r="J511" i="4"/>
  <c r="I511" i="4"/>
  <c r="H511" i="4"/>
  <c r="G511" i="4"/>
  <c r="F511" i="4"/>
  <c r="E511" i="4"/>
  <c r="D511" i="4"/>
  <c r="A511" i="4"/>
  <c r="O510" i="4"/>
  <c r="N510" i="4"/>
  <c r="M510" i="4"/>
  <c r="L510" i="4"/>
  <c r="K510" i="4"/>
  <c r="J510" i="4"/>
  <c r="I510" i="4"/>
  <c r="H510" i="4"/>
  <c r="G510" i="4"/>
  <c r="F510" i="4"/>
  <c r="E510" i="4"/>
  <c r="D510" i="4"/>
  <c r="A510" i="4"/>
  <c r="O509" i="4"/>
  <c r="N509" i="4"/>
  <c r="M509" i="4"/>
  <c r="L509" i="4"/>
  <c r="K509" i="4"/>
  <c r="J509" i="4"/>
  <c r="I509" i="4"/>
  <c r="H509" i="4"/>
  <c r="G509" i="4"/>
  <c r="F509" i="4"/>
  <c r="E509" i="4"/>
  <c r="D509" i="4"/>
  <c r="A509" i="4"/>
  <c r="O508" i="4"/>
  <c r="N508" i="4"/>
  <c r="M508" i="4"/>
  <c r="L508" i="4"/>
  <c r="K508" i="4"/>
  <c r="J508" i="4"/>
  <c r="I508" i="4"/>
  <c r="H508" i="4"/>
  <c r="G508" i="4"/>
  <c r="F508" i="4"/>
  <c r="E508" i="4"/>
  <c r="D508" i="4"/>
  <c r="A508" i="4"/>
  <c r="O507" i="4"/>
  <c r="N507" i="4"/>
  <c r="M507" i="4"/>
  <c r="L507" i="4"/>
  <c r="K507" i="4"/>
  <c r="J507" i="4"/>
  <c r="I507" i="4"/>
  <c r="H507" i="4"/>
  <c r="G507" i="4"/>
  <c r="F507" i="4"/>
  <c r="E507" i="4"/>
  <c r="D507" i="4"/>
  <c r="A507" i="4"/>
  <c r="O506" i="4"/>
  <c r="N506" i="4"/>
  <c r="M506" i="4"/>
  <c r="L506" i="4"/>
  <c r="K506" i="4"/>
  <c r="J506" i="4"/>
  <c r="I506" i="4"/>
  <c r="H506" i="4"/>
  <c r="G506" i="4"/>
  <c r="F506" i="4"/>
  <c r="E506" i="4"/>
  <c r="D506" i="4"/>
  <c r="A506" i="4"/>
  <c r="O505" i="4"/>
  <c r="N505" i="4"/>
  <c r="M505" i="4"/>
  <c r="L505" i="4"/>
  <c r="K505" i="4"/>
  <c r="J505" i="4"/>
  <c r="I505" i="4"/>
  <c r="H505" i="4"/>
  <c r="G505" i="4"/>
  <c r="F505" i="4"/>
  <c r="E505" i="4"/>
  <c r="D505" i="4"/>
  <c r="A505" i="4"/>
  <c r="O504" i="4"/>
  <c r="N504" i="4"/>
  <c r="M504" i="4"/>
  <c r="L504" i="4"/>
  <c r="K504" i="4"/>
  <c r="J504" i="4"/>
  <c r="I504" i="4"/>
  <c r="H504" i="4"/>
  <c r="G504" i="4"/>
  <c r="F504" i="4"/>
  <c r="E504" i="4"/>
  <c r="D504" i="4"/>
  <c r="A504" i="4"/>
  <c r="O503" i="4"/>
  <c r="N503" i="4"/>
  <c r="M503" i="4"/>
  <c r="L503" i="4"/>
  <c r="K503" i="4"/>
  <c r="J503" i="4"/>
  <c r="I503" i="4"/>
  <c r="H503" i="4"/>
  <c r="G503" i="4"/>
  <c r="F503" i="4"/>
  <c r="E503" i="4"/>
  <c r="D503" i="4"/>
  <c r="A503" i="4"/>
  <c r="O502" i="4"/>
  <c r="N502" i="4"/>
  <c r="M502" i="4"/>
  <c r="L502" i="4"/>
  <c r="K502" i="4"/>
  <c r="J502" i="4"/>
  <c r="I502" i="4"/>
  <c r="H502" i="4"/>
  <c r="G502" i="4"/>
  <c r="F502" i="4"/>
  <c r="E502" i="4"/>
  <c r="D502" i="4"/>
  <c r="A502" i="4"/>
  <c r="O501" i="4"/>
  <c r="N501" i="4"/>
  <c r="M501" i="4"/>
  <c r="L501" i="4"/>
  <c r="K501" i="4"/>
  <c r="J501" i="4"/>
  <c r="I501" i="4"/>
  <c r="H501" i="4"/>
  <c r="G501" i="4"/>
  <c r="F501" i="4"/>
  <c r="E501" i="4"/>
  <c r="D501" i="4"/>
  <c r="A501" i="4"/>
  <c r="O500" i="4"/>
  <c r="N500" i="4"/>
  <c r="M500" i="4"/>
  <c r="L500" i="4"/>
  <c r="K500" i="4"/>
  <c r="J500" i="4"/>
  <c r="I500" i="4"/>
  <c r="H500" i="4"/>
  <c r="G500" i="4"/>
  <c r="F500" i="4"/>
  <c r="E500" i="4"/>
  <c r="D500" i="4"/>
  <c r="A500" i="4"/>
  <c r="O499" i="4"/>
  <c r="N499" i="4"/>
  <c r="M499" i="4"/>
  <c r="L499" i="4"/>
  <c r="K499" i="4"/>
  <c r="J499" i="4"/>
  <c r="I499" i="4"/>
  <c r="H499" i="4"/>
  <c r="G499" i="4"/>
  <c r="F499" i="4"/>
  <c r="E499" i="4"/>
  <c r="D499" i="4"/>
  <c r="A499" i="4"/>
  <c r="O498" i="4"/>
  <c r="N498" i="4"/>
  <c r="M498" i="4"/>
  <c r="L498" i="4"/>
  <c r="K498" i="4"/>
  <c r="J498" i="4"/>
  <c r="I498" i="4"/>
  <c r="H498" i="4"/>
  <c r="G498" i="4"/>
  <c r="F498" i="4"/>
  <c r="E498" i="4"/>
  <c r="D498" i="4"/>
  <c r="A498" i="4"/>
  <c r="O497" i="4"/>
  <c r="N497" i="4"/>
  <c r="M497" i="4"/>
  <c r="L497" i="4"/>
  <c r="K497" i="4"/>
  <c r="J497" i="4"/>
  <c r="I497" i="4"/>
  <c r="H497" i="4"/>
  <c r="G497" i="4"/>
  <c r="F497" i="4"/>
  <c r="E497" i="4"/>
  <c r="D497" i="4"/>
  <c r="A497" i="4"/>
  <c r="O496" i="4"/>
  <c r="N496" i="4"/>
  <c r="M496" i="4"/>
  <c r="L496" i="4"/>
  <c r="K496" i="4"/>
  <c r="J496" i="4"/>
  <c r="I496" i="4"/>
  <c r="H496" i="4"/>
  <c r="G496" i="4"/>
  <c r="F496" i="4"/>
  <c r="E496" i="4"/>
  <c r="D496" i="4"/>
  <c r="A496" i="4"/>
  <c r="O495" i="4"/>
  <c r="N495" i="4"/>
  <c r="M495" i="4"/>
  <c r="L495" i="4"/>
  <c r="K495" i="4"/>
  <c r="J495" i="4"/>
  <c r="I495" i="4"/>
  <c r="H495" i="4"/>
  <c r="G495" i="4"/>
  <c r="F495" i="4"/>
  <c r="E495" i="4"/>
  <c r="D495" i="4"/>
  <c r="A495" i="4"/>
  <c r="O494" i="4"/>
  <c r="N494" i="4"/>
  <c r="M494" i="4"/>
  <c r="L494" i="4"/>
  <c r="K494" i="4"/>
  <c r="J494" i="4"/>
  <c r="I494" i="4"/>
  <c r="H494" i="4"/>
  <c r="G494" i="4"/>
  <c r="F494" i="4"/>
  <c r="E494" i="4"/>
  <c r="D494" i="4"/>
  <c r="A494" i="4"/>
  <c r="O493" i="4"/>
  <c r="N493" i="4"/>
  <c r="M493" i="4"/>
  <c r="L493" i="4"/>
  <c r="K493" i="4"/>
  <c r="J493" i="4"/>
  <c r="I493" i="4"/>
  <c r="H493" i="4"/>
  <c r="G493" i="4"/>
  <c r="F493" i="4"/>
  <c r="E493" i="4"/>
  <c r="D493" i="4"/>
  <c r="A493" i="4"/>
  <c r="O492" i="4"/>
  <c r="N492" i="4"/>
  <c r="M492" i="4"/>
  <c r="L492" i="4"/>
  <c r="K492" i="4"/>
  <c r="J492" i="4"/>
  <c r="I492" i="4"/>
  <c r="H492" i="4"/>
  <c r="G492" i="4"/>
  <c r="F492" i="4"/>
  <c r="E492" i="4"/>
  <c r="D492" i="4"/>
  <c r="A492" i="4"/>
  <c r="O491" i="4"/>
  <c r="N491" i="4"/>
  <c r="M491" i="4"/>
  <c r="L491" i="4"/>
  <c r="K491" i="4"/>
  <c r="J491" i="4"/>
  <c r="I491" i="4"/>
  <c r="H491" i="4"/>
  <c r="G491" i="4"/>
  <c r="F491" i="4"/>
  <c r="E491" i="4"/>
  <c r="D491" i="4"/>
  <c r="A491" i="4"/>
  <c r="O490" i="4"/>
  <c r="N490" i="4"/>
  <c r="M490" i="4"/>
  <c r="L490" i="4"/>
  <c r="K490" i="4"/>
  <c r="J490" i="4"/>
  <c r="I490" i="4"/>
  <c r="H490" i="4"/>
  <c r="G490" i="4"/>
  <c r="F490" i="4"/>
  <c r="E490" i="4"/>
  <c r="D490" i="4"/>
  <c r="A490" i="4"/>
  <c r="O489" i="4"/>
  <c r="N489" i="4"/>
  <c r="M489" i="4"/>
  <c r="L489" i="4"/>
  <c r="K489" i="4"/>
  <c r="J489" i="4"/>
  <c r="I489" i="4"/>
  <c r="H489" i="4"/>
  <c r="G489" i="4"/>
  <c r="F489" i="4"/>
  <c r="E489" i="4"/>
  <c r="D489" i="4"/>
  <c r="A489" i="4"/>
  <c r="O488" i="4"/>
  <c r="N488" i="4"/>
  <c r="M488" i="4"/>
  <c r="L488" i="4"/>
  <c r="K488" i="4"/>
  <c r="J488" i="4"/>
  <c r="I488" i="4"/>
  <c r="H488" i="4"/>
  <c r="G488" i="4"/>
  <c r="F488" i="4"/>
  <c r="E488" i="4"/>
  <c r="D488" i="4"/>
  <c r="A488" i="4"/>
  <c r="O487" i="4"/>
  <c r="N487" i="4"/>
  <c r="M487" i="4"/>
  <c r="L487" i="4"/>
  <c r="K487" i="4"/>
  <c r="J487" i="4"/>
  <c r="I487" i="4"/>
  <c r="H487" i="4"/>
  <c r="G487" i="4"/>
  <c r="F487" i="4"/>
  <c r="E487" i="4"/>
  <c r="D487" i="4"/>
  <c r="A487" i="4"/>
  <c r="O486" i="4"/>
  <c r="N486" i="4"/>
  <c r="M486" i="4"/>
  <c r="L486" i="4"/>
  <c r="K486" i="4"/>
  <c r="J486" i="4"/>
  <c r="I486" i="4"/>
  <c r="H486" i="4"/>
  <c r="G486" i="4"/>
  <c r="F486" i="4"/>
  <c r="E486" i="4"/>
  <c r="D486" i="4"/>
  <c r="A486" i="4"/>
  <c r="O485" i="4"/>
  <c r="N485" i="4"/>
  <c r="M485" i="4"/>
  <c r="L485" i="4"/>
  <c r="K485" i="4"/>
  <c r="J485" i="4"/>
  <c r="I485" i="4"/>
  <c r="H485" i="4"/>
  <c r="G485" i="4"/>
  <c r="F485" i="4"/>
  <c r="E485" i="4"/>
  <c r="D485" i="4"/>
  <c r="A485" i="4"/>
  <c r="O484" i="4"/>
  <c r="N484" i="4"/>
  <c r="M484" i="4"/>
  <c r="L484" i="4"/>
  <c r="K484" i="4"/>
  <c r="J484" i="4"/>
  <c r="I484" i="4"/>
  <c r="H484" i="4"/>
  <c r="G484" i="4"/>
  <c r="F484" i="4"/>
  <c r="E484" i="4"/>
  <c r="D484" i="4"/>
  <c r="A484" i="4"/>
  <c r="O483" i="4"/>
  <c r="N483" i="4"/>
  <c r="M483" i="4"/>
  <c r="L483" i="4"/>
  <c r="K483" i="4"/>
  <c r="J483" i="4"/>
  <c r="I483" i="4"/>
  <c r="H483" i="4"/>
  <c r="G483" i="4"/>
  <c r="F483" i="4"/>
  <c r="E483" i="4"/>
  <c r="D483" i="4"/>
  <c r="A483" i="4"/>
  <c r="O482" i="4"/>
  <c r="N482" i="4"/>
  <c r="M482" i="4"/>
  <c r="L482" i="4"/>
  <c r="K482" i="4"/>
  <c r="J482" i="4"/>
  <c r="I482" i="4"/>
  <c r="H482" i="4"/>
  <c r="G482" i="4"/>
  <c r="F482" i="4"/>
  <c r="E482" i="4"/>
  <c r="D482" i="4"/>
  <c r="A482" i="4"/>
  <c r="O481" i="4"/>
  <c r="N481" i="4"/>
  <c r="M481" i="4"/>
  <c r="L481" i="4"/>
  <c r="K481" i="4"/>
  <c r="J481" i="4"/>
  <c r="I481" i="4"/>
  <c r="H481" i="4"/>
  <c r="G481" i="4"/>
  <c r="F481" i="4"/>
  <c r="E481" i="4"/>
  <c r="D481" i="4"/>
  <c r="A481" i="4"/>
  <c r="O480" i="4"/>
  <c r="N480" i="4"/>
  <c r="M480" i="4"/>
  <c r="L480" i="4"/>
  <c r="K480" i="4"/>
  <c r="J480" i="4"/>
  <c r="I480" i="4"/>
  <c r="H480" i="4"/>
  <c r="G480" i="4"/>
  <c r="F480" i="4"/>
  <c r="E480" i="4"/>
  <c r="D480" i="4"/>
  <c r="A480" i="4"/>
  <c r="O479" i="4"/>
  <c r="N479" i="4"/>
  <c r="M479" i="4"/>
  <c r="L479" i="4"/>
  <c r="K479" i="4"/>
  <c r="J479" i="4"/>
  <c r="I479" i="4"/>
  <c r="H479" i="4"/>
  <c r="G479" i="4"/>
  <c r="F479" i="4"/>
  <c r="E479" i="4"/>
  <c r="D479" i="4"/>
  <c r="A479" i="4"/>
  <c r="O478" i="4"/>
  <c r="N478" i="4"/>
  <c r="M478" i="4"/>
  <c r="L478" i="4"/>
  <c r="K478" i="4"/>
  <c r="J478" i="4"/>
  <c r="I478" i="4"/>
  <c r="H478" i="4"/>
  <c r="G478" i="4"/>
  <c r="F478" i="4"/>
  <c r="E478" i="4"/>
  <c r="D478" i="4"/>
  <c r="A478" i="4"/>
  <c r="O477" i="4"/>
  <c r="N477" i="4"/>
  <c r="M477" i="4"/>
  <c r="L477" i="4"/>
  <c r="K477" i="4"/>
  <c r="J477" i="4"/>
  <c r="I477" i="4"/>
  <c r="H477" i="4"/>
  <c r="G477" i="4"/>
  <c r="F477" i="4"/>
  <c r="E477" i="4"/>
  <c r="D477" i="4"/>
  <c r="A477" i="4"/>
  <c r="O476" i="4"/>
  <c r="N476" i="4"/>
  <c r="M476" i="4"/>
  <c r="L476" i="4"/>
  <c r="K476" i="4"/>
  <c r="J476" i="4"/>
  <c r="I476" i="4"/>
  <c r="H476" i="4"/>
  <c r="G476" i="4"/>
  <c r="F476" i="4"/>
  <c r="E476" i="4"/>
  <c r="D476" i="4"/>
  <c r="A476" i="4"/>
  <c r="O475" i="4"/>
  <c r="N475" i="4"/>
  <c r="M475" i="4"/>
  <c r="L475" i="4"/>
  <c r="K475" i="4"/>
  <c r="J475" i="4"/>
  <c r="I475" i="4"/>
  <c r="H475" i="4"/>
  <c r="G475" i="4"/>
  <c r="F475" i="4"/>
  <c r="E475" i="4"/>
  <c r="D475" i="4"/>
  <c r="A475" i="4"/>
  <c r="O474" i="4"/>
  <c r="N474" i="4"/>
  <c r="M474" i="4"/>
  <c r="L474" i="4"/>
  <c r="K474" i="4"/>
  <c r="J474" i="4"/>
  <c r="I474" i="4"/>
  <c r="H474" i="4"/>
  <c r="G474" i="4"/>
  <c r="F474" i="4"/>
  <c r="E474" i="4"/>
  <c r="D474" i="4"/>
  <c r="A474" i="4"/>
  <c r="O473" i="4"/>
  <c r="N473" i="4"/>
  <c r="M473" i="4"/>
  <c r="L473" i="4"/>
  <c r="K473" i="4"/>
  <c r="J473" i="4"/>
  <c r="I473" i="4"/>
  <c r="H473" i="4"/>
  <c r="G473" i="4"/>
  <c r="F473" i="4"/>
  <c r="E473" i="4"/>
  <c r="D473" i="4"/>
  <c r="A473" i="4"/>
  <c r="O472" i="4"/>
  <c r="N472" i="4"/>
  <c r="M472" i="4"/>
  <c r="L472" i="4"/>
  <c r="K472" i="4"/>
  <c r="J472" i="4"/>
  <c r="I472" i="4"/>
  <c r="H472" i="4"/>
  <c r="G472" i="4"/>
  <c r="F472" i="4"/>
  <c r="E472" i="4"/>
  <c r="D472" i="4"/>
  <c r="A472" i="4"/>
  <c r="O471" i="4"/>
  <c r="N471" i="4"/>
  <c r="M471" i="4"/>
  <c r="L471" i="4"/>
  <c r="K471" i="4"/>
  <c r="J471" i="4"/>
  <c r="I471" i="4"/>
  <c r="H471" i="4"/>
  <c r="G471" i="4"/>
  <c r="F471" i="4"/>
  <c r="E471" i="4"/>
  <c r="D471" i="4"/>
  <c r="A471" i="4"/>
  <c r="O470" i="4"/>
  <c r="N470" i="4"/>
  <c r="M470" i="4"/>
  <c r="L470" i="4"/>
  <c r="K470" i="4"/>
  <c r="J470" i="4"/>
  <c r="I470" i="4"/>
  <c r="H470" i="4"/>
  <c r="G470" i="4"/>
  <c r="F470" i="4"/>
  <c r="E470" i="4"/>
  <c r="D470" i="4"/>
  <c r="A470" i="4"/>
  <c r="O469" i="4"/>
  <c r="N469" i="4"/>
  <c r="M469" i="4"/>
  <c r="L469" i="4"/>
  <c r="K469" i="4"/>
  <c r="J469" i="4"/>
  <c r="I469" i="4"/>
  <c r="H469" i="4"/>
  <c r="G469" i="4"/>
  <c r="F469" i="4"/>
  <c r="E469" i="4"/>
  <c r="D469" i="4"/>
  <c r="A469" i="4"/>
  <c r="O468" i="4"/>
  <c r="N468" i="4"/>
  <c r="M468" i="4"/>
  <c r="L468" i="4"/>
  <c r="K468" i="4"/>
  <c r="J468" i="4"/>
  <c r="I468" i="4"/>
  <c r="H468" i="4"/>
  <c r="G468" i="4"/>
  <c r="F468" i="4"/>
  <c r="E468" i="4"/>
  <c r="D468" i="4"/>
  <c r="A468" i="4"/>
  <c r="O467" i="4"/>
  <c r="N467" i="4"/>
  <c r="M467" i="4"/>
  <c r="L467" i="4"/>
  <c r="K467" i="4"/>
  <c r="J467" i="4"/>
  <c r="I467" i="4"/>
  <c r="H467" i="4"/>
  <c r="G467" i="4"/>
  <c r="F467" i="4"/>
  <c r="E467" i="4"/>
  <c r="D467" i="4"/>
  <c r="A467" i="4"/>
  <c r="O466" i="4"/>
  <c r="N466" i="4"/>
  <c r="M466" i="4"/>
  <c r="L466" i="4"/>
  <c r="K466" i="4"/>
  <c r="J466" i="4"/>
  <c r="I466" i="4"/>
  <c r="H466" i="4"/>
  <c r="G466" i="4"/>
  <c r="F466" i="4"/>
  <c r="E466" i="4"/>
  <c r="D466" i="4"/>
  <c r="A466" i="4"/>
  <c r="O465" i="4"/>
  <c r="N465" i="4"/>
  <c r="M465" i="4"/>
  <c r="L465" i="4"/>
  <c r="K465" i="4"/>
  <c r="J465" i="4"/>
  <c r="I465" i="4"/>
  <c r="H465" i="4"/>
  <c r="G465" i="4"/>
  <c r="F465" i="4"/>
  <c r="E465" i="4"/>
  <c r="D465" i="4"/>
  <c r="A465" i="4"/>
  <c r="O464" i="4"/>
  <c r="N464" i="4"/>
  <c r="M464" i="4"/>
  <c r="L464" i="4"/>
  <c r="K464" i="4"/>
  <c r="J464" i="4"/>
  <c r="I464" i="4"/>
  <c r="H464" i="4"/>
  <c r="G464" i="4"/>
  <c r="F464" i="4"/>
  <c r="E464" i="4"/>
  <c r="D464" i="4"/>
  <c r="A464" i="4"/>
  <c r="O463" i="4"/>
  <c r="N463" i="4"/>
  <c r="M463" i="4"/>
  <c r="L463" i="4"/>
  <c r="K463" i="4"/>
  <c r="J463" i="4"/>
  <c r="I463" i="4"/>
  <c r="H463" i="4"/>
  <c r="G463" i="4"/>
  <c r="F463" i="4"/>
  <c r="E463" i="4"/>
  <c r="D463" i="4"/>
  <c r="A463" i="4"/>
  <c r="O462" i="4"/>
  <c r="N462" i="4"/>
  <c r="M462" i="4"/>
  <c r="L462" i="4"/>
  <c r="K462" i="4"/>
  <c r="J462" i="4"/>
  <c r="I462" i="4"/>
  <c r="H462" i="4"/>
  <c r="G462" i="4"/>
  <c r="F462" i="4"/>
  <c r="E462" i="4"/>
  <c r="D462" i="4"/>
  <c r="A462" i="4"/>
  <c r="O461" i="4"/>
  <c r="N461" i="4"/>
  <c r="M461" i="4"/>
  <c r="L461" i="4"/>
  <c r="K461" i="4"/>
  <c r="J461" i="4"/>
  <c r="I461" i="4"/>
  <c r="H461" i="4"/>
  <c r="G461" i="4"/>
  <c r="F461" i="4"/>
  <c r="E461" i="4"/>
  <c r="D461" i="4"/>
  <c r="A461" i="4"/>
  <c r="O460" i="4"/>
  <c r="N460" i="4"/>
  <c r="M460" i="4"/>
  <c r="L460" i="4"/>
  <c r="K460" i="4"/>
  <c r="J460" i="4"/>
  <c r="I460" i="4"/>
  <c r="H460" i="4"/>
  <c r="G460" i="4"/>
  <c r="F460" i="4"/>
  <c r="E460" i="4"/>
  <c r="D460" i="4"/>
  <c r="A460" i="4"/>
  <c r="O459" i="4"/>
  <c r="N459" i="4"/>
  <c r="M459" i="4"/>
  <c r="L459" i="4"/>
  <c r="K459" i="4"/>
  <c r="J459" i="4"/>
  <c r="I459" i="4"/>
  <c r="H459" i="4"/>
  <c r="G459" i="4"/>
  <c r="F459" i="4"/>
  <c r="E459" i="4"/>
  <c r="D459" i="4"/>
  <c r="A459" i="4"/>
  <c r="O458" i="4"/>
  <c r="N458" i="4"/>
  <c r="M458" i="4"/>
  <c r="L458" i="4"/>
  <c r="K458" i="4"/>
  <c r="J458" i="4"/>
  <c r="I458" i="4"/>
  <c r="H458" i="4"/>
  <c r="G458" i="4"/>
  <c r="F458" i="4"/>
  <c r="E458" i="4"/>
  <c r="D458" i="4"/>
  <c r="A458" i="4"/>
  <c r="O457" i="4"/>
  <c r="N457" i="4"/>
  <c r="M457" i="4"/>
  <c r="L457" i="4"/>
  <c r="K457" i="4"/>
  <c r="J457" i="4"/>
  <c r="I457" i="4"/>
  <c r="H457" i="4"/>
  <c r="G457" i="4"/>
  <c r="F457" i="4"/>
  <c r="E457" i="4"/>
  <c r="D457" i="4"/>
  <c r="A457" i="4"/>
  <c r="O456" i="4"/>
  <c r="N456" i="4"/>
  <c r="M456" i="4"/>
  <c r="L456" i="4"/>
  <c r="K456" i="4"/>
  <c r="J456" i="4"/>
  <c r="I456" i="4"/>
  <c r="H456" i="4"/>
  <c r="G456" i="4"/>
  <c r="F456" i="4"/>
  <c r="E456" i="4"/>
  <c r="D456" i="4"/>
  <c r="A456" i="4"/>
  <c r="O455" i="4"/>
  <c r="N455" i="4"/>
  <c r="M455" i="4"/>
  <c r="L455" i="4"/>
  <c r="K455" i="4"/>
  <c r="J455" i="4"/>
  <c r="I455" i="4"/>
  <c r="H455" i="4"/>
  <c r="G455" i="4"/>
  <c r="F455" i="4"/>
  <c r="E455" i="4"/>
  <c r="D455" i="4"/>
  <c r="A455" i="4"/>
  <c r="O454" i="4"/>
  <c r="N454" i="4"/>
  <c r="M454" i="4"/>
  <c r="L454" i="4"/>
  <c r="K454" i="4"/>
  <c r="J454" i="4"/>
  <c r="I454" i="4"/>
  <c r="H454" i="4"/>
  <c r="G454" i="4"/>
  <c r="F454" i="4"/>
  <c r="E454" i="4"/>
  <c r="D454" i="4"/>
  <c r="A454" i="4"/>
  <c r="O453" i="4"/>
  <c r="N453" i="4"/>
  <c r="M453" i="4"/>
  <c r="L453" i="4"/>
  <c r="K453" i="4"/>
  <c r="J453" i="4"/>
  <c r="I453" i="4"/>
  <c r="H453" i="4"/>
  <c r="G453" i="4"/>
  <c r="F453" i="4"/>
  <c r="E453" i="4"/>
  <c r="D453" i="4"/>
  <c r="A453" i="4"/>
  <c r="O452" i="4"/>
  <c r="N452" i="4"/>
  <c r="M452" i="4"/>
  <c r="L452" i="4"/>
  <c r="K452" i="4"/>
  <c r="J452" i="4"/>
  <c r="I452" i="4"/>
  <c r="H452" i="4"/>
  <c r="G452" i="4"/>
  <c r="F452" i="4"/>
  <c r="E452" i="4"/>
  <c r="D452" i="4"/>
  <c r="A452" i="4"/>
  <c r="O451" i="4"/>
  <c r="N451" i="4"/>
  <c r="M451" i="4"/>
  <c r="L451" i="4"/>
  <c r="K451" i="4"/>
  <c r="J451" i="4"/>
  <c r="I451" i="4"/>
  <c r="H451" i="4"/>
  <c r="G451" i="4"/>
  <c r="F451" i="4"/>
  <c r="E451" i="4"/>
  <c r="D451" i="4"/>
  <c r="A451" i="4"/>
  <c r="O450" i="4"/>
  <c r="N450" i="4"/>
  <c r="M450" i="4"/>
  <c r="L450" i="4"/>
  <c r="K450" i="4"/>
  <c r="J450" i="4"/>
  <c r="I450" i="4"/>
  <c r="H450" i="4"/>
  <c r="G450" i="4"/>
  <c r="F450" i="4"/>
  <c r="E450" i="4"/>
  <c r="D450" i="4"/>
  <c r="A450" i="4"/>
  <c r="O449" i="4"/>
  <c r="N449" i="4"/>
  <c r="M449" i="4"/>
  <c r="L449" i="4"/>
  <c r="K449" i="4"/>
  <c r="J449" i="4"/>
  <c r="I449" i="4"/>
  <c r="H449" i="4"/>
  <c r="G449" i="4"/>
  <c r="F449" i="4"/>
  <c r="E449" i="4"/>
  <c r="D449" i="4"/>
  <c r="A449" i="4"/>
  <c r="O448" i="4"/>
  <c r="N448" i="4"/>
  <c r="M448" i="4"/>
  <c r="L448" i="4"/>
  <c r="K448" i="4"/>
  <c r="J448" i="4"/>
  <c r="I448" i="4"/>
  <c r="H448" i="4"/>
  <c r="G448" i="4"/>
  <c r="F448" i="4"/>
  <c r="E448" i="4"/>
  <c r="D448" i="4"/>
  <c r="A448" i="4"/>
  <c r="O447" i="4"/>
  <c r="N447" i="4"/>
  <c r="M447" i="4"/>
  <c r="L447" i="4"/>
  <c r="K447" i="4"/>
  <c r="J447" i="4"/>
  <c r="I447" i="4"/>
  <c r="H447" i="4"/>
  <c r="G447" i="4"/>
  <c r="F447" i="4"/>
  <c r="E447" i="4"/>
  <c r="D447" i="4"/>
  <c r="A447" i="4"/>
  <c r="O446" i="4"/>
  <c r="N446" i="4"/>
  <c r="M446" i="4"/>
  <c r="L446" i="4"/>
  <c r="K446" i="4"/>
  <c r="J446" i="4"/>
  <c r="I446" i="4"/>
  <c r="H446" i="4"/>
  <c r="G446" i="4"/>
  <c r="F446" i="4"/>
  <c r="E446" i="4"/>
  <c r="D446" i="4"/>
  <c r="A446" i="4"/>
  <c r="O445" i="4"/>
  <c r="N445" i="4"/>
  <c r="M445" i="4"/>
  <c r="L445" i="4"/>
  <c r="K445" i="4"/>
  <c r="J445" i="4"/>
  <c r="I445" i="4"/>
  <c r="H445" i="4"/>
  <c r="G445" i="4"/>
  <c r="F445" i="4"/>
  <c r="E445" i="4"/>
  <c r="D445" i="4"/>
  <c r="A445" i="4"/>
  <c r="O444" i="4"/>
  <c r="N444" i="4"/>
  <c r="M444" i="4"/>
  <c r="L444" i="4"/>
  <c r="K444" i="4"/>
  <c r="J444" i="4"/>
  <c r="I444" i="4"/>
  <c r="H444" i="4"/>
  <c r="G444" i="4"/>
  <c r="F444" i="4"/>
  <c r="E444" i="4"/>
  <c r="D444" i="4"/>
  <c r="A444" i="4"/>
  <c r="O443" i="4"/>
  <c r="N443" i="4"/>
  <c r="M443" i="4"/>
  <c r="L443" i="4"/>
  <c r="K443" i="4"/>
  <c r="J443" i="4"/>
  <c r="I443" i="4"/>
  <c r="H443" i="4"/>
  <c r="G443" i="4"/>
  <c r="F443" i="4"/>
  <c r="E443" i="4"/>
  <c r="D443" i="4"/>
  <c r="A443" i="4"/>
  <c r="O442" i="4"/>
  <c r="N442" i="4"/>
  <c r="M442" i="4"/>
  <c r="L442" i="4"/>
  <c r="K442" i="4"/>
  <c r="J442" i="4"/>
  <c r="I442" i="4"/>
  <c r="H442" i="4"/>
  <c r="G442" i="4"/>
  <c r="F442" i="4"/>
  <c r="E442" i="4"/>
  <c r="D442" i="4"/>
  <c r="A442" i="4"/>
  <c r="O441" i="4"/>
  <c r="N441" i="4"/>
  <c r="M441" i="4"/>
  <c r="L441" i="4"/>
  <c r="K441" i="4"/>
  <c r="J441" i="4"/>
  <c r="I441" i="4"/>
  <c r="H441" i="4"/>
  <c r="G441" i="4"/>
  <c r="F441" i="4"/>
  <c r="E441" i="4"/>
  <c r="D441" i="4"/>
  <c r="A441" i="4"/>
  <c r="O440" i="4"/>
  <c r="N440" i="4"/>
  <c r="M440" i="4"/>
  <c r="L440" i="4"/>
  <c r="K440" i="4"/>
  <c r="J440" i="4"/>
  <c r="I440" i="4"/>
  <c r="H440" i="4"/>
  <c r="G440" i="4"/>
  <c r="F440" i="4"/>
  <c r="E440" i="4"/>
  <c r="D440" i="4"/>
  <c r="A440" i="4"/>
  <c r="O439" i="4"/>
  <c r="N439" i="4"/>
  <c r="M439" i="4"/>
  <c r="L439" i="4"/>
  <c r="K439" i="4"/>
  <c r="J439" i="4"/>
  <c r="I439" i="4"/>
  <c r="H439" i="4"/>
  <c r="G439" i="4"/>
  <c r="F439" i="4"/>
  <c r="E439" i="4"/>
  <c r="D439" i="4"/>
  <c r="A439" i="4"/>
  <c r="O438" i="4"/>
  <c r="N438" i="4"/>
  <c r="M438" i="4"/>
  <c r="L438" i="4"/>
  <c r="K438" i="4"/>
  <c r="J438" i="4"/>
  <c r="I438" i="4"/>
  <c r="H438" i="4"/>
  <c r="G438" i="4"/>
  <c r="F438" i="4"/>
  <c r="E438" i="4"/>
  <c r="D438" i="4"/>
  <c r="A438" i="4"/>
  <c r="O437" i="4"/>
  <c r="N437" i="4"/>
  <c r="M437" i="4"/>
  <c r="L437" i="4"/>
  <c r="K437" i="4"/>
  <c r="J437" i="4"/>
  <c r="I437" i="4"/>
  <c r="H437" i="4"/>
  <c r="G437" i="4"/>
  <c r="F437" i="4"/>
  <c r="E437" i="4"/>
  <c r="D437" i="4"/>
  <c r="A437" i="4"/>
  <c r="O436" i="4"/>
  <c r="N436" i="4"/>
  <c r="M436" i="4"/>
  <c r="L436" i="4"/>
  <c r="K436" i="4"/>
  <c r="J436" i="4"/>
  <c r="I436" i="4"/>
  <c r="H436" i="4"/>
  <c r="G436" i="4"/>
  <c r="F436" i="4"/>
  <c r="E436" i="4"/>
  <c r="D436" i="4"/>
  <c r="A436" i="4"/>
  <c r="O435" i="4"/>
  <c r="N435" i="4"/>
  <c r="M435" i="4"/>
  <c r="L435" i="4"/>
  <c r="K435" i="4"/>
  <c r="J435" i="4"/>
  <c r="I435" i="4"/>
  <c r="H435" i="4"/>
  <c r="G435" i="4"/>
  <c r="F435" i="4"/>
  <c r="E435" i="4"/>
  <c r="D435" i="4"/>
  <c r="A435" i="4"/>
  <c r="O434" i="4"/>
  <c r="N434" i="4"/>
  <c r="M434" i="4"/>
  <c r="L434" i="4"/>
  <c r="K434" i="4"/>
  <c r="J434" i="4"/>
  <c r="I434" i="4"/>
  <c r="H434" i="4"/>
  <c r="G434" i="4"/>
  <c r="F434" i="4"/>
  <c r="E434" i="4"/>
  <c r="D434" i="4"/>
  <c r="A434" i="4"/>
  <c r="O433" i="4"/>
  <c r="N433" i="4"/>
  <c r="M433" i="4"/>
  <c r="L433" i="4"/>
  <c r="K433" i="4"/>
  <c r="J433" i="4"/>
  <c r="I433" i="4"/>
  <c r="H433" i="4"/>
  <c r="G433" i="4"/>
  <c r="F433" i="4"/>
  <c r="E433" i="4"/>
  <c r="D433" i="4"/>
  <c r="A433" i="4"/>
  <c r="O432" i="4"/>
  <c r="N432" i="4"/>
  <c r="M432" i="4"/>
  <c r="L432" i="4"/>
  <c r="K432" i="4"/>
  <c r="J432" i="4"/>
  <c r="I432" i="4"/>
  <c r="H432" i="4"/>
  <c r="G432" i="4"/>
  <c r="F432" i="4"/>
  <c r="E432" i="4"/>
  <c r="D432" i="4"/>
  <c r="A432" i="4"/>
  <c r="O431" i="4"/>
  <c r="N431" i="4"/>
  <c r="M431" i="4"/>
  <c r="L431" i="4"/>
  <c r="K431" i="4"/>
  <c r="J431" i="4"/>
  <c r="I431" i="4"/>
  <c r="H431" i="4"/>
  <c r="G431" i="4"/>
  <c r="F431" i="4"/>
  <c r="E431" i="4"/>
  <c r="D431" i="4"/>
  <c r="A431" i="4"/>
  <c r="O430" i="4"/>
  <c r="N430" i="4"/>
  <c r="M430" i="4"/>
  <c r="L430" i="4"/>
  <c r="K430" i="4"/>
  <c r="J430" i="4"/>
  <c r="I430" i="4"/>
  <c r="H430" i="4"/>
  <c r="G430" i="4"/>
  <c r="F430" i="4"/>
  <c r="E430" i="4"/>
  <c r="D430" i="4"/>
  <c r="A430" i="4"/>
  <c r="O429" i="4"/>
  <c r="N429" i="4"/>
  <c r="M429" i="4"/>
  <c r="L429" i="4"/>
  <c r="K429" i="4"/>
  <c r="J429" i="4"/>
  <c r="I429" i="4"/>
  <c r="H429" i="4"/>
  <c r="G429" i="4"/>
  <c r="F429" i="4"/>
  <c r="E429" i="4"/>
  <c r="D429" i="4"/>
  <c r="A429" i="4"/>
  <c r="O428" i="4"/>
  <c r="N428" i="4"/>
  <c r="M428" i="4"/>
  <c r="L428" i="4"/>
  <c r="K428" i="4"/>
  <c r="J428" i="4"/>
  <c r="I428" i="4"/>
  <c r="H428" i="4"/>
  <c r="G428" i="4"/>
  <c r="F428" i="4"/>
  <c r="E428" i="4"/>
  <c r="D428" i="4"/>
  <c r="A428" i="4"/>
  <c r="O427" i="4"/>
  <c r="N427" i="4"/>
  <c r="M427" i="4"/>
  <c r="L427" i="4"/>
  <c r="K427" i="4"/>
  <c r="J427" i="4"/>
  <c r="I427" i="4"/>
  <c r="H427" i="4"/>
  <c r="G427" i="4"/>
  <c r="F427" i="4"/>
  <c r="E427" i="4"/>
  <c r="D427" i="4"/>
  <c r="A427" i="4"/>
  <c r="O426" i="4"/>
  <c r="N426" i="4"/>
  <c r="M426" i="4"/>
  <c r="L426" i="4"/>
  <c r="K426" i="4"/>
  <c r="J426" i="4"/>
  <c r="I426" i="4"/>
  <c r="H426" i="4"/>
  <c r="G426" i="4"/>
  <c r="F426" i="4"/>
  <c r="E426" i="4"/>
  <c r="D426" i="4"/>
  <c r="A426" i="4"/>
  <c r="O425" i="4"/>
  <c r="N425" i="4"/>
  <c r="M425" i="4"/>
  <c r="L425" i="4"/>
  <c r="K425" i="4"/>
  <c r="J425" i="4"/>
  <c r="I425" i="4"/>
  <c r="H425" i="4"/>
  <c r="G425" i="4"/>
  <c r="F425" i="4"/>
  <c r="E425" i="4"/>
  <c r="D425" i="4"/>
  <c r="A425" i="4"/>
  <c r="O424" i="4"/>
  <c r="N424" i="4"/>
  <c r="M424" i="4"/>
  <c r="L424" i="4"/>
  <c r="K424" i="4"/>
  <c r="J424" i="4"/>
  <c r="I424" i="4"/>
  <c r="H424" i="4"/>
  <c r="G424" i="4"/>
  <c r="F424" i="4"/>
  <c r="E424" i="4"/>
  <c r="D424" i="4"/>
  <c r="A424" i="4"/>
  <c r="O423" i="4"/>
  <c r="N423" i="4"/>
  <c r="M423" i="4"/>
  <c r="L423" i="4"/>
  <c r="K423" i="4"/>
  <c r="J423" i="4"/>
  <c r="I423" i="4"/>
  <c r="H423" i="4"/>
  <c r="G423" i="4"/>
  <c r="F423" i="4"/>
  <c r="E423" i="4"/>
  <c r="D423" i="4"/>
  <c r="A423" i="4"/>
  <c r="O422" i="4"/>
  <c r="N422" i="4"/>
  <c r="M422" i="4"/>
  <c r="L422" i="4"/>
  <c r="K422" i="4"/>
  <c r="J422" i="4"/>
  <c r="I422" i="4"/>
  <c r="H422" i="4"/>
  <c r="G422" i="4"/>
  <c r="F422" i="4"/>
  <c r="E422" i="4"/>
  <c r="D422" i="4"/>
  <c r="A422" i="4"/>
  <c r="O421" i="4"/>
  <c r="N421" i="4"/>
  <c r="M421" i="4"/>
  <c r="L421" i="4"/>
  <c r="K421" i="4"/>
  <c r="J421" i="4"/>
  <c r="I421" i="4"/>
  <c r="H421" i="4"/>
  <c r="G421" i="4"/>
  <c r="F421" i="4"/>
  <c r="E421" i="4"/>
  <c r="D421" i="4"/>
  <c r="A421" i="4"/>
  <c r="O420" i="4"/>
  <c r="N420" i="4"/>
  <c r="M420" i="4"/>
  <c r="L420" i="4"/>
  <c r="K420" i="4"/>
  <c r="J420" i="4"/>
  <c r="I420" i="4"/>
  <c r="H420" i="4"/>
  <c r="G420" i="4"/>
  <c r="F420" i="4"/>
  <c r="E420" i="4"/>
  <c r="D420" i="4"/>
  <c r="A420" i="4"/>
  <c r="O419" i="4"/>
  <c r="N419" i="4"/>
  <c r="M419" i="4"/>
  <c r="L419" i="4"/>
  <c r="K419" i="4"/>
  <c r="J419" i="4"/>
  <c r="I419" i="4"/>
  <c r="H419" i="4"/>
  <c r="G419" i="4"/>
  <c r="F419" i="4"/>
  <c r="E419" i="4"/>
  <c r="D419" i="4"/>
  <c r="A419" i="4"/>
  <c r="O418" i="4"/>
  <c r="N418" i="4"/>
  <c r="M418" i="4"/>
  <c r="L418" i="4"/>
  <c r="K418" i="4"/>
  <c r="J418" i="4"/>
  <c r="I418" i="4"/>
  <c r="H418" i="4"/>
  <c r="G418" i="4"/>
  <c r="F418" i="4"/>
  <c r="E418" i="4"/>
  <c r="D418" i="4"/>
  <c r="A418" i="4"/>
  <c r="O417" i="4"/>
  <c r="N417" i="4"/>
  <c r="M417" i="4"/>
  <c r="L417" i="4"/>
  <c r="K417" i="4"/>
  <c r="J417" i="4"/>
  <c r="I417" i="4"/>
  <c r="H417" i="4"/>
  <c r="G417" i="4"/>
  <c r="F417" i="4"/>
  <c r="E417" i="4"/>
  <c r="D417" i="4"/>
  <c r="A417" i="4"/>
  <c r="O416" i="4"/>
  <c r="N416" i="4"/>
  <c r="M416" i="4"/>
  <c r="L416" i="4"/>
  <c r="K416" i="4"/>
  <c r="J416" i="4"/>
  <c r="I416" i="4"/>
  <c r="H416" i="4"/>
  <c r="G416" i="4"/>
  <c r="F416" i="4"/>
  <c r="E416" i="4"/>
  <c r="D416" i="4"/>
  <c r="A416" i="4"/>
  <c r="O415" i="4"/>
  <c r="N415" i="4"/>
  <c r="M415" i="4"/>
  <c r="L415" i="4"/>
  <c r="K415" i="4"/>
  <c r="J415" i="4"/>
  <c r="I415" i="4"/>
  <c r="H415" i="4"/>
  <c r="G415" i="4"/>
  <c r="F415" i="4"/>
  <c r="E415" i="4"/>
  <c r="D415" i="4"/>
  <c r="A415" i="4"/>
  <c r="O414" i="4"/>
  <c r="N414" i="4"/>
  <c r="M414" i="4"/>
  <c r="L414" i="4"/>
  <c r="K414" i="4"/>
  <c r="J414" i="4"/>
  <c r="I414" i="4"/>
  <c r="H414" i="4"/>
  <c r="G414" i="4"/>
  <c r="F414" i="4"/>
  <c r="E414" i="4"/>
  <c r="D414" i="4"/>
  <c r="A414" i="4"/>
  <c r="O413" i="4"/>
  <c r="N413" i="4"/>
  <c r="M413" i="4"/>
  <c r="L413" i="4"/>
  <c r="K413" i="4"/>
  <c r="J413" i="4"/>
  <c r="I413" i="4"/>
  <c r="H413" i="4"/>
  <c r="G413" i="4"/>
  <c r="F413" i="4"/>
  <c r="E413" i="4"/>
  <c r="D413" i="4"/>
  <c r="A413" i="4"/>
  <c r="O412" i="4"/>
  <c r="N412" i="4"/>
  <c r="M412" i="4"/>
  <c r="L412" i="4"/>
  <c r="K412" i="4"/>
  <c r="J412" i="4"/>
  <c r="I412" i="4"/>
  <c r="H412" i="4"/>
  <c r="G412" i="4"/>
  <c r="F412" i="4"/>
  <c r="E412" i="4"/>
  <c r="D412" i="4"/>
  <c r="A412" i="4"/>
  <c r="O411" i="4"/>
  <c r="N411" i="4"/>
  <c r="M411" i="4"/>
  <c r="L411" i="4"/>
  <c r="K411" i="4"/>
  <c r="J411" i="4"/>
  <c r="I411" i="4"/>
  <c r="H411" i="4"/>
  <c r="G411" i="4"/>
  <c r="F411" i="4"/>
  <c r="E411" i="4"/>
  <c r="D411" i="4"/>
  <c r="A411" i="4"/>
  <c r="O410" i="4"/>
  <c r="N410" i="4"/>
  <c r="M410" i="4"/>
  <c r="L410" i="4"/>
  <c r="K410" i="4"/>
  <c r="J410" i="4"/>
  <c r="I410" i="4"/>
  <c r="H410" i="4"/>
  <c r="G410" i="4"/>
  <c r="F410" i="4"/>
  <c r="E410" i="4"/>
  <c r="D410" i="4"/>
  <c r="A410" i="4"/>
  <c r="O409" i="4"/>
  <c r="N409" i="4"/>
  <c r="M409" i="4"/>
  <c r="L409" i="4"/>
  <c r="K409" i="4"/>
  <c r="J409" i="4"/>
  <c r="I409" i="4"/>
  <c r="H409" i="4"/>
  <c r="G409" i="4"/>
  <c r="F409" i="4"/>
  <c r="E409" i="4"/>
  <c r="D409" i="4"/>
  <c r="A409" i="4"/>
  <c r="O408" i="4"/>
  <c r="N408" i="4"/>
  <c r="M408" i="4"/>
  <c r="L408" i="4"/>
  <c r="K408" i="4"/>
  <c r="J408" i="4"/>
  <c r="I408" i="4"/>
  <c r="H408" i="4"/>
  <c r="G408" i="4"/>
  <c r="F408" i="4"/>
  <c r="E408" i="4"/>
  <c r="D408" i="4"/>
  <c r="A408" i="4"/>
  <c r="O407" i="4"/>
  <c r="N407" i="4"/>
  <c r="M407" i="4"/>
  <c r="L407" i="4"/>
  <c r="K407" i="4"/>
  <c r="J407" i="4"/>
  <c r="I407" i="4"/>
  <c r="H407" i="4"/>
  <c r="G407" i="4"/>
  <c r="F407" i="4"/>
  <c r="E407" i="4"/>
  <c r="D407" i="4"/>
  <c r="A407" i="4"/>
  <c r="O406" i="4"/>
  <c r="N406" i="4"/>
  <c r="M406" i="4"/>
  <c r="L406" i="4"/>
  <c r="K406" i="4"/>
  <c r="J406" i="4"/>
  <c r="I406" i="4"/>
  <c r="H406" i="4"/>
  <c r="G406" i="4"/>
  <c r="F406" i="4"/>
  <c r="E406" i="4"/>
  <c r="D406" i="4"/>
  <c r="A406" i="4"/>
  <c r="O405" i="4"/>
  <c r="N405" i="4"/>
  <c r="M405" i="4"/>
  <c r="L405" i="4"/>
  <c r="K405" i="4"/>
  <c r="J405" i="4"/>
  <c r="I405" i="4"/>
  <c r="H405" i="4"/>
  <c r="G405" i="4"/>
  <c r="F405" i="4"/>
  <c r="E405" i="4"/>
  <c r="D405" i="4"/>
  <c r="A405" i="4"/>
  <c r="O404" i="4"/>
  <c r="N404" i="4"/>
  <c r="M404" i="4"/>
  <c r="L404" i="4"/>
  <c r="K404" i="4"/>
  <c r="J404" i="4"/>
  <c r="I404" i="4"/>
  <c r="H404" i="4"/>
  <c r="G404" i="4"/>
  <c r="F404" i="4"/>
  <c r="E404" i="4"/>
  <c r="D404" i="4"/>
  <c r="A404" i="4"/>
  <c r="O403" i="4"/>
  <c r="N403" i="4"/>
  <c r="M403" i="4"/>
  <c r="L403" i="4"/>
  <c r="K403" i="4"/>
  <c r="J403" i="4"/>
  <c r="I403" i="4"/>
  <c r="H403" i="4"/>
  <c r="G403" i="4"/>
  <c r="F403" i="4"/>
  <c r="E403" i="4"/>
  <c r="D403" i="4"/>
  <c r="A403" i="4"/>
  <c r="O402" i="4"/>
  <c r="N402" i="4"/>
  <c r="M402" i="4"/>
  <c r="L402" i="4"/>
  <c r="K402" i="4"/>
  <c r="J402" i="4"/>
  <c r="I402" i="4"/>
  <c r="H402" i="4"/>
  <c r="G402" i="4"/>
  <c r="F402" i="4"/>
  <c r="E402" i="4"/>
  <c r="D402" i="4"/>
  <c r="A402" i="4"/>
  <c r="O401" i="4"/>
  <c r="N401" i="4"/>
  <c r="M401" i="4"/>
  <c r="L401" i="4"/>
  <c r="K401" i="4"/>
  <c r="J401" i="4"/>
  <c r="I401" i="4"/>
  <c r="H401" i="4"/>
  <c r="G401" i="4"/>
  <c r="F401" i="4"/>
  <c r="E401" i="4"/>
  <c r="D401" i="4"/>
  <c r="A401" i="4"/>
  <c r="O400" i="4"/>
  <c r="N400" i="4"/>
  <c r="M400" i="4"/>
  <c r="L400" i="4"/>
  <c r="K400" i="4"/>
  <c r="J400" i="4"/>
  <c r="I400" i="4"/>
  <c r="H400" i="4"/>
  <c r="G400" i="4"/>
  <c r="F400" i="4"/>
  <c r="E400" i="4"/>
  <c r="D400" i="4"/>
  <c r="A400" i="4"/>
  <c r="O399" i="4"/>
  <c r="N399" i="4"/>
  <c r="M399" i="4"/>
  <c r="L399" i="4"/>
  <c r="K399" i="4"/>
  <c r="J399" i="4"/>
  <c r="I399" i="4"/>
  <c r="H399" i="4"/>
  <c r="G399" i="4"/>
  <c r="F399" i="4"/>
  <c r="E399" i="4"/>
  <c r="D399" i="4"/>
  <c r="A399" i="4"/>
  <c r="O398" i="4"/>
  <c r="N398" i="4"/>
  <c r="M398" i="4"/>
  <c r="L398" i="4"/>
  <c r="K398" i="4"/>
  <c r="J398" i="4"/>
  <c r="I398" i="4"/>
  <c r="H398" i="4"/>
  <c r="G398" i="4"/>
  <c r="F398" i="4"/>
  <c r="E398" i="4"/>
  <c r="D398" i="4"/>
  <c r="A398" i="4"/>
  <c r="O397" i="4"/>
  <c r="N397" i="4"/>
  <c r="M397" i="4"/>
  <c r="L397" i="4"/>
  <c r="K397" i="4"/>
  <c r="J397" i="4"/>
  <c r="I397" i="4"/>
  <c r="H397" i="4"/>
  <c r="G397" i="4"/>
  <c r="F397" i="4"/>
  <c r="E397" i="4"/>
  <c r="D397" i="4"/>
  <c r="A397" i="4"/>
  <c r="O396" i="4"/>
  <c r="N396" i="4"/>
  <c r="M396" i="4"/>
  <c r="L396" i="4"/>
  <c r="K396" i="4"/>
  <c r="J396" i="4"/>
  <c r="I396" i="4"/>
  <c r="H396" i="4"/>
  <c r="G396" i="4"/>
  <c r="F396" i="4"/>
  <c r="E396" i="4"/>
  <c r="D396" i="4"/>
  <c r="A396" i="4"/>
  <c r="O395" i="4"/>
  <c r="N395" i="4"/>
  <c r="M395" i="4"/>
  <c r="L395" i="4"/>
  <c r="K395" i="4"/>
  <c r="J395" i="4"/>
  <c r="I395" i="4"/>
  <c r="H395" i="4"/>
  <c r="G395" i="4"/>
  <c r="F395" i="4"/>
  <c r="E395" i="4"/>
  <c r="D395" i="4"/>
  <c r="A395" i="4"/>
  <c r="O394" i="4"/>
  <c r="N394" i="4"/>
  <c r="M394" i="4"/>
  <c r="L394" i="4"/>
  <c r="K394" i="4"/>
  <c r="J394" i="4"/>
  <c r="I394" i="4"/>
  <c r="H394" i="4"/>
  <c r="G394" i="4"/>
  <c r="F394" i="4"/>
  <c r="E394" i="4"/>
  <c r="D394" i="4"/>
  <c r="A394" i="4"/>
  <c r="O393" i="4"/>
  <c r="N393" i="4"/>
  <c r="M393" i="4"/>
  <c r="L393" i="4"/>
  <c r="K393" i="4"/>
  <c r="J393" i="4"/>
  <c r="I393" i="4"/>
  <c r="H393" i="4"/>
  <c r="G393" i="4"/>
  <c r="F393" i="4"/>
  <c r="E393" i="4"/>
  <c r="D393" i="4"/>
  <c r="A393" i="4"/>
  <c r="O392" i="4"/>
  <c r="N392" i="4"/>
  <c r="M392" i="4"/>
  <c r="L392" i="4"/>
  <c r="K392" i="4"/>
  <c r="J392" i="4"/>
  <c r="I392" i="4"/>
  <c r="H392" i="4"/>
  <c r="G392" i="4"/>
  <c r="F392" i="4"/>
  <c r="E392" i="4"/>
  <c r="D392" i="4"/>
  <c r="A392" i="4"/>
  <c r="O391" i="4"/>
  <c r="N391" i="4"/>
  <c r="M391" i="4"/>
  <c r="L391" i="4"/>
  <c r="K391" i="4"/>
  <c r="J391" i="4"/>
  <c r="I391" i="4"/>
  <c r="H391" i="4"/>
  <c r="G391" i="4"/>
  <c r="F391" i="4"/>
  <c r="E391" i="4"/>
  <c r="D391" i="4"/>
  <c r="A391" i="4"/>
  <c r="O390" i="4"/>
  <c r="N390" i="4"/>
  <c r="M390" i="4"/>
  <c r="L390" i="4"/>
  <c r="K390" i="4"/>
  <c r="J390" i="4"/>
  <c r="I390" i="4"/>
  <c r="H390" i="4"/>
  <c r="G390" i="4"/>
  <c r="F390" i="4"/>
  <c r="E390" i="4"/>
  <c r="D390" i="4"/>
  <c r="A390" i="4"/>
  <c r="O389" i="4"/>
  <c r="N389" i="4"/>
  <c r="M389" i="4"/>
  <c r="L389" i="4"/>
  <c r="K389" i="4"/>
  <c r="J389" i="4"/>
  <c r="I389" i="4"/>
  <c r="H389" i="4"/>
  <c r="G389" i="4"/>
  <c r="F389" i="4"/>
  <c r="E389" i="4"/>
  <c r="D389" i="4"/>
  <c r="A389" i="4"/>
  <c r="O388" i="4"/>
  <c r="N388" i="4"/>
  <c r="M388" i="4"/>
  <c r="L388" i="4"/>
  <c r="K388" i="4"/>
  <c r="J388" i="4"/>
  <c r="I388" i="4"/>
  <c r="H388" i="4"/>
  <c r="G388" i="4"/>
  <c r="F388" i="4"/>
  <c r="E388" i="4"/>
  <c r="D388" i="4"/>
  <c r="A388" i="4"/>
  <c r="O387" i="4"/>
  <c r="N387" i="4"/>
  <c r="M387" i="4"/>
  <c r="L387" i="4"/>
  <c r="K387" i="4"/>
  <c r="J387" i="4"/>
  <c r="I387" i="4"/>
  <c r="H387" i="4"/>
  <c r="G387" i="4"/>
  <c r="F387" i="4"/>
  <c r="E387" i="4"/>
  <c r="D387" i="4"/>
  <c r="A387" i="4"/>
  <c r="O386" i="4"/>
  <c r="N386" i="4"/>
  <c r="M386" i="4"/>
  <c r="L386" i="4"/>
  <c r="K386" i="4"/>
  <c r="J386" i="4"/>
  <c r="I386" i="4"/>
  <c r="H386" i="4"/>
  <c r="G386" i="4"/>
  <c r="F386" i="4"/>
  <c r="E386" i="4"/>
  <c r="D386" i="4"/>
  <c r="A386" i="4"/>
  <c r="O385" i="4"/>
  <c r="N385" i="4"/>
  <c r="M385" i="4"/>
  <c r="L385" i="4"/>
  <c r="K385" i="4"/>
  <c r="J385" i="4"/>
  <c r="I385" i="4"/>
  <c r="H385" i="4"/>
  <c r="G385" i="4"/>
  <c r="F385" i="4"/>
  <c r="E385" i="4"/>
  <c r="D385" i="4"/>
  <c r="A385" i="4"/>
  <c r="O384" i="4"/>
  <c r="N384" i="4"/>
  <c r="M384" i="4"/>
  <c r="L384" i="4"/>
  <c r="K384" i="4"/>
  <c r="J384" i="4"/>
  <c r="I384" i="4"/>
  <c r="H384" i="4"/>
  <c r="G384" i="4"/>
  <c r="F384" i="4"/>
  <c r="E384" i="4"/>
  <c r="D384" i="4"/>
  <c r="A384" i="4"/>
  <c r="O383" i="4"/>
  <c r="N383" i="4"/>
  <c r="M383" i="4"/>
  <c r="L383" i="4"/>
  <c r="K383" i="4"/>
  <c r="J383" i="4"/>
  <c r="I383" i="4"/>
  <c r="H383" i="4"/>
  <c r="G383" i="4"/>
  <c r="F383" i="4"/>
  <c r="E383" i="4"/>
  <c r="D383" i="4"/>
  <c r="A383" i="4"/>
  <c r="O382" i="4"/>
  <c r="N382" i="4"/>
  <c r="M382" i="4"/>
  <c r="L382" i="4"/>
  <c r="K382" i="4"/>
  <c r="J382" i="4"/>
  <c r="I382" i="4"/>
  <c r="H382" i="4"/>
  <c r="G382" i="4"/>
  <c r="F382" i="4"/>
  <c r="E382" i="4"/>
  <c r="D382" i="4"/>
  <c r="A382" i="4"/>
  <c r="O381" i="4"/>
  <c r="N381" i="4"/>
  <c r="M381" i="4"/>
  <c r="L381" i="4"/>
  <c r="K381" i="4"/>
  <c r="J381" i="4"/>
  <c r="I381" i="4"/>
  <c r="H381" i="4"/>
  <c r="G381" i="4"/>
  <c r="F381" i="4"/>
  <c r="E381" i="4"/>
  <c r="D381" i="4"/>
  <c r="A381" i="4"/>
  <c r="O380" i="4"/>
  <c r="N380" i="4"/>
  <c r="M380" i="4"/>
  <c r="L380" i="4"/>
  <c r="K380" i="4"/>
  <c r="J380" i="4"/>
  <c r="I380" i="4"/>
  <c r="H380" i="4"/>
  <c r="G380" i="4"/>
  <c r="F380" i="4"/>
  <c r="E380" i="4"/>
  <c r="D380" i="4"/>
  <c r="A380" i="4"/>
  <c r="O379" i="4"/>
  <c r="N379" i="4"/>
  <c r="M379" i="4"/>
  <c r="L379" i="4"/>
  <c r="K379" i="4"/>
  <c r="J379" i="4"/>
  <c r="I379" i="4"/>
  <c r="H379" i="4"/>
  <c r="G379" i="4"/>
  <c r="F379" i="4"/>
  <c r="E379" i="4"/>
  <c r="D379" i="4"/>
  <c r="A379" i="4"/>
  <c r="O378" i="4"/>
  <c r="N378" i="4"/>
  <c r="M378" i="4"/>
  <c r="L378" i="4"/>
  <c r="K378" i="4"/>
  <c r="J378" i="4"/>
  <c r="I378" i="4"/>
  <c r="H378" i="4"/>
  <c r="G378" i="4"/>
  <c r="F378" i="4"/>
  <c r="E378" i="4"/>
  <c r="D378" i="4"/>
  <c r="A378" i="4"/>
  <c r="O377" i="4"/>
  <c r="N377" i="4"/>
  <c r="M377" i="4"/>
  <c r="L377" i="4"/>
  <c r="K377" i="4"/>
  <c r="J377" i="4"/>
  <c r="I377" i="4"/>
  <c r="H377" i="4"/>
  <c r="G377" i="4"/>
  <c r="F377" i="4"/>
  <c r="E377" i="4"/>
  <c r="D377" i="4"/>
  <c r="A377" i="4"/>
  <c r="O376" i="4"/>
  <c r="N376" i="4"/>
  <c r="M376" i="4"/>
  <c r="L376" i="4"/>
  <c r="K376" i="4"/>
  <c r="J376" i="4"/>
  <c r="I376" i="4"/>
  <c r="H376" i="4"/>
  <c r="G376" i="4"/>
  <c r="F376" i="4"/>
  <c r="E376" i="4"/>
  <c r="D376" i="4"/>
  <c r="A376" i="4"/>
  <c r="O375" i="4"/>
  <c r="N375" i="4"/>
  <c r="M375" i="4"/>
  <c r="L375" i="4"/>
  <c r="K375" i="4"/>
  <c r="J375" i="4"/>
  <c r="I375" i="4"/>
  <c r="H375" i="4"/>
  <c r="G375" i="4"/>
  <c r="F375" i="4"/>
  <c r="E375" i="4"/>
  <c r="D375" i="4"/>
  <c r="A375" i="4"/>
  <c r="O374" i="4"/>
  <c r="N374" i="4"/>
  <c r="M374" i="4"/>
  <c r="L374" i="4"/>
  <c r="K374" i="4"/>
  <c r="J374" i="4"/>
  <c r="I374" i="4"/>
  <c r="H374" i="4"/>
  <c r="G374" i="4"/>
  <c r="F374" i="4"/>
  <c r="E374" i="4"/>
  <c r="D374" i="4"/>
  <c r="A374" i="4"/>
  <c r="O373" i="4"/>
  <c r="N373" i="4"/>
  <c r="M373" i="4"/>
  <c r="L373" i="4"/>
  <c r="K373" i="4"/>
  <c r="J373" i="4"/>
  <c r="I373" i="4"/>
  <c r="H373" i="4"/>
  <c r="G373" i="4"/>
  <c r="F373" i="4"/>
  <c r="E373" i="4"/>
  <c r="D373" i="4"/>
  <c r="A373" i="4"/>
  <c r="O372" i="4"/>
  <c r="N372" i="4"/>
  <c r="M372" i="4"/>
  <c r="L372" i="4"/>
  <c r="K372" i="4"/>
  <c r="J372" i="4"/>
  <c r="I372" i="4"/>
  <c r="H372" i="4"/>
  <c r="G372" i="4"/>
  <c r="F372" i="4"/>
  <c r="E372" i="4"/>
  <c r="D372" i="4"/>
  <c r="A372" i="4"/>
  <c r="O371" i="4"/>
  <c r="N371" i="4"/>
  <c r="M371" i="4"/>
  <c r="L371" i="4"/>
  <c r="K371" i="4"/>
  <c r="J371" i="4"/>
  <c r="I371" i="4"/>
  <c r="H371" i="4"/>
  <c r="G371" i="4"/>
  <c r="F371" i="4"/>
  <c r="E371" i="4"/>
  <c r="D371" i="4"/>
  <c r="A371" i="4"/>
  <c r="O370" i="4"/>
  <c r="N370" i="4"/>
  <c r="M370" i="4"/>
  <c r="L370" i="4"/>
  <c r="K370" i="4"/>
  <c r="J370" i="4"/>
  <c r="I370" i="4"/>
  <c r="H370" i="4"/>
  <c r="G370" i="4"/>
  <c r="F370" i="4"/>
  <c r="E370" i="4"/>
  <c r="D370" i="4"/>
  <c r="A370" i="4"/>
  <c r="O369" i="4"/>
  <c r="N369" i="4"/>
  <c r="M369" i="4"/>
  <c r="L369" i="4"/>
  <c r="K369" i="4"/>
  <c r="J369" i="4"/>
  <c r="I369" i="4"/>
  <c r="H369" i="4"/>
  <c r="G369" i="4"/>
  <c r="F369" i="4"/>
  <c r="E369" i="4"/>
  <c r="D369" i="4"/>
  <c r="A369" i="4"/>
  <c r="O368" i="4"/>
  <c r="N368" i="4"/>
  <c r="M368" i="4"/>
  <c r="L368" i="4"/>
  <c r="K368" i="4"/>
  <c r="J368" i="4"/>
  <c r="I368" i="4"/>
  <c r="H368" i="4"/>
  <c r="G368" i="4"/>
  <c r="F368" i="4"/>
  <c r="E368" i="4"/>
  <c r="D368" i="4"/>
  <c r="A368" i="4"/>
  <c r="O367" i="4"/>
  <c r="N367" i="4"/>
  <c r="M367" i="4"/>
  <c r="L367" i="4"/>
  <c r="K367" i="4"/>
  <c r="J367" i="4"/>
  <c r="I367" i="4"/>
  <c r="H367" i="4"/>
  <c r="G367" i="4"/>
  <c r="F367" i="4"/>
  <c r="E367" i="4"/>
  <c r="D367" i="4"/>
  <c r="A367" i="4"/>
  <c r="O366" i="4"/>
  <c r="N366" i="4"/>
  <c r="M366" i="4"/>
  <c r="L366" i="4"/>
  <c r="K366" i="4"/>
  <c r="J366" i="4"/>
  <c r="I366" i="4"/>
  <c r="H366" i="4"/>
  <c r="G366" i="4"/>
  <c r="F366" i="4"/>
  <c r="E366" i="4"/>
  <c r="D366" i="4"/>
  <c r="A366" i="4"/>
  <c r="O365" i="4"/>
  <c r="N365" i="4"/>
  <c r="M365" i="4"/>
  <c r="L365" i="4"/>
  <c r="K365" i="4"/>
  <c r="J365" i="4"/>
  <c r="I365" i="4"/>
  <c r="H365" i="4"/>
  <c r="G365" i="4"/>
  <c r="F365" i="4"/>
  <c r="E365" i="4"/>
  <c r="D365" i="4"/>
  <c r="A365" i="4"/>
  <c r="O364" i="4"/>
  <c r="N364" i="4"/>
  <c r="M364" i="4"/>
  <c r="L364" i="4"/>
  <c r="K364" i="4"/>
  <c r="J364" i="4"/>
  <c r="I364" i="4"/>
  <c r="H364" i="4"/>
  <c r="G364" i="4"/>
  <c r="F364" i="4"/>
  <c r="E364" i="4"/>
  <c r="D364" i="4"/>
  <c r="A364" i="4"/>
  <c r="O363" i="4"/>
  <c r="N363" i="4"/>
  <c r="M363" i="4"/>
  <c r="L363" i="4"/>
  <c r="K363" i="4"/>
  <c r="J363" i="4"/>
  <c r="I363" i="4"/>
  <c r="H363" i="4"/>
  <c r="G363" i="4"/>
  <c r="F363" i="4"/>
  <c r="E363" i="4"/>
  <c r="D363" i="4"/>
  <c r="A363" i="4"/>
  <c r="O362" i="4"/>
  <c r="N362" i="4"/>
  <c r="M362" i="4"/>
  <c r="L362" i="4"/>
  <c r="K362" i="4"/>
  <c r="J362" i="4"/>
  <c r="I362" i="4"/>
  <c r="H362" i="4"/>
  <c r="G362" i="4"/>
  <c r="F362" i="4"/>
  <c r="E362" i="4"/>
  <c r="D362" i="4"/>
  <c r="A362" i="4"/>
  <c r="O361" i="4"/>
  <c r="N361" i="4"/>
  <c r="M361" i="4"/>
  <c r="L361" i="4"/>
  <c r="K361" i="4"/>
  <c r="J361" i="4"/>
  <c r="I361" i="4"/>
  <c r="H361" i="4"/>
  <c r="G361" i="4"/>
  <c r="F361" i="4"/>
  <c r="E361" i="4"/>
  <c r="D361" i="4"/>
  <c r="A361" i="4"/>
  <c r="O360" i="4"/>
  <c r="N360" i="4"/>
  <c r="M360" i="4"/>
  <c r="L360" i="4"/>
  <c r="K360" i="4"/>
  <c r="J360" i="4"/>
  <c r="I360" i="4"/>
  <c r="H360" i="4"/>
  <c r="G360" i="4"/>
  <c r="F360" i="4"/>
  <c r="E360" i="4"/>
  <c r="D360" i="4"/>
  <c r="A360" i="4"/>
  <c r="O359" i="4"/>
  <c r="N359" i="4"/>
  <c r="M359" i="4"/>
  <c r="L359" i="4"/>
  <c r="K359" i="4"/>
  <c r="J359" i="4"/>
  <c r="I359" i="4"/>
  <c r="H359" i="4"/>
  <c r="G359" i="4"/>
  <c r="F359" i="4"/>
  <c r="E359" i="4"/>
  <c r="D359" i="4"/>
  <c r="A359" i="4"/>
  <c r="O358" i="4"/>
  <c r="N358" i="4"/>
  <c r="M358" i="4"/>
  <c r="L358" i="4"/>
  <c r="K358" i="4"/>
  <c r="J358" i="4"/>
  <c r="I358" i="4"/>
  <c r="H358" i="4"/>
  <c r="G358" i="4"/>
  <c r="F358" i="4"/>
  <c r="E358" i="4"/>
  <c r="D358" i="4"/>
  <c r="A358" i="4"/>
  <c r="O357" i="4"/>
  <c r="N357" i="4"/>
  <c r="M357" i="4"/>
  <c r="L357" i="4"/>
  <c r="K357" i="4"/>
  <c r="J357" i="4"/>
  <c r="I357" i="4"/>
  <c r="H357" i="4"/>
  <c r="G357" i="4"/>
  <c r="F357" i="4"/>
  <c r="E357" i="4"/>
  <c r="D357" i="4"/>
  <c r="A357" i="4"/>
  <c r="O356" i="4"/>
  <c r="N356" i="4"/>
  <c r="M356" i="4"/>
  <c r="L356" i="4"/>
  <c r="K356" i="4"/>
  <c r="J356" i="4"/>
  <c r="I356" i="4"/>
  <c r="H356" i="4"/>
  <c r="G356" i="4"/>
  <c r="F356" i="4"/>
  <c r="E356" i="4"/>
  <c r="D356" i="4"/>
  <c r="A356" i="4"/>
  <c r="O355" i="4"/>
  <c r="N355" i="4"/>
  <c r="M355" i="4"/>
  <c r="L355" i="4"/>
  <c r="K355" i="4"/>
  <c r="J355" i="4"/>
  <c r="I355" i="4"/>
  <c r="H355" i="4"/>
  <c r="G355" i="4"/>
  <c r="F355" i="4"/>
  <c r="E355" i="4"/>
  <c r="D355" i="4"/>
  <c r="A355" i="4"/>
  <c r="O354" i="4"/>
  <c r="N354" i="4"/>
  <c r="M354" i="4"/>
  <c r="L354" i="4"/>
  <c r="K354" i="4"/>
  <c r="J354" i="4"/>
  <c r="I354" i="4"/>
  <c r="H354" i="4"/>
  <c r="G354" i="4"/>
  <c r="F354" i="4"/>
  <c r="E354" i="4"/>
  <c r="D354" i="4"/>
  <c r="A354" i="4"/>
  <c r="O353" i="4"/>
  <c r="N353" i="4"/>
  <c r="M353" i="4"/>
  <c r="L353" i="4"/>
  <c r="K353" i="4"/>
  <c r="J353" i="4"/>
  <c r="I353" i="4"/>
  <c r="H353" i="4"/>
  <c r="G353" i="4"/>
  <c r="F353" i="4"/>
  <c r="E353" i="4"/>
  <c r="D353" i="4"/>
  <c r="A353" i="4"/>
  <c r="O352" i="4"/>
  <c r="N352" i="4"/>
  <c r="M352" i="4"/>
  <c r="L352" i="4"/>
  <c r="K352" i="4"/>
  <c r="J352" i="4"/>
  <c r="I352" i="4"/>
  <c r="H352" i="4"/>
  <c r="G352" i="4"/>
  <c r="F352" i="4"/>
  <c r="E352" i="4"/>
  <c r="D352" i="4"/>
  <c r="A352" i="4"/>
  <c r="O351" i="4"/>
  <c r="N351" i="4"/>
  <c r="M351" i="4"/>
  <c r="L351" i="4"/>
  <c r="K351" i="4"/>
  <c r="J351" i="4"/>
  <c r="I351" i="4"/>
  <c r="H351" i="4"/>
  <c r="G351" i="4"/>
  <c r="F351" i="4"/>
  <c r="E351" i="4"/>
  <c r="D351" i="4"/>
  <c r="A351" i="4"/>
  <c r="O350" i="4"/>
  <c r="N350" i="4"/>
  <c r="M350" i="4"/>
  <c r="L350" i="4"/>
  <c r="K350" i="4"/>
  <c r="J350" i="4"/>
  <c r="I350" i="4"/>
  <c r="H350" i="4"/>
  <c r="G350" i="4"/>
  <c r="F350" i="4"/>
  <c r="E350" i="4"/>
  <c r="D350" i="4"/>
  <c r="A350" i="4"/>
  <c r="O349" i="4"/>
  <c r="N349" i="4"/>
  <c r="M349" i="4"/>
  <c r="L349" i="4"/>
  <c r="K349" i="4"/>
  <c r="J349" i="4"/>
  <c r="I349" i="4"/>
  <c r="H349" i="4"/>
  <c r="G349" i="4"/>
  <c r="F349" i="4"/>
  <c r="E349" i="4"/>
  <c r="D349" i="4"/>
  <c r="A349" i="4"/>
  <c r="O348" i="4"/>
  <c r="N348" i="4"/>
  <c r="M348" i="4"/>
  <c r="L348" i="4"/>
  <c r="K348" i="4"/>
  <c r="J348" i="4"/>
  <c r="I348" i="4"/>
  <c r="H348" i="4"/>
  <c r="G348" i="4"/>
  <c r="F348" i="4"/>
  <c r="E348" i="4"/>
  <c r="D348" i="4"/>
  <c r="A348" i="4"/>
  <c r="O347" i="4"/>
  <c r="N347" i="4"/>
  <c r="M347" i="4"/>
  <c r="L347" i="4"/>
  <c r="K347" i="4"/>
  <c r="J347" i="4"/>
  <c r="I347" i="4"/>
  <c r="H347" i="4"/>
  <c r="G347" i="4"/>
  <c r="F347" i="4"/>
  <c r="E347" i="4"/>
  <c r="D347" i="4"/>
  <c r="A347" i="4"/>
  <c r="O346" i="4"/>
  <c r="N346" i="4"/>
  <c r="M346" i="4"/>
  <c r="L346" i="4"/>
  <c r="K346" i="4"/>
  <c r="J346" i="4"/>
  <c r="I346" i="4"/>
  <c r="H346" i="4"/>
  <c r="G346" i="4"/>
  <c r="F346" i="4"/>
  <c r="E346" i="4"/>
  <c r="D346" i="4"/>
  <c r="A346" i="4"/>
  <c r="O345" i="4"/>
  <c r="N345" i="4"/>
  <c r="M345" i="4"/>
  <c r="L345" i="4"/>
  <c r="K345" i="4"/>
  <c r="J345" i="4"/>
  <c r="I345" i="4"/>
  <c r="H345" i="4"/>
  <c r="G345" i="4"/>
  <c r="F345" i="4"/>
  <c r="E345" i="4"/>
  <c r="D345" i="4"/>
  <c r="A345" i="4"/>
  <c r="O344" i="4"/>
  <c r="N344" i="4"/>
  <c r="M344" i="4"/>
  <c r="L344" i="4"/>
  <c r="K344" i="4"/>
  <c r="J344" i="4"/>
  <c r="I344" i="4"/>
  <c r="H344" i="4"/>
  <c r="G344" i="4"/>
  <c r="F344" i="4"/>
  <c r="E344" i="4"/>
  <c r="D344" i="4"/>
  <c r="A344" i="4"/>
  <c r="O343" i="4"/>
  <c r="N343" i="4"/>
  <c r="M343" i="4"/>
  <c r="L343" i="4"/>
  <c r="K343" i="4"/>
  <c r="J343" i="4"/>
  <c r="I343" i="4"/>
  <c r="H343" i="4"/>
  <c r="G343" i="4"/>
  <c r="F343" i="4"/>
  <c r="E343" i="4"/>
  <c r="D343" i="4"/>
  <c r="A343" i="4"/>
  <c r="O342" i="4"/>
  <c r="N342" i="4"/>
  <c r="M342" i="4"/>
  <c r="L342" i="4"/>
  <c r="K342" i="4"/>
  <c r="J342" i="4"/>
  <c r="I342" i="4"/>
  <c r="H342" i="4"/>
  <c r="G342" i="4"/>
  <c r="F342" i="4"/>
  <c r="E342" i="4"/>
  <c r="D342" i="4"/>
  <c r="A342" i="4"/>
  <c r="O341" i="4"/>
  <c r="N341" i="4"/>
  <c r="M341" i="4"/>
  <c r="L341" i="4"/>
  <c r="K341" i="4"/>
  <c r="J341" i="4"/>
  <c r="I341" i="4"/>
  <c r="H341" i="4"/>
  <c r="G341" i="4"/>
  <c r="F341" i="4"/>
  <c r="E341" i="4"/>
  <c r="D341" i="4"/>
  <c r="A341" i="4"/>
  <c r="O340" i="4"/>
  <c r="N340" i="4"/>
  <c r="M340" i="4"/>
  <c r="L340" i="4"/>
  <c r="K340" i="4"/>
  <c r="J340" i="4"/>
  <c r="I340" i="4"/>
  <c r="H340" i="4"/>
  <c r="G340" i="4"/>
  <c r="F340" i="4"/>
  <c r="E340" i="4"/>
  <c r="D340" i="4"/>
  <c r="A340" i="4"/>
  <c r="O339" i="4"/>
  <c r="N339" i="4"/>
  <c r="M339" i="4"/>
  <c r="L339" i="4"/>
  <c r="K339" i="4"/>
  <c r="J339" i="4"/>
  <c r="I339" i="4"/>
  <c r="H339" i="4"/>
  <c r="G339" i="4"/>
  <c r="F339" i="4"/>
  <c r="E339" i="4"/>
  <c r="D339" i="4"/>
  <c r="A339" i="4"/>
  <c r="O338" i="4"/>
  <c r="N338" i="4"/>
  <c r="M338" i="4"/>
  <c r="L338" i="4"/>
  <c r="K338" i="4"/>
  <c r="J338" i="4"/>
  <c r="I338" i="4"/>
  <c r="H338" i="4"/>
  <c r="G338" i="4"/>
  <c r="F338" i="4"/>
  <c r="E338" i="4"/>
  <c r="D338" i="4"/>
  <c r="A338" i="4"/>
  <c r="O337" i="4"/>
  <c r="N337" i="4"/>
  <c r="M337" i="4"/>
  <c r="L337" i="4"/>
  <c r="K337" i="4"/>
  <c r="J337" i="4"/>
  <c r="I337" i="4"/>
  <c r="H337" i="4"/>
  <c r="G337" i="4"/>
  <c r="F337" i="4"/>
  <c r="E337" i="4"/>
  <c r="D337" i="4"/>
  <c r="A337" i="4"/>
  <c r="O336" i="4"/>
  <c r="N336" i="4"/>
  <c r="M336" i="4"/>
  <c r="L336" i="4"/>
  <c r="K336" i="4"/>
  <c r="J336" i="4"/>
  <c r="I336" i="4"/>
  <c r="H336" i="4"/>
  <c r="G336" i="4"/>
  <c r="F336" i="4"/>
  <c r="E336" i="4"/>
  <c r="D336" i="4"/>
  <c r="A336" i="4"/>
  <c r="O335" i="4"/>
  <c r="N335" i="4"/>
  <c r="M335" i="4"/>
  <c r="L335" i="4"/>
  <c r="K335" i="4"/>
  <c r="J335" i="4"/>
  <c r="I335" i="4"/>
  <c r="H335" i="4"/>
  <c r="G335" i="4"/>
  <c r="F335" i="4"/>
  <c r="E335" i="4"/>
  <c r="D335" i="4"/>
  <c r="A335" i="4"/>
  <c r="O334" i="4"/>
  <c r="N334" i="4"/>
  <c r="M334" i="4"/>
  <c r="L334" i="4"/>
  <c r="K334" i="4"/>
  <c r="J334" i="4"/>
  <c r="I334" i="4"/>
  <c r="H334" i="4"/>
  <c r="G334" i="4"/>
  <c r="F334" i="4"/>
  <c r="E334" i="4"/>
  <c r="D334" i="4"/>
  <c r="A334" i="4"/>
  <c r="O333" i="4"/>
  <c r="N333" i="4"/>
  <c r="M333" i="4"/>
  <c r="L333" i="4"/>
  <c r="K333" i="4"/>
  <c r="J333" i="4"/>
  <c r="I333" i="4"/>
  <c r="H333" i="4"/>
  <c r="G333" i="4"/>
  <c r="F333" i="4"/>
  <c r="E333" i="4"/>
  <c r="D333" i="4"/>
  <c r="A333" i="4"/>
  <c r="O332" i="4"/>
  <c r="N332" i="4"/>
  <c r="M332" i="4"/>
  <c r="L332" i="4"/>
  <c r="K332" i="4"/>
  <c r="J332" i="4"/>
  <c r="I332" i="4"/>
  <c r="H332" i="4"/>
  <c r="G332" i="4"/>
  <c r="F332" i="4"/>
  <c r="E332" i="4"/>
  <c r="D332" i="4"/>
  <c r="A332" i="4"/>
  <c r="O331" i="4"/>
  <c r="N331" i="4"/>
  <c r="M331" i="4"/>
  <c r="L331" i="4"/>
  <c r="K331" i="4"/>
  <c r="J331" i="4"/>
  <c r="I331" i="4"/>
  <c r="H331" i="4"/>
  <c r="G331" i="4"/>
  <c r="F331" i="4"/>
  <c r="E331" i="4"/>
  <c r="D331" i="4"/>
  <c r="A331" i="4"/>
  <c r="O330" i="4"/>
  <c r="N330" i="4"/>
  <c r="M330" i="4"/>
  <c r="L330" i="4"/>
  <c r="K330" i="4"/>
  <c r="J330" i="4"/>
  <c r="I330" i="4"/>
  <c r="H330" i="4"/>
  <c r="G330" i="4"/>
  <c r="F330" i="4"/>
  <c r="E330" i="4"/>
  <c r="D330" i="4"/>
  <c r="A330" i="4"/>
  <c r="O329" i="4"/>
  <c r="N329" i="4"/>
  <c r="M329" i="4"/>
  <c r="L329" i="4"/>
  <c r="K329" i="4"/>
  <c r="J329" i="4"/>
  <c r="I329" i="4"/>
  <c r="H329" i="4"/>
  <c r="G329" i="4"/>
  <c r="F329" i="4"/>
  <c r="E329" i="4"/>
  <c r="D329" i="4"/>
  <c r="A329" i="4"/>
  <c r="O328" i="4"/>
  <c r="N328" i="4"/>
  <c r="M328" i="4"/>
  <c r="L328" i="4"/>
  <c r="K328" i="4"/>
  <c r="J328" i="4"/>
  <c r="I328" i="4"/>
  <c r="H328" i="4"/>
  <c r="G328" i="4"/>
  <c r="F328" i="4"/>
  <c r="E328" i="4"/>
  <c r="D328" i="4"/>
  <c r="A328" i="4"/>
  <c r="O327" i="4"/>
  <c r="N327" i="4"/>
  <c r="M327" i="4"/>
  <c r="L327" i="4"/>
  <c r="K327" i="4"/>
  <c r="J327" i="4"/>
  <c r="I327" i="4"/>
  <c r="H327" i="4"/>
  <c r="G327" i="4"/>
  <c r="F327" i="4"/>
  <c r="E327" i="4"/>
  <c r="D327" i="4"/>
  <c r="C327" i="4"/>
  <c r="B327" i="4"/>
  <c r="A327" i="4"/>
  <c r="O326" i="4"/>
  <c r="N326" i="4"/>
  <c r="M326" i="4"/>
  <c r="L326" i="4"/>
  <c r="K326" i="4"/>
  <c r="J326" i="4"/>
  <c r="I326" i="4"/>
  <c r="H326" i="4"/>
  <c r="G326" i="4"/>
  <c r="F326" i="4"/>
  <c r="E326" i="4"/>
  <c r="D326" i="4"/>
  <c r="A326" i="4"/>
  <c r="O325" i="4"/>
  <c r="N325" i="4"/>
  <c r="M325" i="4"/>
  <c r="L325" i="4"/>
  <c r="K325" i="4"/>
  <c r="J325" i="4"/>
  <c r="I325" i="4"/>
  <c r="H325" i="4"/>
  <c r="G325" i="4"/>
  <c r="F325" i="4"/>
  <c r="E325" i="4"/>
  <c r="D325" i="4"/>
  <c r="A325" i="4"/>
  <c r="O324" i="4"/>
  <c r="N324" i="4"/>
  <c r="M324" i="4"/>
  <c r="L324" i="4"/>
  <c r="K324" i="4"/>
  <c r="J324" i="4"/>
  <c r="I324" i="4"/>
  <c r="H324" i="4"/>
  <c r="G324" i="4"/>
  <c r="F324" i="4"/>
  <c r="E324" i="4"/>
  <c r="D324" i="4"/>
  <c r="A324" i="4"/>
  <c r="O323" i="4"/>
  <c r="N323" i="4"/>
  <c r="M323" i="4"/>
  <c r="L323" i="4"/>
  <c r="K323" i="4"/>
  <c r="J323" i="4"/>
  <c r="I323" i="4"/>
  <c r="H323" i="4"/>
  <c r="G323" i="4"/>
  <c r="F323" i="4"/>
  <c r="E323" i="4"/>
  <c r="D323" i="4"/>
  <c r="A323" i="4"/>
  <c r="O322" i="4"/>
  <c r="N322" i="4"/>
  <c r="M322" i="4"/>
  <c r="L322" i="4"/>
  <c r="K322" i="4"/>
  <c r="J322" i="4"/>
  <c r="I322" i="4"/>
  <c r="H322" i="4"/>
  <c r="G322" i="4"/>
  <c r="F322" i="4"/>
  <c r="E322" i="4"/>
  <c r="D322" i="4"/>
  <c r="A322" i="4"/>
  <c r="O321" i="4"/>
  <c r="N321" i="4"/>
  <c r="M321" i="4"/>
  <c r="L321" i="4"/>
  <c r="K321" i="4"/>
  <c r="J321" i="4"/>
  <c r="I321" i="4"/>
  <c r="H321" i="4"/>
  <c r="G321" i="4"/>
  <c r="F321" i="4"/>
  <c r="E321" i="4"/>
  <c r="D321" i="4"/>
  <c r="A321" i="4"/>
  <c r="O320" i="4"/>
  <c r="N320" i="4"/>
  <c r="M320" i="4"/>
  <c r="L320" i="4"/>
  <c r="K320" i="4"/>
  <c r="J320" i="4"/>
  <c r="I320" i="4"/>
  <c r="H320" i="4"/>
  <c r="G320" i="4"/>
  <c r="F320" i="4"/>
  <c r="E320" i="4"/>
  <c r="D320" i="4"/>
  <c r="A320" i="4"/>
  <c r="O319" i="4"/>
  <c r="N319" i="4"/>
  <c r="M319" i="4"/>
  <c r="L319" i="4"/>
  <c r="K319" i="4"/>
  <c r="J319" i="4"/>
  <c r="I319" i="4"/>
  <c r="H319" i="4"/>
  <c r="G319" i="4"/>
  <c r="F319" i="4"/>
  <c r="E319" i="4"/>
  <c r="D319" i="4"/>
  <c r="A319" i="4"/>
  <c r="O318" i="4"/>
  <c r="N318" i="4"/>
  <c r="M318" i="4"/>
  <c r="L318" i="4"/>
  <c r="K318" i="4"/>
  <c r="J318" i="4"/>
  <c r="I318" i="4"/>
  <c r="H318" i="4"/>
  <c r="G318" i="4"/>
  <c r="F318" i="4"/>
  <c r="E318" i="4"/>
  <c r="D318" i="4"/>
  <c r="A318" i="4"/>
  <c r="O317" i="4"/>
  <c r="N317" i="4"/>
  <c r="M317" i="4"/>
  <c r="L317" i="4"/>
  <c r="K317" i="4"/>
  <c r="J317" i="4"/>
  <c r="I317" i="4"/>
  <c r="H317" i="4"/>
  <c r="G317" i="4"/>
  <c r="F317" i="4"/>
  <c r="E317" i="4"/>
  <c r="D317" i="4"/>
  <c r="A317" i="4"/>
  <c r="O316" i="4"/>
  <c r="N316" i="4"/>
  <c r="M316" i="4"/>
  <c r="L316" i="4"/>
  <c r="K316" i="4"/>
  <c r="J316" i="4"/>
  <c r="I316" i="4"/>
  <c r="H316" i="4"/>
  <c r="G316" i="4"/>
  <c r="F316" i="4"/>
  <c r="E316" i="4"/>
  <c r="D316" i="4"/>
  <c r="A316" i="4"/>
  <c r="O315" i="4"/>
  <c r="N315" i="4"/>
  <c r="M315" i="4"/>
  <c r="L315" i="4"/>
  <c r="K315" i="4"/>
  <c r="J315" i="4"/>
  <c r="I315" i="4"/>
  <c r="H315" i="4"/>
  <c r="G315" i="4"/>
  <c r="F315" i="4"/>
  <c r="E315" i="4"/>
  <c r="D315" i="4"/>
  <c r="A315" i="4"/>
  <c r="O314" i="4"/>
  <c r="N314" i="4"/>
  <c r="M314" i="4"/>
  <c r="L314" i="4"/>
  <c r="K314" i="4"/>
  <c r="J314" i="4"/>
  <c r="I314" i="4"/>
  <c r="H314" i="4"/>
  <c r="G314" i="4"/>
  <c r="F314" i="4"/>
  <c r="E314" i="4"/>
  <c r="D314" i="4"/>
  <c r="A314" i="4"/>
  <c r="O313" i="4"/>
  <c r="N313" i="4"/>
  <c r="M313" i="4"/>
  <c r="L313" i="4"/>
  <c r="K313" i="4"/>
  <c r="J313" i="4"/>
  <c r="I313" i="4"/>
  <c r="H313" i="4"/>
  <c r="G313" i="4"/>
  <c r="F313" i="4"/>
  <c r="E313" i="4"/>
  <c r="D313" i="4"/>
  <c r="A313" i="4"/>
  <c r="O312" i="4"/>
  <c r="N312" i="4"/>
  <c r="M312" i="4"/>
  <c r="L312" i="4"/>
  <c r="K312" i="4"/>
  <c r="J312" i="4"/>
  <c r="I312" i="4"/>
  <c r="H312" i="4"/>
  <c r="G312" i="4"/>
  <c r="F312" i="4"/>
  <c r="E312" i="4"/>
  <c r="D312" i="4"/>
  <c r="A312" i="4"/>
  <c r="O311" i="4"/>
  <c r="N311" i="4"/>
  <c r="M311" i="4"/>
  <c r="L311" i="4"/>
  <c r="K311" i="4"/>
  <c r="J311" i="4"/>
  <c r="I311" i="4"/>
  <c r="H311" i="4"/>
  <c r="G311" i="4"/>
  <c r="F311" i="4"/>
  <c r="E311" i="4"/>
  <c r="D311" i="4"/>
  <c r="A311" i="4"/>
  <c r="O310" i="4"/>
  <c r="N310" i="4"/>
  <c r="M310" i="4"/>
  <c r="L310" i="4"/>
  <c r="K310" i="4"/>
  <c r="J310" i="4"/>
  <c r="I310" i="4"/>
  <c r="H310" i="4"/>
  <c r="G310" i="4"/>
  <c r="F310" i="4"/>
  <c r="E310" i="4"/>
  <c r="D310" i="4"/>
  <c r="A310" i="4"/>
  <c r="O309" i="4"/>
  <c r="N309" i="4"/>
  <c r="M309" i="4"/>
  <c r="L309" i="4"/>
  <c r="K309" i="4"/>
  <c r="J309" i="4"/>
  <c r="I309" i="4"/>
  <c r="H309" i="4"/>
  <c r="G309" i="4"/>
  <c r="F309" i="4"/>
  <c r="E309" i="4"/>
  <c r="D309" i="4"/>
  <c r="A309" i="4"/>
  <c r="O308" i="4"/>
  <c r="N308" i="4"/>
  <c r="M308" i="4"/>
  <c r="L308" i="4"/>
  <c r="K308" i="4"/>
  <c r="J308" i="4"/>
  <c r="I308" i="4"/>
  <c r="H308" i="4"/>
  <c r="G308" i="4"/>
  <c r="F308" i="4"/>
  <c r="E308" i="4"/>
  <c r="D308" i="4"/>
  <c r="A308" i="4"/>
  <c r="O307" i="4"/>
  <c r="N307" i="4"/>
  <c r="M307" i="4"/>
  <c r="L307" i="4"/>
  <c r="K307" i="4"/>
  <c r="J307" i="4"/>
  <c r="I307" i="4"/>
  <c r="H307" i="4"/>
  <c r="G307" i="4"/>
  <c r="F307" i="4"/>
  <c r="E307" i="4"/>
  <c r="D307" i="4"/>
  <c r="A307" i="4"/>
  <c r="O306" i="4"/>
  <c r="N306" i="4"/>
  <c r="M306" i="4"/>
  <c r="L306" i="4"/>
  <c r="K306" i="4"/>
  <c r="J306" i="4"/>
  <c r="I306" i="4"/>
  <c r="H306" i="4"/>
  <c r="G306" i="4"/>
  <c r="F306" i="4"/>
  <c r="E306" i="4"/>
  <c r="D306" i="4"/>
  <c r="A306" i="4"/>
  <c r="O305" i="4"/>
  <c r="N305" i="4"/>
  <c r="M305" i="4"/>
  <c r="L305" i="4"/>
  <c r="K305" i="4"/>
  <c r="J305" i="4"/>
  <c r="I305" i="4"/>
  <c r="H305" i="4"/>
  <c r="G305" i="4"/>
  <c r="F305" i="4"/>
  <c r="E305" i="4"/>
  <c r="D305" i="4"/>
  <c r="A305" i="4"/>
  <c r="O304" i="4"/>
  <c r="N304" i="4"/>
  <c r="M304" i="4"/>
  <c r="L304" i="4"/>
  <c r="K304" i="4"/>
  <c r="J304" i="4"/>
  <c r="I304" i="4"/>
  <c r="H304" i="4"/>
  <c r="G304" i="4"/>
  <c r="F304" i="4"/>
  <c r="E304" i="4"/>
  <c r="D304" i="4"/>
  <c r="A304" i="4"/>
  <c r="O303" i="4"/>
  <c r="N303" i="4"/>
  <c r="M303" i="4"/>
  <c r="L303" i="4"/>
  <c r="K303" i="4"/>
  <c r="J303" i="4"/>
  <c r="I303" i="4"/>
  <c r="H303" i="4"/>
  <c r="G303" i="4"/>
  <c r="F303" i="4"/>
  <c r="E303" i="4"/>
  <c r="D303" i="4"/>
  <c r="A303" i="4"/>
  <c r="O302" i="4"/>
  <c r="N302" i="4"/>
  <c r="M302" i="4"/>
  <c r="L302" i="4"/>
  <c r="K302" i="4"/>
  <c r="J302" i="4"/>
  <c r="I302" i="4"/>
  <c r="H302" i="4"/>
  <c r="G302" i="4"/>
  <c r="F302" i="4"/>
  <c r="E302" i="4"/>
  <c r="D302" i="4"/>
  <c r="A302" i="4"/>
  <c r="O301" i="4"/>
  <c r="N301" i="4"/>
  <c r="M301" i="4"/>
  <c r="L301" i="4"/>
  <c r="K301" i="4"/>
  <c r="J301" i="4"/>
  <c r="I301" i="4"/>
  <c r="H301" i="4"/>
  <c r="G301" i="4"/>
  <c r="F301" i="4"/>
  <c r="E301" i="4"/>
  <c r="D301" i="4"/>
  <c r="A301" i="4"/>
  <c r="O300" i="4"/>
  <c r="N300" i="4"/>
  <c r="M300" i="4"/>
  <c r="L300" i="4"/>
  <c r="K300" i="4"/>
  <c r="J300" i="4"/>
  <c r="I300" i="4"/>
  <c r="H300" i="4"/>
  <c r="G300" i="4"/>
  <c r="F300" i="4"/>
  <c r="E300" i="4"/>
  <c r="D300" i="4"/>
  <c r="A300" i="4"/>
  <c r="O299" i="4"/>
  <c r="N299" i="4"/>
  <c r="M299" i="4"/>
  <c r="L299" i="4"/>
  <c r="K299" i="4"/>
  <c r="J299" i="4"/>
  <c r="I299" i="4"/>
  <c r="H299" i="4"/>
  <c r="G299" i="4"/>
  <c r="F299" i="4"/>
  <c r="E299" i="4"/>
  <c r="D299" i="4"/>
  <c r="A299" i="4"/>
  <c r="O298" i="4"/>
  <c r="N298" i="4"/>
  <c r="M298" i="4"/>
  <c r="L298" i="4"/>
  <c r="K298" i="4"/>
  <c r="J298" i="4"/>
  <c r="I298" i="4"/>
  <c r="H298" i="4"/>
  <c r="G298" i="4"/>
  <c r="F298" i="4"/>
  <c r="E298" i="4"/>
  <c r="D298" i="4"/>
  <c r="A298" i="4"/>
  <c r="O297" i="4"/>
  <c r="N297" i="4"/>
  <c r="M297" i="4"/>
  <c r="L297" i="4"/>
  <c r="K297" i="4"/>
  <c r="J297" i="4"/>
  <c r="I297" i="4"/>
  <c r="H297" i="4"/>
  <c r="G297" i="4"/>
  <c r="F297" i="4"/>
  <c r="E297" i="4"/>
  <c r="D297" i="4"/>
  <c r="A297" i="4"/>
  <c r="O296" i="4"/>
  <c r="N296" i="4"/>
  <c r="M296" i="4"/>
  <c r="L296" i="4"/>
  <c r="K296" i="4"/>
  <c r="J296" i="4"/>
  <c r="I296" i="4"/>
  <c r="H296" i="4"/>
  <c r="G296" i="4"/>
  <c r="F296" i="4"/>
  <c r="E296" i="4"/>
  <c r="D296" i="4"/>
  <c r="A296" i="4"/>
  <c r="O295" i="4"/>
  <c r="N295" i="4"/>
  <c r="M295" i="4"/>
  <c r="L295" i="4"/>
  <c r="K295" i="4"/>
  <c r="J295" i="4"/>
  <c r="I295" i="4"/>
  <c r="H295" i="4"/>
  <c r="G295" i="4"/>
  <c r="F295" i="4"/>
  <c r="E295" i="4"/>
  <c r="D295" i="4"/>
  <c r="A295" i="4"/>
  <c r="O294" i="4"/>
  <c r="N294" i="4"/>
  <c r="M294" i="4"/>
  <c r="L294" i="4"/>
  <c r="K294" i="4"/>
  <c r="J294" i="4"/>
  <c r="I294" i="4"/>
  <c r="H294" i="4"/>
  <c r="G294" i="4"/>
  <c r="F294" i="4"/>
  <c r="E294" i="4"/>
  <c r="D294" i="4"/>
  <c r="A294" i="4"/>
  <c r="O293" i="4"/>
  <c r="N293" i="4"/>
  <c r="M293" i="4"/>
  <c r="L293" i="4"/>
  <c r="K293" i="4"/>
  <c r="J293" i="4"/>
  <c r="I293" i="4"/>
  <c r="H293" i="4"/>
  <c r="G293" i="4"/>
  <c r="F293" i="4"/>
  <c r="E293" i="4"/>
  <c r="D293" i="4"/>
  <c r="A293" i="4"/>
  <c r="O292" i="4"/>
  <c r="N292" i="4"/>
  <c r="M292" i="4"/>
  <c r="L292" i="4"/>
  <c r="K292" i="4"/>
  <c r="J292" i="4"/>
  <c r="I292" i="4"/>
  <c r="H292" i="4"/>
  <c r="G292" i="4"/>
  <c r="F292" i="4"/>
  <c r="E292" i="4"/>
  <c r="D292" i="4"/>
  <c r="A292" i="4"/>
  <c r="O291" i="4"/>
  <c r="N291" i="4"/>
  <c r="M291" i="4"/>
  <c r="L291" i="4"/>
  <c r="K291" i="4"/>
  <c r="J291" i="4"/>
  <c r="I291" i="4"/>
  <c r="H291" i="4"/>
  <c r="G291" i="4"/>
  <c r="F291" i="4"/>
  <c r="E291" i="4"/>
  <c r="D291" i="4"/>
  <c r="A291" i="4"/>
  <c r="O290" i="4"/>
  <c r="N290" i="4"/>
  <c r="M290" i="4"/>
  <c r="L290" i="4"/>
  <c r="K290" i="4"/>
  <c r="J290" i="4"/>
  <c r="I290" i="4"/>
  <c r="H290" i="4"/>
  <c r="G290" i="4"/>
  <c r="F290" i="4"/>
  <c r="E290" i="4"/>
  <c r="D290" i="4"/>
  <c r="A290" i="4"/>
  <c r="O289" i="4"/>
  <c r="N289" i="4"/>
  <c r="M289" i="4"/>
  <c r="L289" i="4"/>
  <c r="K289" i="4"/>
  <c r="J289" i="4"/>
  <c r="I289" i="4"/>
  <c r="H289" i="4"/>
  <c r="G289" i="4"/>
  <c r="F289" i="4"/>
  <c r="E289" i="4"/>
  <c r="D289" i="4"/>
  <c r="A289" i="4"/>
  <c r="O288" i="4"/>
  <c r="N288" i="4"/>
  <c r="M288" i="4"/>
  <c r="L288" i="4"/>
  <c r="K288" i="4"/>
  <c r="J288" i="4"/>
  <c r="I288" i="4"/>
  <c r="H288" i="4"/>
  <c r="G288" i="4"/>
  <c r="F288" i="4"/>
  <c r="E288" i="4"/>
  <c r="D288" i="4"/>
  <c r="A288" i="4"/>
  <c r="O287" i="4"/>
  <c r="N287" i="4"/>
  <c r="M287" i="4"/>
  <c r="L287" i="4"/>
  <c r="K287" i="4"/>
  <c r="J287" i="4"/>
  <c r="I287" i="4"/>
  <c r="H287" i="4"/>
  <c r="G287" i="4"/>
  <c r="F287" i="4"/>
  <c r="E287" i="4"/>
  <c r="D287" i="4"/>
  <c r="A287" i="4"/>
  <c r="O286" i="4"/>
  <c r="N286" i="4"/>
  <c r="M286" i="4"/>
  <c r="L286" i="4"/>
  <c r="K286" i="4"/>
  <c r="J286" i="4"/>
  <c r="I286" i="4"/>
  <c r="H286" i="4"/>
  <c r="G286" i="4"/>
  <c r="F286" i="4"/>
  <c r="E286" i="4"/>
  <c r="D286" i="4"/>
  <c r="A286" i="4"/>
  <c r="O285" i="4"/>
  <c r="N285" i="4"/>
  <c r="M285" i="4"/>
  <c r="L285" i="4"/>
  <c r="K285" i="4"/>
  <c r="J285" i="4"/>
  <c r="I285" i="4"/>
  <c r="H285" i="4"/>
  <c r="G285" i="4"/>
  <c r="F285" i="4"/>
  <c r="E285" i="4"/>
  <c r="D285" i="4"/>
  <c r="A285" i="4"/>
  <c r="O284" i="4"/>
  <c r="N284" i="4"/>
  <c r="M284" i="4"/>
  <c r="L284" i="4"/>
  <c r="K284" i="4"/>
  <c r="J284" i="4"/>
  <c r="I284" i="4"/>
  <c r="H284" i="4"/>
  <c r="G284" i="4"/>
  <c r="F284" i="4"/>
  <c r="E284" i="4"/>
  <c r="D284" i="4"/>
  <c r="A284" i="4"/>
  <c r="O283" i="4"/>
  <c r="N283" i="4"/>
  <c r="M283" i="4"/>
  <c r="L283" i="4"/>
  <c r="K283" i="4"/>
  <c r="J283" i="4"/>
  <c r="I283" i="4"/>
  <c r="H283" i="4"/>
  <c r="G283" i="4"/>
  <c r="F283" i="4"/>
  <c r="E283" i="4"/>
  <c r="D283" i="4"/>
  <c r="A283" i="4"/>
  <c r="O282" i="4"/>
  <c r="N282" i="4"/>
  <c r="M282" i="4"/>
  <c r="L282" i="4"/>
  <c r="K282" i="4"/>
  <c r="J282" i="4"/>
  <c r="I282" i="4"/>
  <c r="H282" i="4"/>
  <c r="G282" i="4"/>
  <c r="F282" i="4"/>
  <c r="E282" i="4"/>
  <c r="D282" i="4"/>
  <c r="A282" i="4"/>
  <c r="O281" i="4"/>
  <c r="N281" i="4"/>
  <c r="M281" i="4"/>
  <c r="L281" i="4"/>
  <c r="K281" i="4"/>
  <c r="J281" i="4"/>
  <c r="I281" i="4"/>
  <c r="H281" i="4"/>
  <c r="G281" i="4"/>
  <c r="F281" i="4"/>
  <c r="E281" i="4"/>
  <c r="D281" i="4"/>
  <c r="A281" i="4"/>
  <c r="O280" i="4"/>
  <c r="N280" i="4"/>
  <c r="M280" i="4"/>
  <c r="L280" i="4"/>
  <c r="K280" i="4"/>
  <c r="J280" i="4"/>
  <c r="I280" i="4"/>
  <c r="H280" i="4"/>
  <c r="G280" i="4"/>
  <c r="F280" i="4"/>
  <c r="E280" i="4"/>
  <c r="D280" i="4"/>
  <c r="A280" i="4"/>
  <c r="O279" i="4"/>
  <c r="N279" i="4"/>
  <c r="M279" i="4"/>
  <c r="L279" i="4"/>
  <c r="K279" i="4"/>
  <c r="J279" i="4"/>
  <c r="I279" i="4"/>
  <c r="H279" i="4"/>
  <c r="G279" i="4"/>
  <c r="F279" i="4"/>
  <c r="E279" i="4"/>
  <c r="D279" i="4"/>
  <c r="A279" i="4"/>
  <c r="O278" i="4"/>
  <c r="N278" i="4"/>
  <c r="M278" i="4"/>
  <c r="L278" i="4"/>
  <c r="K278" i="4"/>
  <c r="J278" i="4"/>
  <c r="I278" i="4"/>
  <c r="H278" i="4"/>
  <c r="G278" i="4"/>
  <c r="F278" i="4"/>
  <c r="E278" i="4"/>
  <c r="D278" i="4"/>
  <c r="A278" i="4"/>
  <c r="O277" i="4"/>
  <c r="N277" i="4"/>
  <c r="M277" i="4"/>
  <c r="L277" i="4"/>
  <c r="K277" i="4"/>
  <c r="J277" i="4"/>
  <c r="I277" i="4"/>
  <c r="H277" i="4"/>
  <c r="G277" i="4"/>
  <c r="F277" i="4"/>
  <c r="E277" i="4"/>
  <c r="D277" i="4"/>
  <c r="A277" i="4"/>
  <c r="O276" i="4"/>
  <c r="N276" i="4"/>
  <c r="M276" i="4"/>
  <c r="L276" i="4"/>
  <c r="K276" i="4"/>
  <c r="J276" i="4"/>
  <c r="I276" i="4"/>
  <c r="H276" i="4"/>
  <c r="G276" i="4"/>
  <c r="F276" i="4"/>
  <c r="E276" i="4"/>
  <c r="D276" i="4"/>
  <c r="A276" i="4"/>
  <c r="O275" i="4"/>
  <c r="N275" i="4"/>
  <c r="M275" i="4"/>
  <c r="L275" i="4"/>
  <c r="K275" i="4"/>
  <c r="J275" i="4"/>
  <c r="I275" i="4"/>
  <c r="H275" i="4"/>
  <c r="G275" i="4"/>
  <c r="F275" i="4"/>
  <c r="E275" i="4"/>
  <c r="D275" i="4"/>
  <c r="A275" i="4"/>
  <c r="O274" i="4"/>
  <c r="N274" i="4"/>
  <c r="M274" i="4"/>
  <c r="L274" i="4"/>
  <c r="K274" i="4"/>
  <c r="J274" i="4"/>
  <c r="I274" i="4"/>
  <c r="H274" i="4"/>
  <c r="G274" i="4"/>
  <c r="F274" i="4"/>
  <c r="E274" i="4"/>
  <c r="D274" i="4"/>
  <c r="A274" i="4"/>
  <c r="O273" i="4"/>
  <c r="N273" i="4"/>
  <c r="M273" i="4"/>
  <c r="L273" i="4"/>
  <c r="K273" i="4"/>
  <c r="J273" i="4"/>
  <c r="I273" i="4"/>
  <c r="H273" i="4"/>
  <c r="G273" i="4"/>
  <c r="F273" i="4"/>
  <c r="E273" i="4"/>
  <c r="D273" i="4"/>
  <c r="A273" i="4"/>
  <c r="O272" i="4"/>
  <c r="N272" i="4"/>
  <c r="M272" i="4"/>
  <c r="L272" i="4"/>
  <c r="K272" i="4"/>
  <c r="J272" i="4"/>
  <c r="I272" i="4"/>
  <c r="H272" i="4"/>
  <c r="G272" i="4"/>
  <c r="F272" i="4"/>
  <c r="E272" i="4"/>
  <c r="D272" i="4"/>
  <c r="A272" i="4"/>
  <c r="O271" i="4"/>
  <c r="N271" i="4"/>
  <c r="M271" i="4"/>
  <c r="L271" i="4"/>
  <c r="K271" i="4"/>
  <c r="J271" i="4"/>
  <c r="I271" i="4"/>
  <c r="H271" i="4"/>
  <c r="G271" i="4"/>
  <c r="F271" i="4"/>
  <c r="E271" i="4"/>
  <c r="D271" i="4"/>
  <c r="A271" i="4"/>
  <c r="O270" i="4"/>
  <c r="N270" i="4"/>
  <c r="M270" i="4"/>
  <c r="L270" i="4"/>
  <c r="K270" i="4"/>
  <c r="J270" i="4"/>
  <c r="I270" i="4"/>
  <c r="H270" i="4"/>
  <c r="G270" i="4"/>
  <c r="F270" i="4"/>
  <c r="E270" i="4"/>
  <c r="D270" i="4"/>
  <c r="A270" i="4"/>
  <c r="O269" i="4"/>
  <c r="N269" i="4"/>
  <c r="M269" i="4"/>
  <c r="L269" i="4"/>
  <c r="K269" i="4"/>
  <c r="J269" i="4"/>
  <c r="I269" i="4"/>
  <c r="H269" i="4"/>
  <c r="G269" i="4"/>
  <c r="F269" i="4"/>
  <c r="E269" i="4"/>
  <c r="D269" i="4"/>
  <c r="A269" i="4"/>
  <c r="O268" i="4"/>
  <c r="N268" i="4"/>
  <c r="M268" i="4"/>
  <c r="L268" i="4"/>
  <c r="K268" i="4"/>
  <c r="J268" i="4"/>
  <c r="I268" i="4"/>
  <c r="H268" i="4"/>
  <c r="G268" i="4"/>
  <c r="F268" i="4"/>
  <c r="E268" i="4"/>
  <c r="D268" i="4"/>
  <c r="A268" i="4"/>
  <c r="O267" i="4"/>
  <c r="N267" i="4"/>
  <c r="M267" i="4"/>
  <c r="L267" i="4"/>
  <c r="K267" i="4"/>
  <c r="J267" i="4"/>
  <c r="I267" i="4"/>
  <c r="H267" i="4"/>
  <c r="G267" i="4"/>
  <c r="F267" i="4"/>
  <c r="E267" i="4"/>
  <c r="D267" i="4"/>
  <c r="A267" i="4"/>
  <c r="O266" i="4"/>
  <c r="N266" i="4"/>
  <c r="M266" i="4"/>
  <c r="L266" i="4"/>
  <c r="K266" i="4"/>
  <c r="J266" i="4"/>
  <c r="I266" i="4"/>
  <c r="H266" i="4"/>
  <c r="G266" i="4"/>
  <c r="F266" i="4"/>
  <c r="E266" i="4"/>
  <c r="D266" i="4"/>
  <c r="A266" i="4"/>
  <c r="O265" i="4"/>
  <c r="N265" i="4"/>
  <c r="M265" i="4"/>
  <c r="L265" i="4"/>
  <c r="K265" i="4"/>
  <c r="J265" i="4"/>
  <c r="I265" i="4"/>
  <c r="H265" i="4"/>
  <c r="G265" i="4"/>
  <c r="F265" i="4"/>
  <c r="E265" i="4"/>
  <c r="D265" i="4"/>
  <c r="A265" i="4"/>
  <c r="O264" i="4"/>
  <c r="N264" i="4"/>
  <c r="M264" i="4"/>
  <c r="L264" i="4"/>
  <c r="K264" i="4"/>
  <c r="J264" i="4"/>
  <c r="I264" i="4"/>
  <c r="H264" i="4"/>
  <c r="G264" i="4"/>
  <c r="F264" i="4"/>
  <c r="E264" i="4"/>
  <c r="D264" i="4"/>
  <c r="A264" i="4"/>
  <c r="O263" i="4"/>
  <c r="N263" i="4"/>
  <c r="M263" i="4"/>
  <c r="L263" i="4"/>
  <c r="K263" i="4"/>
  <c r="J263" i="4"/>
  <c r="I263" i="4"/>
  <c r="H263" i="4"/>
  <c r="G263" i="4"/>
  <c r="F263" i="4"/>
  <c r="E263" i="4"/>
  <c r="D263" i="4"/>
  <c r="A263" i="4"/>
  <c r="O262" i="4"/>
  <c r="N262" i="4"/>
  <c r="M262" i="4"/>
  <c r="L262" i="4"/>
  <c r="K262" i="4"/>
  <c r="J262" i="4"/>
  <c r="I262" i="4"/>
  <c r="H262" i="4"/>
  <c r="G262" i="4"/>
  <c r="F262" i="4"/>
  <c r="E262" i="4"/>
  <c r="D262" i="4"/>
  <c r="A262" i="4"/>
  <c r="O261" i="4"/>
  <c r="N261" i="4"/>
  <c r="M261" i="4"/>
  <c r="L261" i="4"/>
  <c r="K261" i="4"/>
  <c r="J261" i="4"/>
  <c r="I261" i="4"/>
  <c r="H261" i="4"/>
  <c r="G261" i="4"/>
  <c r="F261" i="4"/>
  <c r="E261" i="4"/>
  <c r="D261" i="4"/>
  <c r="A261" i="4"/>
  <c r="O260" i="4"/>
  <c r="N260" i="4"/>
  <c r="M260" i="4"/>
  <c r="L260" i="4"/>
  <c r="K260" i="4"/>
  <c r="J260" i="4"/>
  <c r="I260" i="4"/>
  <c r="H260" i="4"/>
  <c r="G260" i="4"/>
  <c r="F260" i="4"/>
  <c r="E260" i="4"/>
  <c r="D260" i="4"/>
  <c r="A260" i="4"/>
  <c r="O259" i="4"/>
  <c r="N259" i="4"/>
  <c r="M259" i="4"/>
  <c r="L259" i="4"/>
  <c r="K259" i="4"/>
  <c r="J259" i="4"/>
  <c r="I259" i="4"/>
  <c r="H259" i="4"/>
  <c r="G259" i="4"/>
  <c r="F259" i="4"/>
  <c r="E259" i="4"/>
  <c r="D259" i="4"/>
  <c r="A259" i="4"/>
  <c r="O258" i="4"/>
  <c r="N258" i="4"/>
  <c r="M258" i="4"/>
  <c r="L258" i="4"/>
  <c r="K258" i="4"/>
  <c r="J258" i="4"/>
  <c r="I258" i="4"/>
  <c r="H258" i="4"/>
  <c r="G258" i="4"/>
  <c r="F258" i="4"/>
  <c r="E258" i="4"/>
  <c r="D258" i="4"/>
  <c r="A258" i="4"/>
  <c r="O257" i="4"/>
  <c r="N257" i="4"/>
  <c r="M257" i="4"/>
  <c r="L257" i="4"/>
  <c r="K257" i="4"/>
  <c r="J257" i="4"/>
  <c r="I257" i="4"/>
  <c r="H257" i="4"/>
  <c r="G257" i="4"/>
  <c r="F257" i="4"/>
  <c r="E257" i="4"/>
  <c r="D257" i="4"/>
  <c r="A257" i="4"/>
  <c r="O256" i="4"/>
  <c r="N256" i="4"/>
  <c r="M256" i="4"/>
  <c r="L256" i="4"/>
  <c r="K256" i="4"/>
  <c r="J256" i="4"/>
  <c r="I256" i="4"/>
  <c r="H256" i="4"/>
  <c r="G256" i="4"/>
  <c r="F256" i="4"/>
  <c r="E256" i="4"/>
  <c r="D256" i="4"/>
  <c r="A256" i="4"/>
  <c r="O255" i="4"/>
  <c r="N255" i="4"/>
  <c r="M255" i="4"/>
  <c r="L255" i="4"/>
  <c r="K255" i="4"/>
  <c r="J255" i="4"/>
  <c r="I255" i="4"/>
  <c r="H255" i="4"/>
  <c r="G255" i="4"/>
  <c r="F255" i="4"/>
  <c r="E255" i="4"/>
  <c r="D255" i="4"/>
  <c r="A255" i="4"/>
  <c r="O254" i="4"/>
  <c r="N254" i="4"/>
  <c r="M254" i="4"/>
  <c r="L254" i="4"/>
  <c r="K254" i="4"/>
  <c r="J254" i="4"/>
  <c r="I254" i="4"/>
  <c r="H254" i="4"/>
  <c r="G254" i="4"/>
  <c r="F254" i="4"/>
  <c r="E254" i="4"/>
  <c r="D254" i="4"/>
  <c r="A254" i="4"/>
  <c r="O253" i="4"/>
  <c r="N253" i="4"/>
  <c r="M253" i="4"/>
  <c r="L253" i="4"/>
  <c r="K253" i="4"/>
  <c r="J253" i="4"/>
  <c r="I253" i="4"/>
  <c r="H253" i="4"/>
  <c r="G253" i="4"/>
  <c r="F253" i="4"/>
  <c r="E253" i="4"/>
  <c r="D253" i="4"/>
  <c r="A253" i="4"/>
  <c r="O252" i="4"/>
  <c r="N252" i="4"/>
  <c r="M252" i="4"/>
  <c r="L252" i="4"/>
  <c r="K252" i="4"/>
  <c r="J252" i="4"/>
  <c r="I252" i="4"/>
  <c r="H252" i="4"/>
  <c r="G252" i="4"/>
  <c r="F252" i="4"/>
  <c r="E252" i="4"/>
  <c r="D252" i="4"/>
  <c r="A252" i="4"/>
  <c r="O251" i="4"/>
  <c r="N251" i="4"/>
  <c r="M251" i="4"/>
  <c r="L251" i="4"/>
  <c r="K251" i="4"/>
  <c r="J251" i="4"/>
  <c r="I251" i="4"/>
  <c r="H251" i="4"/>
  <c r="G251" i="4"/>
  <c r="F251" i="4"/>
  <c r="E251" i="4"/>
  <c r="D251" i="4"/>
  <c r="A251" i="4"/>
  <c r="O250" i="4"/>
  <c r="N250" i="4"/>
  <c r="M250" i="4"/>
  <c r="L250" i="4"/>
  <c r="K250" i="4"/>
  <c r="J250" i="4"/>
  <c r="I250" i="4"/>
  <c r="H250" i="4"/>
  <c r="G250" i="4"/>
  <c r="F250" i="4"/>
  <c r="E250" i="4"/>
  <c r="D250" i="4"/>
  <c r="A250" i="4"/>
  <c r="O249" i="4"/>
  <c r="N249" i="4"/>
  <c r="M249" i="4"/>
  <c r="L249" i="4"/>
  <c r="K249" i="4"/>
  <c r="J249" i="4"/>
  <c r="I249" i="4"/>
  <c r="H249" i="4"/>
  <c r="G249" i="4"/>
  <c r="F249" i="4"/>
  <c r="E249" i="4"/>
  <c r="D249" i="4"/>
  <c r="A249" i="4"/>
  <c r="O248" i="4"/>
  <c r="N248" i="4"/>
  <c r="M248" i="4"/>
  <c r="L248" i="4"/>
  <c r="K248" i="4"/>
  <c r="J248" i="4"/>
  <c r="I248" i="4"/>
  <c r="H248" i="4"/>
  <c r="G248" i="4"/>
  <c r="F248" i="4"/>
  <c r="E248" i="4"/>
  <c r="D248" i="4"/>
  <c r="A248" i="4"/>
  <c r="O247" i="4"/>
  <c r="N247" i="4"/>
  <c r="M247" i="4"/>
  <c r="L247" i="4"/>
  <c r="K247" i="4"/>
  <c r="J247" i="4"/>
  <c r="I247" i="4"/>
  <c r="H247" i="4"/>
  <c r="G247" i="4"/>
  <c r="F247" i="4"/>
  <c r="E247" i="4"/>
  <c r="D247" i="4"/>
  <c r="A247" i="4"/>
  <c r="O246" i="4"/>
  <c r="N246" i="4"/>
  <c r="M246" i="4"/>
  <c r="L246" i="4"/>
  <c r="K246" i="4"/>
  <c r="J246" i="4"/>
  <c r="I246" i="4"/>
  <c r="H246" i="4"/>
  <c r="G246" i="4"/>
  <c r="F246" i="4"/>
  <c r="E246" i="4"/>
  <c r="D246" i="4"/>
  <c r="A246" i="4"/>
  <c r="O245" i="4"/>
  <c r="N245" i="4"/>
  <c r="M245" i="4"/>
  <c r="L245" i="4"/>
  <c r="K245" i="4"/>
  <c r="J245" i="4"/>
  <c r="I245" i="4"/>
  <c r="H245" i="4"/>
  <c r="G245" i="4"/>
  <c r="F245" i="4"/>
  <c r="E245" i="4"/>
  <c r="D245" i="4"/>
  <c r="A245" i="4"/>
  <c r="O244" i="4"/>
  <c r="N244" i="4"/>
  <c r="M244" i="4"/>
  <c r="L244" i="4"/>
  <c r="K244" i="4"/>
  <c r="J244" i="4"/>
  <c r="I244" i="4"/>
  <c r="H244" i="4"/>
  <c r="G244" i="4"/>
  <c r="F244" i="4"/>
  <c r="E244" i="4"/>
  <c r="D244" i="4"/>
  <c r="A244" i="4"/>
  <c r="O243" i="4"/>
  <c r="N243" i="4"/>
  <c r="M243" i="4"/>
  <c r="L243" i="4"/>
  <c r="K243" i="4"/>
  <c r="J243" i="4"/>
  <c r="I243" i="4"/>
  <c r="H243" i="4"/>
  <c r="G243" i="4"/>
  <c r="F243" i="4"/>
  <c r="E243" i="4"/>
  <c r="D243" i="4"/>
  <c r="A243" i="4"/>
  <c r="O242" i="4"/>
  <c r="N242" i="4"/>
  <c r="M242" i="4"/>
  <c r="L242" i="4"/>
  <c r="K242" i="4"/>
  <c r="J242" i="4"/>
  <c r="I242" i="4"/>
  <c r="H242" i="4"/>
  <c r="G242" i="4"/>
  <c r="F242" i="4"/>
  <c r="E242" i="4"/>
  <c r="D242" i="4"/>
  <c r="A242" i="4"/>
  <c r="O241" i="4"/>
  <c r="N241" i="4"/>
  <c r="M241" i="4"/>
  <c r="L241" i="4"/>
  <c r="K241" i="4"/>
  <c r="J241" i="4"/>
  <c r="I241" i="4"/>
  <c r="H241" i="4"/>
  <c r="G241" i="4"/>
  <c r="F241" i="4"/>
  <c r="E241" i="4"/>
  <c r="D241" i="4"/>
  <c r="A241" i="4"/>
  <c r="O240" i="4"/>
  <c r="N240" i="4"/>
  <c r="M240" i="4"/>
  <c r="L240" i="4"/>
  <c r="K240" i="4"/>
  <c r="J240" i="4"/>
  <c r="I240" i="4"/>
  <c r="H240" i="4"/>
  <c r="G240" i="4"/>
  <c r="F240" i="4"/>
  <c r="E240" i="4"/>
  <c r="D240" i="4"/>
  <c r="A240" i="4"/>
  <c r="O239" i="4"/>
  <c r="N239" i="4"/>
  <c r="M239" i="4"/>
  <c r="L239" i="4"/>
  <c r="K239" i="4"/>
  <c r="J239" i="4"/>
  <c r="I239" i="4"/>
  <c r="H239" i="4"/>
  <c r="G239" i="4"/>
  <c r="F239" i="4"/>
  <c r="E239" i="4"/>
  <c r="D239" i="4"/>
  <c r="A239" i="4"/>
  <c r="O238" i="4"/>
  <c r="N238" i="4"/>
  <c r="M238" i="4"/>
  <c r="L238" i="4"/>
  <c r="K238" i="4"/>
  <c r="J238" i="4"/>
  <c r="I238" i="4"/>
  <c r="H238" i="4"/>
  <c r="G238" i="4"/>
  <c r="F238" i="4"/>
  <c r="E238" i="4"/>
  <c r="D238" i="4"/>
  <c r="A238" i="4"/>
  <c r="O237" i="4"/>
  <c r="N237" i="4"/>
  <c r="M237" i="4"/>
  <c r="L237" i="4"/>
  <c r="K237" i="4"/>
  <c r="J237" i="4"/>
  <c r="I237" i="4"/>
  <c r="H237" i="4"/>
  <c r="G237" i="4"/>
  <c r="F237" i="4"/>
  <c r="E237" i="4"/>
  <c r="D237" i="4"/>
  <c r="A237" i="4"/>
  <c r="O236" i="4"/>
  <c r="N236" i="4"/>
  <c r="M236" i="4"/>
  <c r="L236" i="4"/>
  <c r="K236" i="4"/>
  <c r="J236" i="4"/>
  <c r="I236" i="4"/>
  <c r="H236" i="4"/>
  <c r="G236" i="4"/>
  <c r="F236" i="4"/>
  <c r="E236" i="4"/>
  <c r="D236" i="4"/>
  <c r="A236" i="4"/>
  <c r="O235" i="4"/>
  <c r="N235" i="4"/>
  <c r="M235" i="4"/>
  <c r="L235" i="4"/>
  <c r="K235" i="4"/>
  <c r="J235" i="4"/>
  <c r="I235" i="4"/>
  <c r="H235" i="4"/>
  <c r="G235" i="4"/>
  <c r="F235" i="4"/>
  <c r="E235" i="4"/>
  <c r="D235" i="4"/>
  <c r="A235" i="4"/>
  <c r="O234" i="4"/>
  <c r="N234" i="4"/>
  <c r="M234" i="4"/>
  <c r="L234" i="4"/>
  <c r="K234" i="4"/>
  <c r="J234" i="4"/>
  <c r="I234" i="4"/>
  <c r="H234" i="4"/>
  <c r="G234" i="4"/>
  <c r="F234" i="4"/>
  <c r="E234" i="4"/>
  <c r="D234" i="4"/>
  <c r="A234" i="4"/>
  <c r="O233" i="4"/>
  <c r="N233" i="4"/>
  <c r="M233" i="4"/>
  <c r="L233" i="4"/>
  <c r="K233" i="4"/>
  <c r="J233" i="4"/>
  <c r="I233" i="4"/>
  <c r="H233" i="4"/>
  <c r="G233" i="4"/>
  <c r="F233" i="4"/>
  <c r="E233" i="4"/>
  <c r="D233" i="4"/>
  <c r="A233" i="4"/>
  <c r="O232" i="4"/>
  <c r="N232" i="4"/>
  <c r="M232" i="4"/>
  <c r="L232" i="4"/>
  <c r="K232" i="4"/>
  <c r="J232" i="4"/>
  <c r="I232" i="4"/>
  <c r="H232" i="4"/>
  <c r="G232" i="4"/>
  <c r="F232" i="4"/>
  <c r="E232" i="4"/>
  <c r="D232" i="4"/>
  <c r="A232" i="4"/>
  <c r="O231" i="4"/>
  <c r="N231" i="4"/>
  <c r="M231" i="4"/>
  <c r="L231" i="4"/>
  <c r="K231" i="4"/>
  <c r="J231" i="4"/>
  <c r="I231" i="4"/>
  <c r="H231" i="4"/>
  <c r="G231" i="4"/>
  <c r="F231" i="4"/>
  <c r="E231" i="4"/>
  <c r="D231" i="4"/>
  <c r="A231" i="4"/>
  <c r="O230" i="4"/>
  <c r="N230" i="4"/>
  <c r="M230" i="4"/>
  <c r="L230" i="4"/>
  <c r="K230" i="4"/>
  <c r="J230" i="4"/>
  <c r="I230" i="4"/>
  <c r="H230" i="4"/>
  <c r="G230" i="4"/>
  <c r="F230" i="4"/>
  <c r="E230" i="4"/>
  <c r="D230" i="4"/>
  <c r="A230" i="4"/>
  <c r="O229" i="4"/>
  <c r="N229" i="4"/>
  <c r="M229" i="4"/>
  <c r="L229" i="4"/>
  <c r="K229" i="4"/>
  <c r="J229" i="4"/>
  <c r="I229" i="4"/>
  <c r="H229" i="4"/>
  <c r="G229" i="4"/>
  <c r="F229" i="4"/>
  <c r="E229" i="4"/>
  <c r="D229" i="4"/>
  <c r="A229" i="4"/>
  <c r="O228" i="4"/>
  <c r="N228" i="4"/>
  <c r="M228" i="4"/>
  <c r="L228" i="4"/>
  <c r="K228" i="4"/>
  <c r="J228" i="4"/>
  <c r="I228" i="4"/>
  <c r="H228" i="4"/>
  <c r="G228" i="4"/>
  <c r="F228" i="4"/>
  <c r="E228" i="4"/>
  <c r="D228" i="4"/>
  <c r="A228" i="4"/>
  <c r="O227" i="4"/>
  <c r="N227" i="4"/>
  <c r="M227" i="4"/>
  <c r="L227" i="4"/>
  <c r="K227" i="4"/>
  <c r="J227" i="4"/>
  <c r="I227" i="4"/>
  <c r="H227" i="4"/>
  <c r="G227" i="4"/>
  <c r="F227" i="4"/>
  <c r="E227" i="4"/>
  <c r="D227" i="4"/>
  <c r="A227" i="4"/>
  <c r="O226" i="4"/>
  <c r="N226" i="4"/>
  <c r="M226" i="4"/>
  <c r="L226" i="4"/>
  <c r="K226" i="4"/>
  <c r="J226" i="4"/>
  <c r="I226" i="4"/>
  <c r="H226" i="4"/>
  <c r="G226" i="4"/>
  <c r="F226" i="4"/>
  <c r="E226" i="4"/>
  <c r="D226" i="4"/>
  <c r="A226" i="4"/>
  <c r="O225" i="4"/>
  <c r="N225" i="4"/>
  <c r="M225" i="4"/>
  <c r="L225" i="4"/>
  <c r="K225" i="4"/>
  <c r="J225" i="4"/>
  <c r="I225" i="4"/>
  <c r="H225" i="4"/>
  <c r="G225" i="4"/>
  <c r="F225" i="4"/>
  <c r="E225" i="4"/>
  <c r="D225" i="4"/>
  <c r="A225" i="4"/>
  <c r="O224" i="4"/>
  <c r="N224" i="4"/>
  <c r="M224" i="4"/>
  <c r="L224" i="4"/>
  <c r="K224" i="4"/>
  <c r="J224" i="4"/>
  <c r="I224" i="4"/>
  <c r="H224" i="4"/>
  <c r="G224" i="4"/>
  <c r="F224" i="4"/>
  <c r="E224" i="4"/>
  <c r="D224" i="4"/>
  <c r="A224" i="4"/>
  <c r="O223" i="4"/>
  <c r="N223" i="4"/>
  <c r="M223" i="4"/>
  <c r="L223" i="4"/>
  <c r="K223" i="4"/>
  <c r="J223" i="4"/>
  <c r="I223" i="4"/>
  <c r="H223" i="4"/>
  <c r="G223" i="4"/>
  <c r="F223" i="4"/>
  <c r="E223" i="4"/>
  <c r="D223" i="4"/>
  <c r="A223" i="4"/>
  <c r="O222" i="4"/>
  <c r="N222" i="4"/>
  <c r="M222" i="4"/>
  <c r="L222" i="4"/>
  <c r="K222" i="4"/>
  <c r="J222" i="4"/>
  <c r="I222" i="4"/>
  <c r="H222" i="4"/>
  <c r="G222" i="4"/>
  <c r="F222" i="4"/>
  <c r="E222" i="4"/>
  <c r="D222" i="4"/>
  <c r="A222" i="4"/>
  <c r="O221" i="4"/>
  <c r="N221" i="4"/>
  <c r="M221" i="4"/>
  <c r="L221" i="4"/>
  <c r="K221" i="4"/>
  <c r="J221" i="4"/>
  <c r="I221" i="4"/>
  <c r="H221" i="4"/>
  <c r="G221" i="4"/>
  <c r="F221" i="4"/>
  <c r="E221" i="4"/>
  <c r="D221" i="4"/>
  <c r="A221" i="4"/>
  <c r="O220" i="4"/>
  <c r="N220" i="4"/>
  <c r="M220" i="4"/>
  <c r="L220" i="4"/>
  <c r="K220" i="4"/>
  <c r="J220" i="4"/>
  <c r="I220" i="4"/>
  <c r="H220" i="4"/>
  <c r="G220" i="4"/>
  <c r="F220" i="4"/>
  <c r="E220" i="4"/>
  <c r="D220" i="4"/>
  <c r="A220" i="4"/>
  <c r="O219" i="4"/>
  <c r="N219" i="4"/>
  <c r="M219" i="4"/>
  <c r="L219" i="4"/>
  <c r="K219" i="4"/>
  <c r="J219" i="4"/>
  <c r="I219" i="4"/>
  <c r="H219" i="4"/>
  <c r="G219" i="4"/>
  <c r="F219" i="4"/>
  <c r="E219" i="4"/>
  <c r="D219" i="4"/>
  <c r="A219" i="4"/>
  <c r="O218" i="4"/>
  <c r="N218" i="4"/>
  <c r="M218" i="4"/>
  <c r="L218" i="4"/>
  <c r="K218" i="4"/>
  <c r="J218" i="4"/>
  <c r="I218" i="4"/>
  <c r="H218" i="4"/>
  <c r="G218" i="4"/>
  <c r="F218" i="4"/>
  <c r="E218" i="4"/>
  <c r="D218" i="4"/>
  <c r="A218" i="4"/>
  <c r="O217" i="4"/>
  <c r="N217" i="4"/>
  <c r="M217" i="4"/>
  <c r="L217" i="4"/>
  <c r="K217" i="4"/>
  <c r="J217" i="4"/>
  <c r="I217" i="4"/>
  <c r="H217" i="4"/>
  <c r="G217" i="4"/>
  <c r="F217" i="4"/>
  <c r="E217" i="4"/>
  <c r="D217" i="4"/>
  <c r="A217" i="4"/>
  <c r="O216" i="4"/>
  <c r="N216" i="4"/>
  <c r="M216" i="4"/>
  <c r="L216" i="4"/>
  <c r="K216" i="4"/>
  <c r="J216" i="4"/>
  <c r="I216" i="4"/>
  <c r="H216" i="4"/>
  <c r="G216" i="4"/>
  <c r="F216" i="4"/>
  <c r="E216" i="4"/>
  <c r="D216" i="4"/>
  <c r="A216" i="4"/>
  <c r="O215" i="4"/>
  <c r="N215" i="4"/>
  <c r="M215" i="4"/>
  <c r="L215" i="4"/>
  <c r="K215" i="4"/>
  <c r="J215" i="4"/>
  <c r="I215" i="4"/>
  <c r="H215" i="4"/>
  <c r="G215" i="4"/>
  <c r="F215" i="4"/>
  <c r="E215" i="4"/>
  <c r="D215" i="4"/>
  <c r="A215" i="4"/>
  <c r="O214" i="4"/>
  <c r="N214" i="4"/>
  <c r="M214" i="4"/>
  <c r="L214" i="4"/>
  <c r="K214" i="4"/>
  <c r="J214" i="4"/>
  <c r="I214" i="4"/>
  <c r="H214" i="4"/>
  <c r="G214" i="4"/>
  <c r="F214" i="4"/>
  <c r="E214" i="4"/>
  <c r="D214" i="4"/>
  <c r="A214" i="4"/>
  <c r="O213" i="4"/>
  <c r="N213" i="4"/>
  <c r="M213" i="4"/>
  <c r="L213" i="4"/>
  <c r="K213" i="4"/>
  <c r="J213" i="4"/>
  <c r="I213" i="4"/>
  <c r="H213" i="4"/>
  <c r="G213" i="4"/>
  <c r="F213" i="4"/>
  <c r="E213" i="4"/>
  <c r="D213" i="4"/>
  <c r="A213" i="4"/>
  <c r="O212" i="4"/>
  <c r="N212" i="4"/>
  <c r="M212" i="4"/>
  <c r="L212" i="4"/>
  <c r="K212" i="4"/>
  <c r="J212" i="4"/>
  <c r="I212" i="4"/>
  <c r="H212" i="4"/>
  <c r="G212" i="4"/>
  <c r="F212" i="4"/>
  <c r="E212" i="4"/>
  <c r="D212" i="4"/>
  <c r="A212" i="4"/>
  <c r="O211" i="4"/>
  <c r="N211" i="4"/>
  <c r="M211" i="4"/>
  <c r="L211" i="4"/>
  <c r="K211" i="4"/>
  <c r="J211" i="4"/>
  <c r="I211" i="4"/>
  <c r="H211" i="4"/>
  <c r="G211" i="4"/>
  <c r="F211" i="4"/>
  <c r="E211" i="4"/>
  <c r="D211" i="4"/>
  <c r="A211" i="4"/>
  <c r="O210" i="4"/>
  <c r="N210" i="4"/>
  <c r="M210" i="4"/>
  <c r="L210" i="4"/>
  <c r="K210" i="4"/>
  <c r="J210" i="4"/>
  <c r="I210" i="4"/>
  <c r="H210" i="4"/>
  <c r="G210" i="4"/>
  <c r="F210" i="4"/>
  <c r="E210" i="4"/>
  <c r="D210" i="4"/>
  <c r="A210" i="4"/>
  <c r="O209" i="4"/>
  <c r="N209" i="4"/>
  <c r="M209" i="4"/>
  <c r="L209" i="4"/>
  <c r="K209" i="4"/>
  <c r="J209" i="4"/>
  <c r="I209" i="4"/>
  <c r="H209" i="4"/>
  <c r="G209" i="4"/>
  <c r="F209" i="4"/>
  <c r="E209" i="4"/>
  <c r="D209" i="4"/>
  <c r="A209" i="4"/>
  <c r="O208" i="4"/>
  <c r="N208" i="4"/>
  <c r="M208" i="4"/>
  <c r="L208" i="4"/>
  <c r="K208" i="4"/>
  <c r="J208" i="4"/>
  <c r="I208" i="4"/>
  <c r="H208" i="4"/>
  <c r="G208" i="4"/>
  <c r="F208" i="4"/>
  <c r="E208" i="4"/>
  <c r="D208" i="4"/>
  <c r="A208" i="4"/>
  <c r="O207" i="4"/>
  <c r="N207" i="4"/>
  <c r="M207" i="4"/>
  <c r="L207" i="4"/>
  <c r="K207" i="4"/>
  <c r="J207" i="4"/>
  <c r="I207" i="4"/>
  <c r="H207" i="4"/>
  <c r="G207" i="4"/>
  <c r="F207" i="4"/>
  <c r="E207" i="4"/>
  <c r="D207" i="4"/>
  <c r="A207" i="4"/>
  <c r="O206" i="4"/>
  <c r="N206" i="4"/>
  <c r="M206" i="4"/>
  <c r="L206" i="4"/>
  <c r="K206" i="4"/>
  <c r="J206" i="4"/>
  <c r="I206" i="4"/>
  <c r="H206" i="4"/>
  <c r="G206" i="4"/>
  <c r="F206" i="4"/>
  <c r="E206" i="4"/>
  <c r="D206" i="4"/>
  <c r="A206" i="4"/>
  <c r="O205" i="4"/>
  <c r="N205" i="4"/>
  <c r="M205" i="4"/>
  <c r="L205" i="4"/>
  <c r="K205" i="4"/>
  <c r="J205" i="4"/>
  <c r="I205" i="4"/>
  <c r="H205" i="4"/>
  <c r="G205" i="4"/>
  <c r="F205" i="4"/>
  <c r="E205" i="4"/>
  <c r="D205" i="4"/>
  <c r="A205" i="4"/>
  <c r="O204" i="4"/>
  <c r="N204" i="4"/>
  <c r="M204" i="4"/>
  <c r="L204" i="4"/>
  <c r="K204" i="4"/>
  <c r="J204" i="4"/>
  <c r="I204" i="4"/>
  <c r="H204" i="4"/>
  <c r="G204" i="4"/>
  <c r="F204" i="4"/>
  <c r="E204" i="4"/>
  <c r="D204" i="4"/>
  <c r="A204" i="4"/>
  <c r="O203" i="4"/>
  <c r="N203" i="4"/>
  <c r="M203" i="4"/>
  <c r="L203" i="4"/>
  <c r="K203" i="4"/>
  <c r="J203" i="4"/>
  <c r="I203" i="4"/>
  <c r="H203" i="4"/>
  <c r="G203" i="4"/>
  <c r="F203" i="4"/>
  <c r="E203" i="4"/>
  <c r="D203" i="4"/>
  <c r="A203" i="4"/>
  <c r="O202" i="4"/>
  <c r="N202" i="4"/>
  <c r="M202" i="4"/>
  <c r="L202" i="4"/>
  <c r="K202" i="4"/>
  <c r="J202" i="4"/>
  <c r="I202" i="4"/>
  <c r="H202" i="4"/>
  <c r="G202" i="4"/>
  <c r="F202" i="4"/>
  <c r="E202" i="4"/>
  <c r="D202" i="4"/>
  <c r="A202" i="4"/>
  <c r="O201" i="4"/>
  <c r="N201" i="4"/>
  <c r="M201" i="4"/>
  <c r="L201" i="4"/>
  <c r="K201" i="4"/>
  <c r="J201" i="4"/>
  <c r="I201" i="4"/>
  <c r="H201" i="4"/>
  <c r="G201" i="4"/>
  <c r="F201" i="4"/>
  <c r="E201" i="4"/>
  <c r="D201" i="4"/>
  <c r="A201" i="4"/>
  <c r="O200" i="4"/>
  <c r="N200" i="4"/>
  <c r="M200" i="4"/>
  <c r="L200" i="4"/>
  <c r="K200" i="4"/>
  <c r="J200" i="4"/>
  <c r="I200" i="4"/>
  <c r="H200" i="4"/>
  <c r="G200" i="4"/>
  <c r="F200" i="4"/>
  <c r="E200" i="4"/>
  <c r="D200" i="4"/>
  <c r="A200" i="4"/>
  <c r="O199" i="4"/>
  <c r="N199" i="4"/>
  <c r="M199" i="4"/>
  <c r="L199" i="4"/>
  <c r="K199" i="4"/>
  <c r="J199" i="4"/>
  <c r="I199" i="4"/>
  <c r="H199" i="4"/>
  <c r="G199" i="4"/>
  <c r="F199" i="4"/>
  <c r="E199" i="4"/>
  <c r="D199" i="4"/>
  <c r="A199" i="4"/>
  <c r="O198" i="4"/>
  <c r="N198" i="4"/>
  <c r="M198" i="4"/>
  <c r="L198" i="4"/>
  <c r="K198" i="4"/>
  <c r="J198" i="4"/>
  <c r="I198" i="4"/>
  <c r="H198" i="4"/>
  <c r="G198" i="4"/>
  <c r="F198" i="4"/>
  <c r="E198" i="4"/>
  <c r="D198" i="4"/>
  <c r="A198" i="4"/>
  <c r="O197" i="4"/>
  <c r="N197" i="4"/>
  <c r="M197" i="4"/>
  <c r="L197" i="4"/>
  <c r="K197" i="4"/>
  <c r="J197" i="4"/>
  <c r="I197" i="4"/>
  <c r="H197" i="4"/>
  <c r="G197" i="4"/>
  <c r="F197" i="4"/>
  <c r="E197" i="4"/>
  <c r="D197" i="4"/>
  <c r="A197" i="4"/>
  <c r="O196" i="4"/>
  <c r="N196" i="4"/>
  <c r="M196" i="4"/>
  <c r="L196" i="4"/>
  <c r="K196" i="4"/>
  <c r="J196" i="4"/>
  <c r="I196" i="4"/>
  <c r="H196" i="4"/>
  <c r="G196" i="4"/>
  <c r="F196" i="4"/>
  <c r="E196" i="4"/>
  <c r="D196" i="4"/>
  <c r="A196" i="4"/>
  <c r="O195" i="4"/>
  <c r="N195" i="4"/>
  <c r="M195" i="4"/>
  <c r="L195" i="4"/>
  <c r="K195" i="4"/>
  <c r="J195" i="4"/>
  <c r="I195" i="4"/>
  <c r="H195" i="4"/>
  <c r="G195" i="4"/>
  <c r="F195" i="4"/>
  <c r="E195" i="4"/>
  <c r="D195" i="4"/>
  <c r="A195" i="4"/>
  <c r="O194" i="4"/>
  <c r="N194" i="4"/>
  <c r="M194" i="4"/>
  <c r="L194" i="4"/>
  <c r="K194" i="4"/>
  <c r="J194" i="4"/>
  <c r="I194" i="4"/>
  <c r="H194" i="4"/>
  <c r="G194" i="4"/>
  <c r="F194" i="4"/>
  <c r="E194" i="4"/>
  <c r="D194" i="4"/>
  <c r="A194" i="4"/>
  <c r="O193" i="4"/>
  <c r="N193" i="4"/>
  <c r="M193" i="4"/>
  <c r="L193" i="4"/>
  <c r="K193" i="4"/>
  <c r="J193" i="4"/>
  <c r="I193" i="4"/>
  <c r="H193" i="4"/>
  <c r="G193" i="4"/>
  <c r="F193" i="4"/>
  <c r="E193" i="4"/>
  <c r="D193" i="4"/>
  <c r="A193" i="4"/>
  <c r="O192" i="4"/>
  <c r="N192" i="4"/>
  <c r="M192" i="4"/>
  <c r="L192" i="4"/>
  <c r="K192" i="4"/>
  <c r="J192" i="4"/>
  <c r="I192" i="4"/>
  <c r="H192" i="4"/>
  <c r="G192" i="4"/>
  <c r="F192" i="4"/>
  <c r="E192" i="4"/>
  <c r="D192" i="4"/>
  <c r="A192" i="4"/>
  <c r="O191" i="4"/>
  <c r="N191" i="4"/>
  <c r="M191" i="4"/>
  <c r="L191" i="4"/>
  <c r="K191" i="4"/>
  <c r="J191" i="4"/>
  <c r="I191" i="4"/>
  <c r="H191" i="4"/>
  <c r="G191" i="4"/>
  <c r="F191" i="4"/>
  <c r="E191" i="4"/>
  <c r="D191" i="4"/>
  <c r="A191" i="4"/>
  <c r="O190" i="4"/>
  <c r="N190" i="4"/>
  <c r="M190" i="4"/>
  <c r="L190" i="4"/>
  <c r="K190" i="4"/>
  <c r="J190" i="4"/>
  <c r="I190" i="4"/>
  <c r="H190" i="4"/>
  <c r="G190" i="4"/>
  <c r="F190" i="4"/>
  <c r="E190" i="4"/>
  <c r="D190" i="4"/>
  <c r="A190" i="4"/>
  <c r="O189" i="4"/>
  <c r="N189" i="4"/>
  <c r="M189" i="4"/>
  <c r="L189" i="4"/>
  <c r="K189" i="4"/>
  <c r="J189" i="4"/>
  <c r="I189" i="4"/>
  <c r="H189" i="4"/>
  <c r="G189" i="4"/>
  <c r="F189" i="4"/>
  <c r="E189" i="4"/>
  <c r="D189" i="4"/>
  <c r="A189" i="4"/>
  <c r="O188" i="4"/>
  <c r="N188" i="4"/>
  <c r="M188" i="4"/>
  <c r="L188" i="4"/>
  <c r="K188" i="4"/>
  <c r="J188" i="4"/>
  <c r="I188" i="4"/>
  <c r="H188" i="4"/>
  <c r="G188" i="4"/>
  <c r="F188" i="4"/>
  <c r="E188" i="4"/>
  <c r="D188" i="4"/>
  <c r="A188" i="4"/>
  <c r="O187" i="4"/>
  <c r="N187" i="4"/>
  <c r="M187" i="4"/>
  <c r="L187" i="4"/>
  <c r="K187" i="4"/>
  <c r="J187" i="4"/>
  <c r="I187" i="4"/>
  <c r="H187" i="4"/>
  <c r="G187" i="4"/>
  <c r="F187" i="4"/>
  <c r="E187" i="4"/>
  <c r="D187" i="4"/>
  <c r="A187" i="4"/>
  <c r="O186" i="4"/>
  <c r="N186" i="4"/>
  <c r="M186" i="4"/>
  <c r="L186" i="4"/>
  <c r="K186" i="4"/>
  <c r="J186" i="4"/>
  <c r="I186" i="4"/>
  <c r="H186" i="4"/>
  <c r="G186" i="4"/>
  <c r="F186" i="4"/>
  <c r="E186" i="4"/>
  <c r="D186" i="4"/>
  <c r="A186" i="4"/>
  <c r="O185" i="4"/>
  <c r="N185" i="4"/>
  <c r="M185" i="4"/>
  <c r="L185" i="4"/>
  <c r="K185" i="4"/>
  <c r="J185" i="4"/>
  <c r="I185" i="4"/>
  <c r="H185" i="4"/>
  <c r="G185" i="4"/>
  <c r="F185" i="4"/>
  <c r="E185" i="4"/>
  <c r="D185" i="4"/>
  <c r="A185" i="4"/>
  <c r="O184" i="4"/>
  <c r="N184" i="4"/>
  <c r="M184" i="4"/>
  <c r="L184" i="4"/>
  <c r="K184" i="4"/>
  <c r="J184" i="4"/>
  <c r="I184" i="4"/>
  <c r="H184" i="4"/>
  <c r="G184" i="4"/>
  <c r="F184" i="4"/>
  <c r="E184" i="4"/>
  <c r="D184" i="4"/>
  <c r="A184" i="4"/>
  <c r="O183" i="4"/>
  <c r="N183" i="4"/>
  <c r="M183" i="4"/>
  <c r="L183" i="4"/>
  <c r="K183" i="4"/>
  <c r="J183" i="4"/>
  <c r="I183" i="4"/>
  <c r="H183" i="4"/>
  <c r="G183" i="4"/>
  <c r="F183" i="4"/>
  <c r="E183" i="4"/>
  <c r="D183" i="4"/>
  <c r="A183" i="4"/>
  <c r="O182" i="4"/>
  <c r="N182" i="4"/>
  <c r="M182" i="4"/>
  <c r="L182" i="4"/>
  <c r="K182" i="4"/>
  <c r="J182" i="4"/>
  <c r="I182" i="4"/>
  <c r="H182" i="4"/>
  <c r="G182" i="4"/>
  <c r="F182" i="4"/>
  <c r="E182" i="4"/>
  <c r="D182" i="4"/>
  <c r="A182" i="4"/>
  <c r="O181" i="4"/>
  <c r="N181" i="4"/>
  <c r="M181" i="4"/>
  <c r="L181" i="4"/>
  <c r="K181" i="4"/>
  <c r="J181" i="4"/>
  <c r="I181" i="4"/>
  <c r="H181" i="4"/>
  <c r="G181" i="4"/>
  <c r="F181" i="4"/>
  <c r="E181" i="4"/>
  <c r="D181" i="4"/>
  <c r="A181" i="4"/>
  <c r="O180" i="4"/>
  <c r="N180" i="4"/>
  <c r="M180" i="4"/>
  <c r="L180" i="4"/>
  <c r="K180" i="4"/>
  <c r="J180" i="4"/>
  <c r="I180" i="4"/>
  <c r="H180" i="4"/>
  <c r="G180" i="4"/>
  <c r="F180" i="4"/>
  <c r="E180" i="4"/>
  <c r="D180" i="4"/>
  <c r="A180" i="4"/>
  <c r="O179" i="4"/>
  <c r="N179" i="4"/>
  <c r="M179" i="4"/>
  <c r="L179" i="4"/>
  <c r="K179" i="4"/>
  <c r="J179" i="4"/>
  <c r="I179" i="4"/>
  <c r="H179" i="4"/>
  <c r="G179" i="4"/>
  <c r="F179" i="4"/>
  <c r="E179" i="4"/>
  <c r="D179" i="4"/>
  <c r="A179" i="4"/>
  <c r="O178" i="4"/>
  <c r="N178" i="4"/>
  <c r="M178" i="4"/>
  <c r="L178" i="4"/>
  <c r="K178" i="4"/>
  <c r="J178" i="4"/>
  <c r="I178" i="4"/>
  <c r="H178" i="4"/>
  <c r="G178" i="4"/>
  <c r="F178" i="4"/>
  <c r="E178" i="4"/>
  <c r="D178" i="4"/>
  <c r="A178" i="4"/>
  <c r="O177" i="4"/>
  <c r="N177" i="4"/>
  <c r="M177" i="4"/>
  <c r="L177" i="4"/>
  <c r="K177" i="4"/>
  <c r="J177" i="4"/>
  <c r="I177" i="4"/>
  <c r="H177" i="4"/>
  <c r="G177" i="4"/>
  <c r="F177" i="4"/>
  <c r="E177" i="4"/>
  <c r="D177" i="4"/>
  <c r="A177" i="4"/>
  <c r="O176" i="4"/>
  <c r="N176" i="4"/>
  <c r="M176" i="4"/>
  <c r="L176" i="4"/>
  <c r="K176" i="4"/>
  <c r="J176" i="4"/>
  <c r="I176" i="4"/>
  <c r="H176" i="4"/>
  <c r="G176" i="4"/>
  <c r="F176" i="4"/>
  <c r="E176" i="4"/>
  <c r="D176" i="4"/>
  <c r="A176" i="4"/>
  <c r="O175" i="4"/>
  <c r="N175" i="4"/>
  <c r="M175" i="4"/>
  <c r="L175" i="4"/>
  <c r="K175" i="4"/>
  <c r="J175" i="4"/>
  <c r="I175" i="4"/>
  <c r="H175" i="4"/>
  <c r="G175" i="4"/>
  <c r="F175" i="4"/>
  <c r="E175" i="4"/>
  <c r="D175" i="4"/>
  <c r="A175" i="4"/>
  <c r="O174" i="4"/>
  <c r="N174" i="4"/>
  <c r="M174" i="4"/>
  <c r="L174" i="4"/>
  <c r="K174" i="4"/>
  <c r="J174" i="4"/>
  <c r="I174" i="4"/>
  <c r="H174" i="4"/>
  <c r="G174" i="4"/>
  <c r="F174" i="4"/>
  <c r="E174" i="4"/>
  <c r="D174" i="4"/>
  <c r="A174" i="4"/>
  <c r="O173" i="4"/>
  <c r="N173" i="4"/>
  <c r="M173" i="4"/>
  <c r="L173" i="4"/>
  <c r="K173" i="4"/>
  <c r="J173" i="4"/>
  <c r="I173" i="4"/>
  <c r="H173" i="4"/>
  <c r="G173" i="4"/>
  <c r="F173" i="4"/>
  <c r="E173" i="4"/>
  <c r="D173" i="4"/>
  <c r="A173" i="4"/>
  <c r="O172" i="4"/>
  <c r="N172" i="4"/>
  <c r="M172" i="4"/>
  <c r="L172" i="4"/>
  <c r="K172" i="4"/>
  <c r="J172" i="4"/>
  <c r="I172" i="4"/>
  <c r="H172" i="4"/>
  <c r="G172" i="4"/>
  <c r="F172" i="4"/>
  <c r="E172" i="4"/>
  <c r="D172" i="4"/>
  <c r="A172" i="4"/>
  <c r="O171" i="4"/>
  <c r="N171" i="4"/>
  <c r="M171" i="4"/>
  <c r="L171" i="4"/>
  <c r="K171" i="4"/>
  <c r="J171" i="4"/>
  <c r="I171" i="4"/>
  <c r="H171" i="4"/>
  <c r="G171" i="4"/>
  <c r="F171" i="4"/>
  <c r="E171" i="4"/>
  <c r="D171" i="4"/>
  <c r="A171" i="4"/>
  <c r="O170" i="4"/>
  <c r="N170" i="4"/>
  <c r="M170" i="4"/>
  <c r="L170" i="4"/>
  <c r="K170" i="4"/>
  <c r="J170" i="4"/>
  <c r="I170" i="4"/>
  <c r="H170" i="4"/>
  <c r="G170" i="4"/>
  <c r="F170" i="4"/>
  <c r="E170" i="4"/>
  <c r="D170" i="4"/>
  <c r="A170" i="4"/>
  <c r="O169" i="4"/>
  <c r="N169" i="4"/>
  <c r="M169" i="4"/>
  <c r="L169" i="4"/>
  <c r="K169" i="4"/>
  <c r="J169" i="4"/>
  <c r="I169" i="4"/>
  <c r="H169" i="4"/>
  <c r="G169" i="4"/>
  <c r="F169" i="4"/>
  <c r="E169" i="4"/>
  <c r="D169" i="4"/>
  <c r="A169" i="4"/>
  <c r="O168" i="4"/>
  <c r="N168" i="4"/>
  <c r="M168" i="4"/>
  <c r="L168" i="4"/>
  <c r="K168" i="4"/>
  <c r="J168" i="4"/>
  <c r="I168" i="4"/>
  <c r="H168" i="4"/>
  <c r="G168" i="4"/>
  <c r="F168" i="4"/>
  <c r="E168" i="4"/>
  <c r="D168" i="4"/>
  <c r="A168" i="4"/>
  <c r="O167" i="4"/>
  <c r="N167" i="4"/>
  <c r="M167" i="4"/>
  <c r="L167" i="4"/>
  <c r="K167" i="4"/>
  <c r="J167" i="4"/>
  <c r="I167" i="4"/>
  <c r="H167" i="4"/>
  <c r="G167" i="4"/>
  <c r="F167" i="4"/>
  <c r="E167" i="4"/>
  <c r="D167" i="4"/>
  <c r="A167" i="4"/>
  <c r="O166" i="4"/>
  <c r="N166" i="4"/>
  <c r="M166" i="4"/>
  <c r="L166" i="4"/>
  <c r="K166" i="4"/>
  <c r="J166" i="4"/>
  <c r="I166" i="4"/>
  <c r="H166" i="4"/>
  <c r="G166" i="4"/>
  <c r="F166" i="4"/>
  <c r="E166" i="4"/>
  <c r="D166" i="4"/>
  <c r="A166" i="4"/>
  <c r="O165" i="4"/>
  <c r="N165" i="4"/>
  <c r="M165" i="4"/>
  <c r="L165" i="4"/>
  <c r="K165" i="4"/>
  <c r="J165" i="4"/>
  <c r="I165" i="4"/>
  <c r="H165" i="4"/>
  <c r="G165" i="4"/>
  <c r="F165" i="4"/>
  <c r="E165" i="4"/>
  <c r="D165" i="4"/>
  <c r="A165" i="4"/>
  <c r="O164" i="4"/>
  <c r="N164" i="4"/>
  <c r="M164" i="4"/>
  <c r="L164" i="4"/>
  <c r="K164" i="4"/>
  <c r="J164" i="4"/>
  <c r="I164" i="4"/>
  <c r="H164" i="4"/>
  <c r="G164" i="4"/>
  <c r="F164" i="4"/>
  <c r="E164" i="4"/>
  <c r="D164" i="4"/>
  <c r="A164" i="4"/>
  <c r="O163" i="4"/>
  <c r="N163" i="4"/>
  <c r="M163" i="4"/>
  <c r="L163" i="4"/>
  <c r="K163" i="4"/>
  <c r="J163" i="4"/>
  <c r="I163" i="4"/>
  <c r="H163" i="4"/>
  <c r="G163" i="4"/>
  <c r="F163" i="4"/>
  <c r="E163" i="4"/>
  <c r="D163" i="4"/>
  <c r="A163" i="4"/>
  <c r="O162" i="4"/>
  <c r="N162" i="4"/>
  <c r="M162" i="4"/>
  <c r="L162" i="4"/>
  <c r="K162" i="4"/>
  <c r="J162" i="4"/>
  <c r="I162" i="4"/>
  <c r="H162" i="4"/>
  <c r="G162" i="4"/>
  <c r="F162" i="4"/>
  <c r="E162" i="4"/>
  <c r="D162" i="4"/>
  <c r="A162" i="4"/>
  <c r="O161" i="4"/>
  <c r="N161" i="4"/>
  <c r="M161" i="4"/>
  <c r="L161" i="4"/>
  <c r="K161" i="4"/>
  <c r="J161" i="4"/>
  <c r="I161" i="4"/>
  <c r="H161" i="4"/>
  <c r="G161" i="4"/>
  <c r="F161" i="4"/>
  <c r="E161" i="4"/>
  <c r="D161" i="4"/>
  <c r="A161" i="4"/>
  <c r="O160" i="4"/>
  <c r="N160" i="4"/>
  <c r="M160" i="4"/>
  <c r="L160" i="4"/>
  <c r="K160" i="4"/>
  <c r="J160" i="4"/>
  <c r="I160" i="4"/>
  <c r="H160" i="4"/>
  <c r="G160" i="4"/>
  <c r="F160" i="4"/>
  <c r="E160" i="4"/>
  <c r="D160" i="4"/>
  <c r="A160" i="4"/>
  <c r="O159" i="4"/>
  <c r="N159" i="4"/>
  <c r="M159" i="4"/>
  <c r="L159" i="4"/>
  <c r="K159" i="4"/>
  <c r="J159" i="4"/>
  <c r="I159" i="4"/>
  <c r="H159" i="4"/>
  <c r="G159" i="4"/>
  <c r="F159" i="4"/>
  <c r="E159" i="4"/>
  <c r="D159" i="4"/>
  <c r="A159" i="4"/>
  <c r="O158" i="4"/>
  <c r="N158" i="4"/>
  <c r="M158" i="4"/>
  <c r="L158" i="4"/>
  <c r="K158" i="4"/>
  <c r="J158" i="4"/>
  <c r="I158" i="4"/>
  <c r="H158" i="4"/>
  <c r="G158" i="4"/>
  <c r="F158" i="4"/>
  <c r="E158" i="4"/>
  <c r="D158" i="4"/>
  <c r="A158" i="4"/>
  <c r="O157" i="4"/>
  <c r="N157" i="4"/>
  <c r="M157" i="4"/>
  <c r="L157" i="4"/>
  <c r="K157" i="4"/>
  <c r="J157" i="4"/>
  <c r="I157" i="4"/>
  <c r="H157" i="4"/>
  <c r="G157" i="4"/>
  <c r="F157" i="4"/>
  <c r="E157" i="4"/>
  <c r="D157" i="4"/>
  <c r="A157" i="4"/>
  <c r="O156" i="4"/>
  <c r="N156" i="4"/>
  <c r="M156" i="4"/>
  <c r="L156" i="4"/>
  <c r="K156" i="4"/>
  <c r="J156" i="4"/>
  <c r="I156" i="4"/>
  <c r="H156" i="4"/>
  <c r="G156" i="4"/>
  <c r="F156" i="4"/>
  <c r="E156" i="4"/>
  <c r="D156" i="4"/>
  <c r="A156" i="4"/>
  <c r="O155" i="4"/>
  <c r="N155" i="4"/>
  <c r="M155" i="4"/>
  <c r="L155" i="4"/>
  <c r="K155" i="4"/>
  <c r="J155" i="4"/>
  <c r="I155" i="4"/>
  <c r="H155" i="4"/>
  <c r="G155" i="4"/>
  <c r="F155" i="4"/>
  <c r="E155" i="4"/>
  <c r="D155" i="4"/>
  <c r="A155" i="4"/>
  <c r="O154" i="4"/>
  <c r="N154" i="4"/>
  <c r="M154" i="4"/>
  <c r="L154" i="4"/>
  <c r="K154" i="4"/>
  <c r="J154" i="4"/>
  <c r="I154" i="4"/>
  <c r="H154" i="4"/>
  <c r="G154" i="4"/>
  <c r="F154" i="4"/>
  <c r="E154" i="4"/>
  <c r="D154" i="4"/>
  <c r="A154" i="4"/>
  <c r="O153" i="4"/>
  <c r="N153" i="4"/>
  <c r="M153" i="4"/>
  <c r="L153" i="4"/>
  <c r="K153" i="4"/>
  <c r="J153" i="4"/>
  <c r="I153" i="4"/>
  <c r="H153" i="4"/>
  <c r="G153" i="4"/>
  <c r="F153" i="4"/>
  <c r="E153" i="4"/>
  <c r="D153" i="4"/>
  <c r="A153" i="4"/>
  <c r="O152" i="4"/>
  <c r="N152" i="4"/>
  <c r="M152" i="4"/>
  <c r="L152" i="4"/>
  <c r="K152" i="4"/>
  <c r="J152" i="4"/>
  <c r="I152" i="4"/>
  <c r="H152" i="4"/>
  <c r="G152" i="4"/>
  <c r="F152" i="4"/>
  <c r="E152" i="4"/>
  <c r="D152" i="4"/>
  <c r="A152" i="4"/>
  <c r="O151" i="4"/>
  <c r="N151" i="4"/>
  <c r="M151" i="4"/>
  <c r="L151" i="4"/>
  <c r="K151" i="4"/>
  <c r="J151" i="4"/>
  <c r="I151" i="4"/>
  <c r="H151" i="4"/>
  <c r="G151" i="4"/>
  <c r="F151" i="4"/>
  <c r="E151" i="4"/>
  <c r="D151" i="4"/>
  <c r="A151" i="4"/>
  <c r="O150" i="4"/>
  <c r="N150" i="4"/>
  <c r="M150" i="4"/>
  <c r="L150" i="4"/>
  <c r="K150" i="4"/>
  <c r="J150" i="4"/>
  <c r="I150" i="4"/>
  <c r="H150" i="4"/>
  <c r="G150" i="4"/>
  <c r="F150" i="4"/>
  <c r="E150" i="4"/>
  <c r="D150" i="4"/>
  <c r="A150" i="4"/>
  <c r="O149" i="4"/>
  <c r="N149" i="4"/>
  <c r="M149" i="4"/>
  <c r="L149" i="4"/>
  <c r="K149" i="4"/>
  <c r="J149" i="4"/>
  <c r="I149" i="4"/>
  <c r="H149" i="4"/>
  <c r="G149" i="4"/>
  <c r="F149" i="4"/>
  <c r="E149" i="4"/>
  <c r="D149" i="4"/>
  <c r="A149" i="4"/>
  <c r="O148" i="4"/>
  <c r="N148" i="4"/>
  <c r="M148" i="4"/>
  <c r="L148" i="4"/>
  <c r="K148" i="4"/>
  <c r="J148" i="4"/>
  <c r="I148" i="4"/>
  <c r="H148" i="4"/>
  <c r="G148" i="4"/>
  <c r="F148" i="4"/>
  <c r="E148" i="4"/>
  <c r="D148" i="4"/>
  <c r="A148" i="4"/>
  <c r="O147" i="4"/>
  <c r="N147" i="4"/>
  <c r="M147" i="4"/>
  <c r="L147" i="4"/>
  <c r="K147" i="4"/>
  <c r="J147" i="4"/>
  <c r="I147" i="4"/>
  <c r="H147" i="4"/>
  <c r="G147" i="4"/>
  <c r="F147" i="4"/>
  <c r="E147" i="4"/>
  <c r="D147" i="4"/>
  <c r="A147" i="4"/>
  <c r="O146" i="4"/>
  <c r="N146" i="4"/>
  <c r="M146" i="4"/>
  <c r="L146" i="4"/>
  <c r="K146" i="4"/>
  <c r="J146" i="4"/>
  <c r="I146" i="4"/>
  <c r="H146" i="4"/>
  <c r="G146" i="4"/>
  <c r="F146" i="4"/>
  <c r="E146" i="4"/>
  <c r="D146" i="4"/>
  <c r="A146" i="4"/>
  <c r="O145" i="4"/>
  <c r="N145" i="4"/>
  <c r="M145" i="4"/>
  <c r="L145" i="4"/>
  <c r="K145" i="4"/>
  <c r="J145" i="4"/>
  <c r="I145" i="4"/>
  <c r="H145" i="4"/>
  <c r="G145" i="4"/>
  <c r="F145" i="4"/>
  <c r="E145" i="4"/>
  <c r="D145" i="4"/>
  <c r="A145" i="4"/>
  <c r="O144" i="4"/>
  <c r="N144" i="4"/>
  <c r="M144" i="4"/>
  <c r="L144" i="4"/>
  <c r="K144" i="4"/>
  <c r="J144" i="4"/>
  <c r="I144" i="4"/>
  <c r="H144" i="4"/>
  <c r="G144" i="4"/>
  <c r="F144" i="4"/>
  <c r="E144" i="4"/>
  <c r="D144" i="4"/>
  <c r="A144" i="4"/>
  <c r="O143" i="4"/>
  <c r="N143" i="4"/>
  <c r="M143" i="4"/>
  <c r="L143" i="4"/>
  <c r="K143" i="4"/>
  <c r="J143" i="4"/>
  <c r="I143" i="4"/>
  <c r="H143" i="4"/>
  <c r="G143" i="4"/>
  <c r="F143" i="4"/>
  <c r="E143" i="4"/>
  <c r="D143" i="4"/>
  <c r="A143" i="4"/>
  <c r="O142" i="4"/>
  <c r="N142" i="4"/>
  <c r="M142" i="4"/>
  <c r="L142" i="4"/>
  <c r="K142" i="4"/>
  <c r="J142" i="4"/>
  <c r="I142" i="4"/>
  <c r="H142" i="4"/>
  <c r="G142" i="4"/>
  <c r="F142" i="4"/>
  <c r="E142" i="4"/>
  <c r="D142" i="4"/>
  <c r="A142" i="4"/>
  <c r="O141" i="4"/>
  <c r="N141" i="4"/>
  <c r="M141" i="4"/>
  <c r="L141" i="4"/>
  <c r="K141" i="4"/>
  <c r="J141" i="4"/>
  <c r="I141" i="4"/>
  <c r="H141" i="4"/>
  <c r="G141" i="4"/>
  <c r="F141" i="4"/>
  <c r="E141" i="4"/>
  <c r="D141" i="4"/>
  <c r="A141" i="4"/>
  <c r="O140" i="4"/>
  <c r="N140" i="4"/>
  <c r="M140" i="4"/>
  <c r="L140" i="4"/>
  <c r="K140" i="4"/>
  <c r="J140" i="4"/>
  <c r="I140" i="4"/>
  <c r="H140" i="4"/>
  <c r="G140" i="4"/>
  <c r="F140" i="4"/>
  <c r="E140" i="4"/>
  <c r="D140" i="4"/>
  <c r="A140" i="4"/>
  <c r="O139" i="4"/>
  <c r="N139" i="4"/>
  <c r="M139" i="4"/>
  <c r="L139" i="4"/>
  <c r="K139" i="4"/>
  <c r="J139" i="4"/>
  <c r="I139" i="4"/>
  <c r="H139" i="4"/>
  <c r="G139" i="4"/>
  <c r="F139" i="4"/>
  <c r="E139" i="4"/>
  <c r="D139" i="4"/>
  <c r="A139" i="4"/>
  <c r="O138" i="4"/>
  <c r="N138" i="4"/>
  <c r="M138" i="4"/>
  <c r="L138" i="4"/>
  <c r="K138" i="4"/>
  <c r="J138" i="4"/>
  <c r="I138" i="4"/>
  <c r="H138" i="4"/>
  <c r="G138" i="4"/>
  <c r="F138" i="4"/>
  <c r="E138" i="4"/>
  <c r="D138" i="4"/>
  <c r="A138" i="4"/>
  <c r="O137" i="4"/>
  <c r="N137" i="4"/>
  <c r="M137" i="4"/>
  <c r="L137" i="4"/>
  <c r="K137" i="4"/>
  <c r="J137" i="4"/>
  <c r="I137" i="4"/>
  <c r="H137" i="4"/>
  <c r="G137" i="4"/>
  <c r="F137" i="4"/>
  <c r="E137" i="4"/>
  <c r="D137" i="4"/>
  <c r="A137" i="4"/>
  <c r="O136" i="4"/>
  <c r="N136" i="4"/>
  <c r="M136" i="4"/>
  <c r="L136" i="4"/>
  <c r="K136" i="4"/>
  <c r="J136" i="4"/>
  <c r="I136" i="4"/>
  <c r="H136" i="4"/>
  <c r="G136" i="4"/>
  <c r="F136" i="4"/>
  <c r="E136" i="4"/>
  <c r="D136" i="4"/>
  <c r="A136" i="4"/>
  <c r="O135" i="4"/>
  <c r="N135" i="4"/>
  <c r="M135" i="4"/>
  <c r="L135" i="4"/>
  <c r="K135" i="4"/>
  <c r="J135" i="4"/>
  <c r="I135" i="4"/>
  <c r="H135" i="4"/>
  <c r="G135" i="4"/>
  <c r="F135" i="4"/>
  <c r="E135" i="4"/>
  <c r="D135" i="4"/>
  <c r="A135" i="4"/>
  <c r="O134" i="4"/>
  <c r="N134" i="4"/>
  <c r="M134" i="4"/>
  <c r="L134" i="4"/>
  <c r="K134" i="4"/>
  <c r="J134" i="4"/>
  <c r="I134" i="4"/>
  <c r="H134" i="4"/>
  <c r="G134" i="4"/>
  <c r="F134" i="4"/>
  <c r="E134" i="4"/>
  <c r="D134" i="4"/>
  <c r="A134" i="4"/>
  <c r="O133" i="4"/>
  <c r="N133" i="4"/>
  <c r="M133" i="4"/>
  <c r="L133" i="4"/>
  <c r="K133" i="4"/>
  <c r="J133" i="4"/>
  <c r="I133" i="4"/>
  <c r="H133" i="4"/>
  <c r="G133" i="4"/>
  <c r="F133" i="4"/>
  <c r="E133" i="4"/>
  <c r="D133" i="4"/>
  <c r="A133" i="4"/>
  <c r="O132" i="4"/>
  <c r="N132" i="4"/>
  <c r="M132" i="4"/>
  <c r="L132" i="4"/>
  <c r="K132" i="4"/>
  <c r="J132" i="4"/>
  <c r="I132" i="4"/>
  <c r="H132" i="4"/>
  <c r="G132" i="4"/>
  <c r="F132" i="4"/>
  <c r="E132" i="4"/>
  <c r="D132" i="4"/>
  <c r="A132" i="4"/>
  <c r="O131" i="4"/>
  <c r="N131" i="4"/>
  <c r="M131" i="4"/>
  <c r="L131" i="4"/>
  <c r="K131" i="4"/>
  <c r="J131" i="4"/>
  <c r="I131" i="4"/>
  <c r="H131" i="4"/>
  <c r="G131" i="4"/>
  <c r="F131" i="4"/>
  <c r="E131" i="4"/>
  <c r="D131" i="4"/>
  <c r="A131" i="4"/>
  <c r="O130" i="4"/>
  <c r="N130" i="4"/>
  <c r="M130" i="4"/>
  <c r="L130" i="4"/>
  <c r="K130" i="4"/>
  <c r="J130" i="4"/>
  <c r="I130" i="4"/>
  <c r="H130" i="4"/>
  <c r="G130" i="4"/>
  <c r="F130" i="4"/>
  <c r="E130" i="4"/>
  <c r="D130" i="4"/>
  <c r="A130" i="4"/>
  <c r="O129" i="4"/>
  <c r="N129" i="4"/>
  <c r="M129" i="4"/>
  <c r="L129" i="4"/>
  <c r="K129" i="4"/>
  <c r="J129" i="4"/>
  <c r="I129" i="4"/>
  <c r="H129" i="4"/>
  <c r="G129" i="4"/>
  <c r="F129" i="4"/>
  <c r="E129" i="4"/>
  <c r="D129" i="4"/>
  <c r="A129" i="4"/>
  <c r="O128" i="4"/>
  <c r="N128" i="4"/>
  <c r="M128" i="4"/>
  <c r="L128" i="4"/>
  <c r="K128" i="4"/>
  <c r="J128" i="4"/>
  <c r="I128" i="4"/>
  <c r="H128" i="4"/>
  <c r="G128" i="4"/>
  <c r="F128" i="4"/>
  <c r="E128" i="4"/>
  <c r="D128" i="4"/>
  <c r="A128" i="4"/>
  <c r="O127" i="4"/>
  <c r="N127" i="4"/>
  <c r="M127" i="4"/>
  <c r="L127" i="4"/>
  <c r="K127" i="4"/>
  <c r="J127" i="4"/>
  <c r="I127" i="4"/>
  <c r="H127" i="4"/>
  <c r="G127" i="4"/>
  <c r="F127" i="4"/>
  <c r="E127" i="4"/>
  <c r="D127" i="4"/>
  <c r="A127" i="4"/>
  <c r="O126" i="4"/>
  <c r="N126" i="4"/>
  <c r="M126" i="4"/>
  <c r="L126" i="4"/>
  <c r="K126" i="4"/>
  <c r="J126" i="4"/>
  <c r="I126" i="4"/>
  <c r="H126" i="4"/>
  <c r="G126" i="4"/>
  <c r="F126" i="4"/>
  <c r="E126" i="4"/>
  <c r="D126" i="4"/>
  <c r="A126" i="4"/>
  <c r="O125" i="4"/>
  <c r="N125" i="4"/>
  <c r="M125" i="4"/>
  <c r="L125" i="4"/>
  <c r="K125" i="4"/>
  <c r="J125" i="4"/>
  <c r="I125" i="4"/>
  <c r="H125" i="4"/>
  <c r="G125" i="4"/>
  <c r="F125" i="4"/>
  <c r="E125" i="4"/>
  <c r="D125" i="4"/>
  <c r="A125" i="4"/>
  <c r="O124" i="4"/>
  <c r="N124" i="4"/>
  <c r="M124" i="4"/>
  <c r="L124" i="4"/>
  <c r="K124" i="4"/>
  <c r="J124" i="4"/>
  <c r="I124" i="4"/>
  <c r="H124" i="4"/>
  <c r="G124" i="4"/>
  <c r="F124" i="4"/>
  <c r="E124" i="4"/>
  <c r="D124" i="4"/>
  <c r="A124" i="4"/>
  <c r="O123" i="4"/>
  <c r="N123" i="4"/>
  <c r="M123" i="4"/>
  <c r="L123" i="4"/>
  <c r="K123" i="4"/>
  <c r="J123" i="4"/>
  <c r="I123" i="4"/>
  <c r="H123" i="4"/>
  <c r="G123" i="4"/>
  <c r="F123" i="4"/>
  <c r="E123" i="4"/>
  <c r="D123" i="4"/>
  <c r="A123" i="4"/>
  <c r="O122" i="4"/>
  <c r="N122" i="4"/>
  <c r="M122" i="4"/>
  <c r="L122" i="4"/>
  <c r="K122" i="4"/>
  <c r="J122" i="4"/>
  <c r="I122" i="4"/>
  <c r="H122" i="4"/>
  <c r="G122" i="4"/>
  <c r="F122" i="4"/>
  <c r="E122" i="4"/>
  <c r="D122" i="4"/>
  <c r="A122" i="4"/>
  <c r="O121" i="4"/>
  <c r="N121" i="4"/>
  <c r="M121" i="4"/>
  <c r="L121" i="4"/>
  <c r="K121" i="4"/>
  <c r="J121" i="4"/>
  <c r="I121" i="4"/>
  <c r="H121" i="4"/>
  <c r="G121" i="4"/>
  <c r="F121" i="4"/>
  <c r="E121" i="4"/>
  <c r="D121" i="4"/>
  <c r="A121" i="4"/>
  <c r="O120" i="4"/>
  <c r="N120" i="4"/>
  <c r="M120" i="4"/>
  <c r="L120" i="4"/>
  <c r="K120" i="4"/>
  <c r="J120" i="4"/>
  <c r="I120" i="4"/>
  <c r="H120" i="4"/>
  <c r="G120" i="4"/>
  <c r="F120" i="4"/>
  <c r="E120" i="4"/>
  <c r="D120" i="4"/>
  <c r="A120" i="4"/>
  <c r="O119" i="4"/>
  <c r="N119" i="4"/>
  <c r="M119" i="4"/>
  <c r="L119" i="4"/>
  <c r="K119" i="4"/>
  <c r="J119" i="4"/>
  <c r="I119" i="4"/>
  <c r="H119" i="4"/>
  <c r="G119" i="4"/>
  <c r="F119" i="4"/>
  <c r="E119" i="4"/>
  <c r="D119" i="4"/>
  <c r="A119" i="4"/>
  <c r="O118" i="4"/>
  <c r="N118" i="4"/>
  <c r="M118" i="4"/>
  <c r="L118" i="4"/>
  <c r="K118" i="4"/>
  <c r="J118" i="4"/>
  <c r="I118" i="4"/>
  <c r="H118" i="4"/>
  <c r="G118" i="4"/>
  <c r="F118" i="4"/>
  <c r="E118" i="4"/>
  <c r="D118" i="4"/>
  <c r="A118" i="4"/>
  <c r="O117" i="4"/>
  <c r="N117" i="4"/>
  <c r="M117" i="4"/>
  <c r="L117" i="4"/>
  <c r="K117" i="4"/>
  <c r="J117" i="4"/>
  <c r="I117" i="4"/>
  <c r="H117" i="4"/>
  <c r="G117" i="4"/>
  <c r="F117" i="4"/>
  <c r="E117" i="4"/>
  <c r="D117" i="4"/>
  <c r="A117" i="4"/>
  <c r="O116" i="4"/>
  <c r="N116" i="4"/>
  <c r="M116" i="4"/>
  <c r="L116" i="4"/>
  <c r="K116" i="4"/>
  <c r="J116" i="4"/>
  <c r="I116" i="4"/>
  <c r="H116" i="4"/>
  <c r="G116" i="4"/>
  <c r="F116" i="4"/>
  <c r="E116" i="4"/>
  <c r="D116" i="4"/>
  <c r="A116" i="4"/>
  <c r="O115" i="4"/>
  <c r="N115" i="4"/>
  <c r="M115" i="4"/>
  <c r="L115" i="4"/>
  <c r="K115" i="4"/>
  <c r="J115" i="4"/>
  <c r="I115" i="4"/>
  <c r="H115" i="4"/>
  <c r="G115" i="4"/>
  <c r="F115" i="4"/>
  <c r="E115" i="4"/>
  <c r="D115" i="4"/>
  <c r="A115" i="4"/>
  <c r="O114" i="4"/>
  <c r="N114" i="4"/>
  <c r="M114" i="4"/>
  <c r="L114" i="4"/>
  <c r="K114" i="4"/>
  <c r="J114" i="4"/>
  <c r="I114" i="4"/>
  <c r="H114" i="4"/>
  <c r="G114" i="4"/>
  <c r="F114" i="4"/>
  <c r="E114" i="4"/>
  <c r="D114" i="4"/>
  <c r="A114" i="4"/>
  <c r="O113" i="4"/>
  <c r="N113" i="4"/>
  <c r="M113" i="4"/>
  <c r="L113" i="4"/>
  <c r="K113" i="4"/>
  <c r="J113" i="4"/>
  <c r="I113" i="4"/>
  <c r="H113" i="4"/>
  <c r="G113" i="4"/>
  <c r="F113" i="4"/>
  <c r="E113" i="4"/>
  <c r="D113" i="4"/>
  <c r="A113" i="4"/>
  <c r="O112" i="4"/>
  <c r="N112" i="4"/>
  <c r="M112" i="4"/>
  <c r="L112" i="4"/>
  <c r="K112" i="4"/>
  <c r="J112" i="4"/>
  <c r="I112" i="4"/>
  <c r="H112" i="4"/>
  <c r="G112" i="4"/>
  <c r="F112" i="4"/>
  <c r="E112" i="4"/>
  <c r="D112" i="4"/>
  <c r="A112" i="4"/>
  <c r="O111" i="4"/>
  <c r="N111" i="4"/>
  <c r="M111" i="4"/>
  <c r="L111" i="4"/>
  <c r="K111" i="4"/>
  <c r="J111" i="4"/>
  <c r="I111" i="4"/>
  <c r="H111" i="4"/>
  <c r="G111" i="4"/>
  <c r="F111" i="4"/>
  <c r="E111" i="4"/>
  <c r="D111" i="4"/>
  <c r="A111" i="4"/>
  <c r="O110" i="4"/>
  <c r="N110" i="4"/>
  <c r="M110" i="4"/>
  <c r="L110" i="4"/>
  <c r="K110" i="4"/>
  <c r="J110" i="4"/>
  <c r="I110" i="4"/>
  <c r="H110" i="4"/>
  <c r="G110" i="4"/>
  <c r="F110" i="4"/>
  <c r="E110" i="4"/>
  <c r="D110" i="4"/>
  <c r="A110" i="4"/>
  <c r="O109" i="4"/>
  <c r="N109" i="4"/>
  <c r="M109" i="4"/>
  <c r="L109" i="4"/>
  <c r="K109" i="4"/>
  <c r="J109" i="4"/>
  <c r="I109" i="4"/>
  <c r="H109" i="4"/>
  <c r="G109" i="4"/>
  <c r="F109" i="4"/>
  <c r="E109" i="4"/>
  <c r="D109" i="4"/>
  <c r="A109" i="4"/>
  <c r="O108" i="4"/>
  <c r="N108" i="4"/>
  <c r="M108" i="4"/>
  <c r="L108" i="4"/>
  <c r="K108" i="4"/>
  <c r="J108" i="4"/>
  <c r="I108" i="4"/>
  <c r="H108" i="4"/>
  <c r="G108" i="4"/>
  <c r="F108" i="4"/>
  <c r="E108" i="4"/>
  <c r="D108" i="4"/>
  <c r="A108" i="4"/>
  <c r="O107" i="4"/>
  <c r="N107" i="4"/>
  <c r="M107" i="4"/>
  <c r="L107" i="4"/>
  <c r="K107" i="4"/>
  <c r="J107" i="4"/>
  <c r="I107" i="4"/>
  <c r="H107" i="4"/>
  <c r="G107" i="4"/>
  <c r="F107" i="4"/>
  <c r="E107" i="4"/>
  <c r="D107" i="4"/>
  <c r="A107" i="4"/>
  <c r="O106" i="4"/>
  <c r="N106" i="4"/>
  <c r="M106" i="4"/>
  <c r="L106" i="4"/>
  <c r="K106" i="4"/>
  <c r="J106" i="4"/>
  <c r="I106" i="4"/>
  <c r="H106" i="4"/>
  <c r="G106" i="4"/>
  <c r="F106" i="4"/>
  <c r="E106" i="4"/>
  <c r="D106" i="4"/>
  <c r="A106" i="4"/>
  <c r="O105" i="4"/>
  <c r="N105" i="4"/>
  <c r="M105" i="4"/>
  <c r="L105" i="4"/>
  <c r="K105" i="4"/>
  <c r="J105" i="4"/>
  <c r="I105" i="4"/>
  <c r="H105" i="4"/>
  <c r="G105" i="4"/>
  <c r="F105" i="4"/>
  <c r="E105" i="4"/>
  <c r="D105" i="4"/>
  <c r="A105" i="4"/>
  <c r="O104" i="4"/>
  <c r="N104" i="4"/>
  <c r="M104" i="4"/>
  <c r="L104" i="4"/>
  <c r="K104" i="4"/>
  <c r="J104" i="4"/>
  <c r="I104" i="4"/>
  <c r="H104" i="4"/>
  <c r="G104" i="4"/>
  <c r="F104" i="4"/>
  <c r="E104" i="4"/>
  <c r="D104" i="4"/>
  <c r="A104" i="4"/>
  <c r="O103" i="4"/>
  <c r="N103" i="4"/>
  <c r="M103" i="4"/>
  <c r="L103" i="4"/>
  <c r="K103" i="4"/>
  <c r="J103" i="4"/>
  <c r="I103" i="4"/>
  <c r="H103" i="4"/>
  <c r="G103" i="4"/>
  <c r="F103" i="4"/>
  <c r="E103" i="4"/>
  <c r="D103" i="4"/>
  <c r="A103" i="4"/>
  <c r="O102" i="4"/>
  <c r="N102" i="4"/>
  <c r="M102" i="4"/>
  <c r="L102" i="4"/>
  <c r="K102" i="4"/>
  <c r="J102" i="4"/>
  <c r="I102" i="4"/>
  <c r="H102" i="4"/>
  <c r="G102" i="4"/>
  <c r="F102" i="4"/>
  <c r="E102" i="4"/>
  <c r="D102" i="4"/>
  <c r="A102" i="4"/>
  <c r="O101" i="4"/>
  <c r="N101" i="4"/>
  <c r="M101" i="4"/>
  <c r="L101" i="4"/>
  <c r="K101" i="4"/>
  <c r="J101" i="4"/>
  <c r="I101" i="4"/>
  <c r="H101" i="4"/>
  <c r="G101" i="4"/>
  <c r="F101" i="4"/>
  <c r="E101" i="4"/>
  <c r="D101" i="4"/>
  <c r="A101" i="4"/>
  <c r="O100" i="4"/>
  <c r="N100" i="4"/>
  <c r="M100" i="4"/>
  <c r="L100" i="4"/>
  <c r="K100" i="4"/>
  <c r="J100" i="4"/>
  <c r="I100" i="4"/>
  <c r="H100" i="4"/>
  <c r="G100" i="4"/>
  <c r="F100" i="4"/>
  <c r="E100" i="4"/>
  <c r="D100" i="4"/>
  <c r="A100" i="4"/>
  <c r="O99" i="4"/>
  <c r="N99" i="4"/>
  <c r="M99" i="4"/>
  <c r="L99" i="4"/>
  <c r="K99" i="4"/>
  <c r="J99" i="4"/>
  <c r="I99" i="4"/>
  <c r="H99" i="4"/>
  <c r="G99" i="4"/>
  <c r="F99" i="4"/>
  <c r="E99" i="4"/>
  <c r="D99" i="4"/>
  <c r="A99" i="4"/>
  <c r="O98" i="4"/>
  <c r="N98" i="4"/>
  <c r="M98" i="4"/>
  <c r="L98" i="4"/>
  <c r="K98" i="4"/>
  <c r="J98" i="4"/>
  <c r="I98" i="4"/>
  <c r="H98" i="4"/>
  <c r="G98" i="4"/>
  <c r="F98" i="4"/>
  <c r="E98" i="4"/>
  <c r="D98" i="4"/>
  <c r="A98" i="4"/>
  <c r="O97" i="4"/>
  <c r="N97" i="4"/>
  <c r="M97" i="4"/>
  <c r="L97" i="4"/>
  <c r="K97" i="4"/>
  <c r="J97" i="4"/>
  <c r="I97" i="4"/>
  <c r="H97" i="4"/>
  <c r="G97" i="4"/>
  <c r="F97" i="4"/>
  <c r="E97" i="4"/>
  <c r="D97" i="4"/>
  <c r="A97" i="4"/>
  <c r="O96" i="4"/>
  <c r="N96" i="4"/>
  <c r="M96" i="4"/>
  <c r="L96" i="4"/>
  <c r="K96" i="4"/>
  <c r="J96" i="4"/>
  <c r="I96" i="4"/>
  <c r="H96" i="4"/>
  <c r="G96" i="4"/>
  <c r="F96" i="4"/>
  <c r="E96" i="4"/>
  <c r="D96" i="4"/>
  <c r="A96" i="4"/>
  <c r="O95" i="4"/>
  <c r="N95" i="4"/>
  <c r="M95" i="4"/>
  <c r="L95" i="4"/>
  <c r="K95" i="4"/>
  <c r="J95" i="4"/>
  <c r="I95" i="4"/>
  <c r="H95" i="4"/>
  <c r="G95" i="4"/>
  <c r="F95" i="4"/>
  <c r="E95" i="4"/>
  <c r="D95" i="4"/>
  <c r="A95" i="4"/>
  <c r="O94" i="4"/>
  <c r="N94" i="4"/>
  <c r="M94" i="4"/>
  <c r="L94" i="4"/>
  <c r="K94" i="4"/>
  <c r="J94" i="4"/>
  <c r="I94" i="4"/>
  <c r="H94" i="4"/>
  <c r="G94" i="4"/>
  <c r="F94" i="4"/>
  <c r="E94" i="4"/>
  <c r="D94" i="4"/>
  <c r="A94" i="4"/>
  <c r="O93" i="4"/>
  <c r="N93" i="4"/>
  <c r="M93" i="4"/>
  <c r="L93" i="4"/>
  <c r="K93" i="4"/>
  <c r="J93" i="4"/>
  <c r="I93" i="4"/>
  <c r="H93" i="4"/>
  <c r="G93" i="4"/>
  <c r="F93" i="4"/>
  <c r="E93" i="4"/>
  <c r="D93" i="4"/>
  <c r="A93" i="4"/>
  <c r="O92" i="4"/>
  <c r="N92" i="4"/>
  <c r="M92" i="4"/>
  <c r="L92" i="4"/>
  <c r="K92" i="4"/>
  <c r="J92" i="4"/>
  <c r="I92" i="4"/>
  <c r="H92" i="4"/>
  <c r="G92" i="4"/>
  <c r="F92" i="4"/>
  <c r="E92" i="4"/>
  <c r="D92" i="4"/>
  <c r="A92" i="4"/>
  <c r="O91" i="4"/>
  <c r="N91" i="4"/>
  <c r="M91" i="4"/>
  <c r="L91" i="4"/>
  <c r="K91" i="4"/>
  <c r="J91" i="4"/>
  <c r="I91" i="4"/>
  <c r="H91" i="4"/>
  <c r="G91" i="4"/>
  <c r="F91" i="4"/>
  <c r="E91" i="4"/>
  <c r="D91" i="4"/>
  <c r="A91" i="4"/>
  <c r="O90" i="4"/>
  <c r="N90" i="4"/>
  <c r="M90" i="4"/>
  <c r="L90" i="4"/>
  <c r="K90" i="4"/>
  <c r="J90" i="4"/>
  <c r="I90" i="4"/>
  <c r="H90" i="4"/>
  <c r="G90" i="4"/>
  <c r="F90" i="4"/>
  <c r="E90" i="4"/>
  <c r="D90" i="4"/>
  <c r="A90" i="4"/>
  <c r="O89" i="4"/>
  <c r="N89" i="4"/>
  <c r="M89" i="4"/>
  <c r="L89" i="4"/>
  <c r="K89" i="4"/>
  <c r="J89" i="4"/>
  <c r="I89" i="4"/>
  <c r="H89" i="4"/>
  <c r="G89" i="4"/>
  <c r="F89" i="4"/>
  <c r="E89" i="4"/>
  <c r="D89" i="4"/>
  <c r="A89" i="4"/>
  <c r="O88" i="4"/>
  <c r="N88" i="4"/>
  <c r="M88" i="4"/>
  <c r="L88" i="4"/>
  <c r="K88" i="4"/>
  <c r="J88" i="4"/>
  <c r="I88" i="4"/>
  <c r="H88" i="4"/>
  <c r="G88" i="4"/>
  <c r="F88" i="4"/>
  <c r="E88" i="4"/>
  <c r="D88" i="4"/>
  <c r="A88" i="4"/>
  <c r="O87" i="4"/>
  <c r="N87" i="4"/>
  <c r="M87" i="4"/>
  <c r="L87" i="4"/>
  <c r="K87" i="4"/>
  <c r="J87" i="4"/>
  <c r="I87" i="4"/>
  <c r="H87" i="4"/>
  <c r="G87" i="4"/>
  <c r="F87" i="4"/>
  <c r="E87" i="4"/>
  <c r="D87" i="4"/>
  <c r="A87" i="4"/>
  <c r="O86" i="4"/>
  <c r="N86" i="4"/>
  <c r="M86" i="4"/>
  <c r="L86" i="4"/>
  <c r="K86" i="4"/>
  <c r="J86" i="4"/>
  <c r="I86" i="4"/>
  <c r="H86" i="4"/>
  <c r="G86" i="4"/>
  <c r="F86" i="4"/>
  <c r="E86" i="4"/>
  <c r="D86" i="4"/>
  <c r="A86" i="4"/>
  <c r="O85" i="4"/>
  <c r="N85" i="4"/>
  <c r="M85" i="4"/>
  <c r="L85" i="4"/>
  <c r="K85" i="4"/>
  <c r="J85" i="4"/>
  <c r="I85" i="4"/>
  <c r="H85" i="4"/>
  <c r="G85" i="4"/>
  <c r="F85" i="4"/>
  <c r="E85" i="4"/>
  <c r="D85" i="4"/>
  <c r="A85" i="4"/>
  <c r="O84" i="4"/>
  <c r="N84" i="4"/>
  <c r="M84" i="4"/>
  <c r="L84" i="4"/>
  <c r="K84" i="4"/>
  <c r="J84" i="4"/>
  <c r="I84" i="4"/>
  <c r="H84" i="4"/>
  <c r="G84" i="4"/>
  <c r="F84" i="4"/>
  <c r="E84" i="4"/>
  <c r="D84" i="4"/>
  <c r="A84" i="4"/>
  <c r="O83" i="4"/>
  <c r="N83" i="4"/>
  <c r="M83" i="4"/>
  <c r="L83" i="4"/>
  <c r="K83" i="4"/>
  <c r="J83" i="4"/>
  <c r="I83" i="4"/>
  <c r="H83" i="4"/>
  <c r="G83" i="4"/>
  <c r="F83" i="4"/>
  <c r="E83" i="4"/>
  <c r="D83" i="4"/>
  <c r="A83" i="4"/>
  <c r="O82" i="4"/>
  <c r="N82" i="4"/>
  <c r="M82" i="4"/>
  <c r="L82" i="4"/>
  <c r="K82" i="4"/>
  <c r="J82" i="4"/>
  <c r="I82" i="4"/>
  <c r="H82" i="4"/>
  <c r="G82" i="4"/>
  <c r="F82" i="4"/>
  <c r="E82" i="4"/>
  <c r="D82" i="4"/>
  <c r="A82" i="4"/>
  <c r="O81" i="4"/>
  <c r="N81" i="4"/>
  <c r="M81" i="4"/>
  <c r="L81" i="4"/>
  <c r="K81" i="4"/>
  <c r="J81" i="4"/>
  <c r="I81" i="4"/>
  <c r="H81" i="4"/>
  <c r="G81" i="4"/>
  <c r="F81" i="4"/>
  <c r="E81" i="4"/>
  <c r="D81" i="4"/>
  <c r="A81" i="4"/>
  <c r="O80" i="4"/>
  <c r="N80" i="4"/>
  <c r="M80" i="4"/>
  <c r="L80" i="4"/>
  <c r="K80" i="4"/>
  <c r="J80" i="4"/>
  <c r="I80" i="4"/>
  <c r="H80" i="4"/>
  <c r="G80" i="4"/>
  <c r="F80" i="4"/>
  <c r="E80" i="4"/>
  <c r="D80" i="4"/>
  <c r="A80" i="4"/>
  <c r="O79" i="4"/>
  <c r="N79" i="4"/>
  <c r="M79" i="4"/>
  <c r="L79" i="4"/>
  <c r="K79" i="4"/>
  <c r="J79" i="4"/>
  <c r="I79" i="4"/>
  <c r="H79" i="4"/>
  <c r="G79" i="4"/>
  <c r="F79" i="4"/>
  <c r="E79" i="4"/>
  <c r="D79" i="4"/>
  <c r="A79" i="4"/>
  <c r="O78" i="4"/>
  <c r="N78" i="4"/>
  <c r="M78" i="4"/>
  <c r="L78" i="4"/>
  <c r="K78" i="4"/>
  <c r="J78" i="4"/>
  <c r="I78" i="4"/>
  <c r="H78" i="4"/>
  <c r="G78" i="4"/>
  <c r="F78" i="4"/>
  <c r="E78" i="4"/>
  <c r="D78" i="4"/>
  <c r="A78" i="4"/>
  <c r="O77" i="4"/>
  <c r="N77" i="4"/>
  <c r="M77" i="4"/>
  <c r="L77" i="4"/>
  <c r="K77" i="4"/>
  <c r="J77" i="4"/>
  <c r="I77" i="4"/>
  <c r="H77" i="4"/>
  <c r="G77" i="4"/>
  <c r="F77" i="4"/>
  <c r="E77" i="4"/>
  <c r="D77" i="4"/>
  <c r="A77" i="4"/>
  <c r="O76" i="4"/>
  <c r="N76" i="4"/>
  <c r="M76" i="4"/>
  <c r="L76" i="4"/>
  <c r="K76" i="4"/>
  <c r="J76" i="4"/>
  <c r="I76" i="4"/>
  <c r="H76" i="4"/>
  <c r="G76" i="4"/>
  <c r="F76" i="4"/>
  <c r="E76" i="4"/>
  <c r="D76" i="4"/>
  <c r="A76" i="4"/>
  <c r="O75" i="4"/>
  <c r="N75" i="4"/>
  <c r="M75" i="4"/>
  <c r="L75" i="4"/>
  <c r="K75" i="4"/>
  <c r="J75" i="4"/>
  <c r="I75" i="4"/>
  <c r="H75" i="4"/>
  <c r="G75" i="4"/>
  <c r="F75" i="4"/>
  <c r="E75" i="4"/>
  <c r="D75" i="4"/>
  <c r="A75" i="4"/>
  <c r="O74" i="4"/>
  <c r="N74" i="4"/>
  <c r="M74" i="4"/>
  <c r="L74" i="4"/>
  <c r="K74" i="4"/>
  <c r="J74" i="4"/>
  <c r="I74" i="4"/>
  <c r="H74" i="4"/>
  <c r="G74" i="4"/>
  <c r="F74" i="4"/>
  <c r="E74" i="4"/>
  <c r="D74" i="4"/>
  <c r="A74" i="4"/>
  <c r="O73" i="4"/>
  <c r="N73" i="4"/>
  <c r="M73" i="4"/>
  <c r="L73" i="4"/>
  <c r="K73" i="4"/>
  <c r="J73" i="4"/>
  <c r="I73" i="4"/>
  <c r="H73" i="4"/>
  <c r="G73" i="4"/>
  <c r="F73" i="4"/>
  <c r="E73" i="4"/>
  <c r="D73" i="4"/>
  <c r="A73" i="4"/>
  <c r="O72" i="4"/>
  <c r="N72" i="4"/>
  <c r="M72" i="4"/>
  <c r="L72" i="4"/>
  <c r="K72" i="4"/>
  <c r="J72" i="4"/>
  <c r="I72" i="4"/>
  <c r="H72" i="4"/>
  <c r="G72" i="4"/>
  <c r="F72" i="4"/>
  <c r="E72" i="4"/>
  <c r="D72" i="4"/>
  <c r="A72" i="4"/>
  <c r="O71" i="4"/>
  <c r="N71" i="4"/>
  <c r="M71" i="4"/>
  <c r="L71" i="4"/>
  <c r="K71" i="4"/>
  <c r="J71" i="4"/>
  <c r="I71" i="4"/>
  <c r="H71" i="4"/>
  <c r="G71" i="4"/>
  <c r="F71" i="4"/>
  <c r="E71" i="4"/>
  <c r="D71" i="4"/>
  <c r="A71" i="4"/>
  <c r="O70" i="4"/>
  <c r="N70" i="4"/>
  <c r="M70" i="4"/>
  <c r="L70" i="4"/>
  <c r="K70" i="4"/>
  <c r="J70" i="4"/>
  <c r="I70" i="4"/>
  <c r="H70" i="4"/>
  <c r="G70" i="4"/>
  <c r="F70" i="4"/>
  <c r="E70" i="4"/>
  <c r="D70" i="4"/>
  <c r="A70" i="4"/>
  <c r="O69" i="4"/>
  <c r="N69" i="4"/>
  <c r="M69" i="4"/>
  <c r="L69" i="4"/>
  <c r="K69" i="4"/>
  <c r="J69" i="4"/>
  <c r="I69" i="4"/>
  <c r="H69" i="4"/>
  <c r="G69" i="4"/>
  <c r="F69" i="4"/>
  <c r="E69" i="4"/>
  <c r="D69" i="4"/>
  <c r="A69" i="4"/>
  <c r="O68" i="4"/>
  <c r="N68" i="4"/>
  <c r="M68" i="4"/>
  <c r="L68" i="4"/>
  <c r="K68" i="4"/>
  <c r="J68" i="4"/>
  <c r="I68" i="4"/>
  <c r="H68" i="4"/>
  <c r="G68" i="4"/>
  <c r="F68" i="4"/>
  <c r="E68" i="4"/>
  <c r="D68" i="4"/>
  <c r="A68" i="4"/>
  <c r="O67" i="4"/>
  <c r="N67" i="4"/>
  <c r="M67" i="4"/>
  <c r="L67" i="4"/>
  <c r="K67" i="4"/>
  <c r="J67" i="4"/>
  <c r="I67" i="4"/>
  <c r="H67" i="4"/>
  <c r="G67" i="4"/>
  <c r="F67" i="4"/>
  <c r="E67" i="4"/>
  <c r="D67" i="4"/>
  <c r="A67" i="4"/>
  <c r="O66" i="4"/>
  <c r="N66" i="4"/>
  <c r="M66" i="4"/>
  <c r="L66" i="4"/>
  <c r="K66" i="4"/>
  <c r="J66" i="4"/>
  <c r="I66" i="4"/>
  <c r="H66" i="4"/>
  <c r="G66" i="4"/>
  <c r="F66" i="4"/>
  <c r="E66" i="4"/>
  <c r="D66" i="4"/>
  <c r="A66" i="4"/>
  <c r="O65" i="4"/>
  <c r="N65" i="4"/>
  <c r="M65" i="4"/>
  <c r="L65" i="4"/>
  <c r="K65" i="4"/>
  <c r="J65" i="4"/>
  <c r="I65" i="4"/>
  <c r="H65" i="4"/>
  <c r="G65" i="4"/>
  <c r="F65" i="4"/>
  <c r="E65" i="4"/>
  <c r="D65" i="4"/>
  <c r="A65" i="4"/>
  <c r="O64" i="4"/>
  <c r="N64" i="4"/>
  <c r="M64" i="4"/>
  <c r="L64" i="4"/>
  <c r="K64" i="4"/>
  <c r="J64" i="4"/>
  <c r="I64" i="4"/>
  <c r="H64" i="4"/>
  <c r="G64" i="4"/>
  <c r="F64" i="4"/>
  <c r="E64" i="4"/>
  <c r="D64" i="4"/>
  <c r="A64" i="4"/>
  <c r="O63" i="4"/>
  <c r="N63" i="4"/>
  <c r="M63" i="4"/>
  <c r="L63" i="4"/>
  <c r="K63" i="4"/>
  <c r="J63" i="4"/>
  <c r="I63" i="4"/>
  <c r="H63" i="4"/>
  <c r="G63" i="4"/>
  <c r="F63" i="4"/>
  <c r="E63" i="4"/>
  <c r="D63" i="4"/>
  <c r="A63" i="4"/>
  <c r="O62" i="4"/>
  <c r="N62" i="4"/>
  <c r="M62" i="4"/>
  <c r="L62" i="4"/>
  <c r="K62" i="4"/>
  <c r="J62" i="4"/>
  <c r="I62" i="4"/>
  <c r="H62" i="4"/>
  <c r="G62" i="4"/>
  <c r="F62" i="4"/>
  <c r="E62" i="4"/>
  <c r="D62" i="4"/>
  <c r="A62" i="4"/>
  <c r="O61" i="4"/>
  <c r="N61" i="4"/>
  <c r="M61" i="4"/>
  <c r="L61" i="4"/>
  <c r="K61" i="4"/>
  <c r="J61" i="4"/>
  <c r="I61" i="4"/>
  <c r="H61" i="4"/>
  <c r="G61" i="4"/>
  <c r="F61" i="4"/>
  <c r="E61" i="4"/>
  <c r="D61" i="4"/>
  <c r="A61" i="4"/>
  <c r="O60" i="4"/>
  <c r="N60" i="4"/>
  <c r="M60" i="4"/>
  <c r="L60" i="4"/>
  <c r="K60" i="4"/>
  <c r="J60" i="4"/>
  <c r="I60" i="4"/>
  <c r="H60" i="4"/>
  <c r="G60" i="4"/>
  <c r="F60" i="4"/>
  <c r="E60" i="4"/>
  <c r="D60" i="4"/>
  <c r="A60" i="4"/>
  <c r="O59" i="4"/>
  <c r="N59" i="4"/>
  <c r="M59" i="4"/>
  <c r="L59" i="4"/>
  <c r="K59" i="4"/>
  <c r="J59" i="4"/>
  <c r="I59" i="4"/>
  <c r="H59" i="4"/>
  <c r="G59" i="4"/>
  <c r="F59" i="4"/>
  <c r="E59" i="4"/>
  <c r="D59" i="4"/>
  <c r="A59" i="4"/>
  <c r="O58" i="4"/>
  <c r="N58" i="4"/>
  <c r="M58" i="4"/>
  <c r="L58" i="4"/>
  <c r="K58" i="4"/>
  <c r="J58" i="4"/>
  <c r="I58" i="4"/>
  <c r="H58" i="4"/>
  <c r="G58" i="4"/>
  <c r="F58" i="4"/>
  <c r="E58" i="4"/>
  <c r="D58" i="4"/>
  <c r="A58" i="4"/>
  <c r="O57" i="4"/>
  <c r="N57" i="4"/>
  <c r="M57" i="4"/>
  <c r="L57" i="4"/>
  <c r="K57" i="4"/>
  <c r="J57" i="4"/>
  <c r="I57" i="4"/>
  <c r="H57" i="4"/>
  <c r="G57" i="4"/>
  <c r="F57" i="4"/>
  <c r="E57" i="4"/>
  <c r="D57" i="4"/>
  <c r="A57" i="4"/>
  <c r="O56" i="4"/>
  <c r="N56" i="4"/>
  <c r="M56" i="4"/>
  <c r="L56" i="4"/>
  <c r="K56" i="4"/>
  <c r="J56" i="4"/>
  <c r="I56" i="4"/>
  <c r="H56" i="4"/>
  <c r="G56" i="4"/>
  <c r="F56" i="4"/>
  <c r="E56" i="4"/>
  <c r="D56" i="4"/>
  <c r="A56" i="4"/>
  <c r="O55" i="4"/>
  <c r="N55" i="4"/>
  <c r="M55" i="4"/>
  <c r="L55" i="4"/>
  <c r="K55" i="4"/>
  <c r="J55" i="4"/>
  <c r="I55" i="4"/>
  <c r="H55" i="4"/>
  <c r="G55" i="4"/>
  <c r="F55" i="4"/>
  <c r="E55" i="4"/>
  <c r="D55" i="4"/>
  <c r="A55" i="4"/>
  <c r="O54" i="4"/>
  <c r="N54" i="4"/>
  <c r="M54" i="4"/>
  <c r="L54" i="4"/>
  <c r="K54" i="4"/>
  <c r="J54" i="4"/>
  <c r="I54" i="4"/>
  <c r="H54" i="4"/>
  <c r="G54" i="4"/>
  <c r="F54" i="4"/>
  <c r="E54" i="4"/>
  <c r="D54" i="4"/>
  <c r="A54" i="4"/>
  <c r="O53" i="4"/>
  <c r="N53" i="4"/>
  <c r="M53" i="4"/>
  <c r="L53" i="4"/>
  <c r="K53" i="4"/>
  <c r="J53" i="4"/>
  <c r="I53" i="4"/>
  <c r="H53" i="4"/>
  <c r="G53" i="4"/>
  <c r="F53" i="4"/>
  <c r="E53" i="4"/>
  <c r="D53" i="4"/>
  <c r="A53" i="4"/>
  <c r="O52" i="4"/>
  <c r="N52" i="4"/>
  <c r="M52" i="4"/>
  <c r="L52" i="4"/>
  <c r="K52" i="4"/>
  <c r="J52" i="4"/>
  <c r="I52" i="4"/>
  <c r="H52" i="4"/>
  <c r="G52" i="4"/>
  <c r="F52" i="4"/>
  <c r="E52" i="4"/>
  <c r="D52" i="4"/>
  <c r="A52" i="4"/>
  <c r="O51" i="4"/>
  <c r="N51" i="4"/>
  <c r="M51" i="4"/>
  <c r="L51" i="4"/>
  <c r="K51" i="4"/>
  <c r="J51" i="4"/>
  <c r="I51" i="4"/>
  <c r="H51" i="4"/>
  <c r="G51" i="4"/>
  <c r="F51" i="4"/>
  <c r="E51" i="4"/>
  <c r="D51" i="4"/>
  <c r="A51" i="4"/>
  <c r="O50" i="4"/>
  <c r="N50" i="4"/>
  <c r="M50" i="4"/>
  <c r="L50" i="4"/>
  <c r="K50" i="4"/>
  <c r="J50" i="4"/>
  <c r="I50" i="4"/>
  <c r="H50" i="4"/>
  <c r="G50" i="4"/>
  <c r="F50" i="4"/>
  <c r="E50" i="4"/>
  <c r="D50" i="4"/>
  <c r="A50" i="4"/>
  <c r="O49" i="4"/>
  <c r="N49" i="4"/>
  <c r="M49" i="4"/>
  <c r="L49" i="4"/>
  <c r="K49" i="4"/>
  <c r="J49" i="4"/>
  <c r="I49" i="4"/>
  <c r="H49" i="4"/>
  <c r="G49" i="4"/>
  <c r="F49" i="4"/>
  <c r="E49" i="4"/>
  <c r="D49" i="4"/>
  <c r="A49" i="4"/>
  <c r="O48" i="4"/>
  <c r="N48" i="4"/>
  <c r="M48" i="4"/>
  <c r="L48" i="4"/>
  <c r="K48" i="4"/>
  <c r="J48" i="4"/>
  <c r="I48" i="4"/>
  <c r="H48" i="4"/>
  <c r="G48" i="4"/>
  <c r="F48" i="4"/>
  <c r="E48" i="4"/>
  <c r="D48" i="4"/>
  <c r="A48" i="4"/>
  <c r="O47" i="4"/>
  <c r="N47" i="4"/>
  <c r="M47" i="4"/>
  <c r="L47" i="4"/>
  <c r="K47" i="4"/>
  <c r="J47" i="4"/>
  <c r="I47" i="4"/>
  <c r="H47" i="4"/>
  <c r="G47" i="4"/>
  <c r="F47" i="4"/>
  <c r="E47" i="4"/>
  <c r="D47" i="4"/>
  <c r="A47" i="4"/>
  <c r="O46" i="4"/>
  <c r="N46" i="4"/>
  <c r="M46" i="4"/>
  <c r="L46" i="4"/>
  <c r="K46" i="4"/>
  <c r="J46" i="4"/>
  <c r="I46" i="4"/>
  <c r="H46" i="4"/>
  <c r="G46" i="4"/>
  <c r="F46" i="4"/>
  <c r="E46" i="4"/>
  <c r="D46" i="4"/>
  <c r="A46" i="4"/>
  <c r="O45" i="4"/>
  <c r="N45" i="4"/>
  <c r="M45" i="4"/>
  <c r="L45" i="4"/>
  <c r="K45" i="4"/>
  <c r="J45" i="4"/>
  <c r="I45" i="4"/>
  <c r="H45" i="4"/>
  <c r="G45" i="4"/>
  <c r="F45" i="4"/>
  <c r="E45" i="4"/>
  <c r="D45" i="4"/>
  <c r="A45" i="4"/>
  <c r="O44" i="4"/>
  <c r="N44" i="4"/>
  <c r="M44" i="4"/>
  <c r="L44" i="4"/>
  <c r="K44" i="4"/>
  <c r="J44" i="4"/>
  <c r="I44" i="4"/>
  <c r="H44" i="4"/>
  <c r="G44" i="4"/>
  <c r="F44" i="4"/>
  <c r="E44" i="4"/>
  <c r="D44" i="4"/>
  <c r="A44" i="4"/>
  <c r="O43" i="4"/>
  <c r="N43" i="4"/>
  <c r="M43" i="4"/>
  <c r="L43" i="4"/>
  <c r="K43" i="4"/>
  <c r="J43" i="4"/>
  <c r="I43" i="4"/>
  <c r="H43" i="4"/>
  <c r="G43" i="4"/>
  <c r="F43" i="4"/>
  <c r="E43" i="4"/>
  <c r="D43" i="4"/>
  <c r="A43" i="4"/>
  <c r="O42" i="4"/>
  <c r="N42" i="4"/>
  <c r="M42" i="4"/>
  <c r="L42" i="4"/>
  <c r="K42" i="4"/>
  <c r="J42" i="4"/>
  <c r="I42" i="4"/>
  <c r="H42" i="4"/>
  <c r="G42" i="4"/>
  <c r="F42" i="4"/>
  <c r="E42" i="4"/>
  <c r="D42" i="4"/>
  <c r="A42" i="4"/>
  <c r="O41" i="4"/>
  <c r="N41" i="4"/>
  <c r="M41" i="4"/>
  <c r="L41" i="4"/>
  <c r="K41" i="4"/>
  <c r="J41" i="4"/>
  <c r="I41" i="4"/>
  <c r="H41" i="4"/>
  <c r="G41" i="4"/>
  <c r="F41" i="4"/>
  <c r="E41" i="4"/>
  <c r="D41" i="4"/>
  <c r="A41" i="4"/>
  <c r="O40" i="4"/>
  <c r="N40" i="4"/>
  <c r="M40" i="4"/>
  <c r="L40" i="4"/>
  <c r="K40" i="4"/>
  <c r="J40" i="4"/>
  <c r="I40" i="4"/>
  <c r="H40" i="4"/>
  <c r="G40" i="4"/>
  <c r="F40" i="4"/>
  <c r="E40" i="4"/>
  <c r="D40" i="4"/>
  <c r="A40" i="4"/>
  <c r="O39" i="4"/>
  <c r="N39" i="4"/>
  <c r="M39" i="4"/>
  <c r="L39" i="4"/>
  <c r="K39" i="4"/>
  <c r="J39" i="4"/>
  <c r="I39" i="4"/>
  <c r="H39" i="4"/>
  <c r="G39" i="4"/>
  <c r="F39" i="4"/>
  <c r="E39" i="4"/>
  <c r="D39" i="4"/>
  <c r="A39" i="4"/>
  <c r="O38" i="4"/>
  <c r="N38" i="4"/>
  <c r="M38" i="4"/>
  <c r="L38" i="4"/>
  <c r="K38" i="4"/>
  <c r="J38" i="4"/>
  <c r="I38" i="4"/>
  <c r="H38" i="4"/>
  <c r="G38" i="4"/>
  <c r="F38" i="4"/>
  <c r="E38" i="4"/>
  <c r="D38" i="4"/>
  <c r="A38" i="4"/>
  <c r="O37" i="4"/>
  <c r="N37" i="4"/>
  <c r="M37" i="4"/>
  <c r="L37" i="4"/>
  <c r="K37" i="4"/>
  <c r="J37" i="4"/>
  <c r="I37" i="4"/>
  <c r="H37" i="4"/>
  <c r="G37" i="4"/>
  <c r="F37" i="4"/>
  <c r="E37" i="4"/>
  <c r="D37" i="4"/>
  <c r="A37" i="4"/>
  <c r="O36" i="4"/>
  <c r="N36" i="4"/>
  <c r="M36" i="4"/>
  <c r="L36" i="4"/>
  <c r="K36" i="4"/>
  <c r="J36" i="4"/>
  <c r="I36" i="4"/>
  <c r="H36" i="4"/>
  <c r="G36" i="4"/>
  <c r="F36" i="4"/>
  <c r="E36" i="4"/>
  <c r="D36" i="4"/>
  <c r="A36" i="4"/>
  <c r="O35" i="4"/>
  <c r="N35" i="4"/>
  <c r="M35" i="4"/>
  <c r="L35" i="4"/>
  <c r="K35" i="4"/>
  <c r="J35" i="4"/>
  <c r="I35" i="4"/>
  <c r="H35" i="4"/>
  <c r="G35" i="4"/>
  <c r="F35" i="4"/>
  <c r="E35" i="4"/>
  <c r="D35" i="4"/>
  <c r="A35" i="4"/>
  <c r="O34" i="4"/>
  <c r="N34" i="4"/>
  <c r="M34" i="4"/>
  <c r="L34" i="4"/>
  <c r="K34" i="4"/>
  <c r="J34" i="4"/>
  <c r="I34" i="4"/>
  <c r="H34" i="4"/>
  <c r="G34" i="4"/>
  <c r="F34" i="4"/>
  <c r="E34" i="4"/>
  <c r="D34" i="4"/>
  <c r="A34" i="4"/>
  <c r="O33" i="4"/>
  <c r="N33" i="4"/>
  <c r="M33" i="4"/>
  <c r="L33" i="4"/>
  <c r="K33" i="4"/>
  <c r="J33" i="4"/>
  <c r="I33" i="4"/>
  <c r="H33" i="4"/>
  <c r="G33" i="4"/>
  <c r="F33" i="4"/>
  <c r="E33" i="4"/>
  <c r="D33" i="4"/>
  <c r="A33" i="4"/>
  <c r="O32" i="4"/>
  <c r="N32" i="4"/>
  <c r="M32" i="4"/>
  <c r="L32" i="4"/>
  <c r="K32" i="4"/>
  <c r="J32" i="4"/>
  <c r="I32" i="4"/>
  <c r="H32" i="4"/>
  <c r="G32" i="4"/>
  <c r="F32" i="4"/>
  <c r="E32" i="4"/>
  <c r="D32" i="4"/>
  <c r="A32" i="4"/>
  <c r="O31" i="4"/>
  <c r="N31" i="4"/>
  <c r="M31" i="4"/>
  <c r="L31" i="4"/>
  <c r="K31" i="4"/>
  <c r="J31" i="4"/>
  <c r="I31" i="4"/>
  <c r="H31" i="4"/>
  <c r="G31" i="4"/>
  <c r="F31" i="4"/>
  <c r="E31" i="4"/>
  <c r="D31" i="4"/>
  <c r="A31" i="4"/>
  <c r="O30" i="4"/>
  <c r="N30" i="4"/>
  <c r="M30" i="4"/>
  <c r="L30" i="4"/>
  <c r="K30" i="4"/>
  <c r="J30" i="4"/>
  <c r="I30" i="4"/>
  <c r="H30" i="4"/>
  <c r="G30" i="4"/>
  <c r="F30" i="4"/>
  <c r="E30" i="4"/>
  <c r="D30" i="4"/>
  <c r="A30" i="4"/>
  <c r="O29" i="4"/>
  <c r="N29" i="4"/>
  <c r="M29" i="4"/>
  <c r="L29" i="4"/>
  <c r="K29" i="4"/>
  <c r="J29" i="4"/>
  <c r="I29" i="4"/>
  <c r="H29" i="4"/>
  <c r="G29" i="4"/>
  <c r="F29" i="4"/>
  <c r="E29" i="4"/>
  <c r="D29" i="4"/>
  <c r="A29" i="4"/>
  <c r="O28" i="4"/>
  <c r="N28" i="4"/>
  <c r="M28" i="4"/>
  <c r="L28" i="4"/>
  <c r="K28" i="4"/>
  <c r="J28" i="4"/>
  <c r="I28" i="4"/>
  <c r="H28" i="4"/>
  <c r="G28" i="4"/>
  <c r="F28" i="4"/>
  <c r="E28" i="4"/>
  <c r="D28" i="4"/>
  <c r="A28" i="4"/>
  <c r="O27" i="4"/>
  <c r="N27" i="4"/>
  <c r="M27" i="4"/>
  <c r="L27" i="4"/>
  <c r="K27" i="4"/>
  <c r="J27" i="4"/>
  <c r="I27" i="4"/>
  <c r="H27" i="4"/>
  <c r="G27" i="4"/>
  <c r="F27" i="4"/>
  <c r="E27" i="4"/>
  <c r="D27" i="4"/>
  <c r="A27" i="4"/>
  <c r="O26" i="4"/>
  <c r="N26" i="4"/>
  <c r="M26" i="4"/>
  <c r="L26" i="4"/>
  <c r="K26" i="4"/>
  <c r="J26" i="4"/>
  <c r="I26" i="4"/>
  <c r="H26" i="4"/>
  <c r="G26" i="4"/>
  <c r="F26" i="4"/>
  <c r="E26" i="4"/>
  <c r="D26" i="4"/>
  <c r="A26" i="4"/>
  <c r="O25" i="4"/>
  <c r="N25" i="4"/>
  <c r="M25" i="4"/>
  <c r="L25" i="4"/>
  <c r="K25" i="4"/>
  <c r="J25" i="4"/>
  <c r="I25" i="4"/>
  <c r="H25" i="4"/>
  <c r="G25" i="4"/>
  <c r="F25" i="4"/>
  <c r="E25" i="4"/>
  <c r="D25" i="4"/>
  <c r="A25" i="4"/>
  <c r="O24" i="4"/>
  <c r="N24" i="4"/>
  <c r="M24" i="4"/>
  <c r="L24" i="4"/>
  <c r="K24" i="4"/>
  <c r="J24" i="4"/>
  <c r="I24" i="4"/>
  <c r="H24" i="4"/>
  <c r="G24" i="4"/>
  <c r="F24" i="4"/>
  <c r="E24" i="4"/>
  <c r="D24" i="4"/>
  <c r="A24" i="4"/>
  <c r="O23" i="4"/>
  <c r="N23" i="4"/>
  <c r="M23" i="4"/>
  <c r="L23" i="4"/>
  <c r="K23" i="4"/>
  <c r="J23" i="4"/>
  <c r="I23" i="4"/>
  <c r="H23" i="4"/>
  <c r="G23" i="4"/>
  <c r="F23" i="4"/>
  <c r="E23" i="4"/>
  <c r="D23" i="4"/>
  <c r="A23" i="4"/>
  <c r="O22" i="4"/>
  <c r="N22" i="4"/>
  <c r="M22" i="4"/>
  <c r="L22" i="4"/>
  <c r="K22" i="4"/>
  <c r="J22" i="4"/>
  <c r="I22" i="4"/>
  <c r="H22" i="4"/>
  <c r="G22" i="4"/>
  <c r="F22" i="4"/>
  <c r="E22" i="4"/>
  <c r="D22" i="4"/>
  <c r="A22" i="4"/>
  <c r="O21" i="4"/>
  <c r="N21" i="4"/>
  <c r="M21" i="4"/>
  <c r="L21" i="4"/>
  <c r="K21" i="4"/>
  <c r="J21" i="4"/>
  <c r="I21" i="4"/>
  <c r="H21" i="4"/>
  <c r="G21" i="4"/>
  <c r="F21" i="4"/>
  <c r="E21" i="4"/>
  <c r="D21" i="4"/>
  <c r="A21" i="4"/>
  <c r="O20" i="4"/>
  <c r="N20" i="4"/>
  <c r="M20" i="4"/>
  <c r="L20" i="4"/>
  <c r="K20" i="4"/>
  <c r="J20" i="4"/>
  <c r="I20" i="4"/>
  <c r="H20" i="4"/>
  <c r="G20" i="4"/>
  <c r="F20" i="4"/>
  <c r="E20" i="4"/>
  <c r="D20" i="4"/>
  <c r="A20" i="4"/>
  <c r="O19" i="4"/>
  <c r="N19" i="4"/>
  <c r="M19" i="4"/>
  <c r="L19" i="4"/>
  <c r="K19" i="4"/>
  <c r="J19" i="4"/>
  <c r="I19" i="4"/>
  <c r="H19" i="4"/>
  <c r="G19" i="4"/>
  <c r="F19" i="4"/>
  <c r="E19" i="4"/>
  <c r="D19" i="4"/>
  <c r="A19" i="4"/>
  <c r="O18" i="4"/>
  <c r="N18" i="4"/>
  <c r="M18" i="4"/>
  <c r="L18" i="4"/>
  <c r="K18" i="4"/>
  <c r="J18" i="4"/>
  <c r="I18" i="4"/>
  <c r="H18" i="4"/>
  <c r="G18" i="4"/>
  <c r="F18" i="4"/>
  <c r="E18" i="4"/>
  <c r="D18" i="4"/>
  <c r="A18" i="4"/>
  <c r="O17" i="4"/>
  <c r="N17" i="4"/>
  <c r="M17" i="4"/>
  <c r="L17" i="4"/>
  <c r="K17" i="4"/>
  <c r="J17" i="4"/>
  <c r="I17" i="4"/>
  <c r="H17" i="4"/>
  <c r="G17" i="4"/>
  <c r="F17" i="4"/>
  <c r="E17" i="4"/>
  <c r="D17" i="4"/>
  <c r="A17" i="4"/>
  <c r="O16" i="4"/>
  <c r="N16" i="4"/>
  <c r="M16" i="4"/>
  <c r="L16" i="4"/>
  <c r="K16" i="4"/>
  <c r="J16" i="4"/>
  <c r="I16" i="4"/>
  <c r="H16" i="4"/>
  <c r="G16" i="4"/>
  <c r="F16" i="4"/>
  <c r="E16" i="4"/>
  <c r="D16" i="4"/>
  <c r="A16" i="4"/>
  <c r="O15" i="4"/>
  <c r="N15" i="4"/>
  <c r="M15" i="4"/>
  <c r="L15" i="4"/>
  <c r="K15" i="4"/>
  <c r="J15" i="4"/>
  <c r="I15" i="4"/>
  <c r="H15" i="4"/>
  <c r="G15" i="4"/>
  <c r="F15" i="4"/>
  <c r="E15" i="4"/>
  <c r="D15" i="4"/>
  <c r="A15" i="4"/>
  <c r="O14" i="4"/>
  <c r="N14" i="4"/>
  <c r="M14" i="4"/>
  <c r="L14" i="4"/>
  <c r="K14" i="4"/>
  <c r="J14" i="4"/>
  <c r="I14" i="4"/>
  <c r="H14" i="4"/>
  <c r="G14" i="4"/>
  <c r="F14" i="4"/>
  <c r="E14" i="4"/>
  <c r="D14" i="4"/>
  <c r="A14" i="4"/>
  <c r="O13" i="4"/>
  <c r="N13" i="4"/>
  <c r="M13" i="4"/>
  <c r="L13" i="4"/>
  <c r="K13" i="4"/>
  <c r="J13" i="4"/>
  <c r="I13" i="4"/>
  <c r="H13" i="4"/>
  <c r="G13" i="4"/>
  <c r="F13" i="4"/>
  <c r="E13" i="4"/>
  <c r="D13" i="4"/>
  <c r="A13" i="4"/>
  <c r="O12" i="4"/>
  <c r="N12" i="4"/>
  <c r="M12" i="4"/>
  <c r="L12" i="4"/>
  <c r="S13" i="4" s="1"/>
  <c r="K12" i="4"/>
  <c r="J12" i="4"/>
  <c r="I12" i="4"/>
  <c r="H12" i="4"/>
  <c r="G12" i="4"/>
  <c r="F12" i="4"/>
  <c r="E12" i="4"/>
  <c r="D12" i="4"/>
  <c r="A12" i="4"/>
  <c r="O11" i="4"/>
  <c r="N11" i="4"/>
  <c r="M11" i="4"/>
  <c r="L11" i="4"/>
  <c r="K11" i="4"/>
  <c r="J11" i="4"/>
  <c r="I11" i="4"/>
  <c r="H11" i="4"/>
  <c r="G11" i="4"/>
  <c r="F11" i="4"/>
  <c r="E11" i="4"/>
  <c r="D11" i="4"/>
  <c r="A11" i="4"/>
  <c r="O10" i="4"/>
  <c r="N10" i="4"/>
  <c r="M10" i="4"/>
  <c r="L10" i="4"/>
  <c r="K10" i="4"/>
  <c r="J10" i="4"/>
  <c r="S11" i="4" s="1"/>
  <c r="I10" i="4"/>
  <c r="H10" i="4"/>
  <c r="G10" i="4"/>
  <c r="F10" i="4"/>
  <c r="E10" i="4"/>
  <c r="D10" i="4"/>
  <c r="A10" i="4"/>
  <c r="O9" i="4"/>
  <c r="N9" i="4"/>
  <c r="M9" i="4"/>
  <c r="L9" i="4"/>
  <c r="K9" i="4"/>
  <c r="J9" i="4"/>
  <c r="I9" i="4"/>
  <c r="H9" i="4"/>
  <c r="G9" i="4"/>
  <c r="F9" i="4"/>
  <c r="E9" i="4"/>
  <c r="D9" i="4"/>
  <c r="A9" i="4"/>
  <c r="O8" i="4"/>
  <c r="N8" i="4"/>
  <c r="M8" i="4"/>
  <c r="L8" i="4"/>
  <c r="K8" i="4"/>
  <c r="J8" i="4"/>
  <c r="I8" i="4"/>
  <c r="H8" i="4"/>
  <c r="S9" i="4" s="1"/>
  <c r="G8" i="4"/>
  <c r="F8" i="4"/>
  <c r="E8" i="4"/>
  <c r="D8" i="4"/>
  <c r="A8" i="4"/>
  <c r="O7" i="4"/>
  <c r="N7" i="4"/>
  <c r="M7" i="4"/>
  <c r="L7" i="4"/>
  <c r="K7" i="4"/>
  <c r="J7" i="4"/>
  <c r="I7" i="4"/>
  <c r="H7" i="4"/>
  <c r="G7" i="4"/>
  <c r="F7" i="4"/>
  <c r="E7" i="4"/>
  <c r="D7" i="4"/>
  <c r="A7" i="4"/>
  <c r="O6" i="4"/>
  <c r="N6" i="4"/>
  <c r="M6" i="4"/>
  <c r="L6" i="4"/>
  <c r="K6" i="4"/>
  <c r="J6" i="4"/>
  <c r="I6" i="4"/>
  <c r="H6" i="4"/>
  <c r="G6" i="4"/>
  <c r="F6" i="4"/>
  <c r="E6" i="4"/>
  <c r="D6" i="4"/>
  <c r="A6" i="4"/>
  <c r="O5" i="4"/>
  <c r="N5" i="4"/>
  <c r="M5" i="4"/>
  <c r="L5" i="4"/>
  <c r="K5" i="4"/>
  <c r="J5" i="4"/>
  <c r="I5" i="4"/>
  <c r="H5" i="4"/>
  <c r="G5" i="4"/>
  <c r="F5" i="4"/>
  <c r="E5" i="4"/>
  <c r="D5" i="4"/>
  <c r="A5" i="4"/>
  <c r="O4" i="4"/>
  <c r="N4" i="4"/>
  <c r="M4" i="4"/>
  <c r="L4" i="4"/>
  <c r="K4" i="4"/>
  <c r="J4" i="4"/>
  <c r="I4" i="4"/>
  <c r="H4" i="4"/>
  <c r="G4" i="4"/>
  <c r="F4" i="4"/>
  <c r="E4" i="4"/>
  <c r="D4" i="4"/>
  <c r="S5" i="4" s="1"/>
  <c r="A4" i="4"/>
  <c r="O3" i="4"/>
  <c r="N3" i="4"/>
  <c r="M3" i="4"/>
  <c r="L3" i="4"/>
  <c r="K3" i="4"/>
  <c r="J3" i="4"/>
  <c r="I3" i="4"/>
  <c r="H3" i="4"/>
  <c r="G3" i="4"/>
  <c r="F3" i="4"/>
  <c r="E3" i="4"/>
  <c r="S6" i="4" s="1"/>
  <c r="D3" i="4"/>
  <c r="A3" i="4"/>
  <c r="O2" i="4"/>
  <c r="S16" i="4" s="1"/>
  <c r="N2" i="4"/>
  <c r="S15" i="4" s="1"/>
  <c r="M2" i="4"/>
  <c r="S14" i="4" s="1"/>
  <c r="L2" i="4"/>
  <c r="K2" i="4"/>
  <c r="S12" i="4" s="1"/>
  <c r="J2" i="4"/>
  <c r="I2" i="4"/>
  <c r="S10" i="4" s="1"/>
  <c r="H2" i="4"/>
  <c r="G2" i="4"/>
  <c r="S8" i="4" s="1"/>
  <c r="F2" i="4"/>
  <c r="S7" i="4" s="1"/>
  <c r="E2" i="4"/>
  <c r="D2" i="4"/>
  <c r="A2" i="4"/>
  <c r="M20" i="3"/>
  <c r="H20" i="3"/>
  <c r="F20" i="3"/>
  <c r="P15" i="3"/>
  <c r="P17" i="3" s="1"/>
  <c r="D15" i="3"/>
  <c r="D17" i="3" s="1"/>
  <c r="P14" i="3"/>
  <c r="P16" i="3" s="1"/>
  <c r="P18" i="3" s="1"/>
  <c r="N14" i="3"/>
  <c r="N16" i="3" s="1"/>
  <c r="N18" i="3" s="1"/>
  <c r="L14" i="3"/>
  <c r="L15" i="3" s="1"/>
  <c r="L17" i="3" s="1"/>
  <c r="G14" i="3"/>
  <c r="D14" i="3"/>
  <c r="B14" i="3"/>
  <c r="B16" i="3" s="1"/>
  <c r="B18" i="3" s="1"/>
  <c r="P13" i="3"/>
  <c r="O13" i="3"/>
  <c r="N13" i="3"/>
  <c r="M13" i="3"/>
  <c r="M14" i="3" s="1"/>
  <c r="M16" i="3" s="1"/>
  <c r="M18" i="3" s="1"/>
  <c r="L13" i="3"/>
  <c r="L16" i="3" s="1"/>
  <c r="L18" i="3" s="1"/>
  <c r="K13" i="3"/>
  <c r="K14" i="3" s="1"/>
  <c r="K15" i="3" s="1"/>
  <c r="K17" i="3" s="1"/>
  <c r="J13" i="3"/>
  <c r="J14" i="3" s="1"/>
  <c r="I13" i="3"/>
  <c r="I14" i="3" s="1"/>
  <c r="I16" i="3" s="1"/>
  <c r="I18" i="3" s="1"/>
  <c r="H13" i="3"/>
  <c r="G13" i="3"/>
  <c r="G16" i="3" s="1"/>
  <c r="G18" i="3" s="1"/>
  <c r="F13" i="3"/>
  <c r="E13" i="3"/>
  <c r="D13" i="3"/>
  <c r="D16" i="3" s="1"/>
  <c r="D18" i="3" s="1"/>
  <c r="C13" i="3"/>
  <c r="B13" i="3"/>
  <c r="P12" i="3"/>
  <c r="O12" i="3"/>
  <c r="N12" i="3"/>
  <c r="N15" i="3" s="1"/>
  <c r="N17" i="3" s="1"/>
  <c r="M12" i="3"/>
  <c r="M15" i="3" s="1"/>
  <c r="M17" i="3" s="1"/>
  <c r="L12" i="3"/>
  <c r="K12" i="3"/>
  <c r="J12" i="3"/>
  <c r="J15" i="3" s="1"/>
  <c r="J17" i="3" s="1"/>
  <c r="I12" i="3"/>
  <c r="H12" i="3"/>
  <c r="G12" i="3"/>
  <c r="G15" i="3" s="1"/>
  <c r="G17" i="3" s="1"/>
  <c r="F12" i="3"/>
  <c r="E12" i="3"/>
  <c r="D12" i="3"/>
  <c r="C12" i="3"/>
  <c r="B12" i="3"/>
  <c r="B15" i="3" s="1"/>
  <c r="B17" i="3" s="1"/>
  <c r="P11" i="3"/>
  <c r="O11" i="3"/>
  <c r="N11" i="3"/>
  <c r="M11" i="3"/>
  <c r="L11" i="3"/>
  <c r="K11" i="3"/>
  <c r="J11" i="3"/>
  <c r="I11" i="3"/>
  <c r="H11" i="3"/>
  <c r="G11" i="3"/>
  <c r="F11" i="3"/>
  <c r="E11" i="3"/>
  <c r="D11" i="3"/>
  <c r="C11" i="3"/>
  <c r="B11" i="3"/>
  <c r="P10" i="3"/>
  <c r="O10" i="3"/>
  <c r="N10" i="3"/>
  <c r="M10" i="3"/>
  <c r="L10" i="3"/>
  <c r="K10" i="3"/>
  <c r="J10" i="3"/>
  <c r="I10" i="3"/>
  <c r="H10" i="3"/>
  <c r="G10" i="3"/>
  <c r="F10" i="3"/>
  <c r="E10" i="3"/>
  <c r="D10" i="3"/>
  <c r="C10" i="3"/>
  <c r="B10" i="3"/>
  <c r="P9" i="3"/>
  <c r="O9" i="3"/>
  <c r="N9" i="3"/>
  <c r="N20" i="3" s="1"/>
  <c r="M9" i="3"/>
  <c r="L9" i="3"/>
  <c r="K9" i="3"/>
  <c r="J9" i="3"/>
  <c r="I9" i="3"/>
  <c r="H9" i="3"/>
  <c r="G9" i="3"/>
  <c r="F9" i="3"/>
  <c r="E9" i="3"/>
  <c r="D9" i="3"/>
  <c r="C9" i="3"/>
  <c r="B16" i="4" s="1"/>
  <c r="B9" i="3"/>
  <c r="B20" i="3" s="1"/>
  <c r="P8" i="3"/>
  <c r="O8" i="3"/>
  <c r="N8" i="3"/>
  <c r="M8" i="3"/>
  <c r="L8" i="3"/>
  <c r="K8" i="3"/>
  <c r="J8" i="3"/>
  <c r="I8" i="3"/>
  <c r="H8" i="3"/>
  <c r="G8" i="3"/>
  <c r="F8" i="3"/>
  <c r="E8" i="3"/>
  <c r="D8" i="3"/>
  <c r="C8" i="3"/>
  <c r="B8" i="3"/>
  <c r="P7" i="3"/>
  <c r="P20" i="3" s="1"/>
  <c r="O7" i="3"/>
  <c r="O20" i="3" s="1"/>
  <c r="N7" i="3"/>
  <c r="N19" i="3" s="1"/>
  <c r="N21" i="3" s="1"/>
  <c r="M7" i="3"/>
  <c r="M19" i="3" s="1"/>
  <c r="M21" i="3" s="1"/>
  <c r="L7" i="3"/>
  <c r="L20" i="3" s="1"/>
  <c r="K7" i="3"/>
  <c r="K20" i="3" s="1"/>
  <c r="J7" i="3"/>
  <c r="J20" i="3" s="1"/>
  <c r="I7" i="3"/>
  <c r="I19" i="3" s="1"/>
  <c r="H7" i="3"/>
  <c r="H19" i="3" s="1"/>
  <c r="H21" i="3" s="1"/>
  <c r="G7" i="3"/>
  <c r="G19" i="3" s="1"/>
  <c r="F7" i="3"/>
  <c r="F19" i="3" s="1"/>
  <c r="F21" i="3" s="1"/>
  <c r="E7" i="3"/>
  <c r="E20" i="3" s="1"/>
  <c r="D7" i="3"/>
  <c r="D20" i="3" s="1"/>
  <c r="C7" i="3"/>
  <c r="B122" i="4" s="1"/>
  <c r="B7" i="3"/>
  <c r="B19" i="3" s="1"/>
  <c r="B21" i="3" s="1"/>
  <c r="P6" i="3"/>
  <c r="O6" i="3"/>
  <c r="N6" i="3"/>
  <c r="M6" i="3"/>
  <c r="L6" i="3"/>
  <c r="K6" i="3"/>
  <c r="J6" i="3"/>
  <c r="I6" i="3"/>
  <c r="H6" i="3"/>
  <c r="G6" i="3"/>
  <c r="F6" i="3"/>
  <c r="E6" i="3"/>
  <c r="D6" i="3"/>
  <c r="C6" i="3"/>
  <c r="B6" i="3"/>
  <c r="P5" i="3"/>
  <c r="O5" i="3"/>
  <c r="N5" i="3"/>
  <c r="M5" i="3"/>
  <c r="L5" i="3"/>
  <c r="K5" i="3"/>
  <c r="J5" i="3"/>
  <c r="I5" i="3"/>
  <c r="H5" i="3"/>
  <c r="G5" i="3"/>
  <c r="F5" i="3"/>
  <c r="E5" i="3"/>
  <c r="D5" i="3"/>
  <c r="C5" i="3"/>
  <c r="B5" i="3"/>
  <c r="O15" i="3" l="1"/>
  <c r="O17" i="3" s="1"/>
  <c r="E16" i="3"/>
  <c r="E18" i="3" s="1"/>
  <c r="I15" i="3"/>
  <c r="I17" i="3" s="1"/>
  <c r="J19" i="3"/>
  <c r="J21" i="3" s="1"/>
  <c r="G20" i="3"/>
  <c r="G21" i="3" s="1"/>
  <c r="B9" i="4"/>
  <c r="B297" i="4"/>
  <c r="K19" i="3"/>
  <c r="K21" i="3" s="1"/>
  <c r="B14" i="4"/>
  <c r="B19" i="4"/>
  <c r="B22" i="4"/>
  <c r="B25" i="4"/>
  <c r="B28" i="4"/>
  <c r="B31" i="4"/>
  <c r="B34" i="4"/>
  <c r="B37" i="4"/>
  <c r="B40" i="4"/>
  <c r="B43" i="4"/>
  <c r="B46" i="4"/>
  <c r="B49" i="4"/>
  <c r="B52" i="4"/>
  <c r="B55" i="4"/>
  <c r="B58" i="4"/>
  <c r="B61" i="4"/>
  <c r="B64" i="4"/>
  <c r="B67" i="4"/>
  <c r="B70" i="4"/>
  <c r="B73" i="4"/>
  <c r="B76" i="4"/>
  <c r="B79" i="4"/>
  <c r="B82" i="4"/>
  <c r="B85" i="4"/>
  <c r="B88" i="4"/>
  <c r="B91" i="4"/>
  <c r="B94" i="4"/>
  <c r="B97" i="4"/>
  <c r="B100" i="4"/>
  <c r="B103" i="4"/>
  <c r="B106" i="4"/>
  <c r="B109" i="4"/>
  <c r="B112" i="4"/>
  <c r="B115" i="4"/>
  <c r="B118" i="4"/>
  <c r="B128" i="4"/>
  <c r="B281" i="4"/>
  <c r="L19" i="3"/>
  <c r="L21" i="3" s="1"/>
  <c r="B2" i="4"/>
  <c r="B7" i="4"/>
  <c r="B12" i="4"/>
  <c r="B125" i="4"/>
  <c r="P327" i="4"/>
  <c r="C14" i="3"/>
  <c r="C15" i="3" s="1"/>
  <c r="O14" i="3"/>
  <c r="O16" i="3" s="1"/>
  <c r="O18" i="3" s="1"/>
  <c r="J16" i="3"/>
  <c r="J18" i="3" s="1"/>
  <c r="E14" i="3"/>
  <c r="E15" i="3" s="1"/>
  <c r="E17" i="3" s="1"/>
  <c r="K16" i="3"/>
  <c r="K18" i="3" s="1"/>
  <c r="B5" i="4"/>
  <c r="B17" i="4"/>
  <c r="I20" i="3"/>
  <c r="I21" i="3" s="1"/>
  <c r="B1000" i="4"/>
  <c r="B997" i="4"/>
  <c r="B994" i="4"/>
  <c r="B991" i="4"/>
  <c r="B988" i="4"/>
  <c r="B985" i="4"/>
  <c r="B982" i="4"/>
  <c r="B979" i="4"/>
  <c r="B976" i="4"/>
  <c r="B973" i="4"/>
  <c r="B970" i="4"/>
  <c r="B967" i="4"/>
  <c r="B964" i="4"/>
  <c r="B961" i="4"/>
  <c r="B958" i="4"/>
  <c r="B955" i="4"/>
  <c r="B952" i="4"/>
  <c r="B949" i="4"/>
  <c r="B946" i="4"/>
  <c r="B943" i="4"/>
  <c r="B940" i="4"/>
  <c r="B937" i="4"/>
  <c r="B934" i="4"/>
  <c r="B931" i="4"/>
  <c r="B928" i="4"/>
  <c r="B925" i="4"/>
  <c r="B922" i="4"/>
  <c r="B919" i="4"/>
  <c r="B916" i="4"/>
  <c r="B913" i="4"/>
  <c r="B910" i="4"/>
  <c r="B907" i="4"/>
  <c r="B904" i="4"/>
  <c r="B901" i="4"/>
  <c r="B898" i="4"/>
  <c r="B895" i="4"/>
  <c r="B892" i="4"/>
  <c r="B889" i="4"/>
  <c r="B886" i="4"/>
  <c r="B883" i="4"/>
  <c r="B880" i="4"/>
  <c r="B877" i="4"/>
  <c r="B874" i="4"/>
  <c r="B871" i="4"/>
  <c r="B868" i="4"/>
  <c r="B865" i="4"/>
  <c r="B862" i="4"/>
  <c r="B859" i="4"/>
  <c r="B856" i="4"/>
  <c r="B853" i="4"/>
  <c r="B850" i="4"/>
  <c r="B844" i="4"/>
  <c r="B841" i="4"/>
  <c r="B838" i="4"/>
  <c r="B835" i="4"/>
  <c r="B832" i="4"/>
  <c r="B829" i="4"/>
  <c r="B826" i="4"/>
  <c r="B823" i="4"/>
  <c r="B820" i="4"/>
  <c r="B817" i="4"/>
  <c r="B814" i="4"/>
  <c r="B811" i="4"/>
  <c r="B808" i="4"/>
  <c r="B805" i="4"/>
  <c r="B802" i="4"/>
  <c r="B799" i="4"/>
  <c r="B1001" i="4"/>
  <c r="B998" i="4"/>
  <c r="B995" i="4"/>
  <c r="B992" i="4"/>
  <c r="B989" i="4"/>
  <c r="B986" i="4"/>
  <c r="B983" i="4"/>
  <c r="B980" i="4"/>
  <c r="B977" i="4"/>
  <c r="B974" i="4"/>
  <c r="B971" i="4"/>
  <c r="B968" i="4"/>
  <c r="B965" i="4"/>
  <c r="B962" i="4"/>
  <c r="B959" i="4"/>
  <c r="B956" i="4"/>
  <c r="B953" i="4"/>
  <c r="B950" i="4"/>
  <c r="B947" i="4"/>
  <c r="B944" i="4"/>
  <c r="B941" i="4"/>
  <c r="B938" i="4"/>
  <c r="B935" i="4"/>
  <c r="B932" i="4"/>
  <c r="B929" i="4"/>
  <c r="B926" i="4"/>
  <c r="B923" i="4"/>
  <c r="B920" i="4"/>
  <c r="B917" i="4"/>
  <c r="B914" i="4"/>
  <c r="B911" i="4"/>
  <c r="B908" i="4"/>
  <c r="B905" i="4"/>
  <c r="B902" i="4"/>
  <c r="B899" i="4"/>
  <c r="B896" i="4"/>
  <c r="B893" i="4"/>
  <c r="B890" i="4"/>
  <c r="B887" i="4"/>
  <c r="B884" i="4"/>
  <c r="B881" i="4"/>
  <c r="B878" i="4"/>
  <c r="B875" i="4"/>
  <c r="B872" i="4"/>
  <c r="B869" i="4"/>
  <c r="B866" i="4"/>
  <c r="B863" i="4"/>
  <c r="B860" i="4"/>
  <c r="B857" i="4"/>
  <c r="B854" i="4"/>
  <c r="B851" i="4"/>
  <c r="B848" i="4"/>
  <c r="B845" i="4"/>
  <c r="B842" i="4"/>
  <c r="B839" i="4"/>
  <c r="B836" i="4"/>
  <c r="B833" i="4"/>
  <c r="B830" i="4"/>
  <c r="B827" i="4"/>
  <c r="B824" i="4"/>
  <c r="B821" i="4"/>
  <c r="B818" i="4"/>
  <c r="B815" i="4"/>
  <c r="B812" i="4"/>
  <c r="B809" i="4"/>
  <c r="B806" i="4"/>
  <c r="B803" i="4"/>
  <c r="B800" i="4"/>
  <c r="B797" i="4"/>
  <c r="B794" i="4"/>
  <c r="B791" i="4"/>
  <c r="B788" i="4"/>
  <c r="B785" i="4"/>
  <c r="B782" i="4"/>
  <c r="B779" i="4"/>
  <c r="B776" i="4"/>
  <c r="B773" i="4"/>
  <c r="B770" i="4"/>
  <c r="B767" i="4"/>
  <c r="B764" i="4"/>
  <c r="B761" i="4"/>
  <c r="B758" i="4"/>
  <c r="B755" i="4"/>
  <c r="B752" i="4"/>
  <c r="B749" i="4"/>
  <c r="B978" i="4"/>
  <c r="B960" i="4"/>
  <c r="B942" i="4"/>
  <c r="B924" i="4"/>
  <c r="B906" i="4"/>
  <c r="B888" i="4"/>
  <c r="B870" i="4"/>
  <c r="B852" i="4"/>
  <c r="B795" i="4"/>
  <c r="B772" i="4"/>
  <c r="B759" i="4"/>
  <c r="B746" i="4"/>
  <c r="B743" i="4"/>
  <c r="B740" i="4"/>
  <c r="B737" i="4"/>
  <c r="B734" i="4"/>
  <c r="B731" i="4"/>
  <c r="B728" i="4"/>
  <c r="B725" i="4"/>
  <c r="B722" i="4"/>
  <c r="B719" i="4"/>
  <c r="B716" i="4"/>
  <c r="B713" i="4"/>
  <c r="B710" i="4"/>
  <c r="B707" i="4"/>
  <c r="B704" i="4"/>
  <c r="B701" i="4"/>
  <c r="B698" i="4"/>
  <c r="B695" i="4"/>
  <c r="B692" i="4"/>
  <c r="B689" i="4"/>
  <c r="B686" i="4"/>
  <c r="B683" i="4"/>
  <c r="B680" i="4"/>
  <c r="B677" i="4"/>
  <c r="B674" i="4"/>
  <c r="B671" i="4"/>
  <c r="B668" i="4"/>
  <c r="B665" i="4"/>
  <c r="B662" i="4"/>
  <c r="B659" i="4"/>
  <c r="B656" i="4"/>
  <c r="B653" i="4"/>
  <c r="B650" i="4"/>
  <c r="B834" i="4"/>
  <c r="B816" i="4"/>
  <c r="B798" i="4"/>
  <c r="B775" i="4"/>
  <c r="B762" i="4"/>
  <c r="B990" i="4"/>
  <c r="B963" i="4"/>
  <c r="B945" i="4"/>
  <c r="B927" i="4"/>
  <c r="B909" i="4"/>
  <c r="B891" i="4"/>
  <c r="B873" i="4"/>
  <c r="B855" i="4"/>
  <c r="B778" i="4"/>
  <c r="B765" i="4"/>
  <c r="B996" i="4"/>
  <c r="B981" i="4"/>
  <c r="B837" i="4"/>
  <c r="B819" i="4"/>
  <c r="B801" i="4"/>
  <c r="B781" i="4"/>
  <c r="B768" i="4"/>
  <c r="B966" i="4"/>
  <c r="B948" i="4"/>
  <c r="B930" i="4"/>
  <c r="B912" i="4"/>
  <c r="B894" i="4"/>
  <c r="B876" i="4"/>
  <c r="B858" i="4"/>
  <c r="B784" i="4"/>
  <c r="B771" i="4"/>
  <c r="B748" i="4"/>
  <c r="B745" i="4"/>
  <c r="B742" i="4"/>
  <c r="B739" i="4"/>
  <c r="B736" i="4"/>
  <c r="B733" i="4"/>
  <c r="B730" i="4"/>
  <c r="B727" i="4"/>
  <c r="B724" i="4"/>
  <c r="B721" i="4"/>
  <c r="B718" i="4"/>
  <c r="B715" i="4"/>
  <c r="B712" i="4"/>
  <c r="B709" i="4"/>
  <c r="B706" i="4"/>
  <c r="B703" i="4"/>
  <c r="B700" i="4"/>
  <c r="B697" i="4"/>
  <c r="B691" i="4"/>
  <c r="B688" i="4"/>
  <c r="B685" i="4"/>
  <c r="B682" i="4"/>
  <c r="B679" i="4"/>
  <c r="B676" i="4"/>
  <c r="B673" i="4"/>
  <c r="B670" i="4"/>
  <c r="B667" i="4"/>
  <c r="B664" i="4"/>
  <c r="B661" i="4"/>
  <c r="B658" i="4"/>
  <c r="B655" i="4"/>
  <c r="B652" i="4"/>
  <c r="B649" i="4"/>
  <c r="B646" i="4"/>
  <c r="B643" i="4"/>
  <c r="B640" i="4"/>
  <c r="B637" i="4"/>
  <c r="B984" i="4"/>
  <c r="B969" i="4"/>
  <c r="B951" i="4"/>
  <c r="B933" i="4"/>
  <c r="B915" i="4"/>
  <c r="B897" i="4"/>
  <c r="B879" i="4"/>
  <c r="B861" i="4"/>
  <c r="B790" i="4"/>
  <c r="B777" i="4"/>
  <c r="B754" i="4"/>
  <c r="B993" i="4"/>
  <c r="B843" i="4"/>
  <c r="B825" i="4"/>
  <c r="B807" i="4"/>
  <c r="B793" i="4"/>
  <c r="B780" i="4"/>
  <c r="B757" i="4"/>
  <c r="B972" i="4"/>
  <c r="B954" i="4"/>
  <c r="B936" i="4"/>
  <c r="B918" i="4"/>
  <c r="B900" i="4"/>
  <c r="B882" i="4"/>
  <c r="B864" i="4"/>
  <c r="B796" i="4"/>
  <c r="B783" i="4"/>
  <c r="B760" i="4"/>
  <c r="B747" i="4"/>
  <c r="B846" i="4"/>
  <c r="B828" i="4"/>
  <c r="B810" i="4"/>
  <c r="B786" i="4"/>
  <c r="B763" i="4"/>
  <c r="B750" i="4"/>
  <c r="B987" i="4"/>
  <c r="B975" i="4"/>
  <c r="B957" i="4"/>
  <c r="B939" i="4"/>
  <c r="B921" i="4"/>
  <c r="B903" i="4"/>
  <c r="B885" i="4"/>
  <c r="B867" i="4"/>
  <c r="B849" i="4"/>
  <c r="B789" i="4"/>
  <c r="B766" i="4"/>
  <c r="B753" i="4"/>
  <c r="B999" i="4"/>
  <c r="B831" i="4"/>
  <c r="B813" i="4"/>
  <c r="B792" i="4"/>
  <c r="B769" i="4"/>
  <c r="B756" i="4"/>
  <c r="B735" i="4"/>
  <c r="B693" i="4"/>
  <c r="B675" i="4"/>
  <c r="B657" i="4"/>
  <c r="B840" i="4"/>
  <c r="B717" i="4"/>
  <c r="B696" i="4"/>
  <c r="B751" i="4"/>
  <c r="B741" i="4"/>
  <c r="B678" i="4"/>
  <c r="B660" i="4"/>
  <c r="B636" i="4"/>
  <c r="B633" i="4"/>
  <c r="B630" i="4"/>
  <c r="B627" i="4"/>
  <c r="B624" i="4"/>
  <c r="B621" i="4"/>
  <c r="B618" i="4"/>
  <c r="B615" i="4"/>
  <c r="B612" i="4"/>
  <c r="B609" i="4"/>
  <c r="B606" i="4"/>
  <c r="B603" i="4"/>
  <c r="B600" i="4"/>
  <c r="B597" i="4"/>
  <c r="B594" i="4"/>
  <c r="B591" i="4"/>
  <c r="B588" i="4"/>
  <c r="B585" i="4"/>
  <c r="B582" i="4"/>
  <c r="B579" i="4"/>
  <c r="B576" i="4"/>
  <c r="B573" i="4"/>
  <c r="B570" i="4"/>
  <c r="B567" i="4"/>
  <c r="B564" i="4"/>
  <c r="B561" i="4"/>
  <c r="B558" i="4"/>
  <c r="B555" i="4"/>
  <c r="B552" i="4"/>
  <c r="B549" i="4"/>
  <c r="B546" i="4"/>
  <c r="B543" i="4"/>
  <c r="B540" i="4"/>
  <c r="B537" i="4"/>
  <c r="B534" i="4"/>
  <c r="B531" i="4"/>
  <c r="B528" i="4"/>
  <c r="B525" i="4"/>
  <c r="B522" i="4"/>
  <c r="B519" i="4"/>
  <c r="B516" i="4"/>
  <c r="B513" i="4"/>
  <c r="B510" i="4"/>
  <c r="B507" i="4"/>
  <c r="B504" i="4"/>
  <c r="B501" i="4"/>
  <c r="B498" i="4"/>
  <c r="B495" i="4"/>
  <c r="B492" i="4"/>
  <c r="B489" i="4"/>
  <c r="B486" i="4"/>
  <c r="B483" i="4"/>
  <c r="B480" i="4"/>
  <c r="B477" i="4"/>
  <c r="B474" i="4"/>
  <c r="B471" i="4"/>
  <c r="B468" i="4"/>
  <c r="B465" i="4"/>
  <c r="B462" i="4"/>
  <c r="B711" i="4"/>
  <c r="B699" i="4"/>
  <c r="B639" i="4"/>
  <c r="B681" i="4"/>
  <c r="B663" i="4"/>
  <c r="B642" i="4"/>
  <c r="B732" i="4"/>
  <c r="B726" i="4"/>
  <c r="B702" i="4"/>
  <c r="B645" i="4"/>
  <c r="B787" i="4"/>
  <c r="B720" i="4"/>
  <c r="B684" i="4"/>
  <c r="B666" i="4"/>
  <c r="B648" i="4"/>
  <c r="B635" i="4"/>
  <c r="B632" i="4"/>
  <c r="B629" i="4"/>
  <c r="B626" i="4"/>
  <c r="B623" i="4"/>
  <c r="B620" i="4"/>
  <c r="B617" i="4"/>
  <c r="B614" i="4"/>
  <c r="B611" i="4"/>
  <c r="B608" i="4"/>
  <c r="B605" i="4"/>
  <c r="B602" i="4"/>
  <c r="B599" i="4"/>
  <c r="B596" i="4"/>
  <c r="B593" i="4"/>
  <c r="B590" i="4"/>
  <c r="B587" i="4"/>
  <c r="B584" i="4"/>
  <c r="B581" i="4"/>
  <c r="B578" i="4"/>
  <c r="B575" i="4"/>
  <c r="B572" i="4"/>
  <c r="B569" i="4"/>
  <c r="B566" i="4"/>
  <c r="B563" i="4"/>
  <c r="B560" i="4"/>
  <c r="B557" i="4"/>
  <c r="B554" i="4"/>
  <c r="B551" i="4"/>
  <c r="B548" i="4"/>
  <c r="B545" i="4"/>
  <c r="B542" i="4"/>
  <c r="B539" i="4"/>
  <c r="B536" i="4"/>
  <c r="B533" i="4"/>
  <c r="B530" i="4"/>
  <c r="B527" i="4"/>
  <c r="B524" i="4"/>
  <c r="B521" i="4"/>
  <c r="B518" i="4"/>
  <c r="B515" i="4"/>
  <c r="B512" i="4"/>
  <c r="B509" i="4"/>
  <c r="B506" i="4"/>
  <c r="B503" i="4"/>
  <c r="B500" i="4"/>
  <c r="B497" i="4"/>
  <c r="B494" i="4"/>
  <c r="B491" i="4"/>
  <c r="B488" i="4"/>
  <c r="B485" i="4"/>
  <c r="B482" i="4"/>
  <c r="B479" i="4"/>
  <c r="B476" i="4"/>
  <c r="B473" i="4"/>
  <c r="B470" i="4"/>
  <c r="B467" i="4"/>
  <c r="B464" i="4"/>
  <c r="B461" i="4"/>
  <c r="B458" i="4"/>
  <c r="B455" i="4"/>
  <c r="B452" i="4"/>
  <c r="B738" i="4"/>
  <c r="B705" i="4"/>
  <c r="B638" i="4"/>
  <c r="B714" i="4"/>
  <c r="B687" i="4"/>
  <c r="B669" i="4"/>
  <c r="B651" i="4"/>
  <c r="B641" i="4"/>
  <c r="B804" i="4"/>
  <c r="B644" i="4"/>
  <c r="B774" i="4"/>
  <c r="B744" i="4"/>
  <c r="B708" i="4"/>
  <c r="B556" i="4"/>
  <c r="B538" i="4"/>
  <c r="B520" i="4"/>
  <c r="B502" i="4"/>
  <c r="B484" i="4"/>
  <c r="B466" i="4"/>
  <c r="B459" i="4"/>
  <c r="B592" i="4"/>
  <c r="B583" i="4"/>
  <c r="B574" i="4"/>
  <c r="B449" i="4"/>
  <c r="B446" i="4"/>
  <c r="B443" i="4"/>
  <c r="B440" i="4"/>
  <c r="B437" i="4"/>
  <c r="B434" i="4"/>
  <c r="B431" i="4"/>
  <c r="B428" i="4"/>
  <c r="B425" i="4"/>
  <c r="B422" i="4"/>
  <c r="B419" i="4"/>
  <c r="B416" i="4"/>
  <c r="B413" i="4"/>
  <c r="B410" i="4"/>
  <c r="B407" i="4"/>
  <c r="B404" i="4"/>
  <c r="B401" i="4"/>
  <c r="B398" i="4"/>
  <c r="B395" i="4"/>
  <c r="B392" i="4"/>
  <c r="B389" i="4"/>
  <c r="B386" i="4"/>
  <c r="B383" i="4"/>
  <c r="B380" i="4"/>
  <c r="B377" i="4"/>
  <c r="B374" i="4"/>
  <c r="B371" i="4"/>
  <c r="B368" i="4"/>
  <c r="B365" i="4"/>
  <c r="B362" i="4"/>
  <c r="B359" i="4"/>
  <c r="B356" i="4"/>
  <c r="B353" i="4"/>
  <c r="B350" i="4"/>
  <c r="B347" i="4"/>
  <c r="B344" i="4"/>
  <c r="B341" i="4"/>
  <c r="B338" i="4"/>
  <c r="B335" i="4"/>
  <c r="B332" i="4"/>
  <c r="B329" i="4"/>
  <c r="B326" i="4"/>
  <c r="B323" i="4"/>
  <c r="B320" i="4"/>
  <c r="B317" i="4"/>
  <c r="B314" i="4"/>
  <c r="B311" i="4"/>
  <c r="B308" i="4"/>
  <c r="B305" i="4"/>
  <c r="B302" i="4"/>
  <c r="B634" i="4"/>
  <c r="B625" i="4"/>
  <c r="B616" i="4"/>
  <c r="B559" i="4"/>
  <c r="B541" i="4"/>
  <c r="B523" i="4"/>
  <c r="B505" i="4"/>
  <c r="B487" i="4"/>
  <c r="B469" i="4"/>
  <c r="B601" i="4"/>
  <c r="B723" i="4"/>
  <c r="B607" i="4"/>
  <c r="B562" i="4"/>
  <c r="B544" i="4"/>
  <c r="B526" i="4"/>
  <c r="B508" i="4"/>
  <c r="B490" i="4"/>
  <c r="B472" i="4"/>
  <c r="B595" i="4"/>
  <c r="B586" i="4"/>
  <c r="B577" i="4"/>
  <c r="B451" i="4"/>
  <c r="B448" i="4"/>
  <c r="B445" i="4"/>
  <c r="B442" i="4"/>
  <c r="B439" i="4"/>
  <c r="B436" i="4"/>
  <c r="B433" i="4"/>
  <c r="B430" i="4"/>
  <c r="B427" i="4"/>
  <c r="B424" i="4"/>
  <c r="B421" i="4"/>
  <c r="B418" i="4"/>
  <c r="B415" i="4"/>
  <c r="B412" i="4"/>
  <c r="B409" i="4"/>
  <c r="B406" i="4"/>
  <c r="B403" i="4"/>
  <c r="B400" i="4"/>
  <c r="B397" i="4"/>
  <c r="B394" i="4"/>
  <c r="B391" i="4"/>
  <c r="B388" i="4"/>
  <c r="B385" i="4"/>
  <c r="B382" i="4"/>
  <c r="B379" i="4"/>
  <c r="B376" i="4"/>
  <c r="B373" i="4"/>
  <c r="B370" i="4"/>
  <c r="B367" i="4"/>
  <c r="B364" i="4"/>
  <c r="B361" i="4"/>
  <c r="B358" i="4"/>
  <c r="B355" i="4"/>
  <c r="B352" i="4"/>
  <c r="B349" i="4"/>
  <c r="B346" i="4"/>
  <c r="B343" i="4"/>
  <c r="B340" i="4"/>
  <c r="B337" i="4"/>
  <c r="B334" i="4"/>
  <c r="B331" i="4"/>
  <c r="B328" i="4"/>
  <c r="B325" i="4"/>
  <c r="B322" i="4"/>
  <c r="B319" i="4"/>
  <c r="B316" i="4"/>
  <c r="B313" i="4"/>
  <c r="B310" i="4"/>
  <c r="B307" i="4"/>
  <c r="B304" i="4"/>
  <c r="B301" i="4"/>
  <c r="B298" i="4"/>
  <c r="B295" i="4"/>
  <c r="B292" i="4"/>
  <c r="B289" i="4"/>
  <c r="B286" i="4"/>
  <c r="B283" i="4"/>
  <c r="B280" i="4"/>
  <c r="B631" i="4"/>
  <c r="B622" i="4"/>
  <c r="B613" i="4"/>
  <c r="B565" i="4"/>
  <c r="B547" i="4"/>
  <c r="B529" i="4"/>
  <c r="B511" i="4"/>
  <c r="B493" i="4"/>
  <c r="B475" i="4"/>
  <c r="B454" i="4"/>
  <c r="B457" i="4"/>
  <c r="B690" i="4"/>
  <c r="B647" i="4"/>
  <c r="B568" i="4"/>
  <c r="B550" i="4"/>
  <c r="B532" i="4"/>
  <c r="B514" i="4"/>
  <c r="B496" i="4"/>
  <c r="B478" i="4"/>
  <c r="B460" i="4"/>
  <c r="B822" i="4"/>
  <c r="B610" i="4"/>
  <c r="B456" i="4"/>
  <c r="B417" i="4"/>
  <c r="B390" i="4"/>
  <c r="B372" i="4"/>
  <c r="B354" i="4"/>
  <c r="B336" i="4"/>
  <c r="B318" i="4"/>
  <c r="B300" i="4"/>
  <c r="B287" i="4"/>
  <c r="B453" i="4"/>
  <c r="B444" i="4"/>
  <c r="B435" i="4"/>
  <c r="B408" i="4"/>
  <c r="B290" i="4"/>
  <c r="B277" i="4"/>
  <c r="B274" i="4"/>
  <c r="B271" i="4"/>
  <c r="B268" i="4"/>
  <c r="B265" i="4"/>
  <c r="B262" i="4"/>
  <c r="B259" i="4"/>
  <c r="B256" i="4"/>
  <c r="B253" i="4"/>
  <c r="B250" i="4"/>
  <c r="B247" i="4"/>
  <c r="B244" i="4"/>
  <c r="B241" i="4"/>
  <c r="B238" i="4"/>
  <c r="B235" i="4"/>
  <c r="B232" i="4"/>
  <c r="B229" i="4"/>
  <c r="B226" i="4"/>
  <c r="B223" i="4"/>
  <c r="B220" i="4"/>
  <c r="B217" i="4"/>
  <c r="B214" i="4"/>
  <c r="B211" i="4"/>
  <c r="B208" i="4"/>
  <c r="B205" i="4"/>
  <c r="B202" i="4"/>
  <c r="B199" i="4"/>
  <c r="B196" i="4"/>
  <c r="B193" i="4"/>
  <c r="B190" i="4"/>
  <c r="B187" i="4"/>
  <c r="B184" i="4"/>
  <c r="B181" i="4"/>
  <c r="B178" i="4"/>
  <c r="B175" i="4"/>
  <c r="B172" i="4"/>
  <c r="B169" i="4"/>
  <c r="B166" i="4"/>
  <c r="B163" i="4"/>
  <c r="B160" i="4"/>
  <c r="B157" i="4"/>
  <c r="B154" i="4"/>
  <c r="B151" i="4"/>
  <c r="B148" i="4"/>
  <c r="B145" i="4"/>
  <c r="B142" i="4"/>
  <c r="B139" i="4"/>
  <c r="B136" i="4"/>
  <c r="B133" i="4"/>
  <c r="B130" i="4"/>
  <c r="B127" i="4"/>
  <c r="B124" i="4"/>
  <c r="B121" i="4"/>
  <c r="B393" i="4"/>
  <c r="B375" i="4"/>
  <c r="B357" i="4"/>
  <c r="B339" i="4"/>
  <c r="B321" i="4"/>
  <c r="B303" i="4"/>
  <c r="B293" i="4"/>
  <c r="B654" i="4"/>
  <c r="B426" i="4"/>
  <c r="B296" i="4"/>
  <c r="B580" i="4"/>
  <c r="B571" i="4"/>
  <c r="B420" i="4"/>
  <c r="B411" i="4"/>
  <c r="B396" i="4"/>
  <c r="B378" i="4"/>
  <c r="B360" i="4"/>
  <c r="B342" i="4"/>
  <c r="B324" i="4"/>
  <c r="B306" i="4"/>
  <c r="B299" i="4"/>
  <c r="B619" i="4"/>
  <c r="B589" i="4"/>
  <c r="B553" i="4"/>
  <c r="B450" i="4"/>
  <c r="B441" i="4"/>
  <c r="B432" i="4"/>
  <c r="B279" i="4"/>
  <c r="B276" i="4"/>
  <c r="B273" i="4"/>
  <c r="B270" i="4"/>
  <c r="B267" i="4"/>
  <c r="B264" i="4"/>
  <c r="B261" i="4"/>
  <c r="B258" i="4"/>
  <c r="B255" i="4"/>
  <c r="B252" i="4"/>
  <c r="B249" i="4"/>
  <c r="B246" i="4"/>
  <c r="B243" i="4"/>
  <c r="B240" i="4"/>
  <c r="B237" i="4"/>
  <c r="B234" i="4"/>
  <c r="B231" i="4"/>
  <c r="B228" i="4"/>
  <c r="B225" i="4"/>
  <c r="B222" i="4"/>
  <c r="B219" i="4"/>
  <c r="B216" i="4"/>
  <c r="B213" i="4"/>
  <c r="B210" i="4"/>
  <c r="B207" i="4"/>
  <c r="B204" i="4"/>
  <c r="B201" i="4"/>
  <c r="B198" i="4"/>
  <c r="B195" i="4"/>
  <c r="B192" i="4"/>
  <c r="B189" i="4"/>
  <c r="B186" i="4"/>
  <c r="B183" i="4"/>
  <c r="B180" i="4"/>
  <c r="B177" i="4"/>
  <c r="B174" i="4"/>
  <c r="B171" i="4"/>
  <c r="B168" i="4"/>
  <c r="B165" i="4"/>
  <c r="B162" i="4"/>
  <c r="B159" i="4"/>
  <c r="B156" i="4"/>
  <c r="B153" i="4"/>
  <c r="B150" i="4"/>
  <c r="B147" i="4"/>
  <c r="B144" i="4"/>
  <c r="B141" i="4"/>
  <c r="B138" i="4"/>
  <c r="B135" i="4"/>
  <c r="B132" i="4"/>
  <c r="B129" i="4"/>
  <c r="B126" i="4"/>
  <c r="B598" i="4"/>
  <c r="B535" i="4"/>
  <c r="B399" i="4"/>
  <c r="B381" i="4"/>
  <c r="B363" i="4"/>
  <c r="B345" i="4"/>
  <c r="B309" i="4"/>
  <c r="B282" i="4"/>
  <c r="B729" i="4"/>
  <c r="B628" i="4"/>
  <c r="B517" i="4"/>
  <c r="B285" i="4"/>
  <c r="B672" i="4"/>
  <c r="B499" i="4"/>
  <c r="B414" i="4"/>
  <c r="B402" i="4"/>
  <c r="B384" i="4"/>
  <c r="B366" i="4"/>
  <c r="B348" i="4"/>
  <c r="B330" i="4"/>
  <c r="B312" i="4"/>
  <c r="B288" i="4"/>
  <c r="B481" i="4"/>
  <c r="B447" i="4"/>
  <c r="B438" i="4"/>
  <c r="B429" i="4"/>
  <c r="B423" i="4"/>
  <c r="B291" i="4"/>
  <c r="B278" i="4"/>
  <c r="B275" i="4"/>
  <c r="B272" i="4"/>
  <c r="B269" i="4"/>
  <c r="B266" i="4"/>
  <c r="B263" i="4"/>
  <c r="B260" i="4"/>
  <c r="B257" i="4"/>
  <c r="B254" i="4"/>
  <c r="B251" i="4"/>
  <c r="B248" i="4"/>
  <c r="B245" i="4"/>
  <c r="B242" i="4"/>
  <c r="B239" i="4"/>
  <c r="B236" i="4"/>
  <c r="B233" i="4"/>
  <c r="B230" i="4"/>
  <c r="B227" i="4"/>
  <c r="B224" i="4"/>
  <c r="B221" i="4"/>
  <c r="B218" i="4"/>
  <c r="B215" i="4"/>
  <c r="B212" i="4"/>
  <c r="B209" i="4"/>
  <c r="B206" i="4"/>
  <c r="B203" i="4"/>
  <c r="B200" i="4"/>
  <c r="B197" i="4"/>
  <c r="B194" i="4"/>
  <c r="B191" i="4"/>
  <c r="B188" i="4"/>
  <c r="B185" i="4"/>
  <c r="B182" i="4"/>
  <c r="B179" i="4"/>
  <c r="B176" i="4"/>
  <c r="B173" i="4"/>
  <c r="B170" i="4"/>
  <c r="B167" i="4"/>
  <c r="B164" i="4"/>
  <c r="B161" i="4"/>
  <c r="B158" i="4"/>
  <c r="B155" i="4"/>
  <c r="B152" i="4"/>
  <c r="B149" i="4"/>
  <c r="B146" i="4"/>
  <c r="B143" i="4"/>
  <c r="B140" i="4"/>
  <c r="B137" i="4"/>
  <c r="B134" i="4"/>
  <c r="B604" i="4"/>
  <c r="B463" i="4"/>
  <c r="B405" i="4"/>
  <c r="B387" i="4"/>
  <c r="B369" i="4"/>
  <c r="B351" i="4"/>
  <c r="B333" i="4"/>
  <c r="B315" i="4"/>
  <c r="F14" i="3"/>
  <c r="F15" i="3" s="1"/>
  <c r="F17" i="3" s="1"/>
  <c r="C19" i="3"/>
  <c r="C21" i="3" s="1"/>
  <c r="O19" i="3"/>
  <c r="O21" i="3" s="1"/>
  <c r="B10" i="4"/>
  <c r="B20" i="4"/>
  <c r="B23" i="4"/>
  <c r="B26" i="4"/>
  <c r="B29" i="4"/>
  <c r="B32" i="4"/>
  <c r="B35" i="4"/>
  <c r="B38" i="4"/>
  <c r="B41" i="4"/>
  <c r="B44" i="4"/>
  <c r="B47" i="4"/>
  <c r="B50" i="4"/>
  <c r="B53" i="4"/>
  <c r="B56" i="4"/>
  <c r="B59" i="4"/>
  <c r="B62" i="4"/>
  <c r="B65" i="4"/>
  <c r="B68" i="4"/>
  <c r="B71" i="4"/>
  <c r="B74" i="4"/>
  <c r="B77" i="4"/>
  <c r="B80" i="4"/>
  <c r="B83" i="4"/>
  <c r="B86" i="4"/>
  <c r="B89" i="4"/>
  <c r="B92" i="4"/>
  <c r="B95" i="4"/>
  <c r="B98" i="4"/>
  <c r="B101" i="4"/>
  <c r="B104" i="4"/>
  <c r="B107" i="4"/>
  <c r="B110" i="4"/>
  <c r="B113" i="4"/>
  <c r="B116" i="4"/>
  <c r="B119" i="4"/>
  <c r="B284" i="4"/>
  <c r="D19" i="3"/>
  <c r="D21" i="3" s="1"/>
  <c r="P19" i="3"/>
  <c r="P21" i="3" s="1"/>
  <c r="B3" i="4"/>
  <c r="B15" i="4"/>
  <c r="H14" i="3"/>
  <c r="H16" i="3" s="1"/>
  <c r="H18" i="3" s="1"/>
  <c r="E19" i="3"/>
  <c r="E21" i="3" s="1"/>
  <c r="B8" i="4"/>
  <c r="C20" i="3"/>
  <c r="B13" i="4"/>
  <c r="B123" i="4"/>
  <c r="B294" i="4"/>
  <c r="B6" i="4"/>
  <c r="B18" i="4"/>
  <c r="B21" i="4"/>
  <c r="B24" i="4"/>
  <c r="B27" i="4"/>
  <c r="B30" i="4"/>
  <c r="B33" i="4"/>
  <c r="B36" i="4"/>
  <c r="B39" i="4"/>
  <c r="B42" i="4"/>
  <c r="B45" i="4"/>
  <c r="B48" i="4"/>
  <c r="B51" i="4"/>
  <c r="B54" i="4"/>
  <c r="B57" i="4"/>
  <c r="B60" i="4"/>
  <c r="B63" i="4"/>
  <c r="B66" i="4"/>
  <c r="B69" i="4"/>
  <c r="B72" i="4"/>
  <c r="B75" i="4"/>
  <c r="B78" i="4"/>
  <c r="B81" i="4"/>
  <c r="B84" i="4"/>
  <c r="B87" i="4"/>
  <c r="B90" i="4"/>
  <c r="B93" i="4"/>
  <c r="B96" i="4"/>
  <c r="B99" i="4"/>
  <c r="B102" i="4"/>
  <c r="B105" i="4"/>
  <c r="B108" i="4"/>
  <c r="B111" i="4"/>
  <c r="B114" i="4"/>
  <c r="B117" i="4"/>
  <c r="B120" i="4"/>
  <c r="B11" i="4"/>
  <c r="B4" i="4"/>
  <c r="B131" i="4"/>
  <c r="P694" i="4"/>
  <c r="C17" i="3" l="1"/>
  <c r="C117" i="4"/>
  <c r="P117" i="4" s="1"/>
  <c r="C182" i="4"/>
  <c r="P182" i="4" s="1"/>
  <c r="C137" i="4"/>
  <c r="P137" i="4" s="1"/>
  <c r="C125" i="4"/>
  <c r="P125" i="4" s="1"/>
  <c r="C85" i="4"/>
  <c r="P85" i="4" s="1"/>
  <c r="C199" i="4"/>
  <c r="P199" i="4" s="1"/>
  <c r="F16" i="3"/>
  <c r="F18" i="3" s="1"/>
  <c r="H15" i="3"/>
  <c r="H17" i="3" s="1"/>
  <c r="S3" i="4"/>
  <c r="C16" i="3"/>
  <c r="C877" i="4" s="1"/>
  <c r="P877" i="4" s="1"/>
  <c r="C266" i="4" l="1"/>
  <c r="P266" i="4" s="1"/>
  <c r="C886" i="4"/>
  <c r="P886" i="4" s="1"/>
  <c r="C211" i="4"/>
  <c r="P211" i="4" s="1"/>
  <c r="C94" i="4"/>
  <c r="P94" i="4" s="1"/>
  <c r="C390" i="4"/>
  <c r="P390" i="4" s="1"/>
  <c r="C141" i="4"/>
  <c r="P141" i="4" s="1"/>
  <c r="C186" i="4"/>
  <c r="P186" i="4" s="1"/>
  <c r="C120" i="4"/>
  <c r="P120" i="4" s="1"/>
  <c r="C278" i="4"/>
  <c r="P278" i="4" s="1"/>
  <c r="C374" i="4"/>
  <c r="P374" i="4" s="1"/>
  <c r="C310" i="4"/>
  <c r="P310" i="4" s="1"/>
  <c r="C459" i="4"/>
  <c r="P459" i="4" s="1"/>
  <c r="C543" i="4"/>
  <c r="P543" i="4" s="1"/>
  <c r="C449" i="4"/>
  <c r="P449" i="4" s="1"/>
  <c r="C734" i="4"/>
  <c r="P734" i="4" s="1"/>
  <c r="C951" i="4"/>
  <c r="P951" i="4" s="1"/>
  <c r="C507" i="4"/>
  <c r="P507" i="4" s="1"/>
  <c r="C169" i="4"/>
  <c r="P169" i="4" s="1"/>
  <c r="C466" i="4"/>
  <c r="P466" i="4" s="1"/>
  <c r="C231" i="4"/>
  <c r="P231" i="4" s="1"/>
  <c r="C109" i="4"/>
  <c r="P109" i="4" s="1"/>
  <c r="C10" i="4"/>
  <c r="P10" i="4" s="1"/>
  <c r="C185" i="4"/>
  <c r="P185" i="4" s="1"/>
  <c r="C230" i="4"/>
  <c r="P230" i="4" s="1"/>
  <c r="C488" i="4"/>
  <c r="P488" i="4" s="1"/>
  <c r="C456" i="4"/>
  <c r="P456" i="4" s="1"/>
  <c r="C243" i="4"/>
  <c r="P243" i="4" s="1"/>
  <c r="C293" i="4"/>
  <c r="P293" i="4" s="1"/>
  <c r="C531" i="4"/>
  <c r="P531" i="4" s="1"/>
  <c r="C518" i="4"/>
  <c r="P518" i="4" s="1"/>
  <c r="C604" i="4"/>
  <c r="P604" i="4" s="1"/>
  <c r="C960" i="4"/>
  <c r="P960" i="4" s="1"/>
  <c r="C718" i="4"/>
  <c r="P718" i="4" s="1"/>
  <c r="C397" i="4"/>
  <c r="P397" i="4" s="1"/>
  <c r="C381" i="4"/>
  <c r="P381" i="4" s="1"/>
  <c r="C20" i="4"/>
  <c r="P20" i="4" s="1"/>
  <c r="C298" i="4"/>
  <c r="P298" i="4" s="1"/>
  <c r="C255" i="4"/>
  <c r="P255" i="4" s="1"/>
  <c r="C332" i="4"/>
  <c r="P332" i="4" s="1"/>
  <c r="C567" i="4"/>
  <c r="P567" i="4" s="1"/>
  <c r="C657" i="4"/>
  <c r="P657" i="4" s="1"/>
  <c r="C654" i="4"/>
  <c r="P654" i="4" s="1"/>
  <c r="C842" i="4"/>
  <c r="P842" i="4" s="1"/>
  <c r="C771" i="4"/>
  <c r="P771" i="4" s="1"/>
  <c r="C41" i="4"/>
  <c r="P41" i="4" s="1"/>
  <c r="C217" i="4"/>
  <c r="P217" i="4" s="1"/>
  <c r="C33" i="4"/>
  <c r="P33" i="4" s="1"/>
  <c r="C376" i="4"/>
  <c r="P376" i="4" s="1"/>
  <c r="C305" i="4"/>
  <c r="P305" i="4" s="1"/>
  <c r="C258" i="4"/>
  <c r="P258" i="4" s="1"/>
  <c r="C339" i="4"/>
  <c r="P339" i="4" s="1"/>
  <c r="C679" i="4"/>
  <c r="P679" i="4" s="1"/>
  <c r="C522" i="4"/>
  <c r="P522" i="4" s="1"/>
  <c r="C651" i="4"/>
  <c r="P651" i="4" s="1"/>
  <c r="C799" i="4"/>
  <c r="P799" i="4" s="1"/>
  <c r="C905" i="4"/>
  <c r="P905" i="4" s="1"/>
  <c r="C413" i="4"/>
  <c r="P413" i="4" s="1"/>
  <c r="C214" i="4"/>
  <c r="P214" i="4" s="1"/>
  <c r="C764" i="4"/>
  <c r="P764" i="4" s="1"/>
  <c r="C358" i="4"/>
  <c r="P358" i="4" s="1"/>
  <c r="C132" i="4"/>
  <c r="P132" i="4" s="1"/>
  <c r="C131" i="4"/>
  <c r="P131" i="4" s="1"/>
  <c r="C34" i="4"/>
  <c r="P34" i="4" s="1"/>
  <c r="C148" i="4"/>
  <c r="P148" i="4" s="1"/>
  <c r="C53" i="4"/>
  <c r="P53" i="4" s="1"/>
  <c r="C233" i="4"/>
  <c r="P233" i="4" s="1"/>
  <c r="C45" i="4"/>
  <c r="P45" i="4" s="1"/>
  <c r="C315" i="4"/>
  <c r="P315" i="4" s="1"/>
  <c r="C366" i="4"/>
  <c r="P366" i="4" s="1"/>
  <c r="C279" i="4"/>
  <c r="P279" i="4" s="1"/>
  <c r="C404" i="4"/>
  <c r="P404" i="4" s="1"/>
  <c r="C423" i="4"/>
  <c r="P423" i="4" s="1"/>
  <c r="C558" i="4"/>
  <c r="P558" i="4" s="1"/>
  <c r="C572" i="4"/>
  <c r="P572" i="4" s="1"/>
  <c r="C932" i="4"/>
  <c r="P932" i="4" s="1"/>
  <c r="C791" i="4"/>
  <c r="P791" i="4" s="1"/>
  <c r="C338" i="4"/>
  <c r="P338" i="4" s="1"/>
  <c r="C106" i="4"/>
  <c r="P106" i="4" s="1"/>
  <c r="C550" i="4"/>
  <c r="P550" i="4" s="1"/>
  <c r="C128" i="4"/>
  <c r="P128" i="4" s="1"/>
  <c r="C189" i="4"/>
  <c r="P189" i="4" s="1"/>
  <c r="C135" i="4"/>
  <c r="P135" i="4" s="1"/>
  <c r="C37" i="4"/>
  <c r="P37" i="4" s="1"/>
  <c r="C152" i="4"/>
  <c r="P152" i="4" s="1"/>
  <c r="C56" i="4"/>
  <c r="P56" i="4" s="1"/>
  <c r="C284" i="4"/>
  <c r="P284" i="4" s="1"/>
  <c r="C48" i="4"/>
  <c r="P48" i="4" s="1"/>
  <c r="C351" i="4"/>
  <c r="P351" i="4" s="1"/>
  <c r="C402" i="4"/>
  <c r="P402" i="4" s="1"/>
  <c r="C349" i="4"/>
  <c r="P349" i="4" s="1"/>
  <c r="C238" i="4"/>
  <c r="P238" i="4" s="1"/>
  <c r="C435" i="4"/>
  <c r="P435" i="4" s="1"/>
  <c r="C479" i="4"/>
  <c r="P479" i="4" s="1"/>
  <c r="C608" i="4"/>
  <c r="P608" i="4" s="1"/>
  <c r="C810" i="4"/>
  <c r="P810" i="4" s="1"/>
  <c r="C970" i="4"/>
  <c r="P970" i="4" s="1"/>
  <c r="C682" i="4"/>
  <c r="P682" i="4" s="1"/>
  <c r="C227" i="4"/>
  <c r="P227" i="4" s="1"/>
  <c r="C328" i="4"/>
  <c r="P328" i="4" s="1"/>
  <c r="C336" i="4"/>
  <c r="P336" i="4" s="1"/>
  <c r="C234" i="4"/>
  <c r="P234" i="4" s="1"/>
  <c r="C22" i="4"/>
  <c r="P22" i="4" s="1"/>
  <c r="C151" i="4"/>
  <c r="P151" i="4" s="1"/>
  <c r="C49" i="4"/>
  <c r="P49" i="4" s="1"/>
  <c r="C180" i="4"/>
  <c r="P180" i="4" s="1"/>
  <c r="C77" i="4"/>
  <c r="P77" i="4" s="1"/>
  <c r="C130" i="4"/>
  <c r="P130" i="4" s="1"/>
  <c r="C69" i="4"/>
  <c r="P69" i="4" s="1"/>
  <c r="C362" i="4"/>
  <c r="P362" i="4" s="1"/>
  <c r="C406" i="4"/>
  <c r="P406" i="4" s="1"/>
  <c r="C367" i="4"/>
  <c r="P367" i="4" s="1"/>
  <c r="C241" i="4"/>
  <c r="P241" i="4" s="1"/>
  <c r="C438" i="4"/>
  <c r="P438" i="4" s="1"/>
  <c r="C497" i="4"/>
  <c r="P497" i="4" s="1"/>
  <c r="C666" i="4"/>
  <c r="P666" i="4" s="1"/>
  <c r="C979" i="4"/>
  <c r="P979" i="4" s="1"/>
  <c r="C873" i="4"/>
  <c r="P873" i="4" s="1"/>
  <c r="C528" i="4"/>
  <c r="P528" i="4" s="1"/>
  <c r="C237" i="4"/>
  <c r="P237" i="4" s="1"/>
  <c r="C833" i="4"/>
  <c r="P833" i="4" s="1"/>
  <c r="C163" i="4"/>
  <c r="P163" i="4" s="1"/>
  <c r="C196" i="4"/>
  <c r="P196" i="4" s="1"/>
  <c r="C89" i="4"/>
  <c r="P89" i="4" s="1"/>
  <c r="C81" i="4"/>
  <c r="P81" i="4" s="1"/>
  <c r="C334" i="4"/>
  <c r="P334" i="4" s="1"/>
  <c r="C262" i="4"/>
  <c r="P262" i="4" s="1"/>
  <c r="C458" i="4"/>
  <c r="P458" i="4" s="1"/>
  <c r="C738" i="4"/>
  <c r="P738" i="4" s="1"/>
  <c r="C179" i="4"/>
  <c r="P179" i="4" s="1"/>
  <c r="C70" i="4"/>
  <c r="P70" i="4" s="1"/>
  <c r="C200" i="4"/>
  <c r="P200" i="4" s="1"/>
  <c r="C92" i="4"/>
  <c r="P92" i="4" s="1"/>
  <c r="C138" i="4"/>
  <c r="P138" i="4" s="1"/>
  <c r="C84" i="4"/>
  <c r="P84" i="4" s="1"/>
  <c r="C242" i="4"/>
  <c r="P242" i="4" s="1"/>
  <c r="C424" i="4"/>
  <c r="P424" i="4" s="1"/>
  <c r="C335" i="4"/>
  <c r="P335" i="4" s="1"/>
  <c r="C274" i="4"/>
  <c r="P274" i="4" s="1"/>
  <c r="C576" i="4"/>
  <c r="P576" i="4" s="1"/>
  <c r="C562" i="4"/>
  <c r="P562" i="4" s="1"/>
  <c r="C600" i="4"/>
  <c r="P600" i="4" s="1"/>
  <c r="C875" i="4"/>
  <c r="P875" i="4" s="1"/>
  <c r="C18" i="3"/>
  <c r="C1000" i="4"/>
  <c r="P1000" i="4" s="1"/>
  <c r="C992" i="4"/>
  <c r="P992" i="4" s="1"/>
  <c r="C845" i="4"/>
  <c r="P845" i="4" s="1"/>
  <c r="C963" i="4"/>
  <c r="P963" i="4" s="1"/>
  <c r="C855" i="4"/>
  <c r="P855" i="4" s="1"/>
  <c r="C934" i="4"/>
  <c r="P934" i="4" s="1"/>
  <c r="C768" i="4"/>
  <c r="P768" i="4" s="1"/>
  <c r="C887" i="4"/>
  <c r="P887" i="4" s="1"/>
  <c r="C748" i="4"/>
  <c r="P748" i="4" s="1"/>
  <c r="C712" i="4"/>
  <c r="P712" i="4" s="1"/>
  <c r="C815" i="4"/>
  <c r="P815" i="4" s="1"/>
  <c r="C933" i="4"/>
  <c r="P933" i="4" s="1"/>
  <c r="C850" i="4"/>
  <c r="P850" i="4" s="1"/>
  <c r="C965" i="4"/>
  <c r="P965" i="4" s="1"/>
  <c r="C857" i="4"/>
  <c r="P857" i="4" s="1"/>
  <c r="C732" i="4"/>
  <c r="P732" i="4" s="1"/>
  <c r="C943" i="4"/>
  <c r="P943" i="4" s="1"/>
  <c r="C786" i="4"/>
  <c r="P786" i="4" s="1"/>
  <c r="C914" i="4"/>
  <c r="P914" i="4" s="1"/>
  <c r="C776" i="4"/>
  <c r="P776" i="4" s="1"/>
  <c r="C824" i="4"/>
  <c r="P824" i="4" s="1"/>
  <c r="C942" i="4"/>
  <c r="P942" i="4" s="1"/>
  <c r="C820" i="4"/>
  <c r="P820" i="4" s="1"/>
  <c r="C728" i="4"/>
  <c r="P728" i="4" s="1"/>
  <c r="C643" i="4"/>
  <c r="P643" i="4" s="1"/>
  <c r="C630" i="4"/>
  <c r="P630" i="4" s="1"/>
  <c r="C829" i="4"/>
  <c r="P829" i="4" s="1"/>
  <c r="C642" i="4"/>
  <c r="P642" i="4" s="1"/>
  <c r="C648" i="4"/>
  <c r="P648" i="4" s="1"/>
  <c r="C602" i="4"/>
  <c r="P602" i="4" s="1"/>
  <c r="C777" i="4"/>
  <c r="P777" i="4" s="1"/>
  <c r="C701" i="4"/>
  <c r="P701" i="4" s="1"/>
  <c r="C634" i="4"/>
  <c r="P634" i="4" s="1"/>
  <c r="C598" i="4"/>
  <c r="P598" i="4" s="1"/>
  <c r="C704" i="4"/>
  <c r="P704" i="4" s="1"/>
  <c r="C443" i="4"/>
  <c r="P443" i="4" s="1"/>
  <c r="C559" i="4"/>
  <c r="P559" i="4" s="1"/>
  <c r="C452" i="4"/>
  <c r="P452" i="4" s="1"/>
  <c r="C544" i="4"/>
  <c r="P544" i="4" s="1"/>
  <c r="C693" i="4"/>
  <c r="P693" i="4" s="1"/>
  <c r="C451" i="4"/>
  <c r="P451" i="4" s="1"/>
  <c r="C540" i="4"/>
  <c r="P540" i="4" s="1"/>
  <c r="C554" i="4"/>
  <c r="P554" i="4" s="1"/>
  <c r="C525" i="4"/>
  <c r="P525" i="4" s="1"/>
  <c r="C539" i="4"/>
  <c r="P539" i="4" s="1"/>
  <c r="C429" i="4"/>
  <c r="P429" i="4" s="1"/>
  <c r="C549" i="4"/>
  <c r="P549" i="4" s="1"/>
  <c r="C453" i="4"/>
  <c r="P453" i="4" s="1"/>
  <c r="C268" i="4"/>
  <c r="P268" i="4" s="1"/>
  <c r="C421" i="4"/>
  <c r="P421" i="4" s="1"/>
  <c r="C314" i="4"/>
  <c r="P314" i="4" s="1"/>
  <c r="C283" i="4"/>
  <c r="P283" i="4" s="1"/>
  <c r="C317" i="4"/>
  <c r="P317" i="4" s="1"/>
  <c r="C313" i="4"/>
  <c r="P313" i="4" s="1"/>
  <c r="C249" i="4"/>
  <c r="P249" i="4" s="1"/>
  <c r="C356" i="4"/>
  <c r="P356" i="4" s="1"/>
  <c r="C370" i="4"/>
  <c r="P370" i="4" s="1"/>
  <c r="C384" i="4"/>
  <c r="P384" i="4" s="1"/>
  <c r="C542" i="4"/>
  <c r="P542" i="4" s="1"/>
  <c r="C272" i="4"/>
  <c r="P272" i="4" s="1"/>
  <c r="C236" i="4"/>
  <c r="P236" i="4" s="1"/>
  <c r="C333" i="4"/>
  <c r="P333" i="4" s="1"/>
  <c r="C322" i="4"/>
  <c r="P322" i="4" s="1"/>
  <c r="C111" i="4"/>
  <c r="P111" i="4" s="1"/>
  <c r="C75" i="4"/>
  <c r="P75" i="4" s="1"/>
  <c r="C39" i="4"/>
  <c r="P39" i="4" s="1"/>
  <c r="C222" i="4"/>
  <c r="P222" i="4" s="1"/>
  <c r="C174" i="4"/>
  <c r="P174" i="4" s="1"/>
  <c r="C13" i="4"/>
  <c r="P13" i="4" s="1"/>
  <c r="C225" i="4"/>
  <c r="P225" i="4" s="1"/>
  <c r="C177" i="4"/>
  <c r="P177" i="4" s="1"/>
  <c r="C119" i="4"/>
  <c r="P119" i="4" s="1"/>
  <c r="C83" i="4"/>
  <c r="P83" i="4" s="1"/>
  <c r="C47" i="4"/>
  <c r="P47" i="4" s="1"/>
  <c r="C329" i="4"/>
  <c r="P329" i="4" s="1"/>
  <c r="C7" i="4"/>
  <c r="P7" i="4" s="1"/>
  <c r="C188" i="4"/>
  <c r="P188" i="4" s="1"/>
  <c r="C140" i="4"/>
  <c r="P140" i="4" s="1"/>
  <c r="C100" i="4"/>
  <c r="P100" i="4" s="1"/>
  <c r="C64" i="4"/>
  <c r="P64" i="4" s="1"/>
  <c r="C28" i="4"/>
  <c r="P28" i="4" s="1"/>
  <c r="C219" i="4"/>
  <c r="P219" i="4" s="1"/>
  <c r="C171" i="4"/>
  <c r="P171" i="4" s="1"/>
  <c r="C16" i="4"/>
  <c r="P16" i="4" s="1"/>
  <c r="C437" i="4"/>
  <c r="P437" i="4" s="1"/>
  <c r="C997" i="4"/>
  <c r="P997" i="4" s="1"/>
  <c r="C989" i="4"/>
  <c r="P989" i="4" s="1"/>
  <c r="C834" i="4"/>
  <c r="P834" i="4" s="1"/>
  <c r="C956" i="4"/>
  <c r="P956" i="4" s="1"/>
  <c r="C848" i="4"/>
  <c r="P848" i="4" s="1"/>
  <c r="C916" i="4"/>
  <c r="P916" i="4" s="1"/>
  <c r="C755" i="4"/>
  <c r="P755" i="4" s="1"/>
  <c r="C876" i="4"/>
  <c r="P876" i="4" s="1"/>
  <c r="C745" i="4"/>
  <c r="P745" i="4" s="1"/>
  <c r="C709" i="4"/>
  <c r="P709" i="4" s="1"/>
  <c r="C804" i="4"/>
  <c r="P804" i="4" s="1"/>
  <c r="C926" i="4"/>
  <c r="P926" i="4" s="1"/>
  <c r="C843" i="4"/>
  <c r="P843" i="4" s="1"/>
  <c r="C954" i="4"/>
  <c r="P954" i="4" s="1"/>
  <c r="C832" i="4"/>
  <c r="P832" i="4" s="1"/>
  <c r="C729" i="4"/>
  <c r="P729" i="4" s="1"/>
  <c r="C925" i="4"/>
  <c r="P925" i="4" s="1"/>
  <c r="C773" i="4"/>
  <c r="P773" i="4" s="1"/>
  <c r="C903" i="4"/>
  <c r="P903" i="4" s="1"/>
  <c r="C766" i="4"/>
  <c r="P766" i="4" s="1"/>
  <c r="C813" i="4"/>
  <c r="P813" i="4" s="1"/>
  <c r="C935" i="4"/>
  <c r="P935" i="4" s="1"/>
  <c r="C802" i="4"/>
  <c r="P802" i="4" s="1"/>
  <c r="C725" i="4"/>
  <c r="P725" i="4" s="1"/>
  <c r="C879" i="4"/>
  <c r="P879" i="4" s="1"/>
  <c r="C627" i="4"/>
  <c r="P627" i="4" s="1"/>
  <c r="C790" i="4"/>
  <c r="P790" i="4" s="1"/>
  <c r="C706" i="4"/>
  <c r="P706" i="4" s="1"/>
  <c r="C635" i="4"/>
  <c r="P635" i="4" s="1"/>
  <c r="C599" i="4"/>
  <c r="P599" i="4" s="1"/>
  <c r="C698" i="4"/>
  <c r="P698" i="4" s="1"/>
  <c r="C676" i="4"/>
  <c r="P676" i="4" s="1"/>
  <c r="C631" i="4"/>
  <c r="P631" i="4" s="1"/>
  <c r="C595" i="4"/>
  <c r="P595" i="4" s="1"/>
  <c r="C661" i="4"/>
  <c r="P661" i="4" s="1"/>
  <c r="C440" i="4"/>
  <c r="P440" i="4" s="1"/>
  <c r="C552" i="4"/>
  <c r="P552" i="4" s="1"/>
  <c r="C686" i="4"/>
  <c r="P686" i="4" s="1"/>
  <c r="C537" i="4"/>
  <c r="P537" i="4" s="1"/>
  <c r="C650" i="4"/>
  <c r="P650" i="4" s="1"/>
  <c r="C448" i="4"/>
  <c r="P448" i="4" s="1"/>
  <c r="C529" i="4"/>
  <c r="P529" i="4" s="1"/>
  <c r="C536" i="4"/>
  <c r="P536" i="4" s="1"/>
  <c r="C514" i="4"/>
  <c r="P514" i="4" s="1"/>
  <c r="C521" i="4"/>
  <c r="P521" i="4" s="1"/>
  <c r="C426" i="4"/>
  <c r="P426" i="4" s="1"/>
  <c r="C538" i="4"/>
  <c r="P538" i="4" s="1"/>
  <c r="C427" i="4"/>
  <c r="P427" i="4" s="1"/>
  <c r="C265" i="4"/>
  <c r="P265" i="4" s="1"/>
  <c r="C412" i="4"/>
  <c r="P412" i="4" s="1"/>
  <c r="C303" i="4"/>
  <c r="P303" i="4" s="1"/>
  <c r="C571" i="4"/>
  <c r="P571" i="4" s="1"/>
  <c r="C306" i="4"/>
  <c r="P306" i="4" s="1"/>
  <c r="C289" i="4"/>
  <c r="P289" i="4" s="1"/>
  <c r="C246" i="4"/>
  <c r="P246" i="4" s="1"/>
  <c r="C345" i="4"/>
  <c r="P345" i="4" s="1"/>
  <c r="C352" i="4"/>
  <c r="P352" i="4" s="1"/>
  <c r="C377" i="4"/>
  <c r="P377" i="4" s="1"/>
  <c r="C481" i="4"/>
  <c r="P481" i="4" s="1"/>
  <c r="C269" i="4"/>
  <c r="P269" i="4" s="1"/>
  <c r="C637" i="4"/>
  <c r="P637" i="4" s="1"/>
  <c r="C326" i="4"/>
  <c r="P326" i="4" s="1"/>
  <c r="C304" i="4"/>
  <c r="P304" i="4" s="1"/>
  <c r="C108" i="4"/>
  <c r="P108" i="4" s="1"/>
  <c r="C72" i="4"/>
  <c r="P72" i="4" s="1"/>
  <c r="C36" i="4"/>
  <c r="P36" i="4" s="1"/>
  <c r="C218" i="4"/>
  <c r="P218" i="4" s="1"/>
  <c r="C170" i="4"/>
  <c r="P170" i="4" s="1"/>
  <c r="C383" i="4"/>
  <c r="P383" i="4" s="1"/>
  <c r="C221" i="4"/>
  <c r="P221" i="4" s="1"/>
  <c r="C173" i="4"/>
  <c r="P173" i="4" s="1"/>
  <c r="C116" i="4"/>
  <c r="P116" i="4" s="1"/>
  <c r="C80" i="4"/>
  <c r="P80" i="4" s="1"/>
  <c r="C44" i="4"/>
  <c r="P44" i="4" s="1"/>
  <c r="C300" i="4"/>
  <c r="P300" i="4" s="1"/>
  <c r="C232" i="4"/>
  <c r="P232" i="4" s="1"/>
  <c r="C184" i="4"/>
  <c r="P184" i="4" s="1"/>
  <c r="C136" i="4"/>
  <c r="P136" i="4" s="1"/>
  <c r="C97" i="4"/>
  <c r="P97" i="4" s="1"/>
  <c r="C61" i="4"/>
  <c r="P61" i="4" s="1"/>
  <c r="C25" i="4"/>
  <c r="P25" i="4" s="1"/>
  <c r="C215" i="4"/>
  <c r="P215" i="4" s="1"/>
  <c r="C167" i="4"/>
  <c r="P167" i="4" s="1"/>
  <c r="C4" i="4"/>
  <c r="P4" i="4" s="1"/>
  <c r="C592" i="4"/>
  <c r="P592" i="4" s="1"/>
  <c r="C994" i="4"/>
  <c r="P994" i="4" s="1"/>
  <c r="C986" i="4"/>
  <c r="P986" i="4" s="1"/>
  <c r="C827" i="4"/>
  <c r="P827" i="4" s="1"/>
  <c r="C945" i="4"/>
  <c r="P945" i="4" s="1"/>
  <c r="C841" i="4"/>
  <c r="P841" i="4" s="1"/>
  <c r="C898" i="4"/>
  <c r="P898" i="4" s="1"/>
  <c r="C977" i="4"/>
  <c r="P977" i="4" s="1"/>
  <c r="C869" i="4"/>
  <c r="P869" i="4" s="1"/>
  <c r="C742" i="4"/>
  <c r="P742" i="4" s="1"/>
  <c r="C973" i="4"/>
  <c r="P973" i="4" s="1"/>
  <c r="C797" i="4"/>
  <c r="P797" i="4" s="1"/>
  <c r="C915" i="4"/>
  <c r="P915" i="4" s="1"/>
  <c r="C836" i="4"/>
  <c r="P836" i="4" s="1"/>
  <c r="C947" i="4"/>
  <c r="P947" i="4" s="1"/>
  <c r="C814" i="4"/>
  <c r="P814" i="4" s="1"/>
  <c r="C726" i="4"/>
  <c r="P726" i="4" s="1"/>
  <c r="C907" i="4"/>
  <c r="P907" i="4" s="1"/>
  <c r="C763" i="4"/>
  <c r="P763" i="4" s="1"/>
  <c r="C896" i="4"/>
  <c r="P896" i="4" s="1"/>
  <c r="C753" i="4"/>
  <c r="P753" i="4" s="1"/>
  <c r="C806" i="4"/>
  <c r="P806" i="4" s="1"/>
  <c r="C924" i="4"/>
  <c r="P924" i="4" s="1"/>
  <c r="C795" i="4"/>
  <c r="P795" i="4" s="1"/>
  <c r="C722" i="4"/>
  <c r="P722" i="4" s="1"/>
  <c r="C707" i="4"/>
  <c r="P707" i="4" s="1"/>
  <c r="C624" i="4"/>
  <c r="P624" i="4" s="1"/>
  <c r="C699" i="4"/>
  <c r="P699" i="4" s="1"/>
  <c r="C702" i="4"/>
  <c r="P702" i="4" s="1"/>
  <c r="C632" i="4"/>
  <c r="P632" i="4" s="1"/>
  <c r="C596" i="4"/>
  <c r="P596" i="4" s="1"/>
  <c r="C691" i="4"/>
  <c r="P691" i="4" s="1"/>
  <c r="C658" i="4"/>
  <c r="P658" i="4" s="1"/>
  <c r="C588" i="4"/>
  <c r="P588" i="4" s="1"/>
  <c r="C541" i="4"/>
  <c r="P541" i="4" s="1"/>
  <c r="C566" i="4"/>
  <c r="P566" i="4" s="1"/>
  <c r="C526" i="4"/>
  <c r="P526" i="4" s="1"/>
  <c r="C591" i="4"/>
  <c r="P591" i="4" s="1"/>
  <c r="C445" i="4"/>
  <c r="P445" i="4" s="1"/>
  <c r="C991" i="4"/>
  <c r="P991" i="4" s="1"/>
  <c r="C983" i="4"/>
  <c r="P983" i="4" s="1"/>
  <c r="C816" i="4"/>
  <c r="P816" i="4" s="1"/>
  <c r="C938" i="4"/>
  <c r="P938" i="4" s="1"/>
  <c r="C823" i="4"/>
  <c r="P823" i="4" s="1"/>
  <c r="C880" i="4"/>
  <c r="P880" i="4" s="1"/>
  <c r="C966" i="4"/>
  <c r="P966" i="4" s="1"/>
  <c r="C858" i="4"/>
  <c r="P858" i="4" s="1"/>
  <c r="C739" i="4"/>
  <c r="P739" i="4" s="1"/>
  <c r="C955" i="4"/>
  <c r="P955" i="4" s="1"/>
  <c r="C787" i="4"/>
  <c r="P787" i="4" s="1"/>
  <c r="C908" i="4"/>
  <c r="P908" i="4" s="1"/>
  <c r="C825" i="4"/>
  <c r="P825" i="4" s="1"/>
  <c r="C936" i="4"/>
  <c r="P936" i="4" s="1"/>
  <c r="C796" i="4"/>
  <c r="P796" i="4" s="1"/>
  <c r="C723" i="4"/>
  <c r="P723" i="4" s="1"/>
  <c r="C889" i="4"/>
  <c r="P889" i="4" s="1"/>
  <c r="C750" i="4"/>
  <c r="P750" i="4" s="1"/>
  <c r="C885" i="4"/>
  <c r="P885" i="4" s="1"/>
  <c r="C964" i="4"/>
  <c r="P964" i="4" s="1"/>
  <c r="C792" i="4"/>
  <c r="P792" i="4" s="1"/>
  <c r="C917" i="4"/>
  <c r="P917" i="4" s="1"/>
  <c r="C782" i="4"/>
  <c r="P782" i="4" s="1"/>
  <c r="C719" i="4"/>
  <c r="P719" i="4" s="1"/>
  <c r="C703" i="4"/>
  <c r="P703" i="4" s="1"/>
  <c r="C621" i="4"/>
  <c r="P621" i="4" s="1"/>
  <c r="C685" i="4"/>
  <c r="P685" i="4" s="1"/>
  <c r="C695" i="4"/>
  <c r="P695" i="4" s="1"/>
  <c r="C629" i="4"/>
  <c r="P629" i="4" s="1"/>
  <c r="C593" i="4"/>
  <c r="P593" i="4" s="1"/>
  <c r="C673" i="4"/>
  <c r="P673" i="4" s="1"/>
  <c r="C644" i="4"/>
  <c r="P644" i="4" s="1"/>
  <c r="C625" i="4"/>
  <c r="P625" i="4" s="1"/>
  <c r="C589" i="4"/>
  <c r="P589" i="4" s="1"/>
  <c r="C579" i="4"/>
  <c r="P579" i="4" s="1"/>
  <c r="C434" i="4"/>
  <c r="P434" i="4" s="1"/>
  <c r="C534" i="4"/>
  <c r="P534" i="4" s="1"/>
  <c r="C548" i="4"/>
  <c r="P548" i="4" s="1"/>
  <c r="C519" i="4"/>
  <c r="P519" i="4" s="1"/>
  <c r="C582" i="4"/>
  <c r="P582" i="4" s="1"/>
  <c r="C442" i="4"/>
  <c r="P442" i="4" s="1"/>
  <c r="C511" i="4"/>
  <c r="P511" i="4" s="1"/>
  <c r="C500" i="4"/>
  <c r="P500" i="4" s="1"/>
  <c r="C496" i="4"/>
  <c r="P496" i="4" s="1"/>
  <c r="C485" i="4"/>
  <c r="P485" i="4" s="1"/>
  <c r="C420" i="4"/>
  <c r="P420" i="4" s="1"/>
  <c r="C520" i="4"/>
  <c r="P520" i="4" s="1"/>
  <c r="C379" i="4"/>
  <c r="P379" i="4" s="1"/>
  <c r="C259" i="4"/>
  <c r="P259" i="4" s="1"/>
  <c r="C393" i="4"/>
  <c r="P393" i="4" s="1"/>
  <c r="C280" i="4"/>
  <c r="P280" i="4" s="1"/>
  <c r="C396" i="4"/>
  <c r="P396" i="4" s="1"/>
  <c r="C286" i="4"/>
  <c r="P286" i="4" s="1"/>
  <c r="C276" i="4"/>
  <c r="P276" i="4" s="1"/>
  <c r="C240" i="4"/>
  <c r="P240" i="4" s="1"/>
  <c r="C320" i="4"/>
  <c r="P320" i="4" s="1"/>
  <c r="C316" i="4"/>
  <c r="P316" i="4" s="1"/>
  <c r="C359" i="4"/>
  <c r="P359" i="4" s="1"/>
  <c r="C391" i="4"/>
  <c r="P391" i="4" s="1"/>
  <c r="C263" i="4"/>
  <c r="P263" i="4" s="1"/>
  <c r="C463" i="4"/>
  <c r="P463" i="4" s="1"/>
  <c r="C308" i="4"/>
  <c r="P308" i="4" s="1"/>
  <c r="C365" i="4"/>
  <c r="P365" i="4" s="1"/>
  <c r="C102" i="4"/>
  <c r="P102" i="4" s="1"/>
  <c r="C66" i="4"/>
  <c r="P66" i="4" s="1"/>
  <c r="C30" i="4"/>
  <c r="P30" i="4" s="1"/>
  <c r="C210" i="4"/>
  <c r="P210" i="4" s="1"/>
  <c r="C162" i="4"/>
  <c r="P162" i="4" s="1"/>
  <c r="C8" i="4"/>
  <c r="P8" i="4" s="1"/>
  <c r="C213" i="4"/>
  <c r="P213" i="4" s="1"/>
  <c r="C165" i="4"/>
  <c r="P165" i="4" s="1"/>
  <c r="C110" i="4"/>
  <c r="P110" i="4" s="1"/>
  <c r="C74" i="4"/>
  <c r="P74" i="4" s="1"/>
  <c r="C38" i="4"/>
  <c r="P38" i="4" s="1"/>
  <c r="C129" i="4"/>
  <c r="P129" i="4" s="1"/>
  <c r="C224" i="4"/>
  <c r="P224" i="4" s="1"/>
  <c r="C176" i="4"/>
  <c r="P176" i="4" s="1"/>
  <c r="C347" i="4"/>
  <c r="P347" i="4" s="1"/>
  <c r="C91" i="4"/>
  <c r="P91" i="4" s="1"/>
  <c r="C55" i="4"/>
  <c r="P55" i="4" s="1"/>
  <c r="C19" i="4"/>
  <c r="P19" i="4" s="1"/>
  <c r="C207" i="4"/>
  <c r="P207" i="4" s="1"/>
  <c r="C159" i="4"/>
  <c r="P159" i="4" s="1"/>
  <c r="C988" i="4"/>
  <c r="P988" i="4" s="1"/>
  <c r="C980" i="4"/>
  <c r="P980" i="4" s="1"/>
  <c r="C809" i="4"/>
  <c r="P809" i="4" s="1"/>
  <c r="C927" i="4"/>
  <c r="P927" i="4" s="1"/>
  <c r="C805" i="4"/>
  <c r="P805" i="4" s="1"/>
  <c r="C862" i="4"/>
  <c r="P862" i="4" s="1"/>
  <c r="C959" i="4"/>
  <c r="P959" i="4" s="1"/>
  <c r="C851" i="4"/>
  <c r="P851" i="4" s="1"/>
  <c r="C736" i="4"/>
  <c r="P736" i="4" s="1"/>
  <c r="C937" i="4"/>
  <c r="P937" i="4" s="1"/>
  <c r="C774" i="4"/>
  <c r="P774" i="4" s="1"/>
  <c r="C897" i="4"/>
  <c r="P897" i="4" s="1"/>
  <c r="C818" i="4"/>
  <c r="P818" i="4" s="1"/>
  <c r="C929" i="4"/>
  <c r="P929" i="4" s="1"/>
  <c r="C783" i="4"/>
  <c r="P783" i="4" s="1"/>
  <c r="C720" i="4"/>
  <c r="P720" i="4" s="1"/>
  <c r="C871" i="4"/>
  <c r="P871" i="4" s="1"/>
  <c r="C987" i="4"/>
  <c r="P987" i="4" s="1"/>
  <c r="C878" i="4"/>
  <c r="P878" i="4" s="1"/>
  <c r="C946" i="4"/>
  <c r="P946" i="4" s="1"/>
  <c r="C779" i="4"/>
  <c r="P779" i="4" s="1"/>
  <c r="C906" i="4"/>
  <c r="P906" i="4" s="1"/>
  <c r="C772" i="4"/>
  <c r="P772" i="4" s="1"/>
  <c r="C716" i="4"/>
  <c r="P716" i="4" s="1"/>
  <c r="C689" i="4"/>
  <c r="P689" i="4" s="1"/>
  <c r="C618" i="4"/>
  <c r="P618" i="4" s="1"/>
  <c r="C667" i="4"/>
  <c r="P667" i="4" s="1"/>
  <c r="C688" i="4"/>
  <c r="P688" i="4" s="1"/>
  <c r="C626" i="4"/>
  <c r="P626" i="4" s="1"/>
  <c r="C590" i="4"/>
  <c r="P590" i="4" s="1"/>
  <c r="C655" i="4"/>
  <c r="P655" i="4" s="1"/>
  <c r="C872" i="4"/>
  <c r="P872" i="4" s="1"/>
  <c r="C622" i="4"/>
  <c r="P622" i="4" s="1"/>
  <c r="C586" i="4"/>
  <c r="P586" i="4" s="1"/>
  <c r="C563" i="4"/>
  <c r="P563" i="4" s="1"/>
  <c r="C431" i="4"/>
  <c r="P431" i="4" s="1"/>
  <c r="C523" i="4"/>
  <c r="P523" i="4" s="1"/>
  <c r="C530" i="4"/>
  <c r="P530" i="4" s="1"/>
  <c r="C508" i="4"/>
  <c r="P508" i="4" s="1"/>
  <c r="C573" i="4"/>
  <c r="P573" i="4" s="1"/>
  <c r="C439" i="4"/>
  <c r="P439" i="4" s="1"/>
  <c r="C504" i="4"/>
  <c r="P504" i="4" s="1"/>
  <c r="C482" i="4"/>
  <c r="P482" i="4" s="1"/>
  <c r="C489" i="4"/>
  <c r="P489" i="4" s="1"/>
  <c r="C467" i="4"/>
  <c r="P467" i="4" s="1"/>
  <c r="C417" i="4"/>
  <c r="P417" i="4" s="1"/>
  <c r="C513" i="4"/>
  <c r="P513" i="4" s="1"/>
  <c r="C361" i="4"/>
  <c r="P361" i="4" s="1"/>
  <c r="C256" i="4"/>
  <c r="P256" i="4" s="1"/>
  <c r="C386" i="4"/>
  <c r="P386" i="4" s="1"/>
  <c r="C546" i="4"/>
  <c r="P546" i="4" s="1"/>
  <c r="C389" i="4"/>
  <c r="P389" i="4" s="1"/>
  <c r="C553" i="4"/>
  <c r="P553" i="4" s="1"/>
  <c r="C273" i="4"/>
  <c r="P273" i="4" s="1"/>
  <c r="C535" i="4"/>
  <c r="P535" i="4" s="1"/>
  <c r="C309" i="4"/>
  <c r="P309" i="4" s="1"/>
  <c r="C295" i="4"/>
  <c r="P295" i="4" s="1"/>
  <c r="C348" i="4"/>
  <c r="P348" i="4" s="1"/>
  <c r="C373" i="4"/>
  <c r="P373" i="4" s="1"/>
  <c r="C260" i="4"/>
  <c r="P260" i="4" s="1"/>
  <c r="C418" i="4"/>
  <c r="P418" i="4" s="1"/>
  <c r="C294" i="4"/>
  <c r="P294" i="4" s="1"/>
  <c r="C11" i="4"/>
  <c r="P11" i="4" s="1"/>
  <c r="C99" i="4"/>
  <c r="P99" i="4" s="1"/>
  <c r="C63" i="4"/>
  <c r="P63" i="4" s="1"/>
  <c r="C27" i="4"/>
  <c r="P27" i="4" s="1"/>
  <c r="C206" i="4"/>
  <c r="P206" i="4" s="1"/>
  <c r="C158" i="4"/>
  <c r="P158" i="4" s="1"/>
  <c r="C372" i="4"/>
  <c r="P372" i="4" s="1"/>
  <c r="C209" i="4"/>
  <c r="P209" i="4" s="1"/>
  <c r="C161" i="4"/>
  <c r="P161" i="4" s="1"/>
  <c r="C107" i="4"/>
  <c r="P107" i="4" s="1"/>
  <c r="C71" i="4"/>
  <c r="P71" i="4" s="1"/>
  <c r="C35" i="4"/>
  <c r="P35" i="4" s="1"/>
  <c r="C122" i="4"/>
  <c r="P122" i="4" s="1"/>
  <c r="C220" i="4"/>
  <c r="P220" i="4" s="1"/>
  <c r="C172" i="4"/>
  <c r="P172" i="4" s="1"/>
  <c r="C318" i="4"/>
  <c r="P318" i="4" s="1"/>
  <c r="C88" i="4"/>
  <c r="P88" i="4" s="1"/>
  <c r="C52" i="4"/>
  <c r="P52" i="4" s="1"/>
  <c r="C14" i="4"/>
  <c r="P14" i="4" s="1"/>
  <c r="C203" i="4"/>
  <c r="P203" i="4" s="1"/>
  <c r="C155" i="4"/>
  <c r="P155" i="4" s="1"/>
  <c r="C985" i="4"/>
  <c r="P985" i="4" s="1"/>
  <c r="C967" i="4"/>
  <c r="P967" i="4" s="1"/>
  <c r="C798" i="4"/>
  <c r="P798" i="4" s="1"/>
  <c r="C920" i="4"/>
  <c r="P920" i="4" s="1"/>
  <c r="C788" i="4"/>
  <c r="P788" i="4" s="1"/>
  <c r="C837" i="4"/>
  <c r="P837" i="4" s="1"/>
  <c r="C948" i="4"/>
  <c r="P948" i="4" s="1"/>
  <c r="C844" i="4"/>
  <c r="P844" i="4" s="1"/>
  <c r="C733" i="4"/>
  <c r="P733" i="4" s="1"/>
  <c r="C919" i="4"/>
  <c r="P919" i="4" s="1"/>
  <c r="C761" i="4"/>
  <c r="P761" i="4" s="1"/>
  <c r="C976" i="4"/>
  <c r="P976" i="4" s="1"/>
  <c r="C807" i="4"/>
  <c r="P807" i="4" s="1"/>
  <c r="C918" i="4"/>
  <c r="P918" i="4" s="1"/>
  <c r="C770" i="4"/>
  <c r="P770" i="4" s="1"/>
  <c r="C717" i="4"/>
  <c r="P717" i="4" s="1"/>
  <c r="C853" i="4"/>
  <c r="P853" i="4" s="1"/>
  <c r="C975" i="4"/>
  <c r="P975" i="4" s="1"/>
  <c r="C867" i="4"/>
  <c r="P867" i="4" s="1"/>
  <c r="C928" i="4"/>
  <c r="P928" i="4" s="1"/>
  <c r="C769" i="4"/>
  <c r="P769" i="4" s="1"/>
  <c r="C899" i="4"/>
  <c r="P899" i="4" s="1"/>
  <c r="C759" i="4"/>
  <c r="P759" i="4" s="1"/>
  <c r="C713" i="4"/>
  <c r="P713" i="4" s="1"/>
  <c r="C678" i="4"/>
  <c r="P678" i="4" s="1"/>
  <c r="C615" i="4"/>
  <c r="P615" i="4" s="1"/>
  <c r="C649" i="4"/>
  <c r="P649" i="4" s="1"/>
  <c r="C670" i="4"/>
  <c r="P670" i="4" s="1"/>
  <c r="C623" i="4"/>
  <c r="P623" i="4" s="1"/>
  <c r="C587" i="4"/>
  <c r="P587" i="4" s="1"/>
  <c r="C638" i="4"/>
  <c r="P638" i="4" s="1"/>
  <c r="C697" i="4"/>
  <c r="P697" i="4" s="1"/>
  <c r="C619" i="4"/>
  <c r="P619" i="4" s="1"/>
  <c r="C583" i="4"/>
  <c r="P583" i="4" s="1"/>
  <c r="C545" i="4"/>
  <c r="P545" i="4" s="1"/>
  <c r="C428" i="4"/>
  <c r="P428" i="4" s="1"/>
  <c r="C516" i="4"/>
  <c r="P516" i="4" s="1"/>
  <c r="C512" i="4"/>
  <c r="P512" i="4" s="1"/>
  <c r="C501" i="4"/>
  <c r="P501" i="4" s="1"/>
  <c r="C569" i="4"/>
  <c r="P569" i="4" s="1"/>
  <c r="C436" i="4"/>
  <c r="P436" i="4" s="1"/>
  <c r="C493" i="4"/>
  <c r="P493" i="4" s="1"/>
  <c r="C464" i="4"/>
  <c r="P464" i="4" s="1"/>
  <c r="C478" i="4"/>
  <c r="P478" i="4" s="1"/>
  <c r="C450" i="4"/>
  <c r="P450" i="4" s="1"/>
  <c r="C414" i="4"/>
  <c r="P414" i="4" s="1"/>
  <c r="C502" i="4"/>
  <c r="P502" i="4" s="1"/>
  <c r="C343" i="4"/>
  <c r="P343" i="4" s="1"/>
  <c r="C253" i="4"/>
  <c r="P253" i="4" s="1"/>
  <c r="C375" i="4"/>
  <c r="P375" i="4" s="1"/>
  <c r="C400" i="4"/>
  <c r="P400" i="4" s="1"/>
  <c r="C378" i="4"/>
  <c r="P378" i="4" s="1"/>
  <c r="C510" i="4"/>
  <c r="P510" i="4" s="1"/>
  <c r="C270" i="4"/>
  <c r="P270" i="4" s="1"/>
  <c r="C492" i="4"/>
  <c r="P492" i="4" s="1"/>
  <c r="C302" i="4"/>
  <c r="P302" i="4" s="1"/>
  <c r="C285" i="4"/>
  <c r="P285" i="4" s="1"/>
  <c r="C341" i="4"/>
  <c r="P341" i="4" s="1"/>
  <c r="C355" i="4"/>
  <c r="P355" i="4" s="1"/>
  <c r="C257" i="4"/>
  <c r="P257" i="4" s="1"/>
  <c r="C398" i="4"/>
  <c r="P398" i="4" s="1"/>
  <c r="C281" i="4"/>
  <c r="P281" i="4" s="1"/>
  <c r="C96" i="4"/>
  <c r="P96" i="4" s="1"/>
  <c r="C60" i="4"/>
  <c r="P60" i="4" s="1"/>
  <c r="C24" i="4"/>
  <c r="P24" i="4" s="1"/>
  <c r="C202" i="4"/>
  <c r="P202" i="4" s="1"/>
  <c r="C154" i="4"/>
  <c r="P154" i="4" s="1"/>
  <c r="C126" i="4"/>
  <c r="P126" i="4" s="1"/>
  <c r="C205" i="4"/>
  <c r="P205" i="4" s="1"/>
  <c r="C157" i="4"/>
  <c r="P157" i="4" s="1"/>
  <c r="C104" i="4"/>
  <c r="P104" i="4" s="1"/>
  <c r="C68" i="4"/>
  <c r="P68" i="4" s="1"/>
  <c r="C32" i="4"/>
  <c r="P32" i="4" s="1"/>
  <c r="C17" i="4"/>
  <c r="P17" i="4" s="1"/>
  <c r="C216" i="4"/>
  <c r="P216" i="4" s="1"/>
  <c r="C168" i="4"/>
  <c r="P168" i="4" s="1"/>
  <c r="C999" i="4"/>
  <c r="P999" i="4" s="1"/>
  <c r="C949" i="4"/>
  <c r="P949" i="4" s="1"/>
  <c r="C785" i="4"/>
  <c r="P785" i="4" s="1"/>
  <c r="C909" i="4"/>
  <c r="P909" i="4" s="1"/>
  <c r="C778" i="4"/>
  <c r="P778" i="4" s="1"/>
  <c r="C830" i="4"/>
  <c r="P830" i="4" s="1"/>
  <c r="C941" i="4"/>
  <c r="P941" i="4" s="1"/>
  <c r="C826" i="4"/>
  <c r="P826" i="4" s="1"/>
  <c r="C730" i="4"/>
  <c r="P730" i="4" s="1"/>
  <c r="C901" i="4"/>
  <c r="P901" i="4" s="1"/>
  <c r="C751" i="4"/>
  <c r="P751" i="4" s="1"/>
  <c r="C958" i="4"/>
  <c r="P958" i="4" s="1"/>
  <c r="C800" i="4"/>
  <c r="P800" i="4" s="1"/>
  <c r="C911" i="4"/>
  <c r="P911" i="4" s="1"/>
  <c r="C760" i="4"/>
  <c r="P760" i="4" s="1"/>
  <c r="C714" i="4"/>
  <c r="P714" i="4" s="1"/>
  <c r="C846" i="4"/>
  <c r="P846" i="4" s="1"/>
  <c r="C968" i="4"/>
  <c r="P968" i="4" s="1"/>
  <c r="C860" i="4"/>
  <c r="P860" i="4" s="1"/>
  <c r="C910" i="4"/>
  <c r="P910" i="4" s="1"/>
  <c r="C756" i="4"/>
  <c r="P756" i="4" s="1"/>
  <c r="C888" i="4"/>
  <c r="P888" i="4" s="1"/>
  <c r="C746" i="4"/>
  <c r="P746" i="4" s="1"/>
  <c r="C710" i="4"/>
  <c r="P710" i="4" s="1"/>
  <c r="C671" i="4"/>
  <c r="P671" i="4" s="1"/>
  <c r="C612" i="4"/>
  <c r="P612" i="4" s="1"/>
  <c r="C639" i="4"/>
  <c r="P639" i="4" s="1"/>
  <c r="C652" i="4"/>
  <c r="P652" i="4" s="1"/>
  <c r="C620" i="4"/>
  <c r="P620" i="4" s="1"/>
  <c r="C584" i="4"/>
  <c r="P584" i="4" s="1"/>
  <c r="C687" i="4"/>
  <c r="P687" i="4" s="1"/>
  <c r="C690" i="4"/>
  <c r="P690" i="4" s="1"/>
  <c r="C616" i="4"/>
  <c r="P616" i="4" s="1"/>
  <c r="C580" i="4"/>
  <c r="P580" i="4" s="1"/>
  <c r="C527" i="4"/>
  <c r="P527" i="4" s="1"/>
  <c r="C425" i="4"/>
  <c r="P425" i="4" s="1"/>
  <c r="C505" i="4"/>
  <c r="P505" i="4" s="1"/>
  <c r="C494" i="4"/>
  <c r="P494" i="4" s="1"/>
  <c r="C490" i="4"/>
  <c r="P490" i="4" s="1"/>
  <c r="C551" i="4"/>
  <c r="P551" i="4" s="1"/>
  <c r="C433" i="4"/>
  <c r="P433" i="4" s="1"/>
  <c r="C486" i="4"/>
  <c r="P486" i="4" s="1"/>
  <c r="C457" i="4"/>
  <c r="P457" i="4" s="1"/>
  <c r="C471" i="4"/>
  <c r="P471" i="4" s="1"/>
  <c r="C447" i="4"/>
  <c r="P447" i="4" s="1"/>
  <c r="C411" i="4"/>
  <c r="P411" i="4" s="1"/>
  <c r="C495" i="4"/>
  <c r="P495" i="4" s="1"/>
  <c r="C325" i="4"/>
  <c r="P325" i="4" s="1"/>
  <c r="C250" i="4"/>
  <c r="P250" i="4" s="1"/>
  <c r="C368" i="4"/>
  <c r="P368" i="4" s="1"/>
  <c r="C382" i="4"/>
  <c r="P382" i="4" s="1"/>
  <c r="C371" i="4"/>
  <c r="P371" i="4" s="1"/>
  <c r="C407" i="4"/>
  <c r="P407" i="4" s="1"/>
  <c r="C267" i="4"/>
  <c r="P267" i="4" s="1"/>
  <c r="C415" i="4"/>
  <c r="P415" i="4" s="1"/>
  <c r="C292" i="4"/>
  <c r="P292" i="4" s="1"/>
  <c r="C560" i="4"/>
  <c r="P560" i="4" s="1"/>
  <c r="C330" i="4"/>
  <c r="P330" i="4" s="1"/>
  <c r="C337" i="4"/>
  <c r="P337" i="4" s="1"/>
  <c r="C254" i="4"/>
  <c r="P254" i="4" s="1"/>
  <c r="C387" i="4"/>
  <c r="P387" i="4" s="1"/>
  <c r="C506" i="4"/>
  <c r="P506" i="4" s="1"/>
  <c r="C354" i="4"/>
  <c r="P354" i="4" s="1"/>
  <c r="C93" i="4"/>
  <c r="P93" i="4" s="1"/>
  <c r="C57" i="4"/>
  <c r="P57" i="4" s="1"/>
  <c r="C21" i="4"/>
  <c r="P21" i="4" s="1"/>
  <c r="C198" i="4"/>
  <c r="P198" i="4" s="1"/>
  <c r="C150" i="4"/>
  <c r="P150" i="4" s="1"/>
  <c r="C15" i="4"/>
  <c r="P15" i="4" s="1"/>
  <c r="C201" i="4"/>
  <c r="P201" i="4" s="1"/>
  <c r="C153" i="4"/>
  <c r="P153" i="4" s="1"/>
  <c r="C101" i="4"/>
  <c r="P101" i="4" s="1"/>
  <c r="C65" i="4"/>
  <c r="P65" i="4" s="1"/>
  <c r="C29" i="4"/>
  <c r="P29" i="4" s="1"/>
  <c r="C5" i="4"/>
  <c r="P5" i="4" s="1"/>
  <c r="C212" i="4"/>
  <c r="P212" i="4" s="1"/>
  <c r="C164" i="4"/>
  <c r="P164" i="4" s="1"/>
  <c r="C118" i="4"/>
  <c r="P118" i="4" s="1"/>
  <c r="C82" i="4"/>
  <c r="P82" i="4" s="1"/>
  <c r="C46" i="4"/>
  <c r="P46" i="4" s="1"/>
  <c r="C297" i="4"/>
  <c r="P297" i="4" s="1"/>
  <c r="C195" i="4"/>
  <c r="P195" i="4" s="1"/>
  <c r="C147" i="4"/>
  <c r="P147" i="4" s="1"/>
  <c r="C996" i="4"/>
  <c r="P996" i="4" s="1"/>
  <c r="C931" i="4"/>
  <c r="P931" i="4" s="1"/>
  <c r="C775" i="4"/>
  <c r="P775" i="4" s="1"/>
  <c r="C902" i="4"/>
  <c r="P902" i="4" s="1"/>
  <c r="C765" i="4"/>
  <c r="P765" i="4" s="1"/>
  <c r="C819" i="4"/>
  <c r="P819" i="4" s="1"/>
  <c r="C930" i="4"/>
  <c r="P930" i="4" s="1"/>
  <c r="C808" i="4"/>
  <c r="P808" i="4" s="1"/>
  <c r="C727" i="4"/>
  <c r="P727" i="4" s="1"/>
  <c r="C883" i="4"/>
  <c r="P883" i="4" s="1"/>
  <c r="C984" i="4"/>
  <c r="P984" i="4" s="1"/>
  <c r="C940" i="4"/>
  <c r="P940" i="4" s="1"/>
  <c r="C793" i="4"/>
  <c r="P793" i="4" s="1"/>
  <c r="C900" i="4"/>
  <c r="P900" i="4" s="1"/>
  <c r="C747" i="4"/>
  <c r="P747" i="4" s="1"/>
  <c r="C711" i="4"/>
  <c r="P711" i="4" s="1"/>
  <c r="C839" i="4"/>
  <c r="P839" i="4" s="1"/>
  <c r="C957" i="4"/>
  <c r="P957" i="4" s="1"/>
  <c r="C849" i="4"/>
  <c r="P849" i="4" s="1"/>
  <c r="C892" i="4"/>
  <c r="P892" i="4" s="1"/>
  <c r="C982" i="4"/>
  <c r="P982" i="4" s="1"/>
  <c r="C881" i="4"/>
  <c r="P881" i="4" s="1"/>
  <c r="C743" i="4"/>
  <c r="P743" i="4" s="1"/>
  <c r="C890" i="4"/>
  <c r="P890" i="4" s="1"/>
  <c r="C660" i="4"/>
  <c r="P660" i="4" s="1"/>
  <c r="C609" i="4"/>
  <c r="P609" i="4" s="1"/>
  <c r="C692" i="4"/>
  <c r="P692" i="4" s="1"/>
  <c r="C645" i="4"/>
  <c r="P645" i="4" s="1"/>
  <c r="C617" i="4"/>
  <c r="P617" i="4" s="1"/>
  <c r="C581" i="4"/>
  <c r="P581" i="4" s="1"/>
  <c r="C680" i="4"/>
  <c r="P680" i="4" s="1"/>
  <c r="C683" i="4"/>
  <c r="P683" i="4" s="1"/>
  <c r="C613" i="4"/>
  <c r="P613" i="4" s="1"/>
  <c r="C577" i="4"/>
  <c r="P577" i="4" s="1"/>
  <c r="C509" i="4"/>
  <c r="P509" i="4" s="1"/>
  <c r="C422" i="4"/>
  <c r="P422" i="4" s="1"/>
  <c r="C498" i="4"/>
  <c r="P498" i="4" s="1"/>
  <c r="C476" i="4"/>
  <c r="P476" i="4" s="1"/>
  <c r="C483" i="4"/>
  <c r="P483" i="4" s="1"/>
  <c r="C533" i="4"/>
  <c r="P533" i="4" s="1"/>
  <c r="C430" i="4"/>
  <c r="P430" i="4" s="1"/>
  <c r="C475" i="4"/>
  <c r="P475" i="4" s="1"/>
  <c r="C568" i="4"/>
  <c r="P568" i="4" s="1"/>
  <c r="C460" i="4"/>
  <c r="P460" i="4" s="1"/>
  <c r="C444" i="4"/>
  <c r="P444" i="4" s="1"/>
  <c r="C408" i="4"/>
  <c r="P408" i="4" s="1"/>
  <c r="C484" i="4"/>
  <c r="P484" i="4" s="1"/>
  <c r="C307" i="4"/>
  <c r="P307" i="4" s="1"/>
  <c r="C247" i="4"/>
  <c r="P247" i="4" s="1"/>
  <c r="C357" i="4"/>
  <c r="P357" i="4" s="1"/>
  <c r="C364" i="4"/>
  <c r="P364" i="4" s="1"/>
  <c r="C360" i="4"/>
  <c r="P360" i="4" s="1"/>
  <c r="C403" i="4"/>
  <c r="P403" i="4" s="1"/>
  <c r="C264" i="4"/>
  <c r="P264" i="4" s="1"/>
  <c r="C399" i="4"/>
  <c r="P399" i="4" s="1"/>
  <c r="C282" i="4"/>
  <c r="P282" i="4" s="1"/>
  <c r="C499" i="4"/>
  <c r="P499" i="4" s="1"/>
  <c r="C323" i="4"/>
  <c r="P323" i="4" s="1"/>
  <c r="C319" i="4"/>
  <c r="P319" i="4" s="1"/>
  <c r="C251" i="4"/>
  <c r="P251" i="4" s="1"/>
  <c r="C380" i="4"/>
  <c r="P380" i="4" s="1"/>
  <c r="C409" i="4"/>
  <c r="P409" i="4" s="1"/>
  <c r="C287" i="4"/>
  <c r="P287" i="4" s="1"/>
  <c r="C90" i="4"/>
  <c r="P90" i="4" s="1"/>
  <c r="C54" i="4"/>
  <c r="P54" i="4" s="1"/>
  <c r="C18" i="4"/>
  <c r="P18" i="4" s="1"/>
  <c r="C194" i="4"/>
  <c r="P194" i="4" s="1"/>
  <c r="C146" i="4"/>
  <c r="P146" i="4" s="1"/>
  <c r="C3" i="4"/>
  <c r="P3" i="4" s="1"/>
  <c r="C197" i="4"/>
  <c r="P197" i="4" s="1"/>
  <c r="C149" i="4"/>
  <c r="P149" i="4" s="1"/>
  <c r="C98" i="4"/>
  <c r="P98" i="4" s="1"/>
  <c r="C62" i="4"/>
  <c r="P62" i="4" s="1"/>
  <c r="C26" i="4"/>
  <c r="P26" i="4" s="1"/>
  <c r="C2" i="4"/>
  <c r="C208" i="4"/>
  <c r="P208" i="4" s="1"/>
  <c r="C160" i="4"/>
  <c r="P160" i="4" s="1"/>
  <c r="C115" i="4"/>
  <c r="P115" i="4" s="1"/>
  <c r="C79" i="4"/>
  <c r="P79" i="4" s="1"/>
  <c r="C43" i="4"/>
  <c r="P43" i="4" s="1"/>
  <c r="C121" i="4"/>
  <c r="P121" i="4" s="1"/>
  <c r="C191" i="4"/>
  <c r="P191" i="4" s="1"/>
  <c r="C143" i="4"/>
  <c r="P143" i="4" s="1"/>
  <c r="C861" i="4"/>
  <c r="P861" i="4" s="1"/>
  <c r="C454" i="4"/>
  <c r="P454" i="4" s="1"/>
  <c r="C993" i="4"/>
  <c r="P993" i="4" s="1"/>
  <c r="C913" i="4"/>
  <c r="P913" i="4" s="1"/>
  <c r="C762" i="4"/>
  <c r="P762" i="4" s="1"/>
  <c r="C891" i="4"/>
  <c r="P891" i="4" s="1"/>
  <c r="C752" i="4"/>
  <c r="P752" i="4" s="1"/>
  <c r="C812" i="4"/>
  <c r="P812" i="4" s="1"/>
  <c r="C923" i="4"/>
  <c r="P923" i="4" s="1"/>
  <c r="C794" i="4"/>
  <c r="P794" i="4" s="1"/>
  <c r="C724" i="4"/>
  <c r="P724" i="4" s="1"/>
  <c r="C865" i="4"/>
  <c r="P865" i="4" s="1"/>
  <c r="C969" i="4"/>
  <c r="P969" i="4" s="1"/>
  <c r="C922" i="4"/>
  <c r="P922" i="4" s="1"/>
  <c r="C780" i="4"/>
  <c r="P780" i="4" s="1"/>
  <c r="C893" i="4"/>
  <c r="P893" i="4" s="1"/>
  <c r="C744" i="4"/>
  <c r="P744" i="4" s="1"/>
  <c r="C708" i="4"/>
  <c r="P708" i="4" s="1"/>
  <c r="C828" i="4"/>
  <c r="P828" i="4" s="1"/>
  <c r="C950" i="4"/>
  <c r="P950" i="4" s="1"/>
  <c r="C835" i="4"/>
  <c r="P835" i="4" s="1"/>
  <c r="C874" i="4"/>
  <c r="P874" i="4" s="1"/>
  <c r="C978" i="4"/>
  <c r="P978" i="4" s="1"/>
  <c r="C870" i="4"/>
  <c r="P870" i="4" s="1"/>
  <c r="C740" i="4"/>
  <c r="P740" i="4" s="1"/>
  <c r="C811" i="4"/>
  <c r="P811" i="4" s="1"/>
  <c r="C653" i="4"/>
  <c r="P653" i="4" s="1"/>
  <c r="C606" i="4"/>
  <c r="P606" i="4" s="1"/>
  <c r="C681" i="4"/>
  <c r="P681" i="4" s="1"/>
  <c r="C684" i="4"/>
  <c r="P684" i="4" s="1"/>
  <c r="C614" i="4"/>
  <c r="P614" i="4" s="1"/>
  <c r="C578" i="4"/>
  <c r="P578" i="4" s="1"/>
  <c r="C669" i="4"/>
  <c r="P669" i="4" s="1"/>
  <c r="C672" i="4"/>
  <c r="P672" i="4" s="1"/>
  <c r="C610" i="4"/>
  <c r="P610" i="4" s="1"/>
  <c r="C574" i="4"/>
  <c r="P574" i="4" s="1"/>
  <c r="C491" i="4"/>
  <c r="P491" i="4" s="1"/>
  <c r="C419" i="4"/>
  <c r="P419" i="4" s="1"/>
  <c r="C487" i="4"/>
  <c r="P487" i="4" s="1"/>
  <c r="C455" i="4"/>
  <c r="P455" i="4" s="1"/>
  <c r="C472" i="4"/>
  <c r="P472" i="4" s="1"/>
  <c r="C515" i="4"/>
  <c r="P515" i="4" s="1"/>
  <c r="C675" i="4"/>
  <c r="P675" i="4" s="1"/>
  <c r="C468" i="4"/>
  <c r="P468" i="4" s="1"/>
  <c r="C561" i="4"/>
  <c r="P561" i="4" s="1"/>
  <c r="C594" i="4"/>
  <c r="P594" i="4" s="1"/>
  <c r="C441" i="4"/>
  <c r="P441" i="4" s="1"/>
  <c r="C405" i="4"/>
  <c r="P405" i="4" s="1"/>
  <c r="C477" i="4"/>
  <c r="P477" i="4" s="1"/>
  <c r="C290" i="4"/>
  <c r="P290" i="4" s="1"/>
  <c r="C244" i="4"/>
  <c r="P244" i="4" s="1"/>
  <c r="C350" i="4"/>
  <c r="P350" i="4" s="1"/>
  <c r="C346" i="4"/>
  <c r="P346" i="4" s="1"/>
  <c r="C353" i="4"/>
  <c r="P353" i="4" s="1"/>
  <c r="C385" i="4"/>
  <c r="P385" i="4" s="1"/>
  <c r="C261" i="4"/>
  <c r="P261" i="4" s="1"/>
  <c r="C392" i="4"/>
  <c r="P392" i="4" s="1"/>
  <c r="C517" i="4"/>
  <c r="P517" i="4" s="1"/>
  <c r="C410" i="4"/>
  <c r="P410" i="4" s="1"/>
  <c r="C312" i="4"/>
  <c r="P312" i="4" s="1"/>
  <c r="C301" i="4"/>
  <c r="P301" i="4" s="1"/>
  <c r="C248" i="4"/>
  <c r="P248" i="4" s="1"/>
  <c r="C369" i="4"/>
  <c r="P369" i="4" s="1"/>
  <c r="C394" i="4"/>
  <c r="P394" i="4" s="1"/>
  <c r="C127" i="4"/>
  <c r="P127" i="4" s="1"/>
  <c r="C87" i="4"/>
  <c r="P87" i="4" s="1"/>
  <c r="C51" i="4"/>
  <c r="P51" i="4" s="1"/>
  <c r="C6" i="4"/>
  <c r="P6" i="4" s="1"/>
  <c r="C190" i="4"/>
  <c r="P190" i="4" s="1"/>
  <c r="C142" i="4"/>
  <c r="P142" i="4" s="1"/>
  <c r="C311" i="4"/>
  <c r="P311" i="4" s="1"/>
  <c r="C193" i="4"/>
  <c r="P193" i="4" s="1"/>
  <c r="C145" i="4"/>
  <c r="P145" i="4" s="1"/>
  <c r="C95" i="4"/>
  <c r="P95" i="4" s="1"/>
  <c r="C59" i="4"/>
  <c r="P59" i="4" s="1"/>
  <c r="C23" i="4"/>
  <c r="P23" i="4" s="1"/>
  <c r="C9" i="4"/>
  <c r="P9" i="4" s="1"/>
  <c r="C204" i="4"/>
  <c r="P204" i="4" s="1"/>
  <c r="C156" i="4"/>
  <c r="P156" i="4" s="1"/>
  <c r="C112" i="4"/>
  <c r="P112" i="4" s="1"/>
  <c r="C76" i="4"/>
  <c r="P76" i="4" s="1"/>
  <c r="C40" i="4"/>
  <c r="P40" i="4" s="1"/>
  <c r="C235" i="4"/>
  <c r="P235" i="4" s="1"/>
  <c r="C187" i="4"/>
  <c r="P187" i="4" s="1"/>
  <c r="C139" i="4"/>
  <c r="P139" i="4" s="1"/>
  <c r="C607" i="4"/>
  <c r="P607" i="4" s="1"/>
  <c r="C1001" i="4"/>
  <c r="P1001" i="4" s="1"/>
  <c r="C895" i="4"/>
  <c r="P895" i="4" s="1"/>
  <c r="C749" i="4"/>
  <c r="P749" i="4" s="1"/>
  <c r="C884" i="4"/>
  <c r="P884" i="4" s="1"/>
  <c r="C981" i="4"/>
  <c r="P981" i="4" s="1"/>
  <c r="C801" i="4"/>
  <c r="P801" i="4" s="1"/>
  <c r="C912" i="4"/>
  <c r="P912" i="4" s="1"/>
  <c r="C784" i="4"/>
  <c r="P784" i="4" s="1"/>
  <c r="C721" i="4"/>
  <c r="P721" i="4" s="1"/>
  <c r="C840" i="4"/>
  <c r="P840" i="4" s="1"/>
  <c r="C962" i="4"/>
  <c r="P962" i="4" s="1"/>
  <c r="C904" i="4"/>
  <c r="P904" i="4" s="1"/>
  <c r="C767" i="4"/>
  <c r="P767" i="4" s="1"/>
  <c r="C882" i="4"/>
  <c r="P882" i="4" s="1"/>
  <c r="C741" i="4"/>
  <c r="P741" i="4" s="1"/>
  <c r="C705" i="4"/>
  <c r="P705" i="4" s="1"/>
  <c r="C821" i="4"/>
  <c r="P821" i="4" s="1"/>
  <c r="C939" i="4"/>
  <c r="P939" i="4" s="1"/>
  <c r="C817" i="4"/>
  <c r="P817" i="4" s="1"/>
  <c r="C856" i="4"/>
  <c r="P856" i="4" s="1"/>
  <c r="C971" i="4"/>
  <c r="P971" i="4" s="1"/>
  <c r="C863" i="4"/>
  <c r="P863" i="4" s="1"/>
  <c r="C737" i="4"/>
  <c r="P737" i="4" s="1"/>
  <c r="C696" i="4"/>
  <c r="P696" i="4" s="1"/>
  <c r="C646" i="4"/>
  <c r="P646" i="4" s="1"/>
  <c r="C603" i="4"/>
  <c r="P603" i="4" s="1"/>
  <c r="C674" i="4"/>
  <c r="P674" i="4" s="1"/>
  <c r="C677" i="4"/>
  <c r="P677" i="4" s="1"/>
  <c r="C611" i="4"/>
  <c r="P611" i="4" s="1"/>
  <c r="C575" i="4"/>
  <c r="P575" i="4" s="1"/>
  <c r="C662" i="4"/>
  <c r="P662" i="4" s="1"/>
  <c r="C665" i="4"/>
  <c r="P665" i="4" s="1"/>
  <c r="C473" i="4"/>
  <c r="P473" i="4" s="1"/>
  <c r="C416" i="4"/>
  <c r="P416" i="4" s="1"/>
  <c r="C480" i="4"/>
  <c r="P480" i="4" s="1"/>
  <c r="C668" i="4"/>
  <c r="P668" i="4" s="1"/>
  <c r="C465" i="4"/>
  <c r="P465" i="4" s="1"/>
  <c r="C565" i="4"/>
  <c r="P565" i="4" s="1"/>
  <c r="C995" i="4"/>
  <c r="P995" i="4" s="1"/>
  <c r="C859" i="4"/>
  <c r="P859" i="4" s="1"/>
  <c r="C974" i="4"/>
  <c r="P974" i="4" s="1"/>
  <c r="C866" i="4"/>
  <c r="P866" i="4" s="1"/>
  <c r="C952" i="4"/>
  <c r="P952" i="4" s="1"/>
  <c r="C781" i="4"/>
  <c r="P781" i="4" s="1"/>
  <c r="C894" i="4"/>
  <c r="P894" i="4" s="1"/>
  <c r="C758" i="4"/>
  <c r="P758" i="4" s="1"/>
  <c r="C715" i="4"/>
  <c r="P715" i="4" s="1"/>
  <c r="C822" i="4"/>
  <c r="P822" i="4" s="1"/>
  <c r="C944" i="4"/>
  <c r="P944" i="4" s="1"/>
  <c r="C868" i="4"/>
  <c r="P868" i="4" s="1"/>
  <c r="C972" i="4"/>
  <c r="P972" i="4" s="1"/>
  <c r="C864" i="4"/>
  <c r="P864" i="4" s="1"/>
  <c r="C735" i="4"/>
  <c r="P735" i="4" s="1"/>
  <c r="C961" i="4"/>
  <c r="P961" i="4" s="1"/>
  <c r="C803" i="4"/>
  <c r="P803" i="4" s="1"/>
  <c r="C921" i="4"/>
  <c r="P921" i="4" s="1"/>
  <c r="C789" i="4"/>
  <c r="P789" i="4" s="1"/>
  <c r="C831" i="4"/>
  <c r="P831" i="4" s="1"/>
  <c r="C953" i="4"/>
  <c r="P953" i="4" s="1"/>
  <c r="C838" i="4"/>
  <c r="P838" i="4" s="1"/>
  <c r="C731" i="4"/>
  <c r="P731" i="4" s="1"/>
  <c r="C664" i="4"/>
  <c r="P664" i="4" s="1"/>
  <c r="C633" i="4"/>
  <c r="P633" i="4" s="1"/>
  <c r="C597" i="4"/>
  <c r="P597" i="4" s="1"/>
  <c r="C656" i="4"/>
  <c r="P656" i="4" s="1"/>
  <c r="C659" i="4"/>
  <c r="P659" i="4" s="1"/>
  <c r="C605" i="4"/>
  <c r="P605" i="4" s="1"/>
  <c r="C854" i="4"/>
  <c r="P854" i="4" s="1"/>
  <c r="C641" i="4"/>
  <c r="P641" i="4" s="1"/>
  <c r="C647" i="4"/>
  <c r="P647" i="4" s="1"/>
  <c r="C601" i="4"/>
  <c r="P601" i="4" s="1"/>
  <c r="C754" i="4"/>
  <c r="P754" i="4" s="1"/>
  <c r="C446" i="4"/>
  <c r="P446" i="4" s="1"/>
  <c r="C570" i="4"/>
  <c r="P570" i="4" s="1"/>
  <c r="C462" i="4"/>
  <c r="P462" i="4" s="1"/>
  <c r="C555" i="4"/>
  <c r="P555" i="4" s="1"/>
  <c r="C700" i="4"/>
  <c r="P700" i="4" s="1"/>
  <c r="C461" i="4"/>
  <c r="P461" i="4" s="1"/>
  <c r="C547" i="4"/>
  <c r="P547" i="4" s="1"/>
  <c r="C640" i="4"/>
  <c r="P640" i="4" s="1"/>
  <c r="C532" i="4"/>
  <c r="P532" i="4" s="1"/>
  <c r="C557" i="4"/>
  <c r="P557" i="4" s="1"/>
  <c r="C432" i="4"/>
  <c r="P432" i="4" s="1"/>
  <c r="C556" i="4"/>
  <c r="P556" i="4" s="1"/>
  <c r="C470" i="4"/>
  <c r="P470" i="4" s="1"/>
  <c r="C271" i="4"/>
  <c r="P271" i="4" s="1"/>
  <c r="C564" i="4"/>
  <c r="P564" i="4" s="1"/>
  <c r="C321" i="4"/>
  <c r="P321" i="4" s="1"/>
  <c r="C296" i="4"/>
  <c r="P296" i="4" s="1"/>
  <c r="C324" i="4"/>
  <c r="P324" i="4" s="1"/>
  <c r="C331" i="4"/>
  <c r="P331" i="4" s="1"/>
  <c r="C252" i="4"/>
  <c r="P252" i="4" s="1"/>
  <c r="C363" i="4"/>
  <c r="P363" i="4" s="1"/>
  <c r="C388" i="4"/>
  <c r="P388" i="4" s="1"/>
  <c r="C395" i="4"/>
  <c r="P395" i="4" s="1"/>
  <c r="C288" i="4"/>
  <c r="P288" i="4" s="1"/>
  <c r="C275" i="4"/>
  <c r="P275" i="4" s="1"/>
  <c r="C239" i="4"/>
  <c r="P239" i="4" s="1"/>
  <c r="C344" i="4"/>
  <c r="P344" i="4" s="1"/>
  <c r="C340" i="4"/>
  <c r="P340" i="4" s="1"/>
  <c r="C114" i="4"/>
  <c r="P114" i="4" s="1"/>
  <c r="C78" i="4"/>
  <c r="P78" i="4" s="1"/>
  <c r="C42" i="4"/>
  <c r="P42" i="4" s="1"/>
  <c r="C226" i="4"/>
  <c r="P226" i="4" s="1"/>
  <c r="C178" i="4"/>
  <c r="P178" i="4" s="1"/>
  <c r="C123" i="4"/>
  <c r="P123" i="4" s="1"/>
  <c r="C229" i="4"/>
  <c r="P229" i="4" s="1"/>
  <c r="C181" i="4"/>
  <c r="P181" i="4" s="1"/>
  <c r="C133" i="4"/>
  <c r="P133" i="4" s="1"/>
  <c r="C86" i="4"/>
  <c r="P86" i="4" s="1"/>
  <c r="C50" i="4"/>
  <c r="P50" i="4" s="1"/>
  <c r="C401" i="4"/>
  <c r="P401" i="4" s="1"/>
  <c r="C12" i="4"/>
  <c r="P12" i="4" s="1"/>
  <c r="C192" i="4"/>
  <c r="P192" i="4" s="1"/>
  <c r="C144" i="4"/>
  <c r="P144" i="4" s="1"/>
  <c r="C103" i="4"/>
  <c r="P103" i="4" s="1"/>
  <c r="C67" i="4"/>
  <c r="P67" i="4" s="1"/>
  <c r="C31" i="4"/>
  <c r="P31" i="4" s="1"/>
  <c r="C223" i="4"/>
  <c r="P223" i="4" s="1"/>
  <c r="C175" i="4"/>
  <c r="P175" i="4" s="1"/>
  <c r="C124" i="4"/>
  <c r="P124" i="4" s="1"/>
  <c r="C628" i="4"/>
  <c r="P628" i="4" s="1"/>
  <c r="C291" i="4"/>
  <c r="P291" i="4" s="1"/>
  <c r="C852" i="4"/>
  <c r="P852" i="4" s="1"/>
  <c r="C58" i="4"/>
  <c r="P58" i="4" s="1"/>
  <c r="C134" i="4"/>
  <c r="P134" i="4" s="1"/>
  <c r="C524" i="4"/>
  <c r="P524" i="4" s="1"/>
  <c r="C299" i="4"/>
  <c r="P299" i="4" s="1"/>
  <c r="C503" i="4"/>
  <c r="P503" i="4" s="1"/>
  <c r="C663" i="4"/>
  <c r="P663" i="4" s="1"/>
  <c r="C990" i="4"/>
  <c r="P990" i="4" s="1"/>
  <c r="C183" i="4"/>
  <c r="P183" i="4" s="1"/>
  <c r="C73" i="4"/>
  <c r="P73" i="4" s="1"/>
  <c r="C228" i="4"/>
  <c r="P228" i="4" s="1"/>
  <c r="C113" i="4"/>
  <c r="P113" i="4" s="1"/>
  <c r="C166" i="4"/>
  <c r="P166" i="4" s="1"/>
  <c r="C105" i="4"/>
  <c r="P105" i="4" s="1"/>
  <c r="C245" i="4"/>
  <c r="P245" i="4" s="1"/>
  <c r="C474" i="4"/>
  <c r="P474" i="4" s="1"/>
  <c r="C342" i="4"/>
  <c r="P342" i="4" s="1"/>
  <c r="C277" i="4"/>
  <c r="P277" i="4" s="1"/>
  <c r="C585" i="4"/>
  <c r="P585" i="4" s="1"/>
  <c r="C469" i="4"/>
  <c r="P469" i="4" s="1"/>
  <c r="C636" i="4"/>
  <c r="P636" i="4" s="1"/>
  <c r="C757" i="4"/>
  <c r="P757" i="4" s="1"/>
  <c r="C998" i="4"/>
  <c r="P998" i="4" s="1"/>
  <c r="P2" i="4" l="1"/>
  <c r="S17" i="4" s="1"/>
  <c r="S4" i="4"/>
</calcChain>
</file>

<file path=xl/sharedStrings.xml><?xml version="1.0" encoding="utf-8"?>
<sst xmlns="http://schemas.openxmlformats.org/spreadsheetml/2006/main" count="6983" uniqueCount="1503">
  <si>
    <t>Customer_ID</t>
  </si>
  <si>
    <t>Age</t>
  </si>
  <si>
    <t>Gender</t>
  </si>
  <si>
    <t>Region</t>
  </si>
  <si>
    <t>Occupation</t>
  </si>
  <si>
    <t>Marital_Status</t>
  </si>
  <si>
    <t>Annual_Income_EUR</t>
  </si>
  <si>
    <t>Tenure_Years</t>
  </si>
  <si>
    <t>Account_Open_Date</t>
  </si>
  <si>
    <t>Preferred_Channel</t>
  </si>
  <si>
    <t>Num_Products</t>
  </si>
  <si>
    <t>Checking_Balance_EUR</t>
  </si>
  <si>
    <t>Savings_Balance_EUR</t>
  </si>
  <si>
    <t>Monthly_Transactions</t>
  </si>
  <si>
    <t>Avg_Transaction_EUR</t>
  </si>
  <si>
    <t>Monthly_ATM_Withdrawals</t>
  </si>
  <si>
    <t>Card_Limit_EUR</t>
  </si>
  <si>
    <t>Monthly_Card_Spend_EUR</t>
  </si>
  <si>
    <t>Mortgage_Balance_EUR</t>
  </si>
  <si>
    <t>Monthly_Mortgage_Payment_EUR</t>
  </si>
  <si>
    <t>Credit_Score</t>
  </si>
  <si>
    <t>Complaints_12M</t>
  </si>
  <si>
    <t>CL00001</t>
  </si>
  <si>
    <t>M</t>
  </si>
  <si>
    <t>Campania</t>
  </si>
  <si>
    <t>Employee</t>
  </si>
  <si>
    <t>Single</t>
  </si>
  <si>
    <t>Online Banking</t>
  </si>
  <si>
    <t>CL00002</t>
  </si>
  <si>
    <t>Veneto</t>
  </si>
  <si>
    <t>Married</t>
  </si>
  <si>
    <t>App</t>
  </si>
  <si>
    <t>CL00003</t>
  </si>
  <si>
    <t>F</t>
  </si>
  <si>
    <t>Lombardia</t>
  </si>
  <si>
    <t>Self-employed</t>
  </si>
  <si>
    <t>CL00004</t>
  </si>
  <si>
    <t>Puglia</t>
  </si>
  <si>
    <t>Widowed</t>
  </si>
  <si>
    <t>Branch</t>
  </si>
  <si>
    <t>CL00005</t>
  </si>
  <si>
    <t>Piemonte</t>
  </si>
  <si>
    <t>Business owner</t>
  </si>
  <si>
    <t>CL00006</t>
  </si>
  <si>
    <t>Marche</t>
  </si>
  <si>
    <t>Manual worker</t>
  </si>
  <si>
    <t>CL00007</t>
  </si>
  <si>
    <t>CL00008</t>
  </si>
  <si>
    <t>Divorced</t>
  </si>
  <si>
    <t>Phone</t>
  </si>
  <si>
    <t>CL00009</t>
  </si>
  <si>
    <t>Abruzzo</t>
  </si>
  <si>
    <t>CL00010</t>
  </si>
  <si>
    <t>CL00011</t>
  </si>
  <si>
    <t>Teacher</t>
  </si>
  <si>
    <t>CL00012</t>
  </si>
  <si>
    <t>CL00013</t>
  </si>
  <si>
    <t>Emilia-Romagna</t>
  </si>
  <si>
    <t>CL00014</t>
  </si>
  <si>
    <t>Lazio</t>
  </si>
  <si>
    <t>CL00015</t>
  </si>
  <si>
    <t>CL00016</t>
  </si>
  <si>
    <t>Liguria</t>
  </si>
  <si>
    <t>Shopkeeper</t>
  </si>
  <si>
    <t>CL00017</t>
  </si>
  <si>
    <t>CL00018</t>
  </si>
  <si>
    <t>CL00019</t>
  </si>
  <si>
    <t>Unemployed</t>
  </si>
  <si>
    <t>CL00020</t>
  </si>
  <si>
    <t>CL00021</t>
  </si>
  <si>
    <t>Sardegna</t>
  </si>
  <si>
    <t>CL00022</t>
  </si>
  <si>
    <t>Toscana</t>
  </si>
  <si>
    <t>CL00023</t>
  </si>
  <si>
    <t>CL00024</t>
  </si>
  <si>
    <t>Trentino-Alto Adige</t>
  </si>
  <si>
    <t>CL00025</t>
  </si>
  <si>
    <t>CL00026</t>
  </si>
  <si>
    <t>CL00027</t>
  </si>
  <si>
    <t>Molise</t>
  </si>
  <si>
    <t>CL00028</t>
  </si>
  <si>
    <t>CL00029</t>
  </si>
  <si>
    <t>CL00030</t>
  </si>
  <si>
    <t>CL00031</t>
  </si>
  <si>
    <t>CL00032</t>
  </si>
  <si>
    <t>CL00033</t>
  </si>
  <si>
    <t>LOMBARDIA</t>
  </si>
  <si>
    <t>CL00034</t>
  </si>
  <si>
    <t>CL00035</t>
  </si>
  <si>
    <t>CL00036</t>
  </si>
  <si>
    <t>Executive</t>
  </si>
  <si>
    <t>CL00037</t>
  </si>
  <si>
    <t>CL00038</t>
  </si>
  <si>
    <t>CL00039</t>
  </si>
  <si>
    <t>CL00040</t>
  </si>
  <si>
    <t>Retired</t>
  </si>
  <si>
    <t>CL00041</t>
  </si>
  <si>
    <t>CL00042</t>
  </si>
  <si>
    <t>Sicilia</t>
  </si>
  <si>
    <t>CL00043</t>
  </si>
  <si>
    <t>CL00044</t>
  </si>
  <si>
    <t>CL00045</t>
  </si>
  <si>
    <t>CL00046</t>
  </si>
  <si>
    <t>CL00047</t>
  </si>
  <si>
    <t>CL00048</t>
  </si>
  <si>
    <t>CL00049</t>
  </si>
  <si>
    <t>CL00050</t>
  </si>
  <si>
    <t>CL00051</t>
  </si>
  <si>
    <t>Calabria</t>
  </si>
  <si>
    <t>CL00052</t>
  </si>
  <si>
    <t>CL00053</t>
  </si>
  <si>
    <t>CL00054</t>
  </si>
  <si>
    <t>CL00055</t>
  </si>
  <si>
    <t>CL00056</t>
  </si>
  <si>
    <t>CL00057</t>
  </si>
  <si>
    <t>CL00058</t>
  </si>
  <si>
    <t>CL00059</t>
  </si>
  <si>
    <t>Student</t>
  </si>
  <si>
    <t>CL00060</t>
  </si>
  <si>
    <t>CL00061</t>
  </si>
  <si>
    <t>CL00062</t>
  </si>
  <si>
    <t>CL00063</t>
  </si>
  <si>
    <t>Lombardai</t>
  </si>
  <si>
    <t>CL00064</t>
  </si>
  <si>
    <t>CL00065</t>
  </si>
  <si>
    <t>CL00066</t>
  </si>
  <si>
    <t>CL00067</t>
  </si>
  <si>
    <t>CL00068</t>
  </si>
  <si>
    <t>Umbria</t>
  </si>
  <si>
    <t>CL00069</t>
  </si>
  <si>
    <t>CL00070</t>
  </si>
  <si>
    <t>CL00071</t>
  </si>
  <si>
    <t>CL00072</t>
  </si>
  <si>
    <t>CL00073</t>
  </si>
  <si>
    <t>Friuli-Venezia Giulia</t>
  </si>
  <si>
    <t>CL00074</t>
  </si>
  <si>
    <t>CL00075</t>
  </si>
  <si>
    <t>CL00076</t>
  </si>
  <si>
    <t>CL00077</t>
  </si>
  <si>
    <t>CL00078</t>
  </si>
  <si>
    <t>CL00079</t>
  </si>
  <si>
    <t>CL00080</t>
  </si>
  <si>
    <t>CL00081</t>
  </si>
  <si>
    <t>CL00082</t>
  </si>
  <si>
    <t>CL00083</t>
  </si>
  <si>
    <t>CL00084</t>
  </si>
  <si>
    <t>CL00085</t>
  </si>
  <si>
    <t>CL00086</t>
  </si>
  <si>
    <t>CL00087</t>
  </si>
  <si>
    <t>CL00088</t>
  </si>
  <si>
    <t>CL00089</t>
  </si>
  <si>
    <t>CL00090</t>
  </si>
  <si>
    <t>CL00091</t>
  </si>
  <si>
    <t>CL00092</t>
  </si>
  <si>
    <t>CL00093</t>
  </si>
  <si>
    <t>CL00094</t>
  </si>
  <si>
    <t>CL00095</t>
  </si>
  <si>
    <t>CL00096</t>
  </si>
  <si>
    <t>CL00097</t>
  </si>
  <si>
    <t>CL00098</t>
  </si>
  <si>
    <t>CL00099</t>
  </si>
  <si>
    <t>CL00100</t>
  </si>
  <si>
    <t>CL00101</t>
  </si>
  <si>
    <t>CL00102</t>
  </si>
  <si>
    <t>CL00103</t>
  </si>
  <si>
    <t>CL00104</t>
  </si>
  <si>
    <t>CL00105</t>
  </si>
  <si>
    <t>CL00106</t>
  </si>
  <si>
    <t>CL00107</t>
  </si>
  <si>
    <t>CL00108</t>
  </si>
  <si>
    <t>CL00109</t>
  </si>
  <si>
    <t>CL00110</t>
  </si>
  <si>
    <t>CL00111</t>
  </si>
  <si>
    <t>CL00112</t>
  </si>
  <si>
    <t>CL00113</t>
  </si>
  <si>
    <t>CL00114</t>
  </si>
  <si>
    <t>CL00115</t>
  </si>
  <si>
    <t>CL00116</t>
  </si>
  <si>
    <t>CL00117</t>
  </si>
  <si>
    <t>CL00118</t>
  </si>
  <si>
    <t>CL00119</t>
  </si>
  <si>
    <t>CL00120</t>
  </si>
  <si>
    <t>CL00121</t>
  </si>
  <si>
    <t>CL00122</t>
  </si>
  <si>
    <t>CL00123</t>
  </si>
  <si>
    <t>CL00124</t>
  </si>
  <si>
    <t>CL00125</t>
  </si>
  <si>
    <t>CL00126</t>
  </si>
  <si>
    <t>CL00127</t>
  </si>
  <si>
    <t>CL00128</t>
  </si>
  <si>
    <t>CL00129</t>
  </si>
  <si>
    <t>CL00130</t>
  </si>
  <si>
    <t>CL00131</t>
  </si>
  <si>
    <t>CL00132</t>
  </si>
  <si>
    <t>CL00133</t>
  </si>
  <si>
    <t>CL00134</t>
  </si>
  <si>
    <t>CL00135</t>
  </si>
  <si>
    <t>CL00136</t>
  </si>
  <si>
    <t>CL00137</t>
  </si>
  <si>
    <t>CL00138</t>
  </si>
  <si>
    <t>CL00997</t>
  </si>
  <si>
    <t>CL00139</t>
  </si>
  <si>
    <t>CL00140</t>
  </si>
  <si>
    <t>CL00141</t>
  </si>
  <si>
    <t>CL00142</t>
  </si>
  <si>
    <t>CL00143</t>
  </si>
  <si>
    <t>Valle d'Aosta</t>
  </si>
  <si>
    <t>CL00144</t>
  </si>
  <si>
    <t>CL00145</t>
  </si>
  <si>
    <t>CL00146</t>
  </si>
  <si>
    <t>CL00147</t>
  </si>
  <si>
    <t>CL00148</t>
  </si>
  <si>
    <t>CL00149</t>
  </si>
  <si>
    <t>CL00150</t>
  </si>
  <si>
    <t>CL00151</t>
  </si>
  <si>
    <t>CL00416</t>
  </si>
  <si>
    <t>CL00152</t>
  </si>
  <si>
    <t>CL00153</t>
  </si>
  <si>
    <t>CL00154</t>
  </si>
  <si>
    <t>CL00155</t>
  </si>
  <si>
    <t>CL00156</t>
  </si>
  <si>
    <t>CL00157</t>
  </si>
  <si>
    <t>CL00158</t>
  </si>
  <si>
    <t>CL00159</t>
  </si>
  <si>
    <t>CL00160</t>
  </si>
  <si>
    <t>CL00161</t>
  </si>
  <si>
    <t>CL00162</t>
  </si>
  <si>
    <t>CL00163</t>
  </si>
  <si>
    <t>CL00164</t>
  </si>
  <si>
    <t>CL00165</t>
  </si>
  <si>
    <t>CL00166</t>
  </si>
  <si>
    <t>CL00167</t>
  </si>
  <si>
    <t>CL00168</t>
  </si>
  <si>
    <t>CL00169</t>
  </si>
  <si>
    <t>CL00170</t>
  </si>
  <si>
    <t>CL00171</t>
  </si>
  <si>
    <t>CL00172</t>
  </si>
  <si>
    <t>CL00173</t>
  </si>
  <si>
    <t>CL00174</t>
  </si>
  <si>
    <t>CL00175</t>
  </si>
  <si>
    <t>CL00176</t>
  </si>
  <si>
    <t>CL00177</t>
  </si>
  <si>
    <t>CL00178</t>
  </si>
  <si>
    <t>lombardia</t>
  </si>
  <si>
    <t>CL00179</t>
  </si>
  <si>
    <t>CL00180</t>
  </si>
  <si>
    <t>CL00181</t>
  </si>
  <si>
    <t>CL00182</t>
  </si>
  <si>
    <t>CL00183</t>
  </si>
  <si>
    <t>CL00184</t>
  </si>
  <si>
    <t>CL00185</t>
  </si>
  <si>
    <t>CL00186</t>
  </si>
  <si>
    <t>CL00187</t>
  </si>
  <si>
    <t>CL00188</t>
  </si>
  <si>
    <t>CL00189</t>
  </si>
  <si>
    <t>CL00190</t>
  </si>
  <si>
    <t>CL00191</t>
  </si>
  <si>
    <t>CL00192</t>
  </si>
  <si>
    <t>CL00996</t>
  </si>
  <si>
    <t>CL00193</t>
  </si>
  <si>
    <t>CL00194</t>
  </si>
  <si>
    <t>CL00195</t>
  </si>
  <si>
    <t>CL00196</t>
  </si>
  <si>
    <t>CL00197</t>
  </si>
  <si>
    <t>CL00198</t>
  </si>
  <si>
    <t>CL00199</t>
  </si>
  <si>
    <t>CL00200</t>
  </si>
  <si>
    <t>CL00201</t>
  </si>
  <si>
    <t>CL00202</t>
  </si>
  <si>
    <t>CL00203</t>
  </si>
  <si>
    <t>CL00204</t>
  </si>
  <si>
    <t>CL00205</t>
  </si>
  <si>
    <t>CL00206</t>
  </si>
  <si>
    <t>CL00207</t>
  </si>
  <si>
    <t>CL00208</t>
  </si>
  <si>
    <t>CL00209</t>
  </si>
  <si>
    <t>CL00210</t>
  </si>
  <si>
    <t>CL00211</t>
  </si>
  <si>
    <t>CL00212</t>
  </si>
  <si>
    <t>CL00213</t>
  </si>
  <si>
    <t>CL00214</t>
  </si>
  <si>
    <t>CL00215</t>
  </si>
  <si>
    <t>CL00216</t>
  </si>
  <si>
    <t>CL00217</t>
  </si>
  <si>
    <t>CL00218</t>
  </si>
  <si>
    <t>CL00219</t>
  </si>
  <si>
    <t>CL00220</t>
  </si>
  <si>
    <t>Counter</t>
  </si>
  <si>
    <t>CL00221</t>
  </si>
  <si>
    <t>CL00222</t>
  </si>
  <si>
    <t>CL00223</t>
  </si>
  <si>
    <t>CL00224</t>
  </si>
  <si>
    <t>CL00225</t>
  </si>
  <si>
    <t>CL00226</t>
  </si>
  <si>
    <t>CL00227</t>
  </si>
  <si>
    <t>CL00228</t>
  </si>
  <si>
    <t>CL00229</t>
  </si>
  <si>
    <t>CL00230</t>
  </si>
  <si>
    <t>CL00231</t>
  </si>
  <si>
    <t>CL00232</t>
  </si>
  <si>
    <t>CL00233</t>
  </si>
  <si>
    <t>CL00234</t>
  </si>
  <si>
    <t>CL00235</t>
  </si>
  <si>
    <t>CL00236</t>
  </si>
  <si>
    <t>CL00237</t>
  </si>
  <si>
    <t>CL00238</t>
  </si>
  <si>
    <t>CL00239</t>
  </si>
  <si>
    <t>CL00240</t>
  </si>
  <si>
    <t>CL00241</t>
  </si>
  <si>
    <t>CL00242</t>
  </si>
  <si>
    <t>CL00243</t>
  </si>
  <si>
    <t>CL00244</t>
  </si>
  <si>
    <t>CL00245</t>
  </si>
  <si>
    <t>CL00246</t>
  </si>
  <si>
    <t>CL00247</t>
  </si>
  <si>
    <t>CL00248</t>
  </si>
  <si>
    <t>CL00249</t>
  </si>
  <si>
    <t>CL00250</t>
  </si>
  <si>
    <t>CL00251</t>
  </si>
  <si>
    <t>CL00252</t>
  </si>
  <si>
    <t>CL00253</t>
  </si>
  <si>
    <t>f</t>
  </si>
  <si>
    <t>CL00254</t>
  </si>
  <si>
    <t>CL00255</t>
  </si>
  <si>
    <t>CL00457</t>
  </si>
  <si>
    <t>CL00256</t>
  </si>
  <si>
    <t>CL00257</t>
  </si>
  <si>
    <t>CL00258</t>
  </si>
  <si>
    <t>CL00259</t>
  </si>
  <si>
    <t>CL00260</t>
  </si>
  <si>
    <t>CL00261</t>
  </si>
  <si>
    <t>CL00262</t>
  </si>
  <si>
    <t>CL00263</t>
  </si>
  <si>
    <t>CL00264</t>
  </si>
  <si>
    <t>CL00265</t>
  </si>
  <si>
    <t>CL00266</t>
  </si>
  <si>
    <t>CL00267</t>
  </si>
  <si>
    <t>CL00268</t>
  </si>
  <si>
    <t>CL00269</t>
  </si>
  <si>
    <t>CL00270</t>
  </si>
  <si>
    <t>CL00271</t>
  </si>
  <si>
    <t>CL00272</t>
  </si>
  <si>
    <t>CL00273</t>
  </si>
  <si>
    <t>CL00274</t>
  </si>
  <si>
    <t>CL00275</t>
  </si>
  <si>
    <t>CL00276</t>
  </si>
  <si>
    <t>CL00277</t>
  </si>
  <si>
    <t>CL00278</t>
  </si>
  <si>
    <t>CL00279</t>
  </si>
  <si>
    <t>CL00280</t>
  </si>
  <si>
    <t>CL00281</t>
  </si>
  <si>
    <t>CL00282</t>
  </si>
  <si>
    <t>CL00283</t>
  </si>
  <si>
    <t>CL00284</t>
  </si>
  <si>
    <t>CL00285</t>
  </si>
  <si>
    <t>CL00286</t>
  </si>
  <si>
    <t>CL00287</t>
  </si>
  <si>
    <t>CL00288</t>
  </si>
  <si>
    <t>CL00289</t>
  </si>
  <si>
    <t>CL00290</t>
  </si>
  <si>
    <t>CL00291</t>
  </si>
  <si>
    <t>CL00292</t>
  </si>
  <si>
    <t>CL00293</t>
  </si>
  <si>
    <t>CL00294</t>
  </si>
  <si>
    <t>CL00295</t>
  </si>
  <si>
    <t>CL00296</t>
  </si>
  <si>
    <t>CL00297</t>
  </si>
  <si>
    <t>CL00298</t>
  </si>
  <si>
    <t>CL00299</t>
  </si>
  <si>
    <t>CL00300</t>
  </si>
  <si>
    <t>CL00301</t>
  </si>
  <si>
    <t>CL00302</t>
  </si>
  <si>
    <t>CL00303</t>
  </si>
  <si>
    <t>CL00304</t>
  </si>
  <si>
    <t>CL00305</t>
  </si>
  <si>
    <t>CL00306</t>
  </si>
  <si>
    <t>CL00307</t>
  </si>
  <si>
    <t>CL00308</t>
  </si>
  <si>
    <t>CL00309</t>
  </si>
  <si>
    <t>CL00310</t>
  </si>
  <si>
    <t>CL00311</t>
  </si>
  <si>
    <t>CL00312</t>
  </si>
  <si>
    <t>CL00313</t>
  </si>
  <si>
    <t>CL00314</t>
  </si>
  <si>
    <t>CL00315</t>
  </si>
  <si>
    <t>CL00316</t>
  </si>
  <si>
    <t>CL00317</t>
  </si>
  <si>
    <t>CL00318</t>
  </si>
  <si>
    <t>employee</t>
  </si>
  <si>
    <t>CL00319</t>
  </si>
  <si>
    <t>CL00320</t>
  </si>
  <si>
    <t>CL00321</t>
  </si>
  <si>
    <t>CL00322</t>
  </si>
  <si>
    <t>CL00323</t>
  </si>
  <si>
    <t>CL00324</t>
  </si>
  <si>
    <t>CL00325</t>
  </si>
  <si>
    <t>CL00326</t>
  </si>
  <si>
    <t>CL00327</t>
  </si>
  <si>
    <t>CL00328</t>
  </si>
  <si>
    <t>CL00329</t>
  </si>
  <si>
    <t>CL00330</t>
  </si>
  <si>
    <t>CL00331</t>
  </si>
  <si>
    <t>CL00332</t>
  </si>
  <si>
    <t>CL00333</t>
  </si>
  <si>
    <t>CL00334</t>
  </si>
  <si>
    <t>CL00335</t>
  </si>
  <si>
    <t>CL00336</t>
  </si>
  <si>
    <t>CL00337</t>
  </si>
  <si>
    <t>CL00338</t>
  </si>
  <si>
    <t>CL00339</t>
  </si>
  <si>
    <t xml:space="preserve">Piemonte </t>
  </si>
  <si>
    <t>CL00340</t>
  </si>
  <si>
    <t>CL00341</t>
  </si>
  <si>
    <t>CL00342</t>
  </si>
  <si>
    <t>CL00343</t>
  </si>
  <si>
    <t>CL00344</t>
  </si>
  <si>
    <t>CL00345</t>
  </si>
  <si>
    <t>CL00346</t>
  </si>
  <si>
    <t>CL00347</t>
  </si>
  <si>
    <t>CL00348</t>
  </si>
  <si>
    <t>CL00349</t>
  </si>
  <si>
    <t>CL00350</t>
  </si>
  <si>
    <t>CL00351</t>
  </si>
  <si>
    <t>CL00352</t>
  </si>
  <si>
    <t>CL00353</t>
  </si>
  <si>
    <t>CL00354</t>
  </si>
  <si>
    <t>CL00355</t>
  </si>
  <si>
    <t>CL00356</t>
  </si>
  <si>
    <t>CL00357</t>
  </si>
  <si>
    <t>CL00358</t>
  </si>
  <si>
    <t>CL00359</t>
  </si>
  <si>
    <t>CL00360</t>
  </si>
  <si>
    <t>CL00361</t>
  </si>
  <si>
    <t>CL00362</t>
  </si>
  <si>
    <t>CL00363</t>
  </si>
  <si>
    <t>CL00364</t>
  </si>
  <si>
    <t>Basilicata</t>
  </si>
  <si>
    <t>CL00365</t>
  </si>
  <si>
    <t>CL00366</t>
  </si>
  <si>
    <t>CL00367</t>
  </si>
  <si>
    <t>CL00368</t>
  </si>
  <si>
    <t>CL00369</t>
  </si>
  <si>
    <t>CL00370</t>
  </si>
  <si>
    <t>CL00371</t>
  </si>
  <si>
    <t>CL00372</t>
  </si>
  <si>
    <t>CL00373</t>
  </si>
  <si>
    <t>CL00374</t>
  </si>
  <si>
    <t>CL00375</t>
  </si>
  <si>
    <t>CL00376</t>
  </si>
  <si>
    <t>CL00377</t>
  </si>
  <si>
    <t>CL00378</t>
  </si>
  <si>
    <t>CL00379</t>
  </si>
  <si>
    <t>CL00380</t>
  </si>
  <si>
    <t>CL00381</t>
  </si>
  <si>
    <t>CL00382</t>
  </si>
  <si>
    <t>CL00383</t>
  </si>
  <si>
    <t>CL00384</t>
  </si>
  <si>
    <t>CL00385</t>
  </si>
  <si>
    <t>CL00386</t>
  </si>
  <si>
    <t>CL00387</t>
  </si>
  <si>
    <t>CL00388</t>
  </si>
  <si>
    <t>CL00389</t>
  </si>
  <si>
    <t>CL00390</t>
  </si>
  <si>
    <t>CL00391</t>
  </si>
  <si>
    <t>CL00392</t>
  </si>
  <si>
    <t>CL00393</t>
  </si>
  <si>
    <t>CL00394</t>
  </si>
  <si>
    <t>CL00395</t>
  </si>
  <si>
    <t>CL00396</t>
  </si>
  <si>
    <t>CL00397</t>
  </si>
  <si>
    <t>CL00398</t>
  </si>
  <si>
    <t>CL00399</t>
  </si>
  <si>
    <t>CL00400</t>
  </si>
  <si>
    <t>CL00401</t>
  </si>
  <si>
    <t>Emilia Romagna</t>
  </si>
  <si>
    <t>CL00402</t>
  </si>
  <si>
    <t>CL00403</t>
  </si>
  <si>
    <t>CL00404</t>
  </si>
  <si>
    <t>CL00405</t>
  </si>
  <si>
    <t>CL00406</t>
  </si>
  <si>
    <t>CL00407</t>
  </si>
  <si>
    <t>CL00408</t>
  </si>
  <si>
    <t>CL00409</t>
  </si>
  <si>
    <t>CL00410</t>
  </si>
  <si>
    <t>CL00411</t>
  </si>
  <si>
    <t>CL00412</t>
  </si>
  <si>
    <t>CL00413</t>
  </si>
  <si>
    <t>CL00414</t>
  </si>
  <si>
    <t>CL00415</t>
  </si>
  <si>
    <t>CL00417</t>
  </si>
  <si>
    <t>CL00418</t>
  </si>
  <si>
    <t>CL00419</t>
  </si>
  <si>
    <t>CL00420</t>
  </si>
  <si>
    <t>CL00421</t>
  </si>
  <si>
    <t>CL00422</t>
  </si>
  <si>
    <t>CL00423</t>
  </si>
  <si>
    <t>CL00424</t>
  </si>
  <si>
    <t>CL00425</t>
  </si>
  <si>
    <t>CL00426</t>
  </si>
  <si>
    <t>CL00427</t>
  </si>
  <si>
    <t>CL00428</t>
  </si>
  <si>
    <t>CL00429</t>
  </si>
  <si>
    <t>CL00430</t>
  </si>
  <si>
    <t>CL00431</t>
  </si>
  <si>
    <t>CL00432</t>
  </si>
  <si>
    <t>Female</t>
  </si>
  <si>
    <t>CL00433</t>
  </si>
  <si>
    <t>CL00434</t>
  </si>
  <si>
    <t>CL00435</t>
  </si>
  <si>
    <t>CL00436</t>
  </si>
  <si>
    <t>CL00437</t>
  </si>
  <si>
    <t>CL00438</t>
  </si>
  <si>
    <t>CL00439</t>
  </si>
  <si>
    <t>app</t>
  </si>
  <si>
    <t>CL00440</t>
  </si>
  <si>
    <t>CL00441</t>
  </si>
  <si>
    <t>CL00442</t>
  </si>
  <si>
    <t>CL00443</t>
  </si>
  <si>
    <t>CL00444</t>
  </si>
  <si>
    <t>CL00445</t>
  </si>
  <si>
    <t>CL00446</t>
  </si>
  <si>
    <t>CL00447</t>
  </si>
  <si>
    <t>CL00448</t>
  </si>
  <si>
    <t>CL00449</t>
  </si>
  <si>
    <t>CL00450</t>
  </si>
  <si>
    <t>CL00451</t>
  </si>
  <si>
    <t>CL00452</t>
  </si>
  <si>
    <t>CL00453</t>
  </si>
  <si>
    <t>CL00454</t>
  </si>
  <si>
    <t>CL00455</t>
  </si>
  <si>
    <t>CL00456</t>
  </si>
  <si>
    <t>CL00458</t>
  </si>
  <si>
    <t>CL00459</t>
  </si>
  <si>
    <t>CL00460</t>
  </si>
  <si>
    <t>CL00461</t>
  </si>
  <si>
    <t>CL00462</t>
  </si>
  <si>
    <t>CL00463</t>
  </si>
  <si>
    <t>CL00464</t>
  </si>
  <si>
    <t>CL00465</t>
  </si>
  <si>
    <t>CL00466</t>
  </si>
  <si>
    <t>CL00467</t>
  </si>
  <si>
    <t>CL00468</t>
  </si>
  <si>
    <t>CL00469</t>
  </si>
  <si>
    <t>CL00470</t>
  </si>
  <si>
    <t>CL00471</t>
  </si>
  <si>
    <t>CL00472</t>
  </si>
  <si>
    <t xml:space="preserve">Branch </t>
  </si>
  <si>
    <t>CL00473</t>
  </si>
  <si>
    <t>CL00474</t>
  </si>
  <si>
    <t>CL00475</t>
  </si>
  <si>
    <t>CL00476</t>
  </si>
  <si>
    <t>CL00477</t>
  </si>
  <si>
    <t>CL00478</t>
  </si>
  <si>
    <t>CL00479</t>
  </si>
  <si>
    <t>CL00480</t>
  </si>
  <si>
    <t>CL00481</t>
  </si>
  <si>
    <t>CL00482</t>
  </si>
  <si>
    <t>CL00483</t>
  </si>
  <si>
    <t>CL00484</t>
  </si>
  <si>
    <t>CL00485</t>
  </si>
  <si>
    <t>CL00486</t>
  </si>
  <si>
    <t>CL00487</t>
  </si>
  <si>
    <t>CL00488</t>
  </si>
  <si>
    <t>CL00489</t>
  </si>
  <si>
    <t>CL00490</t>
  </si>
  <si>
    <t>CL00491</t>
  </si>
  <si>
    <t>CL00492</t>
  </si>
  <si>
    <t>CL00493</t>
  </si>
  <si>
    <t>CL00494</t>
  </si>
  <si>
    <t>CL00495</t>
  </si>
  <si>
    <t>CL00496</t>
  </si>
  <si>
    <t>CL00497</t>
  </si>
  <si>
    <t>CL00498</t>
  </si>
  <si>
    <t>CL00499</t>
  </si>
  <si>
    <t>CL00500</t>
  </si>
  <si>
    <t>CL00501</t>
  </si>
  <si>
    <t>CL00502</t>
  </si>
  <si>
    <t>CL00503</t>
  </si>
  <si>
    <t>CL00504</t>
  </si>
  <si>
    <t>CL00505</t>
  </si>
  <si>
    <t>CL00506</t>
  </si>
  <si>
    <t>CL00507</t>
  </si>
  <si>
    <t>CL00508</t>
  </si>
  <si>
    <t>CL00509</t>
  </si>
  <si>
    <t>CL00510</t>
  </si>
  <si>
    <t>CL00511</t>
  </si>
  <si>
    <t>CL00512</t>
  </si>
  <si>
    <t>CL00513</t>
  </si>
  <si>
    <t>CL00514</t>
  </si>
  <si>
    <t>CL00515</t>
  </si>
  <si>
    <t>CL00516</t>
  </si>
  <si>
    <t>CL00517</t>
  </si>
  <si>
    <t>CL00518</t>
  </si>
  <si>
    <t>CL00519</t>
  </si>
  <si>
    <t>CL00520</t>
  </si>
  <si>
    <t>CL00521</t>
  </si>
  <si>
    <t>CL00522</t>
  </si>
  <si>
    <t>CL00523</t>
  </si>
  <si>
    <t>CL00524</t>
  </si>
  <si>
    <t>CL00525</t>
  </si>
  <si>
    <t>CL00526</t>
  </si>
  <si>
    <t>CL00527</t>
  </si>
  <si>
    <t>CL00528</t>
  </si>
  <si>
    <t>CL00529</t>
  </si>
  <si>
    <t>CL00530</t>
  </si>
  <si>
    <t>CL00531</t>
  </si>
  <si>
    <t>CL00532</t>
  </si>
  <si>
    <t>CL00533</t>
  </si>
  <si>
    <t>CL00534</t>
  </si>
  <si>
    <t>CL00535</t>
  </si>
  <si>
    <t>CL00536</t>
  </si>
  <si>
    <t>CL00537</t>
  </si>
  <si>
    <t>CL00538</t>
  </si>
  <si>
    <t>CL00539</t>
  </si>
  <si>
    <t>CL00540</t>
  </si>
  <si>
    <t>CL00541</t>
  </si>
  <si>
    <t>CL00542</t>
  </si>
  <si>
    <t>CL00543</t>
  </si>
  <si>
    <t>CL00544</t>
  </si>
  <si>
    <t>CL00545</t>
  </si>
  <si>
    <t>CL00546</t>
  </si>
  <si>
    <t>CL00547</t>
  </si>
  <si>
    <t>CL00548</t>
  </si>
  <si>
    <t>CL00549</t>
  </si>
  <si>
    <t>CL00550</t>
  </si>
  <si>
    <t>CL00551</t>
  </si>
  <si>
    <t>CL00552</t>
  </si>
  <si>
    <t>CL00553</t>
  </si>
  <si>
    <t>CL00554</t>
  </si>
  <si>
    <t>CL00555</t>
  </si>
  <si>
    <t>CL00556</t>
  </si>
  <si>
    <t>CL00557</t>
  </si>
  <si>
    <t>CL00558</t>
  </si>
  <si>
    <t>CL00559</t>
  </si>
  <si>
    <t>CL00560</t>
  </si>
  <si>
    <t>CL00561</t>
  </si>
  <si>
    <t>CL00562</t>
  </si>
  <si>
    <t>CL00563</t>
  </si>
  <si>
    <t>CL00564</t>
  </si>
  <si>
    <t>CL00565</t>
  </si>
  <si>
    <t>CL00566</t>
  </si>
  <si>
    <t>Office employee</t>
  </si>
  <si>
    <t>CL00567</t>
  </si>
  <si>
    <t>CL00568</t>
  </si>
  <si>
    <t>CL00569</t>
  </si>
  <si>
    <t>CL00570</t>
  </si>
  <si>
    <t>CL00571</t>
  </si>
  <si>
    <t>CL00572</t>
  </si>
  <si>
    <t>CL00573</t>
  </si>
  <si>
    <t>CL00574</t>
  </si>
  <si>
    <t>CL00575</t>
  </si>
  <si>
    <t>CL00576</t>
  </si>
  <si>
    <t>CL00577</t>
  </si>
  <si>
    <t>X</t>
  </si>
  <si>
    <t>CL00578</t>
  </si>
  <si>
    <t>CL00579</t>
  </si>
  <si>
    <t>CL00580</t>
  </si>
  <si>
    <t>CL00581</t>
  </si>
  <si>
    <t>CL00582</t>
  </si>
  <si>
    <t>CL00583</t>
  </si>
  <si>
    <t>CL00584</t>
  </si>
  <si>
    <t>CL00585</t>
  </si>
  <si>
    <t>CL00586</t>
  </si>
  <si>
    <t>CL00587</t>
  </si>
  <si>
    <t>CL00588</t>
  </si>
  <si>
    <t>CL00589</t>
  </si>
  <si>
    <t>CL00590</t>
  </si>
  <si>
    <t>CL00591</t>
  </si>
  <si>
    <t>CL00592</t>
  </si>
  <si>
    <t>CL00593</t>
  </si>
  <si>
    <t>CL00594</t>
  </si>
  <si>
    <t>CL00595</t>
  </si>
  <si>
    <t>CL00596</t>
  </si>
  <si>
    <t>CL00597</t>
  </si>
  <si>
    <t>CL00598</t>
  </si>
  <si>
    <t>CL00599</t>
  </si>
  <si>
    <t>CL00600</t>
  </si>
  <si>
    <t>CL00601</t>
  </si>
  <si>
    <t>CL00602</t>
  </si>
  <si>
    <t>CL00603</t>
  </si>
  <si>
    <t>CL00604</t>
  </si>
  <si>
    <t>CL00605</t>
  </si>
  <si>
    <t>CL00606</t>
  </si>
  <si>
    <t>CL00607</t>
  </si>
  <si>
    <t>CL00608</t>
  </si>
  <si>
    <t>CL00609</t>
  </si>
  <si>
    <t>CL00610</t>
  </si>
  <si>
    <t>CL00611</t>
  </si>
  <si>
    <t>CL00612</t>
  </si>
  <si>
    <t>CL00613</t>
  </si>
  <si>
    <t>CL00614</t>
  </si>
  <si>
    <t>CL00615</t>
  </si>
  <si>
    <t>CL00616</t>
  </si>
  <si>
    <t>CL00617</t>
  </si>
  <si>
    <t>CL00618</t>
  </si>
  <si>
    <t>CL00619</t>
  </si>
  <si>
    <t>CL00620</t>
  </si>
  <si>
    <t>CL00621</t>
  </si>
  <si>
    <t>CL00622</t>
  </si>
  <si>
    <t>CL00623</t>
  </si>
  <si>
    <t>CL00624</t>
  </si>
  <si>
    <t>CL00625</t>
  </si>
  <si>
    <t>CL00626</t>
  </si>
  <si>
    <t>CL00627</t>
  </si>
  <si>
    <t>CL00628</t>
  </si>
  <si>
    <t>CL00629</t>
  </si>
  <si>
    <t>CL00630</t>
  </si>
  <si>
    <t>CL00631</t>
  </si>
  <si>
    <t>CL00632</t>
  </si>
  <si>
    <t>CL00633</t>
  </si>
  <si>
    <t>CL00634</t>
  </si>
  <si>
    <t>CL00635</t>
  </si>
  <si>
    <t>CL00636</t>
  </si>
  <si>
    <t>CL00637</t>
  </si>
  <si>
    <t>CL00638</t>
  </si>
  <si>
    <t>CL00639</t>
  </si>
  <si>
    <t>CL00640</t>
  </si>
  <si>
    <t>CL00641</t>
  </si>
  <si>
    <t>CL00642</t>
  </si>
  <si>
    <t>CL00643</t>
  </si>
  <si>
    <t>CL00644</t>
  </si>
  <si>
    <t>CL00645</t>
  </si>
  <si>
    <t>CL00646</t>
  </si>
  <si>
    <t>CL00647</t>
  </si>
  <si>
    <t>CL00648</t>
  </si>
  <si>
    <t>CL00649</t>
  </si>
  <si>
    <t>CL00650</t>
  </si>
  <si>
    <t>CL00651</t>
  </si>
  <si>
    <t>CL00652</t>
  </si>
  <si>
    <t>CL00653</t>
  </si>
  <si>
    <t>CL00654</t>
  </si>
  <si>
    <t>CL00655</t>
  </si>
  <si>
    <t>CL00656</t>
  </si>
  <si>
    <t>CL00657</t>
  </si>
  <si>
    <t>CL00658</t>
  </si>
  <si>
    <t>CL00659</t>
  </si>
  <si>
    <t>CL00660</t>
  </si>
  <si>
    <t>CL00661</t>
  </si>
  <si>
    <t>CL00662</t>
  </si>
  <si>
    <t>CL00663</t>
  </si>
  <si>
    <t>CL00664</t>
  </si>
  <si>
    <t>CL00665</t>
  </si>
  <si>
    <t>CL00666</t>
  </si>
  <si>
    <t>CL00667</t>
  </si>
  <si>
    <t>CL00668</t>
  </si>
  <si>
    <t>CL00669</t>
  </si>
  <si>
    <t>CL00670</t>
  </si>
  <si>
    <t>CL00671</t>
  </si>
  <si>
    <t>CL00672</t>
  </si>
  <si>
    <t>CL00673</t>
  </si>
  <si>
    <t>CL00674</t>
  </si>
  <si>
    <t>CL00675</t>
  </si>
  <si>
    <t>CL00676</t>
  </si>
  <si>
    <t>CL00677</t>
  </si>
  <si>
    <t>CL00678</t>
  </si>
  <si>
    <t>CL00679</t>
  </si>
  <si>
    <t>CL00680</t>
  </si>
  <si>
    <t>CL00681</t>
  </si>
  <si>
    <t>CL00682</t>
  </si>
  <si>
    <t>CL00683</t>
  </si>
  <si>
    <t>CL00684</t>
  </si>
  <si>
    <t>CL00995</t>
  </si>
  <si>
    <t>CL00685</t>
  </si>
  <si>
    <t>CL00686</t>
  </si>
  <si>
    <t>CL00687</t>
  </si>
  <si>
    <t>CL00688</t>
  </si>
  <si>
    <t>CL00689</t>
  </si>
  <si>
    <t>CL00690</t>
  </si>
  <si>
    <t>CL00691</t>
  </si>
  <si>
    <t>CL00692</t>
  </si>
  <si>
    <t>CL00693</t>
  </si>
  <si>
    <t>CL00694</t>
  </si>
  <si>
    <t>CL00695</t>
  </si>
  <si>
    <t>CL00696</t>
  </si>
  <si>
    <t>CL00697</t>
  </si>
  <si>
    <t>CL00698</t>
  </si>
  <si>
    <t>CL00699</t>
  </si>
  <si>
    <t>CL00700</t>
  </si>
  <si>
    <t>CL00701</t>
  </si>
  <si>
    <t>CL00702</t>
  </si>
  <si>
    <t>CL00703</t>
  </si>
  <si>
    <t>CL00704</t>
  </si>
  <si>
    <t>CL00705</t>
  </si>
  <si>
    <t>CL00706</t>
  </si>
  <si>
    <t>CL00707</t>
  </si>
  <si>
    <t>CL00708</t>
  </si>
  <si>
    <t>CL00709</t>
  </si>
  <si>
    <t>CL00710</t>
  </si>
  <si>
    <t>CL00711</t>
  </si>
  <si>
    <t>CL00712</t>
  </si>
  <si>
    <t>CL00713</t>
  </si>
  <si>
    <t>CL00714</t>
  </si>
  <si>
    <t>CL00715</t>
  </si>
  <si>
    <t>CL00716</t>
  </si>
  <si>
    <t>CL00717</t>
  </si>
  <si>
    <t>CL00718</t>
  </si>
  <si>
    <t>CL00719</t>
  </si>
  <si>
    <t>CL00720</t>
  </si>
  <si>
    <t>CL00721</t>
  </si>
  <si>
    <t>CL00722</t>
  </si>
  <si>
    <t>CL00723</t>
  </si>
  <si>
    <t>CL00724</t>
  </si>
  <si>
    <t>CL00725</t>
  </si>
  <si>
    <t>CL00726</t>
  </si>
  <si>
    <t>CL00727</t>
  </si>
  <si>
    <t>CL00728</t>
  </si>
  <si>
    <t>CL00729</t>
  </si>
  <si>
    <t>CL00730</t>
  </si>
  <si>
    <t>CL00731</t>
  </si>
  <si>
    <t>CL00732</t>
  </si>
  <si>
    <t>CL00733</t>
  </si>
  <si>
    <t>CL00734</t>
  </si>
  <si>
    <t>CL00735</t>
  </si>
  <si>
    <t>CL00736</t>
  </si>
  <si>
    <t>CL00737</t>
  </si>
  <si>
    <t>CL00738</t>
  </si>
  <si>
    <t>CL00739</t>
  </si>
  <si>
    <t>CL00740</t>
  </si>
  <si>
    <t>CL00741</t>
  </si>
  <si>
    <t>CL00742</t>
  </si>
  <si>
    <t>CL00743</t>
  </si>
  <si>
    <t>CL00744</t>
  </si>
  <si>
    <t>CL00745</t>
  </si>
  <si>
    <t>CL00746</t>
  </si>
  <si>
    <t>CL00747</t>
  </si>
  <si>
    <t>CL00748</t>
  </si>
  <si>
    <t>CL00749</t>
  </si>
  <si>
    <t>CL00750</t>
  </si>
  <si>
    <t>CL00751</t>
  </si>
  <si>
    <t>CL00752</t>
  </si>
  <si>
    <t>CL00753</t>
  </si>
  <si>
    <t>CL00754</t>
  </si>
  <si>
    <t>CL00755</t>
  </si>
  <si>
    <t>CL00756</t>
  </si>
  <si>
    <t>CL00757</t>
  </si>
  <si>
    <t>CL00758</t>
  </si>
  <si>
    <t>CL00759</t>
  </si>
  <si>
    <t>CL00760</t>
  </si>
  <si>
    <t>CL00761</t>
  </si>
  <si>
    <t>CL00762</t>
  </si>
  <si>
    <t>CL00763</t>
  </si>
  <si>
    <t>CL00764</t>
  </si>
  <si>
    <t>CL00765</t>
  </si>
  <si>
    <t>CL00766</t>
  </si>
  <si>
    <t>CL00767</t>
  </si>
  <si>
    <t>CL00768</t>
  </si>
  <si>
    <t>CL00769</t>
  </si>
  <si>
    <t xml:space="preserve">Lombardia </t>
  </si>
  <si>
    <t>CL00770</t>
  </si>
  <si>
    <t>CL00771</t>
  </si>
  <si>
    <t>CL00772</t>
  </si>
  <si>
    <t>CL00773</t>
  </si>
  <si>
    <t>CL00774</t>
  </si>
  <si>
    <t>CL00775</t>
  </si>
  <si>
    <t>CL00776</t>
  </si>
  <si>
    <t>CL00777</t>
  </si>
  <si>
    <t>CL00778</t>
  </si>
  <si>
    <t>Male</t>
  </si>
  <si>
    <t>CL00779</t>
  </si>
  <si>
    <t>CL00780</t>
  </si>
  <si>
    <t>CL00781</t>
  </si>
  <si>
    <t>CL00782</t>
  </si>
  <si>
    <t>CL00783</t>
  </si>
  <si>
    <t>CL00784</t>
  </si>
  <si>
    <t>CL00785</t>
  </si>
  <si>
    <t>CL00786</t>
  </si>
  <si>
    <t>CL00787</t>
  </si>
  <si>
    <t>CL00788</t>
  </si>
  <si>
    <t>CL00789</t>
  </si>
  <si>
    <t>CL00790</t>
  </si>
  <si>
    <t>CL00791</t>
  </si>
  <si>
    <t>CL00792</t>
  </si>
  <si>
    <t>CL00793</t>
  </si>
  <si>
    <t>CL00794</t>
  </si>
  <si>
    <t>CL00795</t>
  </si>
  <si>
    <t>CL00796</t>
  </si>
  <si>
    <t>CL00797</t>
  </si>
  <si>
    <t>CL00798</t>
  </si>
  <si>
    <t>Internet Banking</t>
  </si>
  <si>
    <t>CL00799</t>
  </si>
  <si>
    <t>CL00800</t>
  </si>
  <si>
    <t>CL00801</t>
  </si>
  <si>
    <t>CL00802</t>
  </si>
  <si>
    <t>CL00803</t>
  </si>
  <si>
    <t>CL00804</t>
  </si>
  <si>
    <t>CL00805</t>
  </si>
  <si>
    <t>CL00806</t>
  </si>
  <si>
    <t>CL00807</t>
  </si>
  <si>
    <t>CL00808</t>
  </si>
  <si>
    <t>CL00809</t>
  </si>
  <si>
    <t>CL00810</t>
  </si>
  <si>
    <t>CL00811</t>
  </si>
  <si>
    <t>m</t>
  </si>
  <si>
    <t>CL00812</t>
  </si>
  <si>
    <t>CL00813</t>
  </si>
  <si>
    <t>CL00814</t>
  </si>
  <si>
    <t>CL00815</t>
  </si>
  <si>
    <t>CL00816</t>
  </si>
  <si>
    <t>CL00817</t>
  </si>
  <si>
    <t>CL00818</t>
  </si>
  <si>
    <t>CL00819</t>
  </si>
  <si>
    <t>CL00820</t>
  </si>
  <si>
    <t>CL00821</t>
  </si>
  <si>
    <t>CL00822</t>
  </si>
  <si>
    <t>CL00823</t>
  </si>
  <si>
    <t>CL00824</t>
  </si>
  <si>
    <t>CL00825</t>
  </si>
  <si>
    <t>CL00826</t>
  </si>
  <si>
    <t>CL00827</t>
  </si>
  <si>
    <t>CL00828</t>
  </si>
  <si>
    <t>CL00829</t>
  </si>
  <si>
    <t>CL00830</t>
  </si>
  <si>
    <t>CL00831</t>
  </si>
  <si>
    <t>CL00832</t>
  </si>
  <si>
    <t>CL00833</t>
  </si>
  <si>
    <t>CL00834</t>
  </si>
  <si>
    <t>CL00835</t>
  </si>
  <si>
    <t>CL00836</t>
  </si>
  <si>
    <t>CL00837</t>
  </si>
  <si>
    <t>CL00838</t>
  </si>
  <si>
    <t>CL00839</t>
  </si>
  <si>
    <t>CL00840</t>
  </si>
  <si>
    <t>CL00841</t>
  </si>
  <si>
    <t>CL00842</t>
  </si>
  <si>
    <t>CL00843</t>
  </si>
  <si>
    <t>CL00844</t>
  </si>
  <si>
    <t>CL00845</t>
  </si>
  <si>
    <t>CL00846</t>
  </si>
  <si>
    <t>CL00847</t>
  </si>
  <si>
    <t>CL00848</t>
  </si>
  <si>
    <t>CL00849</t>
  </si>
  <si>
    <t>CL00850</t>
  </si>
  <si>
    <t>CL00851</t>
  </si>
  <si>
    <t>CL00852</t>
  </si>
  <si>
    <t>CL00853</t>
  </si>
  <si>
    <t>CL00854</t>
  </si>
  <si>
    <t>CL00855</t>
  </si>
  <si>
    <t>CL00856</t>
  </si>
  <si>
    <t>CL00857</t>
  </si>
  <si>
    <t>CL00858</t>
  </si>
  <si>
    <t>CL00859</t>
  </si>
  <si>
    <t>CL00860</t>
  </si>
  <si>
    <t>CL00861</t>
  </si>
  <si>
    <t>CL00862</t>
  </si>
  <si>
    <t>CL00863</t>
  </si>
  <si>
    <t>CL00864</t>
  </si>
  <si>
    <t>CL00865</t>
  </si>
  <si>
    <t>CL00866</t>
  </si>
  <si>
    <t>CL00867</t>
  </si>
  <si>
    <t>CL00868</t>
  </si>
  <si>
    <t>CL00869</t>
  </si>
  <si>
    <t>CL00870</t>
  </si>
  <si>
    <t>CL00871</t>
  </si>
  <si>
    <t>CL00872</t>
  </si>
  <si>
    <t>CL00873</t>
  </si>
  <si>
    <t>CL00874</t>
  </si>
  <si>
    <t>CL00875</t>
  </si>
  <si>
    <t>CL00876</t>
  </si>
  <si>
    <t>CL00877</t>
  </si>
  <si>
    <t>CL00878</t>
  </si>
  <si>
    <t>CL00879</t>
  </si>
  <si>
    <t>CL00880</t>
  </si>
  <si>
    <t>CL00881</t>
  </si>
  <si>
    <t>CL00882</t>
  </si>
  <si>
    <t>CL00883</t>
  </si>
  <si>
    <t>CL00884</t>
  </si>
  <si>
    <t>CL00885</t>
  </si>
  <si>
    <t>CL00886</t>
  </si>
  <si>
    <t>CL00887</t>
  </si>
  <si>
    <t>CL00888</t>
  </si>
  <si>
    <t>CL00889</t>
  </si>
  <si>
    <t>CL00890</t>
  </si>
  <si>
    <t>CL00891</t>
  </si>
  <si>
    <t>CL00892</t>
  </si>
  <si>
    <t>CL00893</t>
  </si>
  <si>
    <t>CL00894</t>
  </si>
  <si>
    <t>CL00895</t>
  </si>
  <si>
    <t>CL00896</t>
  </si>
  <si>
    <t>CL00897</t>
  </si>
  <si>
    <t>CL00898</t>
  </si>
  <si>
    <t>CL00899</t>
  </si>
  <si>
    <t>CL00900</t>
  </si>
  <si>
    <t>CL00901</t>
  </si>
  <si>
    <t>CL00902</t>
  </si>
  <si>
    <t>CL00903</t>
  </si>
  <si>
    <t>CL00904</t>
  </si>
  <si>
    <t>CL00905</t>
  </si>
  <si>
    <t>CL00906</t>
  </si>
  <si>
    <t>CL00907</t>
  </si>
  <si>
    <t>CL00908</t>
  </si>
  <si>
    <t>CL00909</t>
  </si>
  <si>
    <t>CL00910</t>
  </si>
  <si>
    <t>CL00911</t>
  </si>
  <si>
    <t>CL00912</t>
  </si>
  <si>
    <t>CL00913</t>
  </si>
  <si>
    <t>CL00914</t>
  </si>
  <si>
    <t>CL00915</t>
  </si>
  <si>
    <t>CL00916</t>
  </si>
  <si>
    <t>CL00917</t>
  </si>
  <si>
    <t>CL00918</t>
  </si>
  <si>
    <t>CL00919</t>
  </si>
  <si>
    <t>CL00920</t>
  </si>
  <si>
    <t>CL00921</t>
  </si>
  <si>
    <t>CL00922</t>
  </si>
  <si>
    <t>CL00923</t>
  </si>
  <si>
    <t>CL00924</t>
  </si>
  <si>
    <t>CL00925</t>
  </si>
  <si>
    <t>CL00926</t>
  </si>
  <si>
    <t>CL00927</t>
  </si>
  <si>
    <t>CL00928</t>
  </si>
  <si>
    <t>CL00929</t>
  </si>
  <si>
    <t>CL00930</t>
  </si>
  <si>
    <t>CL00931</t>
  </si>
  <si>
    <t>CL00932</t>
  </si>
  <si>
    <t>CL00933</t>
  </si>
  <si>
    <t>CL00934</t>
  </si>
  <si>
    <t>CL00935</t>
  </si>
  <si>
    <t>CL00936</t>
  </si>
  <si>
    <t>CL00937</t>
  </si>
  <si>
    <t>CL00938</t>
  </si>
  <si>
    <t>CL00939</t>
  </si>
  <si>
    <t>CL00940</t>
  </si>
  <si>
    <t>CL00941</t>
  </si>
  <si>
    <t>CL00942</t>
  </si>
  <si>
    <t>CL00943</t>
  </si>
  <si>
    <t>CL00944</t>
  </si>
  <si>
    <t>CL00945</t>
  </si>
  <si>
    <t>CL00946</t>
  </si>
  <si>
    <t>CL00947</t>
  </si>
  <si>
    <t>CL00948</t>
  </si>
  <si>
    <t>CL00949</t>
  </si>
  <si>
    <t>CL00950</t>
  </si>
  <si>
    <t>CL00951</t>
  </si>
  <si>
    <t>CL00952</t>
  </si>
  <si>
    <t>CL00953</t>
  </si>
  <si>
    <t>CL00954</t>
  </si>
  <si>
    <t>CL00955</t>
  </si>
  <si>
    <t>CL00956</t>
  </si>
  <si>
    <t>CL00957</t>
  </si>
  <si>
    <t>CL00958</t>
  </si>
  <si>
    <t>CL00959</t>
  </si>
  <si>
    <t>CL00960</t>
  </si>
  <si>
    <t>CL00961</t>
  </si>
  <si>
    <t>CL00962</t>
  </si>
  <si>
    <t>CL00963</t>
  </si>
  <si>
    <t>CL00964</t>
  </si>
  <si>
    <t>CL00965</t>
  </si>
  <si>
    <t>CL00966</t>
  </si>
  <si>
    <t>CL00967</t>
  </si>
  <si>
    <t>CL00968</t>
  </si>
  <si>
    <t>CL00969</t>
  </si>
  <si>
    <t>CL00970</t>
  </si>
  <si>
    <t>CL00971</t>
  </si>
  <si>
    <t>CL00972</t>
  </si>
  <si>
    <t>CL00973</t>
  </si>
  <si>
    <t>CL00974</t>
  </si>
  <si>
    <t>CL00975</t>
  </si>
  <si>
    <t>CL00976</t>
  </si>
  <si>
    <t>CL00977</t>
  </si>
  <si>
    <t>CL00978</t>
  </si>
  <si>
    <t>CL00979</t>
  </si>
  <si>
    <t>CL00980</t>
  </si>
  <si>
    <t>CL00981</t>
  </si>
  <si>
    <t>CL00982</t>
  </si>
  <si>
    <t>CL00983</t>
  </si>
  <si>
    <t>CL00984</t>
  </si>
  <si>
    <t>CL00985</t>
  </si>
  <si>
    <t>CL00986</t>
  </si>
  <si>
    <t>CL00987</t>
  </si>
  <si>
    <t>CL00988</t>
  </si>
  <si>
    <t>CL00989</t>
  </si>
  <si>
    <t>CL00990</t>
  </si>
  <si>
    <t>CL00991</t>
  </si>
  <si>
    <t>CL00992</t>
  </si>
  <si>
    <t>CL00993</t>
  </si>
  <si>
    <t>CL00994</t>
  </si>
  <si>
    <t>Data dictionary — Customers sheet</t>
  </si>
  <si>
    <t>Demographic and behavioural extract as of 2026-09-13 for 1,000 retail customers (synthetic data). The 'Expected values' column describes the plausible range according to the business rules: any value outside this range, or inconsistent with the other columns, is a possible outlier to be verified.</t>
  </si>
  <si>
    <t>Column</t>
  </si>
  <si>
    <t>Type</t>
  </si>
  <si>
    <t>Description</t>
  </si>
  <si>
    <t>Expected values / plausible range</t>
  </si>
  <si>
    <t>Text</t>
  </si>
  <si>
    <t>Unique customer identifier (CL + 5 digits).</t>
  </si>
  <si>
    <t>Unique; format CL00001</t>
  </si>
  <si>
    <t>Integer</t>
  </si>
  <si>
    <t>Customer age in completed years.</t>
  </si>
  <si>
    <t>18 – 100</t>
  </si>
  <si>
    <t>Categorical</t>
  </si>
  <si>
    <t>Gender as recorded in the master data.</t>
  </si>
  <si>
    <t>M, F</t>
  </si>
  <si>
    <t>Region of residence (Italy).</t>
  </si>
  <si>
    <t>One of the 20 Italian regions, standard spelling</t>
  </si>
  <si>
    <t>Declared occupation.</t>
  </si>
  <si>
    <t>Employee, Manual worker, Self-employed, Executive, Business owner, Shopkeeper, Teacher, Student, Retired, Unemployed</t>
  </si>
  <si>
    <t>Marital status.</t>
  </si>
  <si>
    <t>Single, Married, Divorced, Widowed</t>
  </si>
  <si>
    <t>Numeric</t>
  </si>
  <si>
    <t>Declared gross annual income, in euros.</t>
  </si>
  <si>
    <t>&gt; 0; typically 4,000 – 200,000</t>
  </si>
  <si>
    <t>Years of relationship with the bank.</t>
  </si>
  <si>
    <t>0 – 40 and ≤ Age − 18</t>
  </si>
  <si>
    <t>Date</t>
  </si>
  <si>
    <t>Opening date of the first account.</t>
  </si>
  <si>
    <t>Between 1980 and the extraction date (2026-09-13); consistent with Tenure_Years</t>
  </si>
  <si>
    <t>Main contact channel.</t>
  </si>
  <si>
    <t>Branch, App, Online Banking, Phone</t>
  </si>
  <si>
    <t>Number of active products (account, cards, mortgage, investments…).</t>
  </si>
  <si>
    <t>1 – 6</t>
  </si>
  <si>
    <t>Current account balance at the extraction date.</t>
  </si>
  <si>
    <t>May be slightly negative (overdraft facility); typically −2,500 – 100,000</t>
  </si>
  <si>
    <t>Total balance of savings deposits and investments.</t>
  </si>
  <si>
    <t>≥ 0</t>
  </si>
  <si>
    <t>Average number of monthly transactions (last 12 months).</t>
  </si>
  <si>
    <t>0 – 150</t>
  </si>
  <si>
    <t>Average amount per transaction.</t>
  </si>
  <si>
    <t>&gt; 0; typically 10 – 500</t>
  </si>
  <si>
    <t>Average number of monthly ATM withdrawals.</t>
  </si>
  <si>
    <t>0 – 15</t>
  </si>
  <si>
    <t>Monthly credit card limit (0 = no card).</t>
  </si>
  <si>
    <t>0 or 500 – 15,000</t>
  </si>
  <si>
    <t>Average monthly credit card spend.</t>
  </si>
  <si>
    <t>0 – Card_Limit_EUR</t>
  </si>
  <si>
    <t>Outstanding mortgage balance (0 = no mortgage).</t>
  </si>
  <si>
    <t>Monthly mortgage instalment.</t>
  </si>
  <si>
    <t>0 if no mortgage; &gt; 0 if Mortgage_Balance_EUR &gt; 0; below monthly income</t>
  </si>
  <si>
    <t>Internal creditworthiness score.</t>
  </si>
  <si>
    <t>300 – 850</t>
  </si>
  <si>
    <t>Complaints filed in the last 12 months.</t>
  </si>
  <si>
    <t>0 – 5</t>
  </si>
  <si>
    <t>Descriptive statistics and thresholds for detecting univariate outliers</t>
  </si>
  <si>
    <t>Every cell is a formula linked to the Customers sheet and updates when we change the data. The statistics are computed on the raw data, sentinels and errors included: we compare mean and median, or the number of outliers before and after cleaning, to see how much a single anomalous value distorts the thresholds.</t>
  </si>
  <si>
    <t>Statistic</t>
  </si>
  <si>
    <t>Column in the Customers sheet</t>
  </si>
  <si>
    <t>B</t>
  </si>
  <si>
    <t>G</t>
  </si>
  <si>
    <t>H</t>
  </si>
  <si>
    <t>K</t>
  </si>
  <si>
    <t>L</t>
  </si>
  <si>
    <t>N</t>
  </si>
  <si>
    <t>O</t>
  </si>
  <si>
    <t>P</t>
  </si>
  <si>
    <t>Q</t>
  </si>
  <si>
    <t>R</t>
  </si>
  <si>
    <t>S</t>
  </si>
  <si>
    <t>T</t>
  </si>
  <si>
    <t>U</t>
  </si>
  <si>
    <t>V</t>
  </si>
  <si>
    <t>N numeric values</t>
  </si>
  <si>
    <t>Blank cells</t>
  </si>
  <si>
    <t>Mean</t>
  </si>
  <si>
    <t>Median</t>
  </si>
  <si>
    <t>Standard deviation</t>
  </si>
  <si>
    <t>Minimum</t>
  </si>
  <si>
    <t>Maximum</t>
  </si>
  <si>
    <t>Q1 (25th percentile)</t>
  </si>
  <si>
    <t>Q3 (75th percentile)</t>
  </si>
  <si>
    <t>IQR = Q3 − Q1</t>
  </si>
  <si>
    <t>Lower fence = Q1 − 1.5·IQR</t>
  </si>
  <si>
    <t>Upper fence = Q3 + 1.5·IQR</t>
  </si>
  <si>
    <t>N values below the lower fence</t>
  </si>
  <si>
    <t>N values above the upper fence</t>
  </si>
  <si>
    <t>z = −3 threshold (mean − 3·SD)</t>
  </si>
  <si>
    <t>z = +3 threshold (mean + 3·SD)</t>
  </si>
  <si>
    <t>N values with |z| &gt; 3</t>
  </si>
  <si>
    <t>Z_Income</t>
  </si>
  <si>
    <t>Income outside 1.5·IQR</t>
  </si>
  <si>
    <t>Plausible age</t>
  </si>
  <si>
    <t>Tenure vs age</t>
  </si>
  <si>
    <t>Card spend vs limit</t>
  </si>
  <si>
    <t>Mortgage vs payment</t>
  </si>
  <si>
    <t>Payment vs monthly income</t>
  </si>
  <si>
    <t>Plausible date</t>
  </si>
  <si>
    <t>Date vs tenure</t>
  </si>
  <si>
    <t>Duplicate ID</t>
  </si>
  <si>
    <t>Duplicate record</t>
  </si>
  <si>
    <t>Score within scale</t>
  </si>
  <si>
    <t>Positive income</t>
  </si>
  <si>
    <t>Missing values</t>
  </si>
  <si>
    <t>N flags</t>
  </si>
  <si>
    <t>Flag summary (rows of the Customers sheet)</t>
  </si>
  <si>
    <t>Check</t>
  </si>
  <si>
    <t>N rows</t>
  </si>
  <si>
    <t>|Z_Income| &gt; 3</t>
  </si>
  <si>
    <t>Rows with at least one flag</t>
  </si>
  <si>
    <t>The formulas use only basic functions (IF, COUNTIF, COUNTIFS, SUMPRODUCT) and refer to the thresholds in the Statistics sheet. The extraction date (2026-09-13) is fixed in the formulas with DATE(2026,9,13); in class we can replace it with TODAY().</t>
  </si>
  <si>
    <t>Key to the injected outliers — trainer-only sheet</t>
  </si>
  <si>
    <t>The participants' file (bank_customers_outliers.xlsx) contains only the Customers and Data_Dictionary sheets. Here we list the 95 anomalies injected in a controlled way (out of 1,000 rows); the remaining rows come from realistic distributions and may contain 'natural' extreme values, useful for discussing in class the difference between an outlier and an error. We always speak of 'possible outliers to be verified': an extreme value is not automatically an error, and a plausible value can hide an inconsistency. Excel row = row in the Customers sheet (header in row 1).</t>
  </si>
  <si>
    <t>No.</t>
  </si>
  <si>
    <t>Category</t>
  </si>
  <si>
    <t>Type of anomaly</t>
  </si>
  <si>
    <t>Excel row</t>
  </si>
  <si>
    <t>Column(s) involved</t>
  </si>
  <si>
    <t>Anomalous value(s)</t>
  </si>
  <si>
    <t>Why it is 'to be verified'</t>
  </si>
  <si>
    <t>How to spot it in Excel</t>
  </si>
  <si>
    <t>A. Extreme values (univariate)</t>
  </si>
  <si>
    <t>Very high income (plausible HNW customer)</t>
  </si>
  <si>
    <t>204</t>
  </si>
  <si>
    <t>€1,850,000</t>
  </si>
  <si>
    <t>Income of €1,850,000, far beyond the rest of the distribution, but consistent with occupation (Business owner), savings and card limit: probably a genuine high-net-worth customer, to be confirmed rather than deleted. It still shows up as 'outside' in the box plot and under the IQR rule.</t>
  </si>
  <si>
    <t>Sort the column descending; Box &amp; Whisker chart (Insert &gt; Statistic Chart); z-score with =(G2-AVERAGE(G:G))/STDEV(G:G); 1.5·IQR rule with QUARTILE (see the Statistics sheet); Conditional Formatting &gt; Top/Bottom Rules.</t>
  </si>
  <si>
    <t>412</t>
  </si>
  <si>
    <t>€820,000</t>
  </si>
  <si>
    <t>Income of €820,000, far beyond the rest of the distribution, but consistent with occupation (Executive), savings and card limit: probably a genuine high-net-worth customer, to be confirmed rather than deleted. It still shows up as 'outside' in the box plot and under the IQR rule.</t>
  </si>
  <si>
    <t>Very high number of complaints</t>
  </si>
  <si>
    <t>470</t>
  </si>
  <si>
    <t>14</t>
  </si>
  <si>
    <t>14 complaints in 12 months (almost every customer has 0 or 1): customer at high risk of churn. A 'business' outlier rather than an error — exactly the case we want to catch.</t>
  </si>
  <si>
    <t>Very high number of transactions</t>
  </si>
  <si>
    <t>652</t>
  </si>
  <si>
    <t>615</t>
  </si>
  <si>
    <t>615 transactions per month against a median of around 30: plausible for a shopkeeper, but we should confirm it is not a business account loaded as a retail one.</t>
  </si>
  <si>
    <t>Very high savings balance</t>
  </si>
  <si>
    <t>769</t>
  </si>
  <si>
    <t>€3,100,000</t>
  </si>
  <si>
    <t>Savings of €3,100,000 on an income of €58,000: extreme but plausible for a 64-year-old customer with 16 years of tenure (inheritance, sale of a business). To be verified, not discarded.</t>
  </si>
  <si>
    <t>Very high age (plausible)</t>
  </si>
  <si>
    <t>945</t>
  </si>
  <si>
    <t>Age; Tenure_Years</t>
  </si>
  <si>
    <t>97 years; 44 years of tenure</t>
  </si>
  <si>
    <t>Age 97 and 44 years of tenure: extreme but possible for a long-standing retired customer; we should check that the master data is up to date (is the customer still alive?).</t>
  </si>
  <si>
    <t>955</t>
  </si>
  <si>
    <t>420</t>
  </si>
  <si>
    <t>420 transactions per month against a median of around 30: plausible for a business owner, but we should confirm it is not a business account loaded as a retail one.</t>
  </si>
  <si>
    <t>983</t>
  </si>
  <si>
    <t>€2,400,000</t>
  </si>
  <si>
    <t>Savings of €2,400,000 on an income of €177,200: extreme but plausible for a 63-year-old customer with 16 years of tenure (inheritance, sale of a business). To be verified, not discarded.</t>
  </si>
  <si>
    <t>985</t>
  </si>
  <si>
    <t>€1,350,000</t>
  </si>
  <si>
    <t>Income of €1,350,000, far beyond the rest of the distribution, but consistent with occupation (Executive), savings and card limit: probably a genuine high-net-worth customer, to be confirmed rather than deleted. It still shows up as 'outside' in the box plot and under the IQR rule.</t>
  </si>
  <si>
    <t>B. Impossible values / data-entry errors</t>
  </si>
  <si>
    <t>Impossible age</t>
  </si>
  <si>
    <t>46</t>
  </si>
  <si>
    <t>187</t>
  </si>
  <si>
    <t>Age of 187: impossible value (outside the 18–100 range). Typical typing error or empty field filled in by the system. Note that Tenure_Years (8) also becomes inconsistent with the age.</t>
  </si>
  <si>
    <t>MIN/MAX of the column; number filter (e.g. Age &lt; 18 or &gt; 100); Conditional Formatting on the plausible range; Data &gt; Data Validation &gt; Circle Invalid Data.</t>
  </si>
  <si>
    <t>Income expressed in thousands</t>
  </si>
  <si>
    <t>236</t>
  </si>
  <si>
    <t>€42</t>
  </si>
  <si>
    <t>Income of €42: most likely expressed in thousands (€42,000). A unit-of-measure error, not a poor customer: savings (€12,996.20) and occupation (Employee) confirm it.</t>
  </si>
  <si>
    <t>Income with extra zeros</t>
  </si>
  <si>
    <t>433</t>
  </si>
  <si>
    <t>€32,000,000</t>
  </si>
  <si>
    <t>Income of €32,000,000 for an Employee with a card limit of €7,000 and savings of €6,763.79: almost certainly extra zeros (€32,000 real). A single value this large shifts the mean and standard deviation of the whole column and 'masks' the other outliers in the z-score.</t>
  </si>
  <si>
    <t>455</t>
  </si>
  <si>
    <t>-3</t>
  </si>
  <si>
    <t>Age of -3: impossible value (outside the 18–100 range). Typical typing error or empty field filled in by the system. Note that Tenure_Years (9) also becomes inconsistent with the age.</t>
  </si>
  <si>
    <t>Score out of range</t>
  </si>
  <si>
    <t>520</t>
  </si>
  <si>
    <t>1200</t>
  </si>
  <si>
    <t>Score of 1200: outside the 300–850 scale. Probably a typing error.</t>
  </si>
  <si>
    <t>566</t>
  </si>
  <si>
    <t>150</t>
  </si>
  <si>
    <t>Score of 150: outside the 300–850 scale. Probably a typing error.</t>
  </si>
  <si>
    <t>Abnormal negative checking balance</t>
  </si>
  <si>
    <t>573</t>
  </si>
  <si>
    <t>−€850,000</t>
  </si>
  <si>
    <t>Current account balance of −€850,000: an overdraft of this size is not compatible with a retail customer (typical facility of a few thousand euros). Probably a sign or amount error.</t>
  </si>
  <si>
    <t>700</t>
  </si>
  <si>
    <t>0</t>
  </si>
  <si>
    <t>Age of 0: impossible value (outside the 18–100 range). Typical typing error or empty field filled in by the system. Note that Tenure_Years (13) also becomes inconsistent with the age.</t>
  </si>
  <si>
    <t>Negative count</t>
  </si>
  <si>
    <t>791</t>
  </si>
  <si>
    <t>-2</t>
  </si>
  <si>
    <t>Number of ATM withdrawals of −2: a count cannot be negative.</t>
  </si>
  <si>
    <t>929</t>
  </si>
  <si>
    <t>€27</t>
  </si>
  <si>
    <t>Income of €27: most likely expressed in thousands (€27,000). A unit-of-measure error, not a poor customer: savings (€52,074.30) and occupation (Retired) confirm it.</t>
  </si>
  <si>
    <t>C. Sentinel and missing values</t>
  </si>
  <si>
    <t>Sentinel value (9999)</t>
  </si>
  <si>
    <t>62</t>
  </si>
  <si>
    <t>9999</t>
  </si>
  <si>
    <t>Score of 9999: sentinel value (not available). It appears several times with exactly the same out-of-scale value: the typical signature of a placeholder.</t>
  </si>
  <si>
    <t>Pivot table of frequencies or =COUNTIF(G:G,-999): an identical, repeated, out-of-scale value is the signature of a placeholder; =COUNTBLANK(G:G); filter &gt; (Blanks).</t>
  </si>
  <si>
    <t>202</t>
  </si>
  <si>
    <t>Sentinel value (999)</t>
  </si>
  <si>
    <t>273</t>
  </si>
  <si>
    <t>999</t>
  </si>
  <si>
    <t>Age of 999: sentinel value for an incomplete customer record.</t>
  </si>
  <si>
    <t>Sentinel value (-999)</t>
  </si>
  <si>
    <t>315</t>
  </si>
  <si>
    <t>-999</t>
  </si>
  <si>
    <t>Income of −999: sentinel value used by the source system for 'not available'. It must be treated as missing, otherwise it drags down the mean and the minimum of the column.</t>
  </si>
  <si>
    <t>Blank cell</t>
  </si>
  <si>
    <t>327</t>
  </si>
  <si>
    <t>(blank)</t>
  </si>
  <si>
    <t>Blank cell in income: missing data. AVERAGE and QUARTILE ignore blank cells, but comparisons in check formulas must be guarded (e.g. =IF(G2="","",…)).</t>
  </si>
  <si>
    <t>376</t>
  </si>
  <si>
    <t>512</t>
  </si>
  <si>
    <t>Blank cell in savings balance: missing data, to be distinguished from a balance of 0.</t>
  </si>
  <si>
    <t>619</t>
  </si>
  <si>
    <t>673</t>
  </si>
  <si>
    <t>694</t>
  </si>
  <si>
    <t>729</t>
  </si>
  <si>
    <t>759</t>
  </si>
  <si>
    <t>847</t>
  </si>
  <si>
    <t>943</t>
  </si>
  <si>
    <t>978</t>
  </si>
  <si>
    <t>D. Cross-column inconsistencies (contextual)</t>
  </si>
  <si>
    <t>Card limit outside policy vs income</t>
  </si>
  <si>
    <t>3</t>
  </si>
  <si>
    <t>Card_Limit_EUR; Annual_Income_EUR</t>
  </si>
  <si>
    <t>limit €60,000 with income €17,200</t>
  </si>
  <si>
    <t>Card limit of €60,000 with an income of €17,200: limit outside policy (in the rest of the dataset the maximum is €15,000). Both a univariate and a contextual anomaly.</t>
  </si>
  <si>
    <t>Check column with IF, e.g. =IF(H2&gt;B2-18,"Verify",""); scatter plot of the two variables (e.g. Income vs Savings); Conditional Formatting with a formula.</t>
  </si>
  <si>
    <t>Mortgage payment &gt; monthly income</t>
  </si>
  <si>
    <t>38</t>
  </si>
  <si>
    <t>Monthly_Mortgage_Payment_EUR; Annual_Income_EUR</t>
  </si>
  <si>
    <t>payment €2,950/month vs income €18,000/year</t>
  </si>
  <si>
    <t>Mortgage payment of €2,950/month against an income of €18,000/year (€1,500/month): the instalment exceeds the entire monthly income. Cross-column inconsistency or amount error.</t>
  </si>
  <si>
    <t>Opening date inconsistent with tenure</t>
  </si>
  <si>
    <t>91</t>
  </si>
  <si>
    <t>Account_Open_Date; Tenure_Years</t>
  </si>
  <si>
    <t>1998-11-02 with 2 years of tenure</t>
  </si>
  <si>
    <t>Opening date 1998-11-02 with 2 years of declared tenure: the date implies 27 years. One of the two columns is wrong.</t>
  </si>
  <si>
    <t>268</t>
  </si>
  <si>
    <t>payment €3,800/month vs income €21,000/year</t>
  </si>
  <si>
    <t>Mortgage payment of €3,800/month against an income of €21,000/year (€1,750/month): the instalment exceeds the entire monthly income. Cross-column inconsistency or amount error.</t>
  </si>
  <si>
    <t>Card spend &gt; limit</t>
  </si>
  <si>
    <t>275</t>
  </si>
  <si>
    <t>Monthly_Card_Spend_EUR; Card_Limit_EUR</t>
  </si>
  <si>
    <t>€5,400 on a €2,000 limit</t>
  </si>
  <si>
    <t>Card spend of €5,400 with a limit of €2,000: spending exceeds the limit. Error or limit not updated.</t>
  </si>
  <si>
    <t>Low income vs high savings</t>
  </si>
  <si>
    <t>313</t>
  </si>
  <si>
    <t>Annual_Income_EUR; Savings_Balance_EUR</t>
  </si>
  <si>
    <t>€16,000 vs €780,000</t>
  </si>
  <si>
    <t>Income of €16,000 and savings of €780,000: unusual combination (ratio 49×). It may be legitimate (inheritance) but deserves a check; it stands out in the Income vs Savings scatter plot.</t>
  </si>
  <si>
    <t>444</t>
  </si>
  <si>
    <t>€12,500 vs €640,000</t>
  </si>
  <si>
    <t>Income of €12,500 and savings of €640,000: unusual combination (ratio 51×). It may be legitimate (inheritance) but deserves a check; it stands out in the Income vs Savings scatter plot.</t>
  </si>
  <si>
    <t>Occupation inconsistent with age</t>
  </si>
  <si>
    <t>513</t>
  </si>
  <si>
    <t>Occupation; Age</t>
  </si>
  <si>
    <t>Retired at 23</t>
  </si>
  <si>
    <t>Occupation 'Retired' at 23: inconsistency between a categorical and a numeric column.</t>
  </si>
  <si>
    <t>Payment without mortgage</t>
  </si>
  <si>
    <t>581</t>
  </si>
  <si>
    <t>Monthly_Mortgage_Payment_EUR; Mortgage_Balance_EUR</t>
  </si>
  <si>
    <t>payment €920, mortgage 0</t>
  </si>
  <si>
    <t>Payment of €920/month with no outstanding mortgage: an 'orphan' instalment (mortgage closed but not cleared, or a payment for another product loaded into the wrong column).</t>
  </si>
  <si>
    <t>limit €45,000 with income €14,200</t>
  </si>
  <si>
    <t>Card limit of €45,000 with an income of €14,200: limit outside policy (in the rest of the dataset the maximum is €15,000). Both a univariate and a contextual anomaly.</t>
  </si>
  <si>
    <t>Tenure &gt; age − 18</t>
  </si>
  <si>
    <t>645</t>
  </si>
  <si>
    <t>Tenure_Years; Age; Account_Open_Date</t>
  </si>
  <si>
    <t>19 years of tenure at age 24</t>
  </si>
  <si>
    <t>19 years of tenure for a 24-year-old customer: the relationship would have started before the customer turned 18 (or was born). Each value on its own is normal: the anomaly only emerges when we compare the columns.</t>
  </si>
  <si>
    <t>665</t>
  </si>
  <si>
    <t>payment €750, mortgage 0</t>
  </si>
  <si>
    <t>Payment of €750/month with no outstanding mortgage: an 'orphan' instalment (mortgage closed but not cleared, or a payment for another product loaded into the wrong column).</t>
  </si>
  <si>
    <t>686</t>
  </si>
  <si>
    <t>28 years of tenure at age 21</t>
  </si>
  <si>
    <t>28 years of tenure for a 21-year-old customer: the relationship would have started before the customer turned 18 (or was born). Each value on its own is normal: the anomaly only emerges when we compare the columns.</t>
  </si>
  <si>
    <t>701</t>
  </si>
  <si>
    <t>€3,900 on a €3,500 limit</t>
  </si>
  <si>
    <t>Card spend of €3,900 with a limit of €3,500: spending exceeds the limit. Error or limit not updated.</t>
  </si>
  <si>
    <t>Mortgage without payment</t>
  </si>
  <si>
    <t>719</t>
  </si>
  <si>
    <t>Mortgage_Balance_EUR; Monthly_Mortgage_Payment_EUR</t>
  </si>
  <si>
    <t>mortgage €98,000, payment 0</t>
  </si>
  <si>
    <t>Outstanding mortgage of €98,000 with a payment of 0: the instalment is missing, or the mortgage has been repaid but the balance was not updated.</t>
  </si>
  <si>
    <t>767</t>
  </si>
  <si>
    <t>15 years of tenure at age 18</t>
  </si>
  <si>
    <t>15 years of tenure for a 18-year-old customer: the relationship would have started before the customer turned 18 (or was born). Each value on its own is normal: the anomaly only emerges when we compare the columns.</t>
  </si>
  <si>
    <t>797</t>
  </si>
  <si>
    <t>€12,500 on a €1,000 limit</t>
  </si>
  <si>
    <t>Card spend of €12,500 with a limit of €1,000: spending exceeds the limit. Error or limit not updated.</t>
  </si>
  <si>
    <t>Occupation inconsistent with income</t>
  </si>
  <si>
    <t>828</t>
  </si>
  <si>
    <t>Occupation; Annual_Income_EUR</t>
  </si>
  <si>
    <t>Student with €240,000</t>
  </si>
  <si>
    <t>Income of €240,000 declared by a Student: occupation/income combination to be verified (occupation not updated or wrong income).</t>
  </si>
  <si>
    <t>839</t>
  </si>
  <si>
    <t>Student with €185,000</t>
  </si>
  <si>
    <t>Income of €185,000 declared by a Student: occupation/income combination to be verified (occupation not updated or wrong income).</t>
  </si>
  <si>
    <t>856</t>
  </si>
  <si>
    <t>Retired at 28</t>
  </si>
  <si>
    <t>Occupation 'Retired' at 28: inconsistency between a categorical and a numeric column.</t>
  </si>
  <si>
    <t>902</t>
  </si>
  <si>
    <t>2019-05-14 with 23 years of tenure</t>
  </si>
  <si>
    <t>Opening date 2019-05-14 with 23 years of declared tenure: the date implies 7 years. One of the two columns is wrong.</t>
  </si>
  <si>
    <t>925</t>
  </si>
  <si>
    <t>mortgage €271,000, payment 0</t>
  </si>
  <si>
    <t>Outstanding mortgage of €271,000 with a payment of 0: the instalment is missing, or the mortgage has been repaid but the balance was not updated.</t>
  </si>
  <si>
    <t>E. Date anomalies</t>
  </si>
  <si>
    <t>System default date</t>
  </si>
  <si>
    <t>112</t>
  </si>
  <si>
    <t>1900-01-01</t>
  </si>
  <si>
    <t>Opening date 1900-01-01: system default value ('zero' date), not a real date. To be treated as missing; also inconsistent with the 11 years of tenure.</t>
  </si>
  <si>
    <t>Date filter: &gt; TODAY() or YEAR(I2)&lt;1980; MIN/MAX on the date column; consistency check =DATEDIF(I2,TODAY(),"y")&lt;&gt;H2.</t>
  </si>
  <si>
    <t>Opening date in the future</t>
  </si>
  <si>
    <t>278</t>
  </si>
  <si>
    <t>2031-01-01</t>
  </si>
  <si>
    <t>Opening date 2031-01-01, later than the extraction date (2026-09-13): impossible date (probably a wrong year at data entry).</t>
  </si>
  <si>
    <t>302</t>
  </si>
  <si>
    <t>2028-03-15</t>
  </si>
  <si>
    <t>Opening date 2028-03-15, later than the extraction date (2026-09-13): impossible date (probably a wrong year at data entry).</t>
  </si>
  <si>
    <t>533</t>
  </si>
  <si>
    <t>1970-01-01</t>
  </si>
  <si>
    <t>Opening date 1970-01-01: system default value ('zero' date), not a real date. To be treated as missing; also inconsistent with the 17 years of tenure.</t>
  </si>
  <si>
    <t>F. Categorical and formatting anomalies</t>
  </si>
  <si>
    <t>Spelling variant (Region)</t>
  </si>
  <si>
    <t>34</t>
  </si>
  <si>
    <t>'LOMBARDIA'</t>
  </si>
  <si>
    <t>Region 'LOMBARDIA': spelling variant of 'Lombardia' (upper/lower case, trailing space, typo). In a pivot table it shows up as a separate category and pollutes the counts.</t>
  </si>
  <si>
    <t>Pivot table on Region / Gender / Channel (every variant shows up as its own category); =LEN(D2)&lt;&gt;LEN(TRIM(D2)) for stray spaces; =UPPER to standardise; Data &gt; Data Validation with a list.</t>
  </si>
  <si>
    <t>64</t>
  </si>
  <si>
    <t>'Lombardai'</t>
  </si>
  <si>
    <t>Region 'Lombardai': spelling variant of 'Lombardia' (upper/lower case, trailing space, typo). In a pivot table it shows up as a separate category and pollutes the counts.</t>
  </si>
  <si>
    <t>182</t>
  </si>
  <si>
    <t>'lombardia'</t>
  </si>
  <si>
    <t>Region 'lombardia': spelling variant of 'Lombardia' (upper/lower case, trailing space, typo). In a pivot table it shows up as a separate category and pollutes the counts.</t>
  </si>
  <si>
    <t>Variant or unexpected value (Channel)</t>
  </si>
  <si>
    <t>225</t>
  </si>
  <si>
    <t>'Counter'</t>
  </si>
  <si>
    <t>Channel 'Counter': variant or value not in the coding (Branch, App, Online Banking, Phone). Categories must be standardised before any count.</t>
  </si>
  <si>
    <t>Non-standard coding (Gender)</t>
  </si>
  <si>
    <t>258</t>
  </si>
  <si>
    <t>'f'</t>
  </si>
  <si>
    <t>Gender 'f': value outside the expected coding (M/F).</t>
  </si>
  <si>
    <t>Spelling variant (Occupation)</t>
  </si>
  <si>
    <t>324</t>
  </si>
  <si>
    <t>'employee'</t>
  </si>
  <si>
    <t>Occupation 'employee': variant of 'Employee'; in a pivot table it becomes one more category.</t>
  </si>
  <si>
    <t>345</t>
  </si>
  <si>
    <t>'Piemonte ' (trailing space)</t>
  </si>
  <si>
    <t>Region 'Piemonte ' with an invisible trailing space: identical to the eye, a different category for Excel. We find it with LEN or TRIM.</t>
  </si>
  <si>
    <t>407</t>
  </si>
  <si>
    <t>'Emilia Romagna' (no hyphen)</t>
  </si>
  <si>
    <t>Region 'Emilia Romagna' without the hyphen: variant of 'Emilia-Romagna', counted separately.</t>
  </si>
  <si>
    <t>438</t>
  </si>
  <si>
    <t>'Female'</t>
  </si>
  <si>
    <t>Gender 'Female': value outside the expected coding (M/F).</t>
  </si>
  <si>
    <t>445</t>
  </si>
  <si>
    <t>'app'</t>
  </si>
  <si>
    <t>Channel 'app': variant or value not in the coding (Branch, App, Online Banking, Phone). Categories must be standardised before any count.</t>
  </si>
  <si>
    <t>478</t>
  </si>
  <si>
    <t>'Branch '</t>
  </si>
  <si>
    <t>Channel 'Branch ': variant or value not in the coding (Branch, App, Online Banking, Phone). Categories must be standardised before any count.</t>
  </si>
  <si>
    <t>572</t>
  </si>
  <si>
    <t>'Office employee'</t>
  </si>
  <si>
    <t>Occupation 'Office employee': variant of 'Employee'; in a pivot table it becomes one more category.</t>
  </si>
  <si>
    <t>583</t>
  </si>
  <si>
    <t>'X'</t>
  </si>
  <si>
    <t>Gender 'X': value outside the expected coding (M/F); to be clarified with the data source.</t>
  </si>
  <si>
    <t>776</t>
  </si>
  <si>
    <t>'Lombardia '</t>
  </si>
  <si>
    <t>Region 'Lombardia ': spelling variant of 'Lombardia' (upper/lower case, trailing space, typo). In a pivot table it shows up as a separate category and pollutes the counts.</t>
  </si>
  <si>
    <t>785</t>
  </si>
  <si>
    <t>'Male'</t>
  </si>
  <si>
    <t>Gender 'Male': value outside the expected coding (M/F).</t>
  </si>
  <si>
    <t>805</t>
  </si>
  <si>
    <t>'Internet Banking'</t>
  </si>
  <si>
    <t>Channel 'Internet Banking': variant or value not in the coding (Branch, App, Online Banking, Phone). Categories must be standardised before any count.</t>
  </si>
  <si>
    <t>818</t>
  </si>
  <si>
    <t>'m'</t>
  </si>
  <si>
    <t>Gender 'm': value outside the expected coding (M/F).</t>
  </si>
  <si>
    <t>G. Duplicates</t>
  </si>
  <si>
    <t>Exact duplicate (same ID)</t>
  </si>
  <si>
    <t>52; 149</t>
  </si>
  <si>
    <t>all columns</t>
  </si>
  <si>
    <t>ID CL00051 present 2 times</t>
  </si>
  <si>
    <t>Customer ID CL00051 present twice (rows 52 and 149) with an identical record: duplicate from the extraction or a double load.</t>
  </si>
  <si>
    <t>Conditional Formatting &gt; Duplicate Values on Customer_ID; =COUNTIF(A:A,A2)&gt;1; for near-duplicates build a concatenated key =B2&amp;"|"&amp;G2&amp;"|"&amp;L2&amp;"|"&amp;I2 and COUNTIF on it; Data &gt; Remove Duplicates.</t>
  </si>
  <si>
    <t>Near-duplicate (different ID, identical data)</t>
  </si>
  <si>
    <t>140</t>
  </si>
  <si>
    <t>all columns except Customer_ID</t>
  </si>
  <si>
    <t>copy of CL00764 (row 771)</t>
  </si>
  <si>
    <t>Record identical in every column to the one in row 771 (CL00764), but with a different ID: near-duplicate (same customer recorded twice). We do not find it by looking for duplicates on the ID alone.</t>
  </si>
  <si>
    <t>155; 422</t>
  </si>
  <si>
    <t>ID CL00416 present 2 times</t>
  </si>
  <si>
    <t>Customer ID CL00416 present twice (rows 422 and 155) with an identical record: duplicate from the extraction or a double load.</t>
  </si>
  <si>
    <t>197</t>
  </si>
  <si>
    <t>copy of CL00357 (row 363)</t>
  </si>
  <si>
    <t>Record identical in every column to the one in row 363 (CL00357), but with a different ID: near-duplicate (same customer recorded twice). We do not find it by looking for duplicates on the ID alone.</t>
  </si>
  <si>
    <t>261; 463</t>
  </si>
  <si>
    <t>ID CL00457 present 2 times</t>
  </si>
  <si>
    <t>Customer ID CL00457 present twice (rows 463 and 261) with an identical record: duplicate from the extraction or a double load.</t>
  </si>
  <si>
    <t>691</t>
  </si>
  <si>
    <t>copy of CL00583 (row 589)</t>
  </si>
  <si>
    <t>Record identical in every column to the one in row 589 (CL00583), but with a different ID: near-duplicate (same customer recorded twice). We do not find it by looking for duplicates on the ID alone.</t>
  </si>
  <si>
    <t>H. Collective outlier (cluster)</t>
  </si>
  <si>
    <t>Member of the anomalous cluster</t>
  </si>
  <si>
    <t>217</t>
  </si>
  <si>
    <t>Account_Open_Date; Region; Preferred_Channel; Monthly_Transactions; Avg_Transaction_EUR</t>
  </si>
  <si>
    <t>48 transactions × €199.00, opened Nov 2025</t>
  </si>
  <si>
    <t>Part of a group of 12 accounts opened in November 2025 in Campania via the App by customers aged 21–27, all with 48 transactions per month of €199.00 (≈ €9,550 flowing through) on balances below €1,000 and incomes below €14,000. Taken individually every value is normal: it is the group that is anomalous (collective outlier, pattern consistent with 'money mule' accounts).</t>
  </si>
  <si>
    <t>Pivot table by opening month (Group dates) × Region × Channel; =COUNTIFS(N:N,48,O:O,199); sort by Monthly_Transactions and average amount; scatter plot Transactions vs Checking balance.</t>
  </si>
  <si>
    <t>255</t>
  </si>
  <si>
    <t>339</t>
  </si>
  <si>
    <t>358</t>
  </si>
  <si>
    <t>485</t>
  </si>
  <si>
    <t>663</t>
  </si>
  <si>
    <t>677</t>
  </si>
  <si>
    <t>682</t>
  </si>
  <si>
    <t>704</t>
  </si>
  <si>
    <t>888</t>
  </si>
  <si>
    <t>898</t>
  </si>
  <si>
    <t>969</t>
  </si>
  <si>
    <t>Summary by category</t>
  </si>
  <si>
    <t>Total injected anomalies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</si>
</sst>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charset val="1"/>
    </font>
    <font>
      <b/>
      <sz val="10"/>
      <color rgb="FFFFFFFF"/>
      <name val="Arial"/>
      <family val="2"/>
    </font>
    <font>
      <sz val="10"/>
      <name val="Arial"/>
      <family val="2"/>
    </font>
    <font>
      <b/>
      <sz val="13"/>
      <name val="Arial"/>
      <family val="2"/>
    </font>
    <font>
      <i/>
      <sz val="9"/>
      <color rgb="FF595959"/>
      <name val="Arial"/>
      <family val="2"/>
    </font>
    <font>
      <b/>
      <sz val="10"/>
      <name val="Arial"/>
      <family val="2"/>
    </font>
    <font>
      <b/>
      <sz val="11"/>
      <name val="Arial"/>
      <family val="2"/>
    </font>
    <font>
      <sz val="9"/>
      <name val="Arial"/>
      <family val="2"/>
    </font>
  </fonts>
  <fills count="7">
    <fill>
      <patternFill patternType="none"/>
    </fill>
    <fill>
      <patternFill patternType="gray125"/>
    </fill>
    <fill>
      <patternFill patternType="solid">
        <fgColor rgb="FF1B6F6A"/>
        <bgColor rgb="FF008080"/>
      </patternFill>
    </fill>
    <fill>
      <patternFill patternType="solid">
        <fgColor rgb="FF5B4B8A"/>
        <bgColor rgb="FF595959"/>
      </patternFill>
    </fill>
    <fill>
      <patternFill patternType="solid">
        <fgColor rgb="FFFFF2CC"/>
        <bgColor rgb="FFFCE4D6"/>
      </patternFill>
    </fill>
    <fill>
      <patternFill patternType="solid">
        <fgColor rgb="FFFCE4D6"/>
        <bgColor rgb="FFFFF2CC"/>
      </patternFill>
    </fill>
    <fill>
      <patternFill patternType="solid">
        <fgColor rgb="FFC1553A"/>
        <bgColor rgb="FF99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6" fillId="0" borderId="0" xfId="0" applyFont="1"/>
    <xf numFmtId="0" fontId="4" fillId="0" borderId="0" xfId="0" applyFont="1" applyAlignment="1">
      <alignment vertical="top" wrapText="1"/>
    </xf>
    <xf numFmtId="0" fontId="1" fillId="2" borderId="1" xfId="0" applyFont="1" applyFill="1" applyBorder="1" applyAlignment="1">
      <alignment horizontal="center" vertical="center" wrapText="1"/>
    </xf>
    <xf numFmtId="0" fontId="2" fillId="0" borderId="0" xfId="0" applyFont="1"/>
    <xf numFmtId="1" fontId="2" fillId="0" borderId="0" xfId="0" applyNumberFormat="1" applyFont="1"/>
    <xf numFmtId="4" fontId="2" fillId="0" borderId="0" xfId="0" applyNumberFormat="1" applyFont="1"/>
    <xf numFmtId="164" fontId="2" fillId="0" borderId="0" xfId="0" applyNumberFormat="1" applyFont="1"/>
    <xf numFmtId="0" fontId="3" fillId="0" borderId="0" xfId="0" applyFont="1"/>
    <xf numFmtId="0" fontId="5" fillId="0" borderId="1" xfId="0" applyFont="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5" fillId="0" borderId="1" xfId="0" applyFont="1" applyBorder="1"/>
    <xf numFmtId="0" fontId="0" fillId="0" borderId="0" xfId="0" applyAlignment="1">
      <alignment horizontal="center"/>
    </xf>
    <xf numFmtId="0" fontId="2" fillId="0" borderId="1" xfId="0" applyFont="1" applyBorder="1"/>
    <xf numFmtId="1" fontId="2" fillId="0" borderId="1" xfId="0" applyNumberFormat="1" applyFont="1" applyBorder="1"/>
    <xf numFmtId="4" fontId="2" fillId="0" borderId="1" xfId="0" applyNumberFormat="1" applyFont="1" applyBorder="1"/>
    <xf numFmtId="4" fontId="2" fillId="4" borderId="1" xfId="0" applyNumberFormat="1" applyFont="1" applyFill="1" applyBorder="1"/>
    <xf numFmtId="1" fontId="5" fillId="5" borderId="1" xfId="0" applyNumberFormat="1" applyFont="1" applyFill="1" applyBorder="1"/>
    <xf numFmtId="0" fontId="6" fillId="0" borderId="0" xfId="0" applyFont="1"/>
    <xf numFmtId="2" fontId="2" fillId="0" borderId="0" xfId="0" applyNumberFormat="1" applyFont="1"/>
    <xf numFmtId="0" fontId="1" fillId="3" borderId="0" xfId="0" applyFont="1" applyFill="1" applyAlignment="1">
      <alignment horizontal="center"/>
    </xf>
    <xf numFmtId="0" fontId="4" fillId="0" borderId="0" xfId="0" applyFont="1"/>
    <xf numFmtId="0" fontId="1" fillId="6" borderId="1" xfId="0" applyFont="1" applyFill="1" applyBorder="1" applyAlignment="1">
      <alignment horizontal="center" vertical="center" wrapText="1"/>
    </xf>
    <xf numFmtId="0" fontId="7" fillId="0" borderId="1" xfId="0" applyFont="1" applyBorder="1" applyAlignment="1">
      <alignment vertical="top" wrapText="1"/>
    </xf>
    <xf numFmtId="0" fontId="5" fillId="0" borderId="0" xfId="0"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6F6A"/>
      <rgbColor rgb="FFBFBFBF"/>
      <rgbColor rgb="FF808080"/>
      <rgbColor rgb="FF9999FF"/>
      <rgbColor rgb="FFC1553A"/>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B4B8A"/>
      <rgbColor rgb="FF96969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abSelected="1" zoomScaleNormal="100" workbookViewId="0">
      <pane ySplit="1" topLeftCell="A2" activePane="bottomLeft" state="frozen"/>
      <selection pane="bottomLeft" activeCell="H2" activeCellId="1" sqref="B2:B20 H2:H20"/>
    </sheetView>
  </sheetViews>
  <sheetFormatPr defaultColWidth="8.7109375" defaultRowHeight="15" x14ac:dyDescent="0.25"/>
  <cols>
    <col min="1" max="1" width="13" customWidth="1"/>
    <col min="2" max="4" width="11" customWidth="1"/>
    <col min="5" max="5" width="12" customWidth="1"/>
    <col min="6" max="6" width="16" customWidth="1"/>
    <col min="7" max="7" width="19" customWidth="1"/>
    <col min="8" max="8" width="14" customWidth="1"/>
    <col min="9" max="10" width="19" customWidth="1"/>
    <col min="11" max="11" width="14" customWidth="1"/>
    <col min="12" max="12" width="22" customWidth="1"/>
    <col min="13" max="13" width="21" customWidth="1"/>
    <col min="14" max="14" width="22" customWidth="1"/>
    <col min="15" max="15" width="21" customWidth="1"/>
    <col min="16" max="16" width="24" customWidth="1"/>
    <col min="17" max="17" width="16" customWidth="1"/>
    <col min="18" max="18" width="24" customWidth="1"/>
    <col min="19" max="19" width="22" customWidth="1"/>
    <col min="20" max="20" width="24" customWidth="1"/>
    <col min="21" max="21" width="14" customWidth="1"/>
    <col min="22" max="22" width="16" customWidth="1"/>
  </cols>
  <sheetData>
    <row r="1" spans="1:22" ht="31.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x14ac:dyDescent="0.25">
      <c r="A2" s="4" t="s">
        <v>22</v>
      </c>
      <c r="B2" s="5">
        <v>18</v>
      </c>
      <c r="C2" s="4" t="s">
        <v>23</v>
      </c>
      <c r="D2" s="4" t="s">
        <v>24</v>
      </c>
      <c r="E2" s="4" t="s">
        <v>25</v>
      </c>
      <c r="F2" s="4" t="s">
        <v>26</v>
      </c>
      <c r="G2" s="6">
        <v>25900</v>
      </c>
      <c r="H2" s="5">
        <v>0</v>
      </c>
      <c r="I2" s="7">
        <v>46008</v>
      </c>
      <c r="J2" s="4" t="s">
        <v>27</v>
      </c>
      <c r="K2" s="5">
        <v>2</v>
      </c>
      <c r="L2" s="6">
        <v>5758.21</v>
      </c>
      <c r="M2" s="6">
        <v>3643.27</v>
      </c>
      <c r="N2" s="5">
        <v>21</v>
      </c>
      <c r="O2" s="6">
        <v>23.72</v>
      </c>
      <c r="P2" s="5">
        <v>2</v>
      </c>
      <c r="Q2" s="6">
        <v>0</v>
      </c>
      <c r="R2" s="6">
        <v>0</v>
      </c>
      <c r="S2" s="6">
        <v>0</v>
      </c>
      <c r="T2" s="6">
        <v>0</v>
      </c>
      <c r="U2" s="5">
        <v>598</v>
      </c>
      <c r="V2" s="5">
        <v>0</v>
      </c>
    </row>
    <row r="3" spans="1:22" x14ac:dyDescent="0.25">
      <c r="A3" s="4" t="s">
        <v>28</v>
      </c>
      <c r="B3" s="5">
        <v>34</v>
      </c>
      <c r="C3" s="4" t="s">
        <v>23</v>
      </c>
      <c r="D3" s="4" t="s">
        <v>29</v>
      </c>
      <c r="E3" s="4" t="s">
        <v>25</v>
      </c>
      <c r="F3" s="4" t="s">
        <v>30</v>
      </c>
      <c r="G3" s="6">
        <v>17200</v>
      </c>
      <c r="H3" s="5">
        <v>8</v>
      </c>
      <c r="I3" s="7">
        <v>43326</v>
      </c>
      <c r="J3" s="4" t="s">
        <v>31</v>
      </c>
      <c r="K3" s="5">
        <v>1</v>
      </c>
      <c r="L3" s="6">
        <v>807.12</v>
      </c>
      <c r="M3" s="6">
        <v>18365.11</v>
      </c>
      <c r="N3" s="5">
        <v>26</v>
      </c>
      <c r="O3" s="6">
        <v>24.13</v>
      </c>
      <c r="P3" s="5">
        <v>0</v>
      </c>
      <c r="Q3" s="6">
        <v>60000</v>
      </c>
      <c r="R3" s="6">
        <v>2383.65</v>
      </c>
      <c r="S3" s="6">
        <v>0</v>
      </c>
      <c r="T3" s="6">
        <v>0</v>
      </c>
      <c r="U3" s="5">
        <v>529</v>
      </c>
      <c r="V3" s="5">
        <v>0</v>
      </c>
    </row>
    <row r="4" spans="1:22" x14ac:dyDescent="0.25">
      <c r="A4" s="4" t="s">
        <v>32</v>
      </c>
      <c r="B4" s="5">
        <v>38</v>
      </c>
      <c r="C4" s="4" t="s">
        <v>33</v>
      </c>
      <c r="D4" s="4" t="s">
        <v>34</v>
      </c>
      <c r="E4" s="4" t="s">
        <v>35</v>
      </c>
      <c r="F4" s="4" t="s">
        <v>30</v>
      </c>
      <c r="G4" s="6">
        <v>61200</v>
      </c>
      <c r="H4" s="5">
        <v>3</v>
      </c>
      <c r="I4" s="7">
        <v>44850</v>
      </c>
      <c r="J4" s="4" t="s">
        <v>31</v>
      </c>
      <c r="K4" s="5">
        <v>1</v>
      </c>
      <c r="L4" s="6">
        <v>3371.02</v>
      </c>
      <c r="M4" s="6">
        <v>12031.56</v>
      </c>
      <c r="N4" s="5">
        <v>34</v>
      </c>
      <c r="O4" s="6">
        <v>107.36</v>
      </c>
      <c r="P4" s="5">
        <v>4</v>
      </c>
      <c r="Q4" s="6">
        <v>13500</v>
      </c>
      <c r="R4" s="6">
        <v>3032.1</v>
      </c>
      <c r="S4" s="6">
        <v>0</v>
      </c>
      <c r="T4" s="6">
        <v>0</v>
      </c>
      <c r="U4" s="5">
        <v>644</v>
      </c>
      <c r="V4" s="5">
        <v>0</v>
      </c>
    </row>
    <row r="5" spans="1:22" x14ac:dyDescent="0.25">
      <c r="A5" s="4" t="s">
        <v>36</v>
      </c>
      <c r="B5" s="5">
        <v>60</v>
      </c>
      <c r="C5" s="4" t="s">
        <v>33</v>
      </c>
      <c r="D5" s="4" t="s">
        <v>37</v>
      </c>
      <c r="E5" s="4" t="s">
        <v>25</v>
      </c>
      <c r="F5" s="4" t="s">
        <v>38</v>
      </c>
      <c r="G5" s="6">
        <v>26100</v>
      </c>
      <c r="H5" s="5">
        <v>20</v>
      </c>
      <c r="I5" s="7">
        <v>38715</v>
      </c>
      <c r="J5" s="4" t="s">
        <v>39</v>
      </c>
      <c r="K5" s="5">
        <v>1</v>
      </c>
      <c r="L5" s="6">
        <v>1236.32</v>
      </c>
      <c r="M5" s="6">
        <v>16031.41</v>
      </c>
      <c r="N5" s="5">
        <v>18</v>
      </c>
      <c r="O5" s="6">
        <v>54.56</v>
      </c>
      <c r="P5" s="5">
        <v>6</v>
      </c>
      <c r="Q5" s="6">
        <v>3000</v>
      </c>
      <c r="R5" s="6">
        <v>989.63</v>
      </c>
      <c r="S5" s="6">
        <v>0</v>
      </c>
      <c r="T5" s="6">
        <v>0</v>
      </c>
      <c r="U5" s="5">
        <v>661</v>
      </c>
      <c r="V5" s="5">
        <v>1</v>
      </c>
    </row>
    <row r="6" spans="1:22" x14ac:dyDescent="0.25">
      <c r="A6" s="4" t="s">
        <v>40</v>
      </c>
      <c r="B6" s="5">
        <v>34</v>
      </c>
      <c r="C6" s="4" t="s">
        <v>23</v>
      </c>
      <c r="D6" s="4" t="s">
        <v>41</v>
      </c>
      <c r="E6" s="4" t="s">
        <v>42</v>
      </c>
      <c r="F6" s="4" t="s">
        <v>30</v>
      </c>
      <c r="G6" s="6">
        <v>90400</v>
      </c>
      <c r="H6" s="5">
        <v>3</v>
      </c>
      <c r="I6" s="7">
        <v>44941</v>
      </c>
      <c r="J6" s="4" t="s">
        <v>31</v>
      </c>
      <c r="K6" s="5">
        <v>1</v>
      </c>
      <c r="L6" s="6">
        <v>8268.48</v>
      </c>
      <c r="M6" s="6">
        <v>0</v>
      </c>
      <c r="N6" s="5">
        <v>45</v>
      </c>
      <c r="O6" s="6">
        <v>119.75</v>
      </c>
      <c r="P6" s="5">
        <v>2</v>
      </c>
      <c r="Q6" s="6">
        <v>0</v>
      </c>
      <c r="R6" s="6">
        <v>0</v>
      </c>
      <c r="S6" s="6">
        <v>249000</v>
      </c>
      <c r="T6" s="6">
        <v>1355</v>
      </c>
      <c r="U6" s="5">
        <v>655</v>
      </c>
      <c r="V6" s="5">
        <v>0</v>
      </c>
    </row>
    <row r="7" spans="1:22" x14ac:dyDescent="0.25">
      <c r="A7" s="4" t="s">
        <v>43</v>
      </c>
      <c r="B7" s="5">
        <v>33</v>
      </c>
      <c r="C7" s="4" t="s">
        <v>33</v>
      </c>
      <c r="D7" s="4" t="s">
        <v>44</v>
      </c>
      <c r="E7" s="4" t="s">
        <v>45</v>
      </c>
      <c r="F7" s="4" t="s">
        <v>30</v>
      </c>
      <c r="G7" s="6">
        <v>25500</v>
      </c>
      <c r="H7" s="5">
        <v>7</v>
      </c>
      <c r="I7" s="7">
        <v>43552</v>
      </c>
      <c r="J7" s="4" t="s">
        <v>31</v>
      </c>
      <c r="K7" s="5">
        <v>1</v>
      </c>
      <c r="L7" s="6">
        <v>932.74</v>
      </c>
      <c r="M7" s="6">
        <v>0</v>
      </c>
      <c r="N7" s="5">
        <v>26</v>
      </c>
      <c r="O7" s="6">
        <v>33</v>
      </c>
      <c r="P7" s="5">
        <v>2</v>
      </c>
      <c r="Q7" s="6">
        <v>0</v>
      </c>
      <c r="R7" s="6">
        <v>0</v>
      </c>
      <c r="S7" s="6">
        <v>0</v>
      </c>
      <c r="T7" s="6">
        <v>0</v>
      </c>
      <c r="U7" s="5">
        <v>556</v>
      </c>
      <c r="V7" s="5">
        <v>0</v>
      </c>
    </row>
    <row r="8" spans="1:22" x14ac:dyDescent="0.25">
      <c r="A8" s="4" t="s">
        <v>46</v>
      </c>
      <c r="B8" s="5">
        <v>40</v>
      </c>
      <c r="C8" s="4" t="s">
        <v>23</v>
      </c>
      <c r="D8" s="4" t="s">
        <v>24</v>
      </c>
      <c r="E8" s="4" t="s">
        <v>35</v>
      </c>
      <c r="F8" s="4" t="s">
        <v>26</v>
      </c>
      <c r="G8" s="6">
        <v>35300</v>
      </c>
      <c r="H8" s="5">
        <v>8</v>
      </c>
      <c r="I8" s="7">
        <v>43193</v>
      </c>
      <c r="J8" s="4" t="s">
        <v>39</v>
      </c>
      <c r="K8" s="5">
        <v>1</v>
      </c>
      <c r="L8" s="6">
        <v>4814.58</v>
      </c>
      <c r="M8" s="6">
        <v>25412.02</v>
      </c>
      <c r="N8" s="5">
        <v>24</v>
      </c>
      <c r="O8" s="6">
        <v>33.81</v>
      </c>
      <c r="P8" s="5">
        <v>7</v>
      </c>
      <c r="Q8" s="6">
        <v>6000</v>
      </c>
      <c r="R8" s="6">
        <v>3472.77</v>
      </c>
      <c r="S8" s="6">
        <v>0</v>
      </c>
      <c r="T8" s="6">
        <v>0</v>
      </c>
      <c r="U8" s="5">
        <v>611</v>
      </c>
      <c r="V8" s="5">
        <v>0</v>
      </c>
    </row>
    <row r="9" spans="1:22" x14ac:dyDescent="0.25">
      <c r="A9" s="4" t="s">
        <v>47</v>
      </c>
      <c r="B9" s="5">
        <v>51</v>
      </c>
      <c r="C9" s="4" t="s">
        <v>23</v>
      </c>
      <c r="D9" s="4" t="s">
        <v>24</v>
      </c>
      <c r="E9" s="4" t="s">
        <v>42</v>
      </c>
      <c r="F9" s="4" t="s">
        <v>48</v>
      </c>
      <c r="G9" s="6">
        <v>60200</v>
      </c>
      <c r="H9" s="5">
        <v>8</v>
      </c>
      <c r="I9" s="7">
        <v>43152</v>
      </c>
      <c r="J9" s="4" t="s">
        <v>49</v>
      </c>
      <c r="K9" s="5">
        <v>1</v>
      </c>
      <c r="L9" s="6">
        <v>4195.7700000000004</v>
      </c>
      <c r="M9" s="6">
        <v>0</v>
      </c>
      <c r="N9" s="5">
        <v>34</v>
      </c>
      <c r="O9" s="6">
        <v>36.06</v>
      </c>
      <c r="P9" s="5">
        <v>2</v>
      </c>
      <c r="Q9" s="6">
        <v>0</v>
      </c>
      <c r="R9" s="6">
        <v>0</v>
      </c>
      <c r="S9" s="6">
        <v>191000</v>
      </c>
      <c r="T9" s="6">
        <v>1122</v>
      </c>
      <c r="U9" s="5">
        <v>653</v>
      </c>
      <c r="V9" s="5">
        <v>0</v>
      </c>
    </row>
    <row r="10" spans="1:22" x14ac:dyDescent="0.25">
      <c r="A10" s="4" t="s">
        <v>50</v>
      </c>
      <c r="B10" s="5">
        <v>35</v>
      </c>
      <c r="C10" s="4" t="s">
        <v>23</v>
      </c>
      <c r="D10" s="4" t="s">
        <v>51</v>
      </c>
      <c r="E10" s="4" t="s">
        <v>45</v>
      </c>
      <c r="F10" s="4" t="s">
        <v>48</v>
      </c>
      <c r="G10" s="6">
        <v>18700</v>
      </c>
      <c r="H10" s="5">
        <v>8</v>
      </c>
      <c r="I10" s="7">
        <v>43036</v>
      </c>
      <c r="J10" s="4" t="s">
        <v>31</v>
      </c>
      <c r="K10" s="5">
        <v>2</v>
      </c>
      <c r="L10" s="6">
        <v>3543.25</v>
      </c>
      <c r="M10" s="6">
        <v>4344.9799999999996</v>
      </c>
      <c r="N10" s="5">
        <v>31</v>
      </c>
      <c r="O10" s="6">
        <v>37.299999999999997</v>
      </c>
      <c r="P10" s="5">
        <v>1</v>
      </c>
      <c r="Q10" s="6">
        <v>4500</v>
      </c>
      <c r="R10" s="6">
        <v>1848.95</v>
      </c>
      <c r="S10" s="6">
        <v>64000</v>
      </c>
      <c r="T10" s="6">
        <v>316</v>
      </c>
      <c r="U10" s="5">
        <v>636</v>
      </c>
      <c r="V10" s="5">
        <v>0</v>
      </c>
    </row>
    <row r="11" spans="1:22" x14ac:dyDescent="0.25">
      <c r="A11" s="4" t="s">
        <v>52</v>
      </c>
      <c r="B11" s="5">
        <v>42</v>
      </c>
      <c r="C11" s="4" t="s">
        <v>33</v>
      </c>
      <c r="D11" s="4" t="s">
        <v>41</v>
      </c>
      <c r="E11" s="4" t="s">
        <v>45</v>
      </c>
      <c r="F11" s="4" t="s">
        <v>48</v>
      </c>
      <c r="G11" s="6">
        <v>20600</v>
      </c>
      <c r="H11" s="5">
        <v>8</v>
      </c>
      <c r="I11" s="7">
        <v>43029</v>
      </c>
      <c r="J11" s="4" t="s">
        <v>27</v>
      </c>
      <c r="K11" s="5">
        <v>2</v>
      </c>
      <c r="L11" s="6">
        <v>1420.04</v>
      </c>
      <c r="M11" s="6">
        <v>11463.31</v>
      </c>
      <c r="N11" s="5">
        <v>29</v>
      </c>
      <c r="O11" s="6">
        <v>35.630000000000003</v>
      </c>
      <c r="P11" s="5">
        <v>1</v>
      </c>
      <c r="Q11" s="6">
        <v>0</v>
      </c>
      <c r="R11" s="6">
        <v>0</v>
      </c>
      <c r="S11" s="6">
        <v>0</v>
      </c>
      <c r="T11" s="6">
        <v>0</v>
      </c>
      <c r="U11" s="5">
        <v>641</v>
      </c>
      <c r="V11" s="5">
        <v>2</v>
      </c>
    </row>
    <row r="12" spans="1:22" x14ac:dyDescent="0.25">
      <c r="A12" s="4" t="s">
        <v>53</v>
      </c>
      <c r="B12" s="5">
        <v>33</v>
      </c>
      <c r="C12" s="4" t="s">
        <v>33</v>
      </c>
      <c r="D12" s="4" t="s">
        <v>34</v>
      </c>
      <c r="E12" s="4" t="s">
        <v>54</v>
      </c>
      <c r="F12" s="4" t="s">
        <v>30</v>
      </c>
      <c r="G12" s="6">
        <v>27200</v>
      </c>
      <c r="H12" s="5">
        <v>2</v>
      </c>
      <c r="I12" s="7">
        <v>45315</v>
      </c>
      <c r="J12" s="4" t="s">
        <v>27</v>
      </c>
      <c r="K12" s="5">
        <v>2</v>
      </c>
      <c r="L12" s="6">
        <v>2148.9899999999998</v>
      </c>
      <c r="M12" s="6">
        <v>13164.51</v>
      </c>
      <c r="N12" s="5">
        <v>29</v>
      </c>
      <c r="O12" s="6">
        <v>42.36</v>
      </c>
      <c r="P12" s="5">
        <v>5</v>
      </c>
      <c r="Q12" s="6">
        <v>5000</v>
      </c>
      <c r="R12" s="6">
        <v>907.68</v>
      </c>
      <c r="S12" s="6">
        <v>54000</v>
      </c>
      <c r="T12" s="6">
        <v>278</v>
      </c>
      <c r="U12" s="5">
        <v>598</v>
      </c>
      <c r="V12" s="5">
        <v>1</v>
      </c>
    </row>
    <row r="13" spans="1:22" x14ac:dyDescent="0.25">
      <c r="A13" s="4" t="s">
        <v>55</v>
      </c>
      <c r="B13" s="5">
        <v>49</v>
      </c>
      <c r="C13" s="4" t="s">
        <v>23</v>
      </c>
      <c r="D13" s="4" t="s">
        <v>29</v>
      </c>
      <c r="E13" s="4" t="s">
        <v>42</v>
      </c>
      <c r="F13" s="4" t="s">
        <v>30</v>
      </c>
      <c r="G13" s="6">
        <v>82900</v>
      </c>
      <c r="H13" s="5">
        <v>5</v>
      </c>
      <c r="I13" s="7">
        <v>44241</v>
      </c>
      <c r="J13" s="4" t="s">
        <v>31</v>
      </c>
      <c r="K13" s="5">
        <v>2</v>
      </c>
      <c r="L13" s="6">
        <v>3302.9</v>
      </c>
      <c r="M13" s="6">
        <v>60831.37</v>
      </c>
      <c r="N13" s="5">
        <v>43</v>
      </c>
      <c r="O13" s="6">
        <v>59.29</v>
      </c>
      <c r="P13" s="5">
        <v>0</v>
      </c>
      <c r="Q13" s="6">
        <v>12500</v>
      </c>
      <c r="R13" s="6">
        <v>834.11</v>
      </c>
      <c r="S13" s="6">
        <v>0</v>
      </c>
      <c r="T13" s="6">
        <v>0</v>
      </c>
      <c r="U13" s="5">
        <v>675</v>
      </c>
      <c r="V13" s="5">
        <v>0</v>
      </c>
    </row>
    <row r="14" spans="1:22" x14ac:dyDescent="0.25">
      <c r="A14" s="4" t="s">
        <v>56</v>
      </c>
      <c r="B14" s="5">
        <v>41</v>
      </c>
      <c r="C14" s="4" t="s">
        <v>23</v>
      </c>
      <c r="D14" s="4" t="s">
        <v>57</v>
      </c>
      <c r="E14" s="4" t="s">
        <v>42</v>
      </c>
      <c r="F14" s="4" t="s">
        <v>38</v>
      </c>
      <c r="G14" s="6">
        <v>48900</v>
      </c>
      <c r="H14" s="5">
        <v>3</v>
      </c>
      <c r="I14" s="7">
        <v>45051</v>
      </c>
      <c r="J14" s="4" t="s">
        <v>31</v>
      </c>
      <c r="K14" s="5">
        <v>2</v>
      </c>
      <c r="L14" s="6">
        <v>20453.599999999999</v>
      </c>
      <c r="M14" s="6">
        <v>0</v>
      </c>
      <c r="N14" s="5">
        <v>49</v>
      </c>
      <c r="O14" s="6">
        <v>99.34</v>
      </c>
      <c r="P14" s="5">
        <v>1</v>
      </c>
      <c r="Q14" s="6">
        <v>8000</v>
      </c>
      <c r="R14" s="6">
        <v>4033.81</v>
      </c>
      <c r="S14" s="6">
        <v>0</v>
      </c>
      <c r="T14" s="6">
        <v>0</v>
      </c>
      <c r="U14" s="5">
        <v>680</v>
      </c>
      <c r="V14" s="5">
        <v>0</v>
      </c>
    </row>
    <row r="15" spans="1:22" x14ac:dyDescent="0.25">
      <c r="A15" s="4" t="s">
        <v>58</v>
      </c>
      <c r="B15" s="5">
        <v>34</v>
      </c>
      <c r="C15" s="4" t="s">
        <v>33</v>
      </c>
      <c r="D15" s="4" t="s">
        <v>59</v>
      </c>
      <c r="E15" s="4" t="s">
        <v>45</v>
      </c>
      <c r="F15" s="4" t="s">
        <v>48</v>
      </c>
      <c r="G15" s="6">
        <v>22500</v>
      </c>
      <c r="H15" s="5">
        <v>7</v>
      </c>
      <c r="I15" s="7">
        <v>43549</v>
      </c>
      <c r="J15" s="4" t="s">
        <v>31</v>
      </c>
      <c r="K15" s="5">
        <v>1</v>
      </c>
      <c r="L15" s="6">
        <v>2895.45</v>
      </c>
      <c r="M15" s="6">
        <v>11216.52</v>
      </c>
      <c r="N15" s="5">
        <v>36</v>
      </c>
      <c r="O15" s="6">
        <v>24.56</v>
      </c>
      <c r="P15" s="5">
        <v>1</v>
      </c>
      <c r="Q15" s="6">
        <v>3000</v>
      </c>
      <c r="R15" s="6">
        <v>380.15</v>
      </c>
      <c r="S15" s="6">
        <v>57000</v>
      </c>
      <c r="T15" s="6">
        <v>387</v>
      </c>
      <c r="U15" s="5">
        <v>600</v>
      </c>
      <c r="V15" s="5">
        <v>0</v>
      </c>
    </row>
    <row r="16" spans="1:22" x14ac:dyDescent="0.25">
      <c r="A16" s="4" t="s">
        <v>60</v>
      </c>
      <c r="B16" s="5">
        <v>55</v>
      </c>
      <c r="C16" s="4" t="s">
        <v>23</v>
      </c>
      <c r="D16" s="4" t="s">
        <v>57</v>
      </c>
      <c r="E16" s="4" t="s">
        <v>45</v>
      </c>
      <c r="F16" s="4" t="s">
        <v>30</v>
      </c>
      <c r="G16" s="6">
        <v>22500</v>
      </c>
      <c r="H16" s="5">
        <v>30</v>
      </c>
      <c r="I16" s="7">
        <v>35079</v>
      </c>
      <c r="J16" s="4" t="s">
        <v>39</v>
      </c>
      <c r="K16" s="5">
        <v>6</v>
      </c>
      <c r="L16" s="6">
        <v>1034.45</v>
      </c>
      <c r="M16" s="6">
        <v>42134.29</v>
      </c>
      <c r="N16" s="5">
        <v>18</v>
      </c>
      <c r="O16" s="6">
        <v>54.39</v>
      </c>
      <c r="P16" s="5">
        <v>3</v>
      </c>
      <c r="Q16" s="6">
        <v>5000</v>
      </c>
      <c r="R16" s="6">
        <v>386.84</v>
      </c>
      <c r="S16" s="6">
        <v>0</v>
      </c>
      <c r="T16" s="6">
        <v>0</v>
      </c>
      <c r="U16" s="5">
        <v>599</v>
      </c>
      <c r="V16" s="5">
        <v>1</v>
      </c>
    </row>
    <row r="17" spans="1:22" x14ac:dyDescent="0.25">
      <c r="A17" s="4" t="s">
        <v>61</v>
      </c>
      <c r="B17" s="5">
        <v>42</v>
      </c>
      <c r="C17" s="4" t="s">
        <v>33</v>
      </c>
      <c r="D17" s="4" t="s">
        <v>62</v>
      </c>
      <c r="E17" s="4" t="s">
        <v>63</v>
      </c>
      <c r="F17" s="4" t="s">
        <v>30</v>
      </c>
      <c r="G17" s="6">
        <v>20800</v>
      </c>
      <c r="H17" s="5">
        <v>11</v>
      </c>
      <c r="I17" s="7">
        <v>41934</v>
      </c>
      <c r="J17" s="4" t="s">
        <v>31</v>
      </c>
      <c r="K17" s="5">
        <v>5</v>
      </c>
      <c r="L17" s="6">
        <v>7132.95</v>
      </c>
      <c r="M17" s="6">
        <v>0</v>
      </c>
      <c r="N17" s="5">
        <v>26</v>
      </c>
      <c r="O17" s="6">
        <v>51.73</v>
      </c>
      <c r="P17" s="5">
        <v>2</v>
      </c>
      <c r="Q17" s="6">
        <v>2500</v>
      </c>
      <c r="R17" s="6">
        <v>905.4</v>
      </c>
      <c r="S17" s="6">
        <v>0</v>
      </c>
      <c r="T17" s="6">
        <v>0</v>
      </c>
      <c r="U17" s="5">
        <v>695</v>
      </c>
      <c r="V17" s="5">
        <v>0</v>
      </c>
    </row>
    <row r="18" spans="1:22" x14ac:dyDescent="0.25">
      <c r="A18" s="4" t="s">
        <v>64</v>
      </c>
      <c r="B18" s="5">
        <v>38</v>
      </c>
      <c r="C18" s="4" t="s">
        <v>33</v>
      </c>
      <c r="D18" s="4" t="s">
        <v>57</v>
      </c>
      <c r="E18" s="4" t="s">
        <v>45</v>
      </c>
      <c r="F18" s="4" t="s">
        <v>48</v>
      </c>
      <c r="G18" s="6">
        <v>19300</v>
      </c>
      <c r="H18" s="5">
        <v>3</v>
      </c>
      <c r="I18" s="7">
        <v>45135</v>
      </c>
      <c r="J18" s="4" t="s">
        <v>27</v>
      </c>
      <c r="K18" s="5">
        <v>1</v>
      </c>
      <c r="L18" s="6">
        <v>256.64999999999998</v>
      </c>
      <c r="M18" s="6">
        <v>9425.83</v>
      </c>
      <c r="N18" s="5">
        <v>25</v>
      </c>
      <c r="O18" s="6">
        <v>61.45</v>
      </c>
      <c r="P18" s="5">
        <v>6</v>
      </c>
      <c r="Q18" s="6">
        <v>2000</v>
      </c>
      <c r="R18" s="6">
        <v>117.56</v>
      </c>
      <c r="S18" s="6">
        <v>83000</v>
      </c>
      <c r="T18" s="6">
        <v>382</v>
      </c>
      <c r="U18" s="5">
        <v>656</v>
      </c>
      <c r="V18" s="5">
        <v>0</v>
      </c>
    </row>
    <row r="19" spans="1:22" x14ac:dyDescent="0.25">
      <c r="A19" s="4" t="s">
        <v>65</v>
      </c>
      <c r="B19" s="5">
        <v>40</v>
      </c>
      <c r="C19" s="4" t="s">
        <v>33</v>
      </c>
      <c r="D19" s="4" t="s">
        <v>37</v>
      </c>
      <c r="E19" s="4" t="s">
        <v>35</v>
      </c>
      <c r="F19" s="4" t="s">
        <v>26</v>
      </c>
      <c r="G19" s="6">
        <v>45400</v>
      </c>
      <c r="H19" s="5">
        <v>14</v>
      </c>
      <c r="I19" s="7">
        <v>41044</v>
      </c>
      <c r="J19" s="4" t="s">
        <v>39</v>
      </c>
      <c r="K19" s="5">
        <v>3</v>
      </c>
      <c r="L19" s="6">
        <v>5984.13</v>
      </c>
      <c r="M19" s="6">
        <v>0</v>
      </c>
      <c r="N19" s="5">
        <v>24</v>
      </c>
      <c r="O19" s="6">
        <v>62.63</v>
      </c>
      <c r="P19" s="5">
        <v>5</v>
      </c>
      <c r="Q19" s="6">
        <v>0</v>
      </c>
      <c r="R19" s="6">
        <v>0</v>
      </c>
      <c r="S19" s="6">
        <v>213000</v>
      </c>
      <c r="T19" s="6">
        <v>1355</v>
      </c>
      <c r="U19" s="5">
        <v>637</v>
      </c>
      <c r="V19" s="5">
        <v>2</v>
      </c>
    </row>
    <row r="20" spans="1:22" x14ac:dyDescent="0.25">
      <c r="A20" s="4" t="s">
        <v>66</v>
      </c>
      <c r="B20" s="5">
        <v>43</v>
      </c>
      <c r="C20" s="4" t="s">
        <v>23</v>
      </c>
      <c r="D20" s="4" t="s">
        <v>59</v>
      </c>
      <c r="E20" s="4" t="s">
        <v>67</v>
      </c>
      <c r="F20" s="4" t="s">
        <v>30</v>
      </c>
      <c r="G20" s="6">
        <v>5100</v>
      </c>
      <c r="H20" s="5">
        <v>19</v>
      </c>
      <c r="I20" s="7">
        <v>39056</v>
      </c>
      <c r="J20" s="4" t="s">
        <v>27</v>
      </c>
      <c r="K20" s="5">
        <v>3</v>
      </c>
      <c r="L20" s="6">
        <v>716.59</v>
      </c>
      <c r="M20" s="6">
        <v>8975.48</v>
      </c>
      <c r="N20" s="5">
        <v>15</v>
      </c>
      <c r="O20" s="6">
        <v>32.909999999999997</v>
      </c>
      <c r="P20" s="5">
        <v>7</v>
      </c>
      <c r="Q20" s="6">
        <v>0</v>
      </c>
      <c r="R20" s="6">
        <v>0</v>
      </c>
      <c r="S20" s="6">
        <v>0</v>
      </c>
      <c r="T20" s="6">
        <v>0</v>
      </c>
      <c r="U20" s="5">
        <v>550</v>
      </c>
      <c r="V20" s="5">
        <v>1</v>
      </c>
    </row>
    <row r="21" spans="1:22" x14ac:dyDescent="0.25">
      <c r="A21" s="4" t="s">
        <v>68</v>
      </c>
      <c r="B21" s="5">
        <v>63</v>
      </c>
      <c r="C21" s="4" t="s">
        <v>23</v>
      </c>
      <c r="D21" s="4" t="s">
        <v>59</v>
      </c>
      <c r="E21" s="4" t="s">
        <v>35</v>
      </c>
      <c r="F21" s="4" t="s">
        <v>30</v>
      </c>
      <c r="G21" s="6">
        <v>69800</v>
      </c>
      <c r="H21" s="5">
        <v>8</v>
      </c>
      <c r="I21" s="7">
        <v>43121</v>
      </c>
      <c r="J21" s="4" t="s">
        <v>27</v>
      </c>
      <c r="K21" s="5">
        <v>3</v>
      </c>
      <c r="L21" s="6">
        <v>9629.8799999999992</v>
      </c>
      <c r="M21" s="6">
        <v>38292.050000000003</v>
      </c>
      <c r="N21" s="5">
        <v>55</v>
      </c>
      <c r="O21" s="6">
        <v>60.3</v>
      </c>
      <c r="P21" s="5">
        <v>2</v>
      </c>
      <c r="Q21" s="6">
        <v>8000</v>
      </c>
      <c r="R21" s="6">
        <v>5495.07</v>
      </c>
      <c r="S21" s="6">
        <v>0</v>
      </c>
      <c r="T21" s="6">
        <v>0</v>
      </c>
      <c r="U21" s="5">
        <v>657</v>
      </c>
      <c r="V21" s="5">
        <v>0</v>
      </c>
    </row>
    <row r="22" spans="1:22" x14ac:dyDescent="0.25">
      <c r="A22" s="4" t="s">
        <v>69</v>
      </c>
      <c r="B22" s="5">
        <v>37</v>
      </c>
      <c r="C22" s="4" t="s">
        <v>33</v>
      </c>
      <c r="D22" s="4" t="s">
        <v>70</v>
      </c>
      <c r="E22" s="4" t="s">
        <v>35</v>
      </c>
      <c r="F22" s="4" t="s">
        <v>30</v>
      </c>
      <c r="G22" s="6">
        <v>78400</v>
      </c>
      <c r="H22" s="5">
        <v>6</v>
      </c>
      <c r="I22" s="7">
        <v>43946</v>
      </c>
      <c r="J22" s="4" t="s">
        <v>27</v>
      </c>
      <c r="K22" s="5">
        <v>1</v>
      </c>
      <c r="L22" s="6">
        <v>4972.2</v>
      </c>
      <c r="M22" s="6">
        <v>37880.11</v>
      </c>
      <c r="N22" s="5">
        <v>54</v>
      </c>
      <c r="O22" s="6">
        <v>84.88</v>
      </c>
      <c r="P22" s="5">
        <v>5</v>
      </c>
      <c r="Q22" s="6">
        <v>15000</v>
      </c>
      <c r="R22" s="6">
        <v>4408.99</v>
      </c>
      <c r="S22" s="6">
        <v>0</v>
      </c>
      <c r="T22" s="6">
        <v>0</v>
      </c>
      <c r="U22" s="5">
        <v>649</v>
      </c>
      <c r="V22" s="5">
        <v>1</v>
      </c>
    </row>
    <row r="23" spans="1:22" x14ac:dyDescent="0.25">
      <c r="A23" s="4" t="s">
        <v>71</v>
      </c>
      <c r="B23" s="5">
        <v>55</v>
      </c>
      <c r="C23" s="4" t="s">
        <v>33</v>
      </c>
      <c r="D23" s="4" t="s">
        <v>72</v>
      </c>
      <c r="E23" s="4" t="s">
        <v>45</v>
      </c>
      <c r="F23" s="4" t="s">
        <v>30</v>
      </c>
      <c r="G23" s="6">
        <v>22300</v>
      </c>
      <c r="H23" s="5">
        <v>15</v>
      </c>
      <c r="I23" s="7">
        <v>40624</v>
      </c>
      <c r="J23" s="4" t="s">
        <v>39</v>
      </c>
      <c r="K23" s="5">
        <v>4</v>
      </c>
      <c r="L23" s="6">
        <v>676.13</v>
      </c>
      <c r="M23" s="6">
        <v>27037.23</v>
      </c>
      <c r="N23" s="5">
        <v>15</v>
      </c>
      <c r="O23" s="6">
        <v>37.18</v>
      </c>
      <c r="P23" s="5">
        <v>6</v>
      </c>
      <c r="Q23" s="6">
        <v>0</v>
      </c>
      <c r="R23" s="6">
        <v>0</v>
      </c>
      <c r="S23" s="6">
        <v>0</v>
      </c>
      <c r="T23" s="6">
        <v>0</v>
      </c>
      <c r="U23" s="5">
        <v>617</v>
      </c>
      <c r="V23" s="5">
        <v>1</v>
      </c>
    </row>
    <row r="24" spans="1:22" x14ac:dyDescent="0.25">
      <c r="A24" s="4" t="s">
        <v>73</v>
      </c>
      <c r="B24" s="5">
        <v>48</v>
      </c>
      <c r="C24" s="4" t="s">
        <v>33</v>
      </c>
      <c r="D24" s="4" t="s">
        <v>59</v>
      </c>
      <c r="E24" s="4" t="s">
        <v>35</v>
      </c>
      <c r="F24" s="4" t="s">
        <v>30</v>
      </c>
      <c r="G24" s="6">
        <v>53000</v>
      </c>
      <c r="H24" s="5">
        <v>12</v>
      </c>
      <c r="I24" s="7">
        <v>41725</v>
      </c>
      <c r="J24" s="4" t="s">
        <v>27</v>
      </c>
      <c r="K24" s="5">
        <v>1</v>
      </c>
      <c r="L24" s="6">
        <v>1610</v>
      </c>
      <c r="M24" s="6">
        <v>0</v>
      </c>
      <c r="N24" s="5">
        <v>35</v>
      </c>
      <c r="O24" s="6">
        <v>60.2</v>
      </c>
      <c r="P24" s="5">
        <v>1</v>
      </c>
      <c r="Q24" s="6">
        <v>0</v>
      </c>
      <c r="R24" s="6">
        <v>0</v>
      </c>
      <c r="S24" s="6">
        <v>0</v>
      </c>
      <c r="T24" s="6">
        <v>0</v>
      </c>
      <c r="U24" s="5">
        <v>617</v>
      </c>
      <c r="V24" s="5">
        <v>1</v>
      </c>
    </row>
    <row r="25" spans="1:22" x14ac:dyDescent="0.25">
      <c r="A25" s="4" t="s">
        <v>74</v>
      </c>
      <c r="B25" s="5">
        <v>61</v>
      </c>
      <c r="C25" s="4" t="s">
        <v>33</v>
      </c>
      <c r="D25" s="4" t="s">
        <v>75</v>
      </c>
      <c r="E25" s="4" t="s">
        <v>63</v>
      </c>
      <c r="F25" s="4" t="s">
        <v>26</v>
      </c>
      <c r="G25" s="6">
        <v>33500</v>
      </c>
      <c r="H25" s="5">
        <v>13</v>
      </c>
      <c r="I25" s="7">
        <v>41432</v>
      </c>
      <c r="J25" s="4" t="s">
        <v>39</v>
      </c>
      <c r="K25" s="5">
        <v>1</v>
      </c>
      <c r="L25" s="6">
        <v>-2474.91</v>
      </c>
      <c r="M25" s="6">
        <v>68805.509999999995</v>
      </c>
      <c r="N25" s="5">
        <v>17</v>
      </c>
      <c r="O25" s="6">
        <v>103.05</v>
      </c>
      <c r="P25" s="5">
        <v>5</v>
      </c>
      <c r="Q25" s="6">
        <v>0</v>
      </c>
      <c r="R25" s="6">
        <v>0</v>
      </c>
      <c r="S25" s="6">
        <v>0</v>
      </c>
      <c r="T25" s="6">
        <v>0</v>
      </c>
      <c r="U25" s="5">
        <v>626</v>
      </c>
      <c r="V25" s="5">
        <v>1</v>
      </c>
    </row>
    <row r="26" spans="1:22" x14ac:dyDescent="0.25">
      <c r="A26" s="4" t="s">
        <v>76</v>
      </c>
      <c r="B26" s="5">
        <v>50</v>
      </c>
      <c r="C26" s="4" t="s">
        <v>23</v>
      </c>
      <c r="D26" s="4" t="s">
        <v>70</v>
      </c>
      <c r="E26" s="4" t="s">
        <v>35</v>
      </c>
      <c r="F26" s="4" t="s">
        <v>30</v>
      </c>
      <c r="G26" s="6">
        <v>68400</v>
      </c>
      <c r="H26" s="5">
        <v>19</v>
      </c>
      <c r="I26" s="7">
        <v>39338</v>
      </c>
      <c r="J26" s="4" t="s">
        <v>31</v>
      </c>
      <c r="K26" s="5">
        <v>3</v>
      </c>
      <c r="L26" s="6">
        <v>1353.43</v>
      </c>
      <c r="M26" s="6">
        <v>82501.210000000006</v>
      </c>
      <c r="N26" s="5">
        <v>46</v>
      </c>
      <c r="O26" s="6">
        <v>57.85</v>
      </c>
      <c r="P26" s="5">
        <v>3</v>
      </c>
      <c r="Q26" s="6">
        <v>11000</v>
      </c>
      <c r="R26" s="6">
        <v>3854.55</v>
      </c>
      <c r="S26" s="6">
        <v>0</v>
      </c>
      <c r="T26" s="6">
        <v>0</v>
      </c>
      <c r="U26" s="5">
        <v>748</v>
      </c>
      <c r="V26" s="5">
        <v>0</v>
      </c>
    </row>
    <row r="27" spans="1:22" x14ac:dyDescent="0.25">
      <c r="A27" s="4" t="s">
        <v>77</v>
      </c>
      <c r="B27" s="5">
        <v>51</v>
      </c>
      <c r="C27" s="4" t="s">
        <v>33</v>
      </c>
      <c r="D27" s="4" t="s">
        <v>41</v>
      </c>
      <c r="E27" s="4" t="s">
        <v>25</v>
      </c>
      <c r="F27" s="4" t="s">
        <v>48</v>
      </c>
      <c r="G27" s="6">
        <v>32700</v>
      </c>
      <c r="H27" s="5">
        <v>8</v>
      </c>
      <c r="I27" s="7">
        <v>43279</v>
      </c>
      <c r="J27" s="4" t="s">
        <v>31</v>
      </c>
      <c r="K27" s="5">
        <v>2</v>
      </c>
      <c r="L27" s="6">
        <v>941.28</v>
      </c>
      <c r="M27" s="6">
        <v>16562.599999999999</v>
      </c>
      <c r="N27" s="5">
        <v>37</v>
      </c>
      <c r="O27" s="6">
        <v>93.73</v>
      </c>
      <c r="P27" s="5">
        <v>1</v>
      </c>
      <c r="Q27" s="6">
        <v>4500</v>
      </c>
      <c r="R27" s="6">
        <v>531.95000000000005</v>
      </c>
      <c r="S27" s="6">
        <v>113000</v>
      </c>
      <c r="T27" s="6">
        <v>595</v>
      </c>
      <c r="U27" s="5">
        <v>613</v>
      </c>
      <c r="V27" s="5">
        <v>0</v>
      </c>
    </row>
    <row r="28" spans="1:22" x14ac:dyDescent="0.25">
      <c r="A28" s="4" t="s">
        <v>78</v>
      </c>
      <c r="B28" s="5">
        <v>47</v>
      </c>
      <c r="C28" s="4" t="s">
        <v>23</v>
      </c>
      <c r="D28" s="4" t="s">
        <v>79</v>
      </c>
      <c r="E28" s="4" t="s">
        <v>25</v>
      </c>
      <c r="F28" s="4" t="s">
        <v>30</v>
      </c>
      <c r="G28" s="6">
        <v>44600</v>
      </c>
      <c r="H28" s="5">
        <v>1</v>
      </c>
      <c r="I28" s="7">
        <v>45725</v>
      </c>
      <c r="J28" s="4" t="s">
        <v>31</v>
      </c>
      <c r="K28" s="5">
        <v>1</v>
      </c>
      <c r="L28" s="6">
        <v>4444.8</v>
      </c>
      <c r="M28" s="6">
        <v>9715.0300000000007</v>
      </c>
      <c r="N28" s="5">
        <v>18</v>
      </c>
      <c r="O28" s="6">
        <v>125.05</v>
      </c>
      <c r="P28" s="5">
        <v>1</v>
      </c>
      <c r="Q28" s="6">
        <v>8000</v>
      </c>
      <c r="R28" s="6">
        <v>1864.26</v>
      </c>
      <c r="S28" s="6">
        <v>0</v>
      </c>
      <c r="T28" s="6">
        <v>0</v>
      </c>
      <c r="U28" s="5">
        <v>608</v>
      </c>
      <c r="V28" s="5">
        <v>0</v>
      </c>
    </row>
    <row r="29" spans="1:22" x14ac:dyDescent="0.25">
      <c r="A29" s="4" t="s">
        <v>80</v>
      </c>
      <c r="B29" s="5">
        <v>51</v>
      </c>
      <c r="C29" s="4" t="s">
        <v>23</v>
      </c>
      <c r="D29" s="4" t="s">
        <v>24</v>
      </c>
      <c r="E29" s="4" t="s">
        <v>25</v>
      </c>
      <c r="F29" s="4" t="s">
        <v>48</v>
      </c>
      <c r="G29" s="6">
        <v>27400</v>
      </c>
      <c r="H29" s="5">
        <v>22</v>
      </c>
      <c r="I29" s="7">
        <v>38026</v>
      </c>
      <c r="J29" s="4" t="s">
        <v>27</v>
      </c>
      <c r="K29" s="5">
        <v>2</v>
      </c>
      <c r="L29" s="6">
        <v>627.46</v>
      </c>
      <c r="M29" s="6">
        <v>50231.519999999997</v>
      </c>
      <c r="N29" s="5">
        <v>29</v>
      </c>
      <c r="O29" s="6">
        <v>35.299999999999997</v>
      </c>
      <c r="P29" s="5">
        <v>3</v>
      </c>
      <c r="Q29" s="6">
        <v>3000</v>
      </c>
      <c r="R29" s="6">
        <v>365.22</v>
      </c>
      <c r="S29" s="6">
        <v>0</v>
      </c>
      <c r="T29" s="6">
        <v>0</v>
      </c>
      <c r="U29" s="5">
        <v>677</v>
      </c>
      <c r="V29" s="5">
        <v>0</v>
      </c>
    </row>
    <row r="30" spans="1:22" x14ac:dyDescent="0.25">
      <c r="A30" s="4" t="s">
        <v>81</v>
      </c>
      <c r="B30" s="5">
        <v>56</v>
      </c>
      <c r="C30" s="4" t="s">
        <v>23</v>
      </c>
      <c r="D30" s="4" t="s">
        <v>72</v>
      </c>
      <c r="E30" s="4" t="s">
        <v>45</v>
      </c>
      <c r="F30" s="4" t="s">
        <v>30</v>
      </c>
      <c r="G30" s="6">
        <v>17900</v>
      </c>
      <c r="H30" s="5">
        <v>13</v>
      </c>
      <c r="I30" s="7">
        <v>41412</v>
      </c>
      <c r="J30" s="4" t="s">
        <v>39</v>
      </c>
      <c r="K30" s="5">
        <v>5</v>
      </c>
      <c r="L30" s="6">
        <v>1051.79</v>
      </c>
      <c r="M30" s="6">
        <v>7625.54</v>
      </c>
      <c r="N30" s="5">
        <v>14</v>
      </c>
      <c r="O30" s="6">
        <v>51.07</v>
      </c>
      <c r="P30" s="5">
        <v>6</v>
      </c>
      <c r="Q30" s="6">
        <v>3500</v>
      </c>
      <c r="R30" s="6">
        <v>1583.99</v>
      </c>
      <c r="S30" s="6">
        <v>80000</v>
      </c>
      <c r="T30" s="6">
        <v>363</v>
      </c>
      <c r="U30" s="5">
        <v>607</v>
      </c>
      <c r="V30" s="5">
        <v>0</v>
      </c>
    </row>
    <row r="31" spans="1:22" x14ac:dyDescent="0.25">
      <c r="A31" s="4" t="s">
        <v>82</v>
      </c>
      <c r="B31" s="5">
        <v>51</v>
      </c>
      <c r="C31" s="4" t="s">
        <v>33</v>
      </c>
      <c r="D31" s="4" t="s">
        <v>41</v>
      </c>
      <c r="E31" s="4" t="s">
        <v>35</v>
      </c>
      <c r="F31" s="4" t="s">
        <v>26</v>
      </c>
      <c r="G31" s="6">
        <v>53100</v>
      </c>
      <c r="H31" s="5">
        <v>12</v>
      </c>
      <c r="I31" s="7">
        <v>41625</v>
      </c>
      <c r="J31" s="4" t="s">
        <v>39</v>
      </c>
      <c r="K31" s="5">
        <v>3</v>
      </c>
      <c r="L31" s="6">
        <v>5350.26</v>
      </c>
      <c r="M31" s="6">
        <v>39959.370000000003</v>
      </c>
      <c r="N31" s="5">
        <v>34</v>
      </c>
      <c r="O31" s="6">
        <v>71.430000000000007</v>
      </c>
      <c r="P31" s="5">
        <v>1</v>
      </c>
      <c r="Q31" s="6">
        <v>13000</v>
      </c>
      <c r="R31" s="6">
        <v>4132.72</v>
      </c>
      <c r="S31" s="6">
        <v>159000</v>
      </c>
      <c r="T31" s="6">
        <v>1086</v>
      </c>
      <c r="U31" s="5">
        <v>670</v>
      </c>
      <c r="V31" s="5">
        <v>0</v>
      </c>
    </row>
    <row r="32" spans="1:22" x14ac:dyDescent="0.25">
      <c r="A32" s="4" t="s">
        <v>83</v>
      </c>
      <c r="B32" s="5">
        <v>58</v>
      </c>
      <c r="C32" s="4" t="s">
        <v>33</v>
      </c>
      <c r="D32" s="4" t="s">
        <v>37</v>
      </c>
      <c r="E32" s="4" t="s">
        <v>42</v>
      </c>
      <c r="F32" s="4" t="s">
        <v>30</v>
      </c>
      <c r="G32" s="6">
        <v>124400</v>
      </c>
      <c r="H32" s="5">
        <v>11</v>
      </c>
      <c r="I32" s="7">
        <v>42047</v>
      </c>
      <c r="J32" s="4" t="s">
        <v>39</v>
      </c>
      <c r="K32" s="5">
        <v>3</v>
      </c>
      <c r="L32" s="6">
        <v>4464.16</v>
      </c>
      <c r="M32" s="6">
        <v>41872.080000000002</v>
      </c>
      <c r="N32" s="5">
        <v>64</v>
      </c>
      <c r="O32" s="6">
        <v>145.11000000000001</v>
      </c>
      <c r="P32" s="5">
        <v>4</v>
      </c>
      <c r="Q32" s="6">
        <v>15000</v>
      </c>
      <c r="R32" s="6">
        <v>246.72</v>
      </c>
      <c r="S32" s="6">
        <v>265000</v>
      </c>
      <c r="T32" s="6">
        <v>1813</v>
      </c>
      <c r="U32" s="5">
        <v>603</v>
      </c>
      <c r="V32" s="5">
        <v>0</v>
      </c>
    </row>
    <row r="33" spans="1:22" x14ac:dyDescent="0.25">
      <c r="A33" s="4" t="s">
        <v>84</v>
      </c>
      <c r="B33" s="5">
        <v>32</v>
      </c>
      <c r="C33" s="4" t="s">
        <v>33</v>
      </c>
      <c r="D33" s="4" t="s">
        <v>57</v>
      </c>
      <c r="E33" s="4" t="s">
        <v>25</v>
      </c>
      <c r="F33" s="4" t="s">
        <v>48</v>
      </c>
      <c r="G33" s="6">
        <v>35900</v>
      </c>
      <c r="H33" s="5">
        <v>2</v>
      </c>
      <c r="I33" s="7">
        <v>45239</v>
      </c>
      <c r="J33" s="4" t="s">
        <v>31</v>
      </c>
      <c r="K33" s="5">
        <v>2</v>
      </c>
      <c r="L33" s="6">
        <v>4337.17</v>
      </c>
      <c r="M33" s="6">
        <v>19262.18</v>
      </c>
      <c r="N33" s="5">
        <v>26</v>
      </c>
      <c r="O33" s="6">
        <v>29.47</v>
      </c>
      <c r="P33" s="5">
        <v>4</v>
      </c>
      <c r="Q33" s="6">
        <v>8000</v>
      </c>
      <c r="R33" s="6">
        <v>3206.26</v>
      </c>
      <c r="S33" s="6">
        <v>0</v>
      </c>
      <c r="T33" s="6">
        <v>0</v>
      </c>
      <c r="U33" s="5">
        <v>632</v>
      </c>
      <c r="V33" s="5">
        <v>0</v>
      </c>
    </row>
    <row r="34" spans="1:22" x14ac:dyDescent="0.25">
      <c r="A34" s="4" t="s">
        <v>85</v>
      </c>
      <c r="B34" s="5">
        <v>50</v>
      </c>
      <c r="C34" s="4" t="s">
        <v>23</v>
      </c>
      <c r="D34" s="4" t="s">
        <v>86</v>
      </c>
      <c r="E34" s="4" t="s">
        <v>54</v>
      </c>
      <c r="F34" s="4" t="s">
        <v>48</v>
      </c>
      <c r="G34" s="6">
        <v>30700</v>
      </c>
      <c r="H34" s="5">
        <v>24</v>
      </c>
      <c r="I34" s="7">
        <v>37245</v>
      </c>
      <c r="J34" s="4" t="s">
        <v>31</v>
      </c>
      <c r="K34" s="5">
        <v>3</v>
      </c>
      <c r="L34" s="6">
        <v>2475.87</v>
      </c>
      <c r="M34" s="6">
        <v>53558.33</v>
      </c>
      <c r="N34" s="5">
        <v>31</v>
      </c>
      <c r="O34" s="6">
        <v>59.44</v>
      </c>
      <c r="P34" s="5">
        <v>0</v>
      </c>
      <c r="Q34" s="6">
        <v>0</v>
      </c>
      <c r="R34" s="6">
        <v>0</v>
      </c>
      <c r="S34" s="6">
        <v>144000</v>
      </c>
      <c r="T34" s="6">
        <v>822</v>
      </c>
      <c r="U34" s="5">
        <v>668</v>
      </c>
      <c r="V34" s="5">
        <v>0</v>
      </c>
    </row>
    <row r="35" spans="1:22" x14ac:dyDescent="0.25">
      <c r="A35" s="4" t="s">
        <v>87</v>
      </c>
      <c r="B35" s="5">
        <v>60</v>
      </c>
      <c r="C35" s="4" t="s">
        <v>23</v>
      </c>
      <c r="D35" s="4" t="s">
        <v>59</v>
      </c>
      <c r="E35" s="4" t="s">
        <v>35</v>
      </c>
      <c r="F35" s="4" t="s">
        <v>30</v>
      </c>
      <c r="G35" s="6">
        <v>66700</v>
      </c>
      <c r="H35" s="5">
        <v>10</v>
      </c>
      <c r="I35" s="7">
        <v>42354</v>
      </c>
      <c r="J35" s="4" t="s">
        <v>39</v>
      </c>
      <c r="K35" s="5">
        <v>2</v>
      </c>
      <c r="L35" s="6">
        <v>7649.43</v>
      </c>
      <c r="M35" s="6">
        <v>38359.89</v>
      </c>
      <c r="N35" s="5">
        <v>44</v>
      </c>
      <c r="O35" s="6">
        <v>91.8</v>
      </c>
      <c r="P35" s="5">
        <v>10</v>
      </c>
      <c r="Q35" s="6">
        <v>13500</v>
      </c>
      <c r="R35" s="6">
        <v>8768.83</v>
      </c>
      <c r="S35" s="6">
        <v>0</v>
      </c>
      <c r="T35" s="6">
        <v>0</v>
      </c>
      <c r="U35" s="5">
        <v>614</v>
      </c>
      <c r="V35" s="5">
        <v>0</v>
      </c>
    </row>
    <row r="36" spans="1:22" x14ac:dyDescent="0.25">
      <c r="A36" s="4" t="s">
        <v>88</v>
      </c>
      <c r="B36" s="5">
        <v>43</v>
      </c>
      <c r="C36" s="4" t="s">
        <v>33</v>
      </c>
      <c r="D36" s="4" t="s">
        <v>59</v>
      </c>
      <c r="E36" s="4" t="s">
        <v>35</v>
      </c>
      <c r="F36" s="4" t="s">
        <v>30</v>
      </c>
      <c r="G36" s="6">
        <v>60900</v>
      </c>
      <c r="H36" s="5">
        <v>6</v>
      </c>
      <c r="I36" s="7">
        <v>43938</v>
      </c>
      <c r="J36" s="4" t="s">
        <v>49</v>
      </c>
      <c r="K36" s="5">
        <v>2</v>
      </c>
      <c r="L36" s="6">
        <v>3233.96</v>
      </c>
      <c r="M36" s="6">
        <v>42944.91</v>
      </c>
      <c r="N36" s="5">
        <v>38</v>
      </c>
      <c r="O36" s="6">
        <v>34.32</v>
      </c>
      <c r="P36" s="5">
        <v>3</v>
      </c>
      <c r="Q36" s="6">
        <v>13000</v>
      </c>
      <c r="R36" s="6">
        <v>6379.13</v>
      </c>
      <c r="S36" s="6">
        <v>247000</v>
      </c>
      <c r="T36" s="6">
        <v>1244</v>
      </c>
      <c r="U36" s="5">
        <v>625</v>
      </c>
      <c r="V36" s="5">
        <v>0</v>
      </c>
    </row>
    <row r="37" spans="1:22" x14ac:dyDescent="0.25">
      <c r="A37" s="4" t="s">
        <v>89</v>
      </c>
      <c r="B37" s="5">
        <v>52</v>
      </c>
      <c r="C37" s="4" t="s">
        <v>33</v>
      </c>
      <c r="D37" s="4" t="s">
        <v>34</v>
      </c>
      <c r="E37" s="4" t="s">
        <v>90</v>
      </c>
      <c r="F37" s="4" t="s">
        <v>26</v>
      </c>
      <c r="G37" s="6">
        <v>105700</v>
      </c>
      <c r="H37" s="5">
        <v>8</v>
      </c>
      <c r="I37" s="7">
        <v>43304</v>
      </c>
      <c r="J37" s="4" t="s">
        <v>27</v>
      </c>
      <c r="K37" s="5">
        <v>2</v>
      </c>
      <c r="L37" s="6">
        <v>7485.63</v>
      </c>
      <c r="M37" s="6">
        <v>0</v>
      </c>
      <c r="N37" s="5">
        <v>60</v>
      </c>
      <c r="O37" s="6">
        <v>128.30000000000001</v>
      </c>
      <c r="P37" s="5">
        <v>1</v>
      </c>
      <c r="Q37" s="6">
        <v>15000</v>
      </c>
      <c r="R37" s="6">
        <v>4347.4399999999996</v>
      </c>
      <c r="S37" s="6">
        <v>0</v>
      </c>
      <c r="T37" s="6">
        <v>0</v>
      </c>
      <c r="U37" s="5">
        <v>682</v>
      </c>
      <c r="V37" s="5">
        <v>0</v>
      </c>
    </row>
    <row r="38" spans="1:22" x14ac:dyDescent="0.25">
      <c r="A38" s="4" t="s">
        <v>91</v>
      </c>
      <c r="B38" s="5">
        <v>34</v>
      </c>
      <c r="C38" s="4" t="s">
        <v>23</v>
      </c>
      <c r="D38" s="4" t="s">
        <v>29</v>
      </c>
      <c r="E38" s="4" t="s">
        <v>25</v>
      </c>
      <c r="F38" s="4" t="s">
        <v>38</v>
      </c>
      <c r="G38" s="6">
        <v>18000</v>
      </c>
      <c r="H38" s="5">
        <v>6</v>
      </c>
      <c r="I38" s="7">
        <v>43842</v>
      </c>
      <c r="J38" s="4" t="s">
        <v>49</v>
      </c>
      <c r="K38" s="5">
        <v>3</v>
      </c>
      <c r="L38" s="6">
        <v>4031.17</v>
      </c>
      <c r="M38" s="6">
        <v>30969.49</v>
      </c>
      <c r="N38" s="5">
        <v>21</v>
      </c>
      <c r="O38" s="6">
        <v>89.57</v>
      </c>
      <c r="P38" s="5">
        <v>4</v>
      </c>
      <c r="Q38" s="6">
        <v>7000</v>
      </c>
      <c r="R38" s="6">
        <v>944.38</v>
      </c>
      <c r="S38" s="6">
        <v>410000</v>
      </c>
      <c r="T38" s="6">
        <v>2950</v>
      </c>
      <c r="U38" s="5">
        <v>587</v>
      </c>
      <c r="V38" s="5">
        <v>0</v>
      </c>
    </row>
    <row r="39" spans="1:22" x14ac:dyDescent="0.25">
      <c r="A39" s="4" t="s">
        <v>92</v>
      </c>
      <c r="B39" s="5">
        <v>51</v>
      </c>
      <c r="C39" s="4" t="s">
        <v>23</v>
      </c>
      <c r="D39" s="4" t="s">
        <v>51</v>
      </c>
      <c r="E39" s="4" t="s">
        <v>25</v>
      </c>
      <c r="F39" s="4" t="s">
        <v>26</v>
      </c>
      <c r="G39" s="6">
        <v>28100</v>
      </c>
      <c r="H39" s="5">
        <v>4</v>
      </c>
      <c r="I39" s="7">
        <v>44650</v>
      </c>
      <c r="J39" s="4" t="s">
        <v>31</v>
      </c>
      <c r="K39" s="5">
        <v>2</v>
      </c>
      <c r="L39" s="6">
        <v>3763.61</v>
      </c>
      <c r="M39" s="6">
        <v>14353.3</v>
      </c>
      <c r="N39" s="5">
        <v>41</v>
      </c>
      <c r="O39" s="6">
        <v>29.78</v>
      </c>
      <c r="P39" s="5">
        <v>0</v>
      </c>
      <c r="Q39" s="6">
        <v>6000</v>
      </c>
      <c r="R39" s="6">
        <v>1016.1</v>
      </c>
      <c r="S39" s="6">
        <v>0</v>
      </c>
      <c r="T39" s="6">
        <v>0</v>
      </c>
      <c r="U39" s="5">
        <v>623</v>
      </c>
      <c r="V39" s="5">
        <v>0</v>
      </c>
    </row>
    <row r="40" spans="1:22" x14ac:dyDescent="0.25">
      <c r="A40" s="4" t="s">
        <v>93</v>
      </c>
      <c r="B40" s="5">
        <v>51</v>
      </c>
      <c r="C40" s="4" t="s">
        <v>33</v>
      </c>
      <c r="D40" s="4" t="s">
        <v>59</v>
      </c>
      <c r="E40" s="4" t="s">
        <v>45</v>
      </c>
      <c r="F40" s="4" t="s">
        <v>30</v>
      </c>
      <c r="G40" s="6">
        <v>31800</v>
      </c>
      <c r="H40" s="5">
        <v>19</v>
      </c>
      <c r="I40" s="7">
        <v>39268</v>
      </c>
      <c r="J40" s="4" t="s">
        <v>27</v>
      </c>
      <c r="K40" s="5">
        <v>4</v>
      </c>
      <c r="L40" s="6">
        <v>4343.1899999999996</v>
      </c>
      <c r="M40" s="6">
        <v>47131.040000000001</v>
      </c>
      <c r="N40" s="5">
        <v>31</v>
      </c>
      <c r="O40" s="6">
        <v>43.49</v>
      </c>
      <c r="P40" s="5">
        <v>5</v>
      </c>
      <c r="Q40" s="6">
        <v>7500</v>
      </c>
      <c r="R40" s="6">
        <v>4248.68</v>
      </c>
      <c r="S40" s="6">
        <v>0</v>
      </c>
      <c r="T40" s="6">
        <v>0</v>
      </c>
      <c r="U40" s="5">
        <v>684</v>
      </c>
      <c r="V40" s="5">
        <v>0</v>
      </c>
    </row>
    <row r="41" spans="1:22" x14ac:dyDescent="0.25">
      <c r="A41" s="4" t="s">
        <v>94</v>
      </c>
      <c r="B41" s="5">
        <v>66</v>
      </c>
      <c r="C41" s="4" t="s">
        <v>33</v>
      </c>
      <c r="D41" s="4" t="s">
        <v>34</v>
      </c>
      <c r="E41" s="4" t="s">
        <v>95</v>
      </c>
      <c r="F41" s="4" t="s">
        <v>30</v>
      </c>
      <c r="G41" s="6">
        <v>19800</v>
      </c>
      <c r="H41" s="5">
        <v>7</v>
      </c>
      <c r="I41" s="7">
        <v>43509</v>
      </c>
      <c r="J41" s="4" t="s">
        <v>39</v>
      </c>
      <c r="K41" s="5">
        <v>2</v>
      </c>
      <c r="L41" s="6">
        <v>1672.93</v>
      </c>
      <c r="M41" s="6">
        <v>6014.06</v>
      </c>
      <c r="N41" s="5">
        <v>17</v>
      </c>
      <c r="O41" s="6">
        <v>36.74</v>
      </c>
      <c r="P41" s="5">
        <v>3</v>
      </c>
      <c r="Q41" s="6">
        <v>2500</v>
      </c>
      <c r="R41" s="6">
        <v>1186.3900000000001</v>
      </c>
      <c r="S41" s="6">
        <v>0</v>
      </c>
      <c r="T41" s="6">
        <v>0</v>
      </c>
      <c r="U41" s="5">
        <v>482</v>
      </c>
      <c r="V41" s="5">
        <v>3</v>
      </c>
    </row>
    <row r="42" spans="1:22" x14ac:dyDescent="0.25">
      <c r="A42" s="4" t="s">
        <v>96</v>
      </c>
      <c r="B42" s="5">
        <v>63</v>
      </c>
      <c r="C42" s="4" t="s">
        <v>33</v>
      </c>
      <c r="D42" s="4" t="s">
        <v>29</v>
      </c>
      <c r="E42" s="4" t="s">
        <v>54</v>
      </c>
      <c r="F42" s="4" t="s">
        <v>30</v>
      </c>
      <c r="G42" s="6">
        <v>20100</v>
      </c>
      <c r="H42" s="5">
        <v>9</v>
      </c>
      <c r="I42" s="7">
        <v>42691</v>
      </c>
      <c r="J42" s="4" t="s">
        <v>39</v>
      </c>
      <c r="K42" s="5">
        <v>3</v>
      </c>
      <c r="L42" s="6">
        <v>1280.31</v>
      </c>
      <c r="M42" s="6">
        <v>19523.84</v>
      </c>
      <c r="N42" s="5">
        <v>19</v>
      </c>
      <c r="O42" s="6">
        <v>22.22</v>
      </c>
      <c r="P42" s="5">
        <v>4</v>
      </c>
      <c r="Q42" s="6">
        <v>0</v>
      </c>
      <c r="R42" s="6">
        <v>0</v>
      </c>
      <c r="S42" s="6">
        <v>0</v>
      </c>
      <c r="T42" s="6">
        <v>0</v>
      </c>
      <c r="U42" s="5">
        <v>607</v>
      </c>
      <c r="V42" s="5">
        <v>0</v>
      </c>
    </row>
    <row r="43" spans="1:22" x14ac:dyDescent="0.25">
      <c r="A43" s="4" t="s">
        <v>97</v>
      </c>
      <c r="B43" s="5">
        <v>33</v>
      </c>
      <c r="C43" s="4" t="s">
        <v>33</v>
      </c>
      <c r="D43" s="4" t="s">
        <v>98</v>
      </c>
      <c r="E43" s="4" t="s">
        <v>35</v>
      </c>
      <c r="F43" s="4" t="s">
        <v>26</v>
      </c>
      <c r="G43" s="6">
        <v>33700</v>
      </c>
      <c r="H43" s="5">
        <v>5</v>
      </c>
      <c r="I43" s="7">
        <v>44206</v>
      </c>
      <c r="J43" s="4" t="s">
        <v>39</v>
      </c>
      <c r="K43" s="5">
        <v>3</v>
      </c>
      <c r="L43" s="6">
        <v>21592.32</v>
      </c>
      <c r="M43" s="6">
        <v>22398.02</v>
      </c>
      <c r="N43" s="5">
        <v>29</v>
      </c>
      <c r="O43" s="6">
        <v>52.38</v>
      </c>
      <c r="P43" s="5">
        <v>3</v>
      </c>
      <c r="Q43" s="6">
        <v>7000</v>
      </c>
      <c r="R43" s="6">
        <v>3931.29</v>
      </c>
      <c r="S43" s="6">
        <v>0</v>
      </c>
      <c r="T43" s="6">
        <v>0</v>
      </c>
      <c r="U43" s="5">
        <v>579</v>
      </c>
      <c r="V43" s="5">
        <v>4</v>
      </c>
    </row>
    <row r="44" spans="1:22" x14ac:dyDescent="0.25">
      <c r="A44" s="4" t="s">
        <v>99</v>
      </c>
      <c r="B44" s="5">
        <v>78</v>
      </c>
      <c r="C44" s="4" t="s">
        <v>23</v>
      </c>
      <c r="D44" s="4" t="s">
        <v>57</v>
      </c>
      <c r="E44" s="4" t="s">
        <v>35</v>
      </c>
      <c r="F44" s="4" t="s">
        <v>30</v>
      </c>
      <c r="G44" s="6">
        <v>72100</v>
      </c>
      <c r="H44" s="5">
        <v>6</v>
      </c>
      <c r="I44" s="7">
        <v>43771</v>
      </c>
      <c r="J44" s="4" t="s">
        <v>27</v>
      </c>
      <c r="K44" s="5">
        <v>2</v>
      </c>
      <c r="L44" s="6">
        <v>29670.97</v>
      </c>
      <c r="M44" s="6">
        <v>43328.61</v>
      </c>
      <c r="N44" s="5">
        <v>32</v>
      </c>
      <c r="O44" s="6">
        <v>80.739999999999995</v>
      </c>
      <c r="P44" s="5">
        <v>6</v>
      </c>
      <c r="Q44" s="6">
        <v>0</v>
      </c>
      <c r="R44" s="6">
        <v>0</v>
      </c>
      <c r="S44" s="6">
        <v>0</v>
      </c>
      <c r="T44" s="6">
        <v>0</v>
      </c>
      <c r="U44" s="5">
        <v>632</v>
      </c>
      <c r="V44" s="5">
        <v>0</v>
      </c>
    </row>
    <row r="45" spans="1:22" x14ac:dyDescent="0.25">
      <c r="A45" s="4" t="s">
        <v>100</v>
      </c>
      <c r="B45" s="5">
        <v>57</v>
      </c>
      <c r="C45" s="4" t="s">
        <v>23</v>
      </c>
      <c r="D45" s="4" t="s">
        <v>98</v>
      </c>
      <c r="E45" s="4" t="s">
        <v>25</v>
      </c>
      <c r="F45" s="4" t="s">
        <v>30</v>
      </c>
      <c r="G45" s="6">
        <v>40100</v>
      </c>
      <c r="H45" s="5">
        <v>11</v>
      </c>
      <c r="I45" s="7">
        <v>42140</v>
      </c>
      <c r="J45" s="4" t="s">
        <v>27</v>
      </c>
      <c r="K45" s="5">
        <v>2</v>
      </c>
      <c r="L45" s="6">
        <v>6580.7</v>
      </c>
      <c r="M45" s="6">
        <v>28958.36</v>
      </c>
      <c r="N45" s="5">
        <v>27</v>
      </c>
      <c r="O45" s="6">
        <v>54.83</v>
      </c>
      <c r="P45" s="5">
        <v>2</v>
      </c>
      <c r="Q45" s="6">
        <v>9000</v>
      </c>
      <c r="R45" s="6">
        <v>2053.36</v>
      </c>
      <c r="S45" s="6">
        <v>147000</v>
      </c>
      <c r="T45" s="6">
        <v>734</v>
      </c>
      <c r="U45" s="5">
        <v>648</v>
      </c>
      <c r="V45" s="5">
        <v>0</v>
      </c>
    </row>
    <row r="46" spans="1:22" x14ac:dyDescent="0.25">
      <c r="A46" s="4" t="s">
        <v>101</v>
      </c>
      <c r="B46" s="5">
        <v>187</v>
      </c>
      <c r="C46" s="4" t="s">
        <v>23</v>
      </c>
      <c r="D46" s="4" t="s">
        <v>41</v>
      </c>
      <c r="E46" s="4" t="s">
        <v>25</v>
      </c>
      <c r="F46" s="4" t="s">
        <v>48</v>
      </c>
      <c r="G46" s="6">
        <v>28200</v>
      </c>
      <c r="H46" s="5">
        <v>8</v>
      </c>
      <c r="I46" s="7">
        <v>43334</v>
      </c>
      <c r="J46" s="4" t="s">
        <v>27</v>
      </c>
      <c r="K46" s="5">
        <v>2</v>
      </c>
      <c r="L46" s="6">
        <v>2744.41</v>
      </c>
      <c r="M46" s="6">
        <v>17755.560000000001</v>
      </c>
      <c r="N46" s="5">
        <v>28</v>
      </c>
      <c r="O46" s="6">
        <v>58.32</v>
      </c>
      <c r="P46" s="5">
        <v>4</v>
      </c>
      <c r="Q46" s="6">
        <v>7000</v>
      </c>
      <c r="R46" s="6">
        <v>509.07</v>
      </c>
      <c r="S46" s="6">
        <v>0</v>
      </c>
      <c r="T46" s="6">
        <v>0</v>
      </c>
      <c r="U46" s="5">
        <v>611</v>
      </c>
      <c r="V46" s="5">
        <v>0</v>
      </c>
    </row>
    <row r="47" spans="1:22" x14ac:dyDescent="0.25">
      <c r="A47" s="4" t="s">
        <v>102</v>
      </c>
      <c r="B47" s="5">
        <v>42</v>
      </c>
      <c r="C47" s="4" t="s">
        <v>23</v>
      </c>
      <c r="D47" s="4" t="s">
        <v>24</v>
      </c>
      <c r="E47" s="4" t="s">
        <v>63</v>
      </c>
      <c r="F47" s="4" t="s">
        <v>48</v>
      </c>
      <c r="G47" s="6">
        <v>22800</v>
      </c>
      <c r="H47" s="5">
        <v>4</v>
      </c>
      <c r="I47" s="7">
        <v>44687</v>
      </c>
      <c r="J47" s="4" t="s">
        <v>39</v>
      </c>
      <c r="K47" s="5">
        <v>2</v>
      </c>
      <c r="L47" s="6">
        <v>667.46</v>
      </c>
      <c r="M47" s="6">
        <v>0</v>
      </c>
      <c r="N47" s="5">
        <v>15</v>
      </c>
      <c r="O47" s="6">
        <v>43.91</v>
      </c>
      <c r="P47" s="5">
        <v>4</v>
      </c>
      <c r="Q47" s="6">
        <v>4000</v>
      </c>
      <c r="R47" s="6">
        <v>1671.83</v>
      </c>
      <c r="S47" s="6">
        <v>71000</v>
      </c>
      <c r="T47" s="6">
        <v>528</v>
      </c>
      <c r="U47" s="5">
        <v>607</v>
      </c>
      <c r="V47" s="5">
        <v>0</v>
      </c>
    </row>
    <row r="48" spans="1:22" x14ac:dyDescent="0.25">
      <c r="A48" s="4" t="s">
        <v>103</v>
      </c>
      <c r="B48" s="5">
        <v>59</v>
      </c>
      <c r="C48" s="4" t="s">
        <v>33</v>
      </c>
      <c r="D48" s="4" t="s">
        <v>34</v>
      </c>
      <c r="E48" s="4" t="s">
        <v>45</v>
      </c>
      <c r="F48" s="4" t="s">
        <v>30</v>
      </c>
      <c r="G48" s="6">
        <v>17200</v>
      </c>
      <c r="H48" s="5">
        <v>8</v>
      </c>
      <c r="I48" s="7">
        <v>43072</v>
      </c>
      <c r="J48" s="4" t="s">
        <v>39</v>
      </c>
      <c r="K48" s="5">
        <v>2</v>
      </c>
      <c r="L48" s="6">
        <v>3499.23</v>
      </c>
      <c r="M48" s="6">
        <v>11484.24</v>
      </c>
      <c r="N48" s="5">
        <v>16</v>
      </c>
      <c r="O48" s="6">
        <v>18.920000000000002</v>
      </c>
      <c r="P48" s="5">
        <v>6</v>
      </c>
      <c r="Q48" s="6">
        <v>2000</v>
      </c>
      <c r="R48" s="6">
        <v>886.83</v>
      </c>
      <c r="S48" s="6">
        <v>67000</v>
      </c>
      <c r="T48" s="6">
        <v>390</v>
      </c>
      <c r="U48" s="5">
        <v>687</v>
      </c>
      <c r="V48" s="5">
        <v>0</v>
      </c>
    </row>
    <row r="49" spans="1:22" x14ac:dyDescent="0.25">
      <c r="A49" s="4" t="s">
        <v>104</v>
      </c>
      <c r="B49" s="5">
        <v>61</v>
      </c>
      <c r="C49" s="4" t="s">
        <v>23</v>
      </c>
      <c r="D49" s="4" t="s">
        <v>59</v>
      </c>
      <c r="E49" s="4" t="s">
        <v>45</v>
      </c>
      <c r="F49" s="4" t="s">
        <v>48</v>
      </c>
      <c r="G49" s="6">
        <v>14800</v>
      </c>
      <c r="H49" s="5">
        <v>20</v>
      </c>
      <c r="I49" s="7">
        <v>38884</v>
      </c>
      <c r="J49" s="4" t="s">
        <v>39</v>
      </c>
      <c r="K49" s="5">
        <v>4</v>
      </c>
      <c r="L49" s="6">
        <v>696.74</v>
      </c>
      <c r="M49" s="6">
        <v>23284.97</v>
      </c>
      <c r="N49" s="5">
        <v>18</v>
      </c>
      <c r="O49" s="6">
        <v>28.36</v>
      </c>
      <c r="P49" s="5">
        <v>7</v>
      </c>
      <c r="Q49" s="6">
        <v>3000</v>
      </c>
      <c r="R49" s="6">
        <v>822.25</v>
      </c>
      <c r="S49" s="6">
        <v>0</v>
      </c>
      <c r="T49" s="6">
        <v>0</v>
      </c>
      <c r="U49" s="5">
        <v>590</v>
      </c>
      <c r="V49" s="5">
        <v>0</v>
      </c>
    </row>
    <row r="50" spans="1:22" x14ac:dyDescent="0.25">
      <c r="A50" s="4" t="s">
        <v>105</v>
      </c>
      <c r="B50" s="5">
        <v>61</v>
      </c>
      <c r="C50" s="4" t="s">
        <v>33</v>
      </c>
      <c r="D50" s="4" t="s">
        <v>41</v>
      </c>
      <c r="E50" s="4" t="s">
        <v>25</v>
      </c>
      <c r="F50" s="4" t="s">
        <v>30</v>
      </c>
      <c r="G50" s="6">
        <v>31300</v>
      </c>
      <c r="H50" s="5">
        <v>7</v>
      </c>
      <c r="I50" s="7">
        <v>43387</v>
      </c>
      <c r="J50" s="4" t="s">
        <v>39</v>
      </c>
      <c r="K50" s="5">
        <v>3</v>
      </c>
      <c r="L50" s="6">
        <v>3138.66</v>
      </c>
      <c r="M50" s="6">
        <v>0</v>
      </c>
      <c r="N50" s="5">
        <v>22</v>
      </c>
      <c r="O50" s="6">
        <v>73.94</v>
      </c>
      <c r="P50" s="5">
        <v>9</v>
      </c>
      <c r="Q50" s="6">
        <v>6000</v>
      </c>
      <c r="R50" s="6">
        <v>2033.96</v>
      </c>
      <c r="S50" s="6">
        <v>0</v>
      </c>
      <c r="T50" s="6">
        <v>0</v>
      </c>
      <c r="U50" s="5">
        <v>584</v>
      </c>
      <c r="V50" s="5">
        <v>1</v>
      </c>
    </row>
    <row r="51" spans="1:22" x14ac:dyDescent="0.25">
      <c r="A51" s="4" t="s">
        <v>106</v>
      </c>
      <c r="B51" s="5">
        <v>34</v>
      </c>
      <c r="C51" s="4" t="s">
        <v>33</v>
      </c>
      <c r="D51" s="4" t="s">
        <v>34</v>
      </c>
      <c r="E51" s="4" t="s">
        <v>54</v>
      </c>
      <c r="F51" s="4" t="s">
        <v>30</v>
      </c>
      <c r="G51" s="6">
        <v>27200</v>
      </c>
      <c r="H51" s="5">
        <v>2</v>
      </c>
      <c r="I51" s="7">
        <v>45193</v>
      </c>
      <c r="J51" s="4" t="s">
        <v>27</v>
      </c>
      <c r="K51" s="5">
        <v>2</v>
      </c>
      <c r="L51" s="6">
        <v>3859.52</v>
      </c>
      <c r="M51" s="6">
        <v>8523.94</v>
      </c>
      <c r="N51" s="5">
        <v>20</v>
      </c>
      <c r="O51" s="6">
        <v>51.8</v>
      </c>
      <c r="P51" s="5">
        <v>6</v>
      </c>
      <c r="Q51" s="6">
        <v>0</v>
      </c>
      <c r="R51" s="6">
        <v>0</v>
      </c>
      <c r="S51" s="6">
        <v>98000</v>
      </c>
      <c r="T51" s="6">
        <v>653</v>
      </c>
      <c r="U51" s="5">
        <v>542</v>
      </c>
      <c r="V51" s="5">
        <v>0</v>
      </c>
    </row>
    <row r="52" spans="1:22" x14ac:dyDescent="0.25">
      <c r="A52" s="4" t="s">
        <v>107</v>
      </c>
      <c r="B52" s="5">
        <v>68</v>
      </c>
      <c r="C52" s="4" t="s">
        <v>33</v>
      </c>
      <c r="D52" s="4" t="s">
        <v>108</v>
      </c>
      <c r="E52" s="4" t="s">
        <v>95</v>
      </c>
      <c r="F52" s="4" t="s">
        <v>30</v>
      </c>
      <c r="G52" s="6">
        <v>19400</v>
      </c>
      <c r="H52" s="5">
        <v>5</v>
      </c>
      <c r="I52" s="7">
        <v>44135</v>
      </c>
      <c r="J52" s="4" t="s">
        <v>39</v>
      </c>
      <c r="K52" s="5">
        <v>2</v>
      </c>
      <c r="L52" s="6">
        <v>2911.52</v>
      </c>
      <c r="M52" s="6">
        <v>8008.63</v>
      </c>
      <c r="N52" s="5">
        <v>16</v>
      </c>
      <c r="O52" s="6">
        <v>59.75</v>
      </c>
      <c r="P52" s="5">
        <v>3</v>
      </c>
      <c r="Q52" s="6">
        <v>0</v>
      </c>
      <c r="R52" s="6">
        <v>0</v>
      </c>
      <c r="S52" s="6">
        <v>0</v>
      </c>
      <c r="T52" s="6">
        <v>0</v>
      </c>
      <c r="U52" s="5">
        <v>595</v>
      </c>
      <c r="V52" s="5">
        <v>0</v>
      </c>
    </row>
    <row r="53" spans="1:22" x14ac:dyDescent="0.25">
      <c r="A53" s="4" t="s">
        <v>109</v>
      </c>
      <c r="B53" s="5">
        <v>38</v>
      </c>
      <c r="C53" s="4" t="s">
        <v>23</v>
      </c>
      <c r="D53" s="4" t="s">
        <v>57</v>
      </c>
      <c r="E53" s="4" t="s">
        <v>45</v>
      </c>
      <c r="F53" s="4" t="s">
        <v>30</v>
      </c>
      <c r="G53" s="6">
        <v>18400</v>
      </c>
      <c r="H53" s="5">
        <v>13</v>
      </c>
      <c r="I53" s="7">
        <v>41518</v>
      </c>
      <c r="J53" s="4" t="s">
        <v>39</v>
      </c>
      <c r="K53" s="5">
        <v>3</v>
      </c>
      <c r="L53" s="6">
        <v>1210.24</v>
      </c>
      <c r="M53" s="6">
        <v>15405.46</v>
      </c>
      <c r="N53" s="5">
        <v>17</v>
      </c>
      <c r="O53" s="6">
        <v>39.94</v>
      </c>
      <c r="P53" s="5">
        <v>5</v>
      </c>
      <c r="Q53" s="6">
        <v>2500</v>
      </c>
      <c r="R53" s="6">
        <v>529.17999999999995</v>
      </c>
      <c r="S53" s="6">
        <v>0</v>
      </c>
      <c r="T53" s="6">
        <v>0</v>
      </c>
      <c r="U53" s="5">
        <v>491</v>
      </c>
      <c r="V53" s="5">
        <v>0</v>
      </c>
    </row>
    <row r="54" spans="1:22" x14ac:dyDescent="0.25">
      <c r="A54" s="4" t="s">
        <v>110</v>
      </c>
      <c r="B54" s="5">
        <v>40</v>
      </c>
      <c r="C54" s="4" t="s">
        <v>33</v>
      </c>
      <c r="D54" s="4" t="s">
        <v>34</v>
      </c>
      <c r="E54" s="4" t="s">
        <v>63</v>
      </c>
      <c r="F54" s="4" t="s">
        <v>48</v>
      </c>
      <c r="G54" s="6">
        <v>58700</v>
      </c>
      <c r="H54" s="5">
        <v>14</v>
      </c>
      <c r="I54" s="7">
        <v>41150</v>
      </c>
      <c r="J54" s="4" t="s">
        <v>39</v>
      </c>
      <c r="K54" s="5">
        <v>3</v>
      </c>
      <c r="L54" s="6">
        <v>8678.4</v>
      </c>
      <c r="M54" s="6">
        <v>102287.84</v>
      </c>
      <c r="N54" s="5">
        <v>39</v>
      </c>
      <c r="O54" s="6">
        <v>27.48</v>
      </c>
      <c r="P54" s="5">
        <v>5</v>
      </c>
      <c r="Q54" s="6">
        <v>6500</v>
      </c>
      <c r="R54" s="6">
        <v>1902.32</v>
      </c>
      <c r="S54" s="6">
        <v>0</v>
      </c>
      <c r="T54" s="6">
        <v>0</v>
      </c>
      <c r="U54" s="5">
        <v>711</v>
      </c>
      <c r="V54" s="5">
        <v>0</v>
      </c>
    </row>
    <row r="55" spans="1:22" x14ac:dyDescent="0.25">
      <c r="A55" s="4" t="s">
        <v>111</v>
      </c>
      <c r="B55" s="5">
        <v>47</v>
      </c>
      <c r="C55" s="4" t="s">
        <v>33</v>
      </c>
      <c r="D55" s="4" t="s">
        <v>41</v>
      </c>
      <c r="E55" s="4" t="s">
        <v>45</v>
      </c>
      <c r="F55" s="4" t="s">
        <v>48</v>
      </c>
      <c r="G55" s="6">
        <v>33300</v>
      </c>
      <c r="H55" s="5">
        <v>8</v>
      </c>
      <c r="I55" s="7">
        <v>43335</v>
      </c>
      <c r="J55" s="4" t="s">
        <v>31</v>
      </c>
      <c r="K55" s="5">
        <v>1</v>
      </c>
      <c r="L55" s="6">
        <v>1829.99</v>
      </c>
      <c r="M55" s="6">
        <v>30644.959999999999</v>
      </c>
      <c r="N55" s="5">
        <v>45</v>
      </c>
      <c r="O55" s="6">
        <v>80.91</v>
      </c>
      <c r="P55" s="5">
        <v>0</v>
      </c>
      <c r="Q55" s="6">
        <v>7000</v>
      </c>
      <c r="R55" s="6">
        <v>2310.17</v>
      </c>
      <c r="S55" s="6">
        <v>0</v>
      </c>
      <c r="T55" s="6">
        <v>0</v>
      </c>
      <c r="U55" s="5">
        <v>622</v>
      </c>
      <c r="V55" s="5">
        <v>0</v>
      </c>
    </row>
    <row r="56" spans="1:22" x14ac:dyDescent="0.25">
      <c r="A56" s="4" t="s">
        <v>112</v>
      </c>
      <c r="B56" s="5">
        <v>48</v>
      </c>
      <c r="C56" s="4" t="s">
        <v>33</v>
      </c>
      <c r="D56" s="4" t="s">
        <v>41</v>
      </c>
      <c r="E56" s="4" t="s">
        <v>42</v>
      </c>
      <c r="F56" s="4" t="s">
        <v>30</v>
      </c>
      <c r="G56" s="6">
        <v>71800</v>
      </c>
      <c r="H56" s="5">
        <v>15</v>
      </c>
      <c r="I56" s="7">
        <v>40498</v>
      </c>
      <c r="J56" s="4" t="s">
        <v>39</v>
      </c>
      <c r="K56" s="5">
        <v>1</v>
      </c>
      <c r="L56" s="6">
        <v>5432.84</v>
      </c>
      <c r="M56" s="6">
        <v>47668.81</v>
      </c>
      <c r="N56" s="5">
        <v>27</v>
      </c>
      <c r="O56" s="6">
        <v>68.67</v>
      </c>
      <c r="P56" s="5">
        <v>4</v>
      </c>
      <c r="Q56" s="6">
        <v>14000</v>
      </c>
      <c r="R56" s="6">
        <v>900.54</v>
      </c>
      <c r="S56" s="6">
        <v>0</v>
      </c>
      <c r="T56" s="6">
        <v>0</v>
      </c>
      <c r="U56" s="5">
        <v>608</v>
      </c>
      <c r="V56" s="5">
        <v>2</v>
      </c>
    </row>
    <row r="57" spans="1:22" x14ac:dyDescent="0.25">
      <c r="A57" s="4" t="s">
        <v>113</v>
      </c>
      <c r="B57" s="5">
        <v>54</v>
      </c>
      <c r="C57" s="4" t="s">
        <v>23</v>
      </c>
      <c r="D57" s="4" t="s">
        <v>41</v>
      </c>
      <c r="E57" s="4" t="s">
        <v>45</v>
      </c>
      <c r="F57" s="4" t="s">
        <v>30</v>
      </c>
      <c r="G57" s="6">
        <v>24600</v>
      </c>
      <c r="H57" s="5">
        <v>18</v>
      </c>
      <c r="I57" s="7">
        <v>39659</v>
      </c>
      <c r="J57" s="4" t="s">
        <v>39</v>
      </c>
      <c r="K57" s="5">
        <v>1</v>
      </c>
      <c r="L57" s="6">
        <v>2858.32</v>
      </c>
      <c r="M57" s="6">
        <v>13711.69</v>
      </c>
      <c r="N57" s="5">
        <v>14</v>
      </c>
      <c r="O57" s="6">
        <v>32.19</v>
      </c>
      <c r="P57" s="5">
        <v>6</v>
      </c>
      <c r="Q57" s="6">
        <v>4500</v>
      </c>
      <c r="R57" s="6">
        <v>872.38</v>
      </c>
      <c r="S57" s="6">
        <v>0</v>
      </c>
      <c r="T57" s="6">
        <v>0</v>
      </c>
      <c r="U57" s="5">
        <v>582</v>
      </c>
      <c r="V57" s="5">
        <v>0</v>
      </c>
    </row>
    <row r="58" spans="1:22" x14ac:dyDescent="0.25">
      <c r="A58" s="4" t="s">
        <v>114</v>
      </c>
      <c r="B58" s="5">
        <v>70</v>
      </c>
      <c r="C58" s="4" t="s">
        <v>33</v>
      </c>
      <c r="D58" s="4" t="s">
        <v>34</v>
      </c>
      <c r="E58" s="4" t="s">
        <v>95</v>
      </c>
      <c r="F58" s="4" t="s">
        <v>30</v>
      </c>
      <c r="G58" s="6">
        <v>32700</v>
      </c>
      <c r="H58" s="5">
        <v>22</v>
      </c>
      <c r="I58" s="7">
        <v>37927</v>
      </c>
      <c r="J58" s="4" t="s">
        <v>39</v>
      </c>
      <c r="K58" s="5">
        <v>2</v>
      </c>
      <c r="L58" s="6">
        <v>2191.62</v>
      </c>
      <c r="M58" s="6">
        <v>92552.61</v>
      </c>
      <c r="N58" s="5">
        <v>27</v>
      </c>
      <c r="O58" s="6">
        <v>50.42</v>
      </c>
      <c r="P58" s="5">
        <v>4</v>
      </c>
      <c r="Q58" s="6">
        <v>3500</v>
      </c>
      <c r="R58" s="6">
        <v>719.4</v>
      </c>
      <c r="S58" s="6">
        <v>0</v>
      </c>
      <c r="T58" s="6">
        <v>0</v>
      </c>
      <c r="U58" s="5">
        <v>668</v>
      </c>
      <c r="V58" s="5">
        <v>0</v>
      </c>
    </row>
    <row r="59" spans="1:22" x14ac:dyDescent="0.25">
      <c r="A59" s="4" t="s">
        <v>115</v>
      </c>
      <c r="B59" s="5">
        <v>53</v>
      </c>
      <c r="C59" s="4" t="s">
        <v>33</v>
      </c>
      <c r="D59" s="4" t="s">
        <v>98</v>
      </c>
      <c r="E59" s="4" t="s">
        <v>45</v>
      </c>
      <c r="F59" s="4" t="s">
        <v>30</v>
      </c>
      <c r="G59" s="6">
        <v>22600</v>
      </c>
      <c r="H59" s="5">
        <v>10</v>
      </c>
      <c r="I59" s="7">
        <v>42485</v>
      </c>
      <c r="J59" s="4" t="s">
        <v>31</v>
      </c>
      <c r="K59" s="5">
        <v>3</v>
      </c>
      <c r="L59" s="6">
        <v>3037.08</v>
      </c>
      <c r="M59" s="6">
        <v>0</v>
      </c>
      <c r="N59" s="5">
        <v>29</v>
      </c>
      <c r="O59" s="6">
        <v>21.57</v>
      </c>
      <c r="P59" s="5">
        <v>0</v>
      </c>
      <c r="Q59" s="6">
        <v>5500</v>
      </c>
      <c r="R59" s="6">
        <v>1676.19</v>
      </c>
      <c r="S59" s="6">
        <v>0</v>
      </c>
      <c r="T59" s="6">
        <v>0</v>
      </c>
      <c r="U59" s="5">
        <v>647</v>
      </c>
      <c r="V59" s="5">
        <v>1</v>
      </c>
    </row>
    <row r="60" spans="1:22" x14ac:dyDescent="0.25">
      <c r="A60" s="4" t="s">
        <v>116</v>
      </c>
      <c r="B60" s="5">
        <v>18</v>
      </c>
      <c r="C60" s="4" t="s">
        <v>23</v>
      </c>
      <c r="D60" s="4" t="s">
        <v>108</v>
      </c>
      <c r="E60" s="4" t="s">
        <v>117</v>
      </c>
      <c r="F60" s="4" t="s">
        <v>26</v>
      </c>
      <c r="G60" s="6">
        <v>4900</v>
      </c>
      <c r="H60" s="5">
        <v>0</v>
      </c>
      <c r="I60" s="7">
        <v>46120</v>
      </c>
      <c r="J60" s="4" t="s">
        <v>31</v>
      </c>
      <c r="K60" s="5">
        <v>1</v>
      </c>
      <c r="L60" s="6">
        <v>1319.94</v>
      </c>
      <c r="M60" s="6">
        <v>1475.29</v>
      </c>
      <c r="N60" s="5">
        <v>26</v>
      </c>
      <c r="O60" s="6">
        <v>40.119999999999997</v>
      </c>
      <c r="P60" s="5">
        <v>1</v>
      </c>
      <c r="Q60" s="6">
        <v>0</v>
      </c>
      <c r="R60" s="6">
        <v>0</v>
      </c>
      <c r="S60" s="6">
        <v>0</v>
      </c>
      <c r="T60" s="6">
        <v>0</v>
      </c>
      <c r="U60" s="5">
        <v>558</v>
      </c>
      <c r="V60" s="5">
        <v>0</v>
      </c>
    </row>
    <row r="61" spans="1:22" x14ac:dyDescent="0.25">
      <c r="A61" s="4" t="s">
        <v>118</v>
      </c>
      <c r="B61" s="5">
        <v>31</v>
      </c>
      <c r="C61" s="4" t="s">
        <v>23</v>
      </c>
      <c r="D61" s="4" t="s">
        <v>37</v>
      </c>
      <c r="E61" s="4" t="s">
        <v>54</v>
      </c>
      <c r="F61" s="4" t="s">
        <v>30</v>
      </c>
      <c r="G61" s="6">
        <v>30900</v>
      </c>
      <c r="H61" s="5">
        <v>5</v>
      </c>
      <c r="I61" s="7">
        <v>44237</v>
      </c>
      <c r="J61" s="4" t="s">
        <v>31</v>
      </c>
      <c r="K61" s="5">
        <v>1</v>
      </c>
      <c r="L61" s="6">
        <v>4879.74</v>
      </c>
      <c r="M61" s="6">
        <v>11953.51</v>
      </c>
      <c r="N61" s="5">
        <v>33</v>
      </c>
      <c r="O61" s="6">
        <v>51.83</v>
      </c>
      <c r="P61" s="5">
        <v>2</v>
      </c>
      <c r="Q61" s="6">
        <v>5500</v>
      </c>
      <c r="R61" s="6">
        <v>1254.99</v>
      </c>
      <c r="S61" s="6">
        <v>56000</v>
      </c>
      <c r="T61" s="6">
        <v>256</v>
      </c>
      <c r="U61" s="5">
        <v>635</v>
      </c>
      <c r="V61" s="5">
        <v>0</v>
      </c>
    </row>
    <row r="62" spans="1:22" x14ac:dyDescent="0.25">
      <c r="A62" s="4" t="s">
        <v>119</v>
      </c>
      <c r="B62" s="5">
        <v>64</v>
      </c>
      <c r="C62" s="4" t="s">
        <v>23</v>
      </c>
      <c r="D62" s="4" t="s">
        <v>59</v>
      </c>
      <c r="E62" s="4" t="s">
        <v>25</v>
      </c>
      <c r="F62" s="4" t="s">
        <v>30</v>
      </c>
      <c r="G62" s="6">
        <v>27400</v>
      </c>
      <c r="H62" s="5">
        <v>15</v>
      </c>
      <c r="I62" s="7">
        <v>40764</v>
      </c>
      <c r="J62" s="4" t="s">
        <v>27</v>
      </c>
      <c r="K62" s="5">
        <v>2</v>
      </c>
      <c r="L62" s="6">
        <v>6402.28</v>
      </c>
      <c r="M62" s="6">
        <v>36693.83</v>
      </c>
      <c r="N62" s="5">
        <v>24</v>
      </c>
      <c r="O62" s="6">
        <v>57.38</v>
      </c>
      <c r="P62" s="5">
        <v>1</v>
      </c>
      <c r="Q62" s="6">
        <v>3000</v>
      </c>
      <c r="R62" s="6">
        <v>66.5</v>
      </c>
      <c r="S62" s="6">
        <v>0</v>
      </c>
      <c r="T62" s="6">
        <v>0</v>
      </c>
      <c r="U62" s="5">
        <v>9999</v>
      </c>
      <c r="V62" s="5">
        <v>0</v>
      </c>
    </row>
    <row r="63" spans="1:22" x14ac:dyDescent="0.25">
      <c r="A63" s="4" t="s">
        <v>120</v>
      </c>
      <c r="B63" s="5">
        <v>18</v>
      </c>
      <c r="C63" s="4" t="s">
        <v>33</v>
      </c>
      <c r="D63" s="4" t="s">
        <v>98</v>
      </c>
      <c r="E63" s="4" t="s">
        <v>67</v>
      </c>
      <c r="F63" s="4" t="s">
        <v>26</v>
      </c>
      <c r="G63" s="6">
        <v>3300</v>
      </c>
      <c r="H63" s="5">
        <v>0</v>
      </c>
      <c r="I63" s="7">
        <v>46030</v>
      </c>
      <c r="J63" s="4" t="s">
        <v>39</v>
      </c>
      <c r="K63" s="5">
        <v>2</v>
      </c>
      <c r="L63" s="6">
        <v>127.43</v>
      </c>
      <c r="M63" s="6">
        <v>266.3</v>
      </c>
      <c r="N63" s="5">
        <v>8</v>
      </c>
      <c r="O63" s="6">
        <v>49.35</v>
      </c>
      <c r="P63" s="5">
        <v>8</v>
      </c>
      <c r="Q63" s="6">
        <v>500</v>
      </c>
      <c r="R63" s="6">
        <v>66.260000000000005</v>
      </c>
      <c r="S63" s="6">
        <v>0</v>
      </c>
      <c r="T63" s="6">
        <v>0</v>
      </c>
      <c r="U63" s="5">
        <v>468</v>
      </c>
      <c r="V63" s="5">
        <v>0</v>
      </c>
    </row>
    <row r="64" spans="1:22" x14ac:dyDescent="0.25">
      <c r="A64" s="4" t="s">
        <v>121</v>
      </c>
      <c r="B64" s="5">
        <v>47</v>
      </c>
      <c r="C64" s="4" t="s">
        <v>23</v>
      </c>
      <c r="D64" s="4" t="s">
        <v>122</v>
      </c>
      <c r="E64" s="4" t="s">
        <v>45</v>
      </c>
      <c r="F64" s="4" t="s">
        <v>30</v>
      </c>
      <c r="G64" s="6">
        <v>23000</v>
      </c>
      <c r="H64" s="5">
        <v>8</v>
      </c>
      <c r="I64" s="7">
        <v>43083</v>
      </c>
      <c r="J64" s="4" t="s">
        <v>27</v>
      </c>
      <c r="K64" s="5">
        <v>2</v>
      </c>
      <c r="L64" s="6">
        <v>1751.52</v>
      </c>
      <c r="M64" s="6">
        <v>20588.240000000002</v>
      </c>
      <c r="N64" s="5">
        <v>32</v>
      </c>
      <c r="O64" s="6">
        <v>65.459999999999994</v>
      </c>
      <c r="P64" s="5">
        <v>3</v>
      </c>
      <c r="Q64" s="6">
        <v>5000</v>
      </c>
      <c r="R64" s="6">
        <v>1387.81</v>
      </c>
      <c r="S64" s="6">
        <v>0</v>
      </c>
      <c r="T64" s="6">
        <v>0</v>
      </c>
      <c r="U64" s="5">
        <v>657</v>
      </c>
      <c r="V64" s="5">
        <v>1</v>
      </c>
    </row>
    <row r="65" spans="1:22" x14ac:dyDescent="0.25">
      <c r="A65" s="4" t="s">
        <v>123</v>
      </c>
      <c r="B65" s="5">
        <v>54</v>
      </c>
      <c r="C65" s="4" t="s">
        <v>33</v>
      </c>
      <c r="D65" s="4" t="s">
        <v>29</v>
      </c>
      <c r="E65" s="4" t="s">
        <v>42</v>
      </c>
      <c r="F65" s="4" t="s">
        <v>30</v>
      </c>
      <c r="G65" s="6">
        <v>83000</v>
      </c>
      <c r="H65" s="5">
        <v>11</v>
      </c>
      <c r="I65" s="7">
        <v>42023</v>
      </c>
      <c r="J65" s="4" t="s">
        <v>49</v>
      </c>
      <c r="K65" s="5">
        <v>4</v>
      </c>
      <c r="L65" s="6">
        <v>10883.32</v>
      </c>
      <c r="M65" s="6">
        <v>73780.600000000006</v>
      </c>
      <c r="N65" s="5">
        <v>39</v>
      </c>
      <c r="O65" s="6">
        <v>187.54</v>
      </c>
      <c r="P65" s="5">
        <v>1</v>
      </c>
      <c r="Q65" s="6">
        <v>0</v>
      </c>
      <c r="R65" s="6">
        <v>0</v>
      </c>
      <c r="S65" s="6">
        <v>0</v>
      </c>
      <c r="T65" s="6">
        <v>0</v>
      </c>
      <c r="U65" s="5">
        <v>767</v>
      </c>
      <c r="V65" s="5">
        <v>0</v>
      </c>
    </row>
    <row r="66" spans="1:22" x14ac:dyDescent="0.25">
      <c r="A66" s="4" t="s">
        <v>124</v>
      </c>
      <c r="B66" s="5">
        <v>28</v>
      </c>
      <c r="C66" s="4" t="s">
        <v>33</v>
      </c>
      <c r="D66" s="4" t="s">
        <v>72</v>
      </c>
      <c r="E66" s="4" t="s">
        <v>25</v>
      </c>
      <c r="F66" s="4" t="s">
        <v>26</v>
      </c>
      <c r="G66" s="6">
        <v>17000</v>
      </c>
      <c r="H66" s="5">
        <v>6</v>
      </c>
      <c r="I66" s="7">
        <v>43879</v>
      </c>
      <c r="J66" s="4" t="s">
        <v>31</v>
      </c>
      <c r="K66" s="5">
        <v>2</v>
      </c>
      <c r="L66" s="6">
        <v>-1229.03</v>
      </c>
      <c r="M66" s="6">
        <v>12050.46</v>
      </c>
      <c r="N66" s="5">
        <v>22</v>
      </c>
      <c r="O66" s="6">
        <v>28.95</v>
      </c>
      <c r="P66" s="5">
        <v>1</v>
      </c>
      <c r="Q66" s="6">
        <v>2500</v>
      </c>
      <c r="R66" s="6">
        <v>716.44</v>
      </c>
      <c r="S66" s="6">
        <v>51000</v>
      </c>
      <c r="T66" s="6">
        <v>380</v>
      </c>
      <c r="U66" s="5">
        <v>651</v>
      </c>
      <c r="V66" s="5">
        <v>0</v>
      </c>
    </row>
    <row r="67" spans="1:22" x14ac:dyDescent="0.25">
      <c r="A67" s="4" t="s">
        <v>125</v>
      </c>
      <c r="B67" s="5">
        <v>33</v>
      </c>
      <c r="C67" s="4" t="s">
        <v>23</v>
      </c>
      <c r="D67" s="4" t="s">
        <v>72</v>
      </c>
      <c r="E67" s="4" t="s">
        <v>90</v>
      </c>
      <c r="F67" s="4" t="s">
        <v>30</v>
      </c>
      <c r="G67" s="6">
        <v>84000</v>
      </c>
      <c r="H67" s="5">
        <v>7</v>
      </c>
      <c r="I67" s="7">
        <v>43598</v>
      </c>
      <c r="J67" s="4" t="s">
        <v>31</v>
      </c>
      <c r="K67" s="5">
        <v>2</v>
      </c>
      <c r="L67" s="6">
        <v>-1781.11</v>
      </c>
      <c r="M67" s="6">
        <v>0</v>
      </c>
      <c r="N67" s="5">
        <v>42</v>
      </c>
      <c r="O67" s="6">
        <v>44.51</v>
      </c>
      <c r="P67" s="5">
        <v>3</v>
      </c>
      <c r="Q67" s="6">
        <v>9500</v>
      </c>
      <c r="R67" s="6">
        <v>5957.63</v>
      </c>
      <c r="S67" s="6">
        <v>0</v>
      </c>
      <c r="T67" s="6">
        <v>0</v>
      </c>
      <c r="U67" s="5">
        <v>629</v>
      </c>
      <c r="V67" s="5">
        <v>0</v>
      </c>
    </row>
    <row r="68" spans="1:22" x14ac:dyDescent="0.25">
      <c r="A68" s="4" t="s">
        <v>126</v>
      </c>
      <c r="B68" s="5">
        <v>51</v>
      </c>
      <c r="C68" s="4" t="s">
        <v>23</v>
      </c>
      <c r="D68" s="4" t="s">
        <v>34</v>
      </c>
      <c r="E68" s="4" t="s">
        <v>45</v>
      </c>
      <c r="F68" s="4" t="s">
        <v>48</v>
      </c>
      <c r="G68" s="6">
        <v>14200</v>
      </c>
      <c r="H68" s="5">
        <v>27</v>
      </c>
      <c r="I68" s="7">
        <v>36406</v>
      </c>
      <c r="J68" s="4" t="s">
        <v>27</v>
      </c>
      <c r="K68" s="5">
        <v>5</v>
      </c>
      <c r="L68" s="6">
        <v>1240.9000000000001</v>
      </c>
      <c r="M68" s="6">
        <v>31992.83</v>
      </c>
      <c r="N68" s="5">
        <v>32</v>
      </c>
      <c r="O68" s="6">
        <v>42.08</v>
      </c>
      <c r="P68" s="5">
        <v>2</v>
      </c>
      <c r="Q68" s="6">
        <v>2500</v>
      </c>
      <c r="R68" s="6">
        <v>908.96</v>
      </c>
      <c r="S68" s="6">
        <v>0</v>
      </c>
      <c r="T68" s="6">
        <v>0</v>
      </c>
      <c r="U68" s="5">
        <v>678</v>
      </c>
      <c r="V68" s="5">
        <v>1</v>
      </c>
    </row>
    <row r="69" spans="1:22" x14ac:dyDescent="0.25">
      <c r="A69" s="4" t="s">
        <v>127</v>
      </c>
      <c r="B69" s="5">
        <v>18</v>
      </c>
      <c r="C69" s="4" t="s">
        <v>33</v>
      </c>
      <c r="D69" s="4" t="s">
        <v>128</v>
      </c>
      <c r="E69" s="4" t="s">
        <v>117</v>
      </c>
      <c r="F69" s="4" t="s">
        <v>26</v>
      </c>
      <c r="G69" s="6">
        <v>5200</v>
      </c>
      <c r="H69" s="5">
        <v>0</v>
      </c>
      <c r="I69" s="7">
        <v>46122</v>
      </c>
      <c r="J69" s="4" t="s">
        <v>31</v>
      </c>
      <c r="K69" s="5">
        <v>1</v>
      </c>
      <c r="L69" s="6">
        <v>346.05</v>
      </c>
      <c r="M69" s="6">
        <v>0</v>
      </c>
      <c r="N69" s="5">
        <v>19</v>
      </c>
      <c r="O69" s="6">
        <v>21.36</v>
      </c>
      <c r="P69" s="5">
        <v>2</v>
      </c>
      <c r="Q69" s="6">
        <v>1000</v>
      </c>
      <c r="R69" s="6">
        <v>322.77999999999997</v>
      </c>
      <c r="S69" s="6">
        <v>0</v>
      </c>
      <c r="T69" s="6">
        <v>0</v>
      </c>
      <c r="U69" s="5">
        <v>572</v>
      </c>
      <c r="V69" s="5">
        <v>0</v>
      </c>
    </row>
    <row r="70" spans="1:22" x14ac:dyDescent="0.25">
      <c r="A70" s="4" t="s">
        <v>129</v>
      </c>
      <c r="B70" s="5">
        <v>36</v>
      </c>
      <c r="C70" s="4" t="s">
        <v>23</v>
      </c>
      <c r="D70" s="4" t="s">
        <v>70</v>
      </c>
      <c r="E70" s="4" t="s">
        <v>25</v>
      </c>
      <c r="F70" s="4" t="s">
        <v>48</v>
      </c>
      <c r="G70" s="6">
        <v>18400</v>
      </c>
      <c r="H70" s="5">
        <v>2</v>
      </c>
      <c r="I70" s="7">
        <v>45288</v>
      </c>
      <c r="J70" s="4" t="s">
        <v>27</v>
      </c>
      <c r="K70" s="5">
        <v>2</v>
      </c>
      <c r="L70" s="6">
        <v>1752.79</v>
      </c>
      <c r="M70" s="6">
        <v>3048.03</v>
      </c>
      <c r="N70" s="5">
        <v>32</v>
      </c>
      <c r="O70" s="6">
        <v>45.31</v>
      </c>
      <c r="P70" s="5">
        <v>5</v>
      </c>
      <c r="Q70" s="6">
        <v>3500</v>
      </c>
      <c r="R70" s="6">
        <v>453.5</v>
      </c>
      <c r="S70" s="6">
        <v>0</v>
      </c>
      <c r="T70" s="6">
        <v>0</v>
      </c>
      <c r="U70" s="5">
        <v>662</v>
      </c>
      <c r="V70" s="5">
        <v>0</v>
      </c>
    </row>
    <row r="71" spans="1:22" x14ac:dyDescent="0.25">
      <c r="A71" s="4" t="s">
        <v>130</v>
      </c>
      <c r="B71" s="5">
        <v>54</v>
      </c>
      <c r="C71" s="4" t="s">
        <v>33</v>
      </c>
      <c r="D71" s="4" t="s">
        <v>34</v>
      </c>
      <c r="E71" s="4" t="s">
        <v>45</v>
      </c>
      <c r="F71" s="4" t="s">
        <v>30</v>
      </c>
      <c r="G71" s="6">
        <v>14200</v>
      </c>
      <c r="H71" s="5">
        <v>15</v>
      </c>
      <c r="I71" s="7">
        <v>40791</v>
      </c>
      <c r="J71" s="4" t="s">
        <v>39</v>
      </c>
      <c r="K71" s="5">
        <v>1</v>
      </c>
      <c r="L71" s="6">
        <v>2644.91</v>
      </c>
      <c r="M71" s="6">
        <v>0</v>
      </c>
      <c r="N71" s="5">
        <v>12</v>
      </c>
      <c r="O71" s="6">
        <v>58.18</v>
      </c>
      <c r="P71" s="5">
        <v>3</v>
      </c>
      <c r="Q71" s="6">
        <v>3000</v>
      </c>
      <c r="R71" s="6">
        <v>766.32</v>
      </c>
      <c r="S71" s="6">
        <v>22000</v>
      </c>
      <c r="T71" s="6">
        <v>162</v>
      </c>
      <c r="U71" s="5">
        <v>617</v>
      </c>
      <c r="V71" s="5">
        <v>0</v>
      </c>
    </row>
    <row r="72" spans="1:22" x14ac:dyDescent="0.25">
      <c r="A72" s="4" t="s">
        <v>131</v>
      </c>
      <c r="B72" s="5">
        <v>30</v>
      </c>
      <c r="C72" s="4" t="s">
        <v>23</v>
      </c>
      <c r="D72" s="4" t="s">
        <v>29</v>
      </c>
      <c r="E72" s="4" t="s">
        <v>54</v>
      </c>
      <c r="F72" s="4" t="s">
        <v>30</v>
      </c>
      <c r="G72" s="6">
        <v>19600</v>
      </c>
      <c r="H72" s="5">
        <v>2</v>
      </c>
      <c r="I72" s="7">
        <v>45256</v>
      </c>
      <c r="J72" s="4" t="s">
        <v>31</v>
      </c>
      <c r="K72" s="5">
        <v>1</v>
      </c>
      <c r="L72" s="6">
        <v>-1955.1</v>
      </c>
      <c r="M72" s="6">
        <v>1703.69</v>
      </c>
      <c r="N72" s="5">
        <v>23</v>
      </c>
      <c r="O72" s="6">
        <v>57.17</v>
      </c>
      <c r="P72" s="5">
        <v>3</v>
      </c>
      <c r="Q72" s="6">
        <v>4500</v>
      </c>
      <c r="R72" s="6">
        <v>1322.97</v>
      </c>
      <c r="S72" s="6">
        <v>0</v>
      </c>
      <c r="T72" s="6">
        <v>0</v>
      </c>
      <c r="U72" s="5">
        <v>657</v>
      </c>
      <c r="V72" s="5">
        <v>0</v>
      </c>
    </row>
    <row r="73" spans="1:22" x14ac:dyDescent="0.25">
      <c r="A73" s="4" t="s">
        <v>132</v>
      </c>
      <c r="B73" s="5">
        <v>35</v>
      </c>
      <c r="C73" s="4" t="s">
        <v>23</v>
      </c>
      <c r="D73" s="4" t="s">
        <v>41</v>
      </c>
      <c r="E73" s="4" t="s">
        <v>35</v>
      </c>
      <c r="F73" s="4" t="s">
        <v>26</v>
      </c>
      <c r="G73" s="6">
        <v>66100</v>
      </c>
      <c r="H73" s="5">
        <v>7</v>
      </c>
      <c r="I73" s="7">
        <v>43691</v>
      </c>
      <c r="J73" s="4" t="s">
        <v>27</v>
      </c>
      <c r="K73" s="5">
        <v>1</v>
      </c>
      <c r="L73" s="6">
        <v>4334.41</v>
      </c>
      <c r="M73" s="6">
        <v>62073.5</v>
      </c>
      <c r="N73" s="5">
        <v>43</v>
      </c>
      <c r="O73" s="6">
        <v>35.270000000000003</v>
      </c>
      <c r="P73" s="5">
        <v>2</v>
      </c>
      <c r="Q73" s="6">
        <v>0</v>
      </c>
      <c r="R73" s="6">
        <v>0</v>
      </c>
      <c r="S73" s="6">
        <v>0</v>
      </c>
      <c r="T73" s="6">
        <v>0</v>
      </c>
      <c r="U73" s="5">
        <v>694</v>
      </c>
      <c r="V73" s="5">
        <v>0</v>
      </c>
    </row>
    <row r="74" spans="1:22" x14ac:dyDescent="0.25">
      <c r="A74" s="4" t="s">
        <v>133</v>
      </c>
      <c r="B74" s="5">
        <v>61</v>
      </c>
      <c r="C74" s="4" t="s">
        <v>33</v>
      </c>
      <c r="D74" s="4" t="s">
        <v>134</v>
      </c>
      <c r="E74" s="4" t="s">
        <v>25</v>
      </c>
      <c r="F74" s="4" t="s">
        <v>48</v>
      </c>
      <c r="G74" s="6">
        <v>39200</v>
      </c>
      <c r="H74" s="5">
        <v>11</v>
      </c>
      <c r="I74" s="7">
        <v>41940</v>
      </c>
      <c r="J74" s="4" t="s">
        <v>39</v>
      </c>
      <c r="K74" s="5">
        <v>2</v>
      </c>
      <c r="L74" s="6">
        <v>2657.01</v>
      </c>
      <c r="M74" s="6">
        <v>34650.32</v>
      </c>
      <c r="N74" s="5">
        <v>20</v>
      </c>
      <c r="O74" s="6">
        <v>105.27</v>
      </c>
      <c r="P74" s="5">
        <v>0</v>
      </c>
      <c r="Q74" s="6">
        <v>7500</v>
      </c>
      <c r="R74" s="6">
        <v>1980.38</v>
      </c>
      <c r="S74" s="6">
        <v>0</v>
      </c>
      <c r="T74" s="6">
        <v>0</v>
      </c>
      <c r="U74" s="5">
        <v>654</v>
      </c>
      <c r="V74" s="5">
        <v>0</v>
      </c>
    </row>
    <row r="75" spans="1:22" x14ac:dyDescent="0.25">
      <c r="A75" s="4" t="s">
        <v>135</v>
      </c>
      <c r="B75" s="5">
        <v>20</v>
      </c>
      <c r="C75" s="4" t="s">
        <v>33</v>
      </c>
      <c r="D75" s="4" t="s">
        <v>34</v>
      </c>
      <c r="E75" s="4" t="s">
        <v>25</v>
      </c>
      <c r="F75" s="4" t="s">
        <v>26</v>
      </c>
      <c r="G75" s="6">
        <v>28100</v>
      </c>
      <c r="H75" s="5">
        <v>1</v>
      </c>
      <c r="I75" s="7">
        <v>45654</v>
      </c>
      <c r="J75" s="4" t="s">
        <v>31</v>
      </c>
      <c r="K75" s="5">
        <v>2</v>
      </c>
      <c r="L75" s="6">
        <v>7938.01</v>
      </c>
      <c r="M75" s="6">
        <v>12965.62</v>
      </c>
      <c r="N75" s="5">
        <v>31</v>
      </c>
      <c r="O75" s="6">
        <v>59.53</v>
      </c>
      <c r="P75" s="5">
        <v>1</v>
      </c>
      <c r="Q75" s="6">
        <v>0</v>
      </c>
      <c r="R75" s="6">
        <v>0</v>
      </c>
      <c r="S75" s="6">
        <v>0</v>
      </c>
      <c r="T75" s="6">
        <v>0</v>
      </c>
      <c r="U75" s="5">
        <v>557</v>
      </c>
      <c r="V75" s="5">
        <v>0</v>
      </c>
    </row>
    <row r="76" spans="1:22" x14ac:dyDescent="0.25">
      <c r="A76" s="4" t="s">
        <v>136</v>
      </c>
      <c r="B76" s="5">
        <v>44</v>
      </c>
      <c r="C76" s="4" t="s">
        <v>23</v>
      </c>
      <c r="D76" s="4" t="s">
        <v>34</v>
      </c>
      <c r="E76" s="4" t="s">
        <v>42</v>
      </c>
      <c r="F76" s="4" t="s">
        <v>48</v>
      </c>
      <c r="G76" s="6">
        <v>93400</v>
      </c>
      <c r="H76" s="5">
        <v>10</v>
      </c>
      <c r="I76" s="7">
        <v>42526</v>
      </c>
      <c r="J76" s="4" t="s">
        <v>31</v>
      </c>
      <c r="K76" s="5">
        <v>1</v>
      </c>
      <c r="L76" s="6">
        <v>8091.36</v>
      </c>
      <c r="M76" s="6">
        <v>85739.46</v>
      </c>
      <c r="N76" s="5">
        <v>49</v>
      </c>
      <c r="O76" s="6">
        <v>104</v>
      </c>
      <c r="P76" s="5">
        <v>1</v>
      </c>
      <c r="Q76" s="6">
        <v>0</v>
      </c>
      <c r="R76" s="6">
        <v>0</v>
      </c>
      <c r="S76" s="6">
        <v>0</v>
      </c>
      <c r="T76" s="6">
        <v>0</v>
      </c>
      <c r="U76" s="5">
        <v>570</v>
      </c>
      <c r="V76" s="5">
        <v>0</v>
      </c>
    </row>
    <row r="77" spans="1:22" x14ac:dyDescent="0.25">
      <c r="A77" s="4" t="s">
        <v>137</v>
      </c>
      <c r="B77" s="5">
        <v>45</v>
      </c>
      <c r="C77" s="4" t="s">
        <v>23</v>
      </c>
      <c r="D77" s="4" t="s">
        <v>34</v>
      </c>
      <c r="E77" s="4" t="s">
        <v>35</v>
      </c>
      <c r="F77" s="4" t="s">
        <v>30</v>
      </c>
      <c r="G77" s="6">
        <v>44200</v>
      </c>
      <c r="H77" s="5">
        <v>10</v>
      </c>
      <c r="I77" s="7">
        <v>42424</v>
      </c>
      <c r="J77" s="4" t="s">
        <v>27</v>
      </c>
      <c r="K77" s="5">
        <v>3</v>
      </c>
      <c r="L77" s="6">
        <v>2999.63</v>
      </c>
      <c r="M77" s="6">
        <v>37940.32</v>
      </c>
      <c r="N77" s="5">
        <v>35</v>
      </c>
      <c r="O77" s="6">
        <v>32.909999999999997</v>
      </c>
      <c r="P77" s="5">
        <v>1</v>
      </c>
      <c r="Q77" s="6">
        <v>8500</v>
      </c>
      <c r="R77" s="6">
        <v>1766.31</v>
      </c>
      <c r="S77" s="6">
        <v>0</v>
      </c>
      <c r="T77" s="6">
        <v>0</v>
      </c>
      <c r="U77" s="5">
        <v>558</v>
      </c>
      <c r="V77" s="5">
        <v>0</v>
      </c>
    </row>
    <row r="78" spans="1:22" x14ac:dyDescent="0.25">
      <c r="A78" s="4" t="s">
        <v>138</v>
      </c>
      <c r="B78" s="5">
        <v>47</v>
      </c>
      <c r="C78" s="4" t="s">
        <v>33</v>
      </c>
      <c r="D78" s="4" t="s">
        <v>34</v>
      </c>
      <c r="E78" s="4" t="s">
        <v>45</v>
      </c>
      <c r="F78" s="4" t="s">
        <v>30</v>
      </c>
      <c r="G78" s="6">
        <v>27600</v>
      </c>
      <c r="H78" s="5">
        <v>14</v>
      </c>
      <c r="I78" s="7">
        <v>40872</v>
      </c>
      <c r="J78" s="4" t="s">
        <v>27</v>
      </c>
      <c r="K78" s="5">
        <v>3</v>
      </c>
      <c r="L78" s="6">
        <v>1443.92</v>
      </c>
      <c r="M78" s="6">
        <v>31004.1</v>
      </c>
      <c r="N78" s="5">
        <v>31</v>
      </c>
      <c r="O78" s="6">
        <v>48.55</v>
      </c>
      <c r="P78" s="5">
        <v>3</v>
      </c>
      <c r="Q78" s="6">
        <v>3500</v>
      </c>
      <c r="R78" s="6">
        <v>829.6</v>
      </c>
      <c r="S78" s="6">
        <v>62000</v>
      </c>
      <c r="T78" s="6">
        <v>452</v>
      </c>
      <c r="U78" s="5">
        <v>631</v>
      </c>
      <c r="V78" s="5">
        <v>0</v>
      </c>
    </row>
    <row r="79" spans="1:22" x14ac:dyDescent="0.25">
      <c r="A79" s="4" t="s">
        <v>139</v>
      </c>
      <c r="B79" s="5">
        <v>42</v>
      </c>
      <c r="C79" s="4" t="s">
        <v>23</v>
      </c>
      <c r="D79" s="4" t="s">
        <v>75</v>
      </c>
      <c r="E79" s="4" t="s">
        <v>35</v>
      </c>
      <c r="F79" s="4" t="s">
        <v>30</v>
      </c>
      <c r="G79" s="6">
        <v>95100</v>
      </c>
      <c r="H79" s="5">
        <v>5</v>
      </c>
      <c r="I79" s="7">
        <v>44122</v>
      </c>
      <c r="J79" s="4" t="s">
        <v>39</v>
      </c>
      <c r="K79" s="5">
        <v>1</v>
      </c>
      <c r="L79" s="6">
        <v>5598.72</v>
      </c>
      <c r="M79" s="6">
        <v>0</v>
      </c>
      <c r="N79" s="5">
        <v>38</v>
      </c>
      <c r="O79" s="6">
        <v>71.89</v>
      </c>
      <c r="P79" s="5">
        <v>5</v>
      </c>
      <c r="Q79" s="6">
        <v>15000</v>
      </c>
      <c r="R79" s="6">
        <v>2015.76</v>
      </c>
      <c r="S79" s="6">
        <v>0</v>
      </c>
      <c r="T79" s="6">
        <v>0</v>
      </c>
      <c r="U79" s="5">
        <v>670</v>
      </c>
      <c r="V79" s="5">
        <v>0</v>
      </c>
    </row>
    <row r="80" spans="1:22" x14ac:dyDescent="0.25">
      <c r="A80" s="4" t="s">
        <v>140</v>
      </c>
      <c r="B80" s="5">
        <v>62</v>
      </c>
      <c r="C80" s="4" t="s">
        <v>23</v>
      </c>
      <c r="D80" s="4" t="s">
        <v>41</v>
      </c>
      <c r="E80" s="4" t="s">
        <v>35</v>
      </c>
      <c r="F80" s="4" t="s">
        <v>30</v>
      </c>
      <c r="G80" s="6">
        <v>61300</v>
      </c>
      <c r="H80" s="5">
        <v>6</v>
      </c>
      <c r="I80" s="7">
        <v>43910</v>
      </c>
      <c r="J80" s="4" t="s">
        <v>27</v>
      </c>
      <c r="K80" s="5">
        <v>4</v>
      </c>
      <c r="L80" s="6">
        <v>3761.5</v>
      </c>
      <c r="M80" s="6">
        <v>0</v>
      </c>
      <c r="N80" s="5">
        <v>45</v>
      </c>
      <c r="O80" s="6">
        <v>74.28</v>
      </c>
      <c r="P80" s="5">
        <v>2</v>
      </c>
      <c r="Q80" s="6">
        <v>13000</v>
      </c>
      <c r="R80" s="6">
        <v>4839.6000000000004</v>
      </c>
      <c r="S80" s="6">
        <v>0</v>
      </c>
      <c r="T80" s="6">
        <v>0</v>
      </c>
      <c r="U80" s="5">
        <v>689</v>
      </c>
      <c r="V80" s="5">
        <v>0</v>
      </c>
    </row>
    <row r="81" spans="1:22" x14ac:dyDescent="0.25">
      <c r="A81" s="4" t="s">
        <v>141</v>
      </c>
      <c r="B81" s="5">
        <v>32</v>
      </c>
      <c r="C81" s="4" t="s">
        <v>23</v>
      </c>
      <c r="D81" s="4" t="s">
        <v>37</v>
      </c>
      <c r="E81" s="4" t="s">
        <v>90</v>
      </c>
      <c r="F81" s="4" t="s">
        <v>26</v>
      </c>
      <c r="G81" s="6">
        <v>96200</v>
      </c>
      <c r="H81" s="5">
        <v>3</v>
      </c>
      <c r="I81" s="7">
        <v>44980</v>
      </c>
      <c r="J81" s="4" t="s">
        <v>27</v>
      </c>
      <c r="K81" s="5">
        <v>2</v>
      </c>
      <c r="L81" s="6">
        <v>4620.25</v>
      </c>
      <c r="M81" s="6">
        <v>21565.78</v>
      </c>
      <c r="N81" s="5">
        <v>59</v>
      </c>
      <c r="O81" s="6">
        <v>62.88</v>
      </c>
      <c r="P81" s="5">
        <v>4</v>
      </c>
      <c r="Q81" s="6">
        <v>15000</v>
      </c>
      <c r="R81" s="6">
        <v>5490.28</v>
      </c>
      <c r="S81" s="6">
        <v>0</v>
      </c>
      <c r="T81" s="6">
        <v>0</v>
      </c>
      <c r="U81" s="5">
        <v>627</v>
      </c>
      <c r="V81" s="5">
        <v>0</v>
      </c>
    </row>
    <row r="82" spans="1:22" x14ac:dyDescent="0.25">
      <c r="A82" s="4" t="s">
        <v>142</v>
      </c>
      <c r="B82" s="5">
        <v>38</v>
      </c>
      <c r="C82" s="4" t="s">
        <v>23</v>
      </c>
      <c r="D82" s="4" t="s">
        <v>37</v>
      </c>
      <c r="E82" s="4" t="s">
        <v>45</v>
      </c>
      <c r="F82" s="4" t="s">
        <v>26</v>
      </c>
      <c r="G82" s="6">
        <v>13600</v>
      </c>
      <c r="H82" s="5">
        <v>3</v>
      </c>
      <c r="I82" s="7">
        <v>45141</v>
      </c>
      <c r="J82" s="4" t="s">
        <v>49</v>
      </c>
      <c r="K82" s="5">
        <v>3</v>
      </c>
      <c r="L82" s="6">
        <v>615.77</v>
      </c>
      <c r="M82" s="6">
        <v>3487.95</v>
      </c>
      <c r="N82" s="5">
        <v>14</v>
      </c>
      <c r="O82" s="6">
        <v>57.1</v>
      </c>
      <c r="P82" s="5">
        <v>3</v>
      </c>
      <c r="Q82" s="6">
        <v>2000</v>
      </c>
      <c r="R82" s="6">
        <v>596.47</v>
      </c>
      <c r="S82" s="6">
        <v>0</v>
      </c>
      <c r="T82" s="6">
        <v>0</v>
      </c>
      <c r="U82" s="5">
        <v>618</v>
      </c>
      <c r="V82" s="5">
        <v>0</v>
      </c>
    </row>
    <row r="83" spans="1:22" x14ac:dyDescent="0.25">
      <c r="A83" s="4" t="s">
        <v>143</v>
      </c>
      <c r="B83" s="5">
        <v>75</v>
      </c>
      <c r="C83" s="4" t="s">
        <v>33</v>
      </c>
      <c r="D83" s="4" t="s">
        <v>59</v>
      </c>
      <c r="E83" s="4" t="s">
        <v>95</v>
      </c>
      <c r="F83" s="4" t="s">
        <v>38</v>
      </c>
      <c r="G83" s="6">
        <v>27000</v>
      </c>
      <c r="H83" s="5">
        <v>14</v>
      </c>
      <c r="I83" s="7">
        <v>41085</v>
      </c>
      <c r="J83" s="4" t="s">
        <v>49</v>
      </c>
      <c r="K83" s="5">
        <v>3</v>
      </c>
      <c r="L83" s="6">
        <v>1713.51</v>
      </c>
      <c r="M83" s="6">
        <v>23343.4</v>
      </c>
      <c r="N83" s="5">
        <v>27</v>
      </c>
      <c r="O83" s="6">
        <v>75.88</v>
      </c>
      <c r="P83" s="5">
        <v>3</v>
      </c>
      <c r="Q83" s="6">
        <v>3000</v>
      </c>
      <c r="R83" s="6">
        <v>1235.3399999999999</v>
      </c>
      <c r="S83" s="6">
        <v>74000</v>
      </c>
      <c r="T83" s="6">
        <v>489</v>
      </c>
      <c r="U83" s="5">
        <v>587</v>
      </c>
      <c r="V83" s="5">
        <v>1</v>
      </c>
    </row>
    <row r="84" spans="1:22" x14ac:dyDescent="0.25">
      <c r="A84" s="4" t="s">
        <v>144</v>
      </c>
      <c r="B84" s="5">
        <v>47</v>
      </c>
      <c r="C84" s="4" t="s">
        <v>23</v>
      </c>
      <c r="D84" s="4" t="s">
        <v>57</v>
      </c>
      <c r="E84" s="4" t="s">
        <v>45</v>
      </c>
      <c r="F84" s="4" t="s">
        <v>30</v>
      </c>
      <c r="G84" s="6">
        <v>15400</v>
      </c>
      <c r="H84" s="5">
        <v>7</v>
      </c>
      <c r="I84" s="7">
        <v>43450</v>
      </c>
      <c r="J84" s="4" t="s">
        <v>31</v>
      </c>
      <c r="K84" s="5">
        <v>2</v>
      </c>
      <c r="L84" s="6">
        <v>1370.76</v>
      </c>
      <c r="M84" s="6">
        <v>0</v>
      </c>
      <c r="N84" s="5">
        <v>18</v>
      </c>
      <c r="O84" s="6">
        <v>31.25</v>
      </c>
      <c r="P84" s="5">
        <v>1</v>
      </c>
      <c r="Q84" s="6">
        <v>2500</v>
      </c>
      <c r="R84" s="6">
        <v>424.42</v>
      </c>
      <c r="S84" s="6">
        <v>0</v>
      </c>
      <c r="T84" s="6">
        <v>0</v>
      </c>
      <c r="U84" s="5">
        <v>549</v>
      </c>
      <c r="V84" s="5">
        <v>0</v>
      </c>
    </row>
    <row r="85" spans="1:22" x14ac:dyDescent="0.25">
      <c r="A85" s="4" t="s">
        <v>145</v>
      </c>
      <c r="B85" s="5">
        <v>62</v>
      </c>
      <c r="C85" s="4" t="s">
        <v>23</v>
      </c>
      <c r="D85" s="4" t="s">
        <v>44</v>
      </c>
      <c r="E85" s="4" t="s">
        <v>25</v>
      </c>
      <c r="F85" s="4" t="s">
        <v>30</v>
      </c>
      <c r="G85" s="6">
        <v>36100</v>
      </c>
      <c r="H85" s="5">
        <v>6</v>
      </c>
      <c r="I85" s="7">
        <v>44004</v>
      </c>
      <c r="J85" s="4" t="s">
        <v>27</v>
      </c>
      <c r="K85" s="5">
        <v>3</v>
      </c>
      <c r="L85" s="6">
        <v>1073.3699999999999</v>
      </c>
      <c r="M85" s="6">
        <v>22132.1</v>
      </c>
      <c r="N85" s="5">
        <v>30</v>
      </c>
      <c r="O85" s="6">
        <v>46.22</v>
      </c>
      <c r="P85" s="5">
        <v>2</v>
      </c>
      <c r="Q85" s="6">
        <v>6000</v>
      </c>
      <c r="R85" s="6">
        <v>1029.25</v>
      </c>
      <c r="S85" s="6">
        <v>0</v>
      </c>
      <c r="T85" s="6">
        <v>0</v>
      </c>
      <c r="U85" s="5">
        <v>595</v>
      </c>
      <c r="V85" s="5">
        <v>0</v>
      </c>
    </row>
    <row r="86" spans="1:22" x14ac:dyDescent="0.25">
      <c r="A86" s="4" t="s">
        <v>146</v>
      </c>
      <c r="B86" s="5">
        <v>64</v>
      </c>
      <c r="C86" s="4" t="s">
        <v>23</v>
      </c>
      <c r="D86" s="4" t="s">
        <v>98</v>
      </c>
      <c r="E86" s="4" t="s">
        <v>45</v>
      </c>
      <c r="F86" s="4" t="s">
        <v>30</v>
      </c>
      <c r="G86" s="6">
        <v>33000</v>
      </c>
      <c r="H86" s="5">
        <v>3</v>
      </c>
      <c r="I86" s="7">
        <v>44827</v>
      </c>
      <c r="J86" s="4" t="s">
        <v>39</v>
      </c>
      <c r="K86" s="5">
        <v>1</v>
      </c>
      <c r="L86" s="6">
        <v>1047.05</v>
      </c>
      <c r="M86" s="6">
        <v>15825.61</v>
      </c>
      <c r="N86" s="5">
        <v>20</v>
      </c>
      <c r="O86" s="6">
        <v>66.42</v>
      </c>
      <c r="P86" s="5">
        <v>2</v>
      </c>
      <c r="Q86" s="6">
        <v>8000</v>
      </c>
      <c r="R86" s="6">
        <v>2161.88</v>
      </c>
      <c r="S86" s="6">
        <v>0</v>
      </c>
      <c r="T86" s="6">
        <v>0</v>
      </c>
      <c r="U86" s="5">
        <v>709</v>
      </c>
      <c r="V86" s="5">
        <v>0</v>
      </c>
    </row>
    <row r="87" spans="1:22" x14ac:dyDescent="0.25">
      <c r="A87" s="4" t="s">
        <v>147</v>
      </c>
      <c r="B87" s="5">
        <v>44</v>
      </c>
      <c r="C87" s="4" t="s">
        <v>23</v>
      </c>
      <c r="D87" s="4" t="s">
        <v>70</v>
      </c>
      <c r="E87" s="4" t="s">
        <v>63</v>
      </c>
      <c r="F87" s="4" t="s">
        <v>26</v>
      </c>
      <c r="G87" s="6">
        <v>41100</v>
      </c>
      <c r="H87" s="5">
        <v>23</v>
      </c>
      <c r="I87" s="7">
        <v>37769</v>
      </c>
      <c r="J87" s="4" t="s">
        <v>31</v>
      </c>
      <c r="K87" s="5">
        <v>3</v>
      </c>
      <c r="L87" s="6">
        <v>7196.15</v>
      </c>
      <c r="M87" s="6">
        <v>55682.65</v>
      </c>
      <c r="N87" s="5">
        <v>28</v>
      </c>
      <c r="O87" s="6">
        <v>39.6</v>
      </c>
      <c r="P87" s="5">
        <v>2</v>
      </c>
      <c r="Q87" s="6">
        <v>9000</v>
      </c>
      <c r="R87" s="6">
        <v>1093.1099999999999</v>
      </c>
      <c r="S87" s="6">
        <v>169000</v>
      </c>
      <c r="T87" s="6">
        <v>1255</v>
      </c>
      <c r="U87" s="5">
        <v>702</v>
      </c>
      <c r="V87" s="5">
        <v>0</v>
      </c>
    </row>
    <row r="88" spans="1:22" x14ac:dyDescent="0.25">
      <c r="A88" s="4" t="s">
        <v>148</v>
      </c>
      <c r="B88" s="5">
        <v>44</v>
      </c>
      <c r="C88" s="4" t="s">
        <v>33</v>
      </c>
      <c r="D88" s="4" t="s">
        <v>59</v>
      </c>
      <c r="E88" s="4" t="s">
        <v>54</v>
      </c>
      <c r="F88" s="4" t="s">
        <v>26</v>
      </c>
      <c r="G88" s="6">
        <v>26300</v>
      </c>
      <c r="H88" s="5">
        <v>19</v>
      </c>
      <c r="I88" s="7">
        <v>39044</v>
      </c>
      <c r="J88" s="4" t="s">
        <v>39</v>
      </c>
      <c r="K88" s="5">
        <v>2</v>
      </c>
      <c r="L88" s="6">
        <v>8007.74</v>
      </c>
      <c r="M88" s="6">
        <v>0</v>
      </c>
      <c r="N88" s="5">
        <v>27</v>
      </c>
      <c r="O88" s="6">
        <v>66.040000000000006</v>
      </c>
      <c r="P88" s="5">
        <v>6</v>
      </c>
      <c r="Q88" s="6">
        <v>5000</v>
      </c>
      <c r="R88" s="6">
        <v>2670.81</v>
      </c>
      <c r="S88" s="6">
        <v>0</v>
      </c>
      <c r="T88" s="6">
        <v>0</v>
      </c>
      <c r="U88" s="5">
        <v>615</v>
      </c>
      <c r="V88" s="5">
        <v>0</v>
      </c>
    </row>
    <row r="89" spans="1:22" x14ac:dyDescent="0.25">
      <c r="A89" s="4" t="s">
        <v>149</v>
      </c>
      <c r="B89" s="5">
        <v>59</v>
      </c>
      <c r="C89" s="4" t="s">
        <v>23</v>
      </c>
      <c r="D89" s="4" t="s">
        <v>70</v>
      </c>
      <c r="E89" s="4" t="s">
        <v>45</v>
      </c>
      <c r="F89" s="4" t="s">
        <v>30</v>
      </c>
      <c r="G89" s="6">
        <v>24300</v>
      </c>
      <c r="H89" s="5">
        <v>6</v>
      </c>
      <c r="I89" s="7">
        <v>44068</v>
      </c>
      <c r="J89" s="4" t="s">
        <v>27</v>
      </c>
      <c r="K89" s="5">
        <v>2</v>
      </c>
      <c r="L89" s="6">
        <v>2853.28</v>
      </c>
      <c r="M89" s="6">
        <v>12208.93</v>
      </c>
      <c r="N89" s="5">
        <v>31</v>
      </c>
      <c r="O89" s="6">
        <v>41.58</v>
      </c>
      <c r="P89" s="5">
        <v>3</v>
      </c>
      <c r="Q89" s="6">
        <v>0</v>
      </c>
      <c r="R89" s="6">
        <v>0</v>
      </c>
      <c r="S89" s="6">
        <v>99000</v>
      </c>
      <c r="T89" s="6">
        <v>652</v>
      </c>
      <c r="U89" s="5">
        <v>647</v>
      </c>
      <c r="V89" s="5">
        <v>0</v>
      </c>
    </row>
    <row r="90" spans="1:22" x14ac:dyDescent="0.25">
      <c r="A90" s="4" t="s">
        <v>150</v>
      </c>
      <c r="B90" s="5">
        <v>43</v>
      </c>
      <c r="C90" s="4" t="s">
        <v>23</v>
      </c>
      <c r="D90" s="4" t="s">
        <v>34</v>
      </c>
      <c r="E90" s="4" t="s">
        <v>45</v>
      </c>
      <c r="F90" s="4" t="s">
        <v>30</v>
      </c>
      <c r="G90" s="6">
        <v>14900</v>
      </c>
      <c r="H90" s="5">
        <v>17</v>
      </c>
      <c r="I90" s="7">
        <v>39867</v>
      </c>
      <c r="J90" s="4" t="s">
        <v>31</v>
      </c>
      <c r="K90" s="5">
        <v>1</v>
      </c>
      <c r="L90" s="6">
        <v>890.14</v>
      </c>
      <c r="M90" s="6">
        <v>0</v>
      </c>
      <c r="N90" s="5">
        <v>25</v>
      </c>
      <c r="O90" s="6">
        <v>47.7</v>
      </c>
      <c r="P90" s="5">
        <v>0</v>
      </c>
      <c r="Q90" s="6">
        <v>2000</v>
      </c>
      <c r="R90" s="6">
        <v>193.59</v>
      </c>
      <c r="S90" s="6">
        <v>0</v>
      </c>
      <c r="T90" s="6">
        <v>0</v>
      </c>
      <c r="U90" s="5">
        <v>613</v>
      </c>
      <c r="V90" s="5">
        <v>1</v>
      </c>
    </row>
    <row r="91" spans="1:22" x14ac:dyDescent="0.25">
      <c r="A91" s="4" t="s">
        <v>151</v>
      </c>
      <c r="B91" s="5">
        <v>49</v>
      </c>
      <c r="C91" s="4" t="s">
        <v>33</v>
      </c>
      <c r="D91" s="4" t="s">
        <v>62</v>
      </c>
      <c r="E91" s="4" t="s">
        <v>25</v>
      </c>
      <c r="F91" s="4" t="s">
        <v>26</v>
      </c>
      <c r="G91" s="6">
        <v>33600</v>
      </c>
      <c r="H91" s="5">
        <v>2</v>
      </c>
      <c r="I91" s="7">
        <v>36101</v>
      </c>
      <c r="J91" s="4" t="s">
        <v>39</v>
      </c>
      <c r="K91" s="5">
        <v>2</v>
      </c>
      <c r="L91" s="6">
        <v>4935.96</v>
      </c>
      <c r="M91" s="6">
        <v>0</v>
      </c>
      <c r="N91" s="5">
        <v>23</v>
      </c>
      <c r="O91" s="6">
        <v>58.52</v>
      </c>
      <c r="P91" s="5">
        <v>3</v>
      </c>
      <c r="Q91" s="6">
        <v>0</v>
      </c>
      <c r="R91" s="6">
        <v>0</v>
      </c>
      <c r="S91" s="6">
        <v>0</v>
      </c>
      <c r="T91" s="6">
        <v>0</v>
      </c>
      <c r="U91" s="5">
        <v>616</v>
      </c>
      <c r="V91" s="5">
        <v>0</v>
      </c>
    </row>
    <row r="92" spans="1:22" x14ac:dyDescent="0.25">
      <c r="A92" s="4" t="s">
        <v>152</v>
      </c>
      <c r="B92" s="5">
        <v>51</v>
      </c>
      <c r="C92" s="4" t="s">
        <v>33</v>
      </c>
      <c r="D92" s="4" t="s">
        <v>29</v>
      </c>
      <c r="E92" s="4" t="s">
        <v>90</v>
      </c>
      <c r="F92" s="4" t="s">
        <v>30</v>
      </c>
      <c r="G92" s="6">
        <v>100300</v>
      </c>
      <c r="H92" s="5">
        <v>8</v>
      </c>
      <c r="I92" s="7">
        <v>43261</v>
      </c>
      <c r="J92" s="4" t="s">
        <v>31</v>
      </c>
      <c r="K92" s="5">
        <v>4</v>
      </c>
      <c r="L92" s="6">
        <v>7094.93</v>
      </c>
      <c r="M92" s="6">
        <v>84454.28</v>
      </c>
      <c r="N92" s="5">
        <v>63</v>
      </c>
      <c r="O92" s="6">
        <v>78.97</v>
      </c>
      <c r="P92" s="5">
        <v>2</v>
      </c>
      <c r="Q92" s="6">
        <v>0</v>
      </c>
      <c r="R92" s="6">
        <v>0</v>
      </c>
      <c r="S92" s="6">
        <v>0</v>
      </c>
      <c r="T92" s="6">
        <v>0</v>
      </c>
      <c r="U92" s="5">
        <v>711</v>
      </c>
      <c r="V92" s="5">
        <v>0</v>
      </c>
    </row>
    <row r="93" spans="1:22" x14ac:dyDescent="0.25">
      <c r="A93" s="4" t="s">
        <v>153</v>
      </c>
      <c r="B93" s="5">
        <v>69</v>
      </c>
      <c r="C93" s="4" t="s">
        <v>23</v>
      </c>
      <c r="D93" s="4" t="s">
        <v>62</v>
      </c>
      <c r="E93" s="4" t="s">
        <v>42</v>
      </c>
      <c r="F93" s="4" t="s">
        <v>48</v>
      </c>
      <c r="G93" s="6">
        <v>53900</v>
      </c>
      <c r="H93" s="5">
        <v>28</v>
      </c>
      <c r="I93" s="7">
        <v>35764</v>
      </c>
      <c r="J93" s="4" t="s">
        <v>39</v>
      </c>
      <c r="K93" s="5">
        <v>3</v>
      </c>
      <c r="L93" s="6">
        <v>2428.91</v>
      </c>
      <c r="M93" s="6">
        <v>73993.210000000006</v>
      </c>
      <c r="N93" s="5">
        <v>29</v>
      </c>
      <c r="O93" s="6">
        <v>84.21</v>
      </c>
      <c r="P93" s="5">
        <v>4</v>
      </c>
      <c r="Q93" s="6">
        <v>9500</v>
      </c>
      <c r="R93" s="6">
        <v>6159.87</v>
      </c>
      <c r="S93" s="6">
        <v>0</v>
      </c>
      <c r="T93" s="6">
        <v>0</v>
      </c>
      <c r="U93" s="5">
        <v>661</v>
      </c>
      <c r="V93" s="5">
        <v>1</v>
      </c>
    </row>
    <row r="94" spans="1:22" x14ac:dyDescent="0.25">
      <c r="A94" s="4" t="s">
        <v>154</v>
      </c>
      <c r="B94" s="5">
        <v>64</v>
      </c>
      <c r="C94" s="4" t="s">
        <v>33</v>
      </c>
      <c r="D94" s="4" t="s">
        <v>24</v>
      </c>
      <c r="E94" s="4" t="s">
        <v>25</v>
      </c>
      <c r="F94" s="4" t="s">
        <v>30</v>
      </c>
      <c r="G94" s="6">
        <v>32900</v>
      </c>
      <c r="H94" s="5">
        <v>23</v>
      </c>
      <c r="I94" s="7">
        <v>37758</v>
      </c>
      <c r="J94" s="4" t="s">
        <v>49</v>
      </c>
      <c r="K94" s="5">
        <v>2</v>
      </c>
      <c r="L94" s="6">
        <v>-352.67</v>
      </c>
      <c r="M94" s="6">
        <v>0</v>
      </c>
      <c r="N94" s="5">
        <v>24</v>
      </c>
      <c r="O94" s="6">
        <v>58.88</v>
      </c>
      <c r="P94" s="5">
        <v>2</v>
      </c>
      <c r="Q94" s="6">
        <v>0</v>
      </c>
      <c r="R94" s="6">
        <v>0</v>
      </c>
      <c r="S94" s="6">
        <v>0</v>
      </c>
      <c r="T94" s="6">
        <v>0</v>
      </c>
      <c r="U94" s="5">
        <v>704</v>
      </c>
      <c r="V94" s="5">
        <v>1</v>
      </c>
    </row>
    <row r="95" spans="1:22" x14ac:dyDescent="0.25">
      <c r="A95" s="4" t="s">
        <v>155</v>
      </c>
      <c r="B95" s="5">
        <v>33</v>
      </c>
      <c r="C95" s="4" t="s">
        <v>23</v>
      </c>
      <c r="D95" s="4" t="s">
        <v>98</v>
      </c>
      <c r="E95" s="4" t="s">
        <v>45</v>
      </c>
      <c r="F95" s="4" t="s">
        <v>26</v>
      </c>
      <c r="G95" s="6">
        <v>27400</v>
      </c>
      <c r="H95" s="5">
        <v>4</v>
      </c>
      <c r="I95" s="7">
        <v>44627</v>
      </c>
      <c r="J95" s="4" t="s">
        <v>31</v>
      </c>
      <c r="K95" s="5">
        <v>2</v>
      </c>
      <c r="L95" s="6">
        <v>2969.28</v>
      </c>
      <c r="M95" s="6">
        <v>11103.3</v>
      </c>
      <c r="N95" s="5">
        <v>29</v>
      </c>
      <c r="O95" s="6">
        <v>54.16</v>
      </c>
      <c r="P95" s="5">
        <v>0</v>
      </c>
      <c r="Q95" s="6">
        <v>5500</v>
      </c>
      <c r="R95" s="6">
        <v>905.2</v>
      </c>
      <c r="S95" s="6">
        <v>0</v>
      </c>
      <c r="T95" s="6">
        <v>0</v>
      </c>
      <c r="U95" s="5">
        <v>678</v>
      </c>
      <c r="V95" s="5">
        <v>0</v>
      </c>
    </row>
    <row r="96" spans="1:22" x14ac:dyDescent="0.25">
      <c r="A96" s="4" t="s">
        <v>156</v>
      </c>
      <c r="B96" s="5">
        <v>41</v>
      </c>
      <c r="C96" s="4" t="s">
        <v>33</v>
      </c>
      <c r="D96" s="4" t="s">
        <v>72</v>
      </c>
      <c r="E96" s="4" t="s">
        <v>45</v>
      </c>
      <c r="F96" s="4" t="s">
        <v>48</v>
      </c>
      <c r="G96" s="6">
        <v>22400</v>
      </c>
      <c r="H96" s="5">
        <v>4</v>
      </c>
      <c r="I96" s="7">
        <v>44651</v>
      </c>
      <c r="J96" s="4" t="s">
        <v>27</v>
      </c>
      <c r="K96" s="5">
        <v>6</v>
      </c>
      <c r="L96" s="6">
        <v>16881.72</v>
      </c>
      <c r="M96" s="6">
        <v>0</v>
      </c>
      <c r="N96" s="5">
        <v>28</v>
      </c>
      <c r="O96" s="6">
        <v>74.41</v>
      </c>
      <c r="P96" s="5">
        <v>3</v>
      </c>
      <c r="Q96" s="6">
        <v>2500</v>
      </c>
      <c r="R96" s="6">
        <v>693.58</v>
      </c>
      <c r="S96" s="6">
        <v>0</v>
      </c>
      <c r="T96" s="6">
        <v>0</v>
      </c>
      <c r="U96" s="5">
        <v>549</v>
      </c>
      <c r="V96" s="5">
        <v>0</v>
      </c>
    </row>
    <row r="97" spans="1:22" x14ac:dyDescent="0.25">
      <c r="A97" s="4" t="s">
        <v>157</v>
      </c>
      <c r="B97" s="5">
        <v>57</v>
      </c>
      <c r="C97" s="4" t="s">
        <v>23</v>
      </c>
      <c r="D97" s="4" t="s">
        <v>72</v>
      </c>
      <c r="E97" s="4" t="s">
        <v>25</v>
      </c>
      <c r="F97" s="4" t="s">
        <v>30</v>
      </c>
      <c r="G97" s="6">
        <v>27700</v>
      </c>
      <c r="H97" s="5">
        <v>29</v>
      </c>
      <c r="I97" s="7">
        <v>35674</v>
      </c>
      <c r="J97" s="4" t="s">
        <v>39</v>
      </c>
      <c r="K97" s="5">
        <v>3</v>
      </c>
      <c r="L97" s="6">
        <v>5180.4399999999996</v>
      </c>
      <c r="M97" s="6">
        <v>38443.379999999997</v>
      </c>
      <c r="N97" s="5">
        <v>26</v>
      </c>
      <c r="O97" s="6">
        <v>47.75</v>
      </c>
      <c r="P97" s="5">
        <v>2</v>
      </c>
      <c r="Q97" s="6">
        <v>0</v>
      </c>
      <c r="R97" s="6">
        <v>0</v>
      </c>
      <c r="S97" s="6">
        <v>0</v>
      </c>
      <c r="T97" s="6">
        <v>0</v>
      </c>
      <c r="U97" s="5">
        <v>667</v>
      </c>
      <c r="V97" s="5">
        <v>0</v>
      </c>
    </row>
    <row r="98" spans="1:22" x14ac:dyDescent="0.25">
      <c r="A98" s="4" t="s">
        <v>158</v>
      </c>
      <c r="B98" s="5">
        <v>53</v>
      </c>
      <c r="C98" s="4" t="s">
        <v>23</v>
      </c>
      <c r="D98" s="4" t="s">
        <v>72</v>
      </c>
      <c r="E98" s="4" t="s">
        <v>63</v>
      </c>
      <c r="F98" s="4" t="s">
        <v>30</v>
      </c>
      <c r="G98" s="6">
        <v>30400</v>
      </c>
      <c r="H98" s="5">
        <v>5</v>
      </c>
      <c r="I98" s="7">
        <v>44437</v>
      </c>
      <c r="J98" s="4" t="s">
        <v>31</v>
      </c>
      <c r="K98" s="5">
        <v>3</v>
      </c>
      <c r="L98" s="6">
        <v>1827.8</v>
      </c>
      <c r="M98" s="6">
        <v>16868.13</v>
      </c>
      <c r="N98" s="5">
        <v>29</v>
      </c>
      <c r="O98" s="6">
        <v>25.85</v>
      </c>
      <c r="P98" s="5">
        <v>0</v>
      </c>
      <c r="Q98" s="6">
        <v>6000</v>
      </c>
      <c r="R98" s="6">
        <v>634.36</v>
      </c>
      <c r="S98" s="6">
        <v>0</v>
      </c>
      <c r="T98" s="6">
        <v>0</v>
      </c>
      <c r="U98" s="5">
        <v>641</v>
      </c>
      <c r="V98" s="5">
        <v>0</v>
      </c>
    </row>
    <row r="99" spans="1:22" x14ac:dyDescent="0.25">
      <c r="A99" s="4" t="s">
        <v>159</v>
      </c>
      <c r="B99" s="5">
        <v>48</v>
      </c>
      <c r="C99" s="4" t="s">
        <v>23</v>
      </c>
      <c r="D99" s="4" t="s">
        <v>41</v>
      </c>
      <c r="E99" s="4" t="s">
        <v>45</v>
      </c>
      <c r="F99" s="4" t="s">
        <v>26</v>
      </c>
      <c r="G99" s="6">
        <v>20800</v>
      </c>
      <c r="H99" s="5">
        <v>3</v>
      </c>
      <c r="I99" s="7">
        <v>45158</v>
      </c>
      <c r="J99" s="4" t="s">
        <v>31</v>
      </c>
      <c r="K99" s="5">
        <v>2</v>
      </c>
      <c r="L99" s="6">
        <v>1550.98</v>
      </c>
      <c r="M99" s="6">
        <v>5665.56</v>
      </c>
      <c r="N99" s="5">
        <v>35</v>
      </c>
      <c r="O99" s="6">
        <v>117.76</v>
      </c>
      <c r="P99" s="5">
        <v>0</v>
      </c>
      <c r="Q99" s="6">
        <v>3000</v>
      </c>
      <c r="R99" s="6">
        <v>125.86</v>
      </c>
      <c r="S99" s="6">
        <v>45000</v>
      </c>
      <c r="T99" s="6">
        <v>214</v>
      </c>
      <c r="U99" s="5">
        <v>644</v>
      </c>
      <c r="V99" s="5">
        <v>0</v>
      </c>
    </row>
    <row r="100" spans="1:22" x14ac:dyDescent="0.25">
      <c r="A100" s="4" t="s">
        <v>160</v>
      </c>
      <c r="B100" s="5">
        <v>41</v>
      </c>
      <c r="C100" s="4" t="s">
        <v>23</v>
      </c>
      <c r="D100" s="4" t="s">
        <v>108</v>
      </c>
      <c r="E100" s="4" t="s">
        <v>63</v>
      </c>
      <c r="F100" s="4" t="s">
        <v>30</v>
      </c>
      <c r="G100" s="6">
        <v>46200</v>
      </c>
      <c r="H100" s="5">
        <v>3</v>
      </c>
      <c r="I100" s="7">
        <v>45124</v>
      </c>
      <c r="J100" s="4" t="s">
        <v>31</v>
      </c>
      <c r="K100" s="5">
        <v>2</v>
      </c>
      <c r="L100" s="6">
        <v>13630.52</v>
      </c>
      <c r="M100" s="6">
        <v>14791.32</v>
      </c>
      <c r="N100" s="5">
        <v>23</v>
      </c>
      <c r="O100" s="6">
        <v>112.78</v>
      </c>
      <c r="P100" s="5">
        <v>0</v>
      </c>
      <c r="Q100" s="6">
        <v>0</v>
      </c>
      <c r="R100" s="6">
        <v>0</v>
      </c>
      <c r="S100" s="6">
        <v>145000</v>
      </c>
      <c r="T100" s="6">
        <v>809</v>
      </c>
      <c r="U100" s="5">
        <v>670</v>
      </c>
      <c r="V100" s="5">
        <v>0</v>
      </c>
    </row>
    <row r="101" spans="1:22" x14ac:dyDescent="0.25">
      <c r="A101" s="4" t="s">
        <v>161</v>
      </c>
      <c r="B101" s="5">
        <v>37</v>
      </c>
      <c r="C101" s="4" t="s">
        <v>33</v>
      </c>
      <c r="D101" s="4" t="s">
        <v>29</v>
      </c>
      <c r="E101" s="4" t="s">
        <v>45</v>
      </c>
      <c r="F101" s="4" t="s">
        <v>30</v>
      </c>
      <c r="G101" s="6">
        <v>10600</v>
      </c>
      <c r="H101" s="5">
        <v>5</v>
      </c>
      <c r="I101" s="7">
        <v>44245</v>
      </c>
      <c r="J101" s="4" t="s">
        <v>27</v>
      </c>
      <c r="K101" s="5">
        <v>1</v>
      </c>
      <c r="L101" s="6">
        <v>2785.45</v>
      </c>
      <c r="M101" s="6">
        <v>4839.87</v>
      </c>
      <c r="N101" s="5">
        <v>30</v>
      </c>
      <c r="O101" s="6">
        <v>27.95</v>
      </c>
      <c r="P101" s="5">
        <v>3</v>
      </c>
      <c r="Q101" s="6">
        <v>1000</v>
      </c>
      <c r="R101" s="6">
        <v>283.19</v>
      </c>
      <c r="S101" s="6">
        <v>0</v>
      </c>
      <c r="T101" s="6">
        <v>0</v>
      </c>
      <c r="U101" s="5">
        <v>553</v>
      </c>
      <c r="V101" s="5">
        <v>1</v>
      </c>
    </row>
    <row r="102" spans="1:22" x14ac:dyDescent="0.25">
      <c r="A102" s="4" t="s">
        <v>162</v>
      </c>
      <c r="B102" s="5">
        <v>41</v>
      </c>
      <c r="C102" s="4" t="s">
        <v>23</v>
      </c>
      <c r="D102" s="4" t="s">
        <v>59</v>
      </c>
      <c r="E102" s="4" t="s">
        <v>35</v>
      </c>
      <c r="F102" s="4" t="s">
        <v>26</v>
      </c>
      <c r="G102" s="6">
        <v>39300</v>
      </c>
      <c r="H102" s="5">
        <v>11</v>
      </c>
      <c r="I102" s="7">
        <v>41945</v>
      </c>
      <c r="J102" s="4" t="s">
        <v>27</v>
      </c>
      <c r="K102" s="5">
        <v>3</v>
      </c>
      <c r="L102" s="6">
        <v>9821.64</v>
      </c>
      <c r="M102" s="6">
        <v>0</v>
      </c>
      <c r="N102" s="5">
        <v>30</v>
      </c>
      <c r="O102" s="6">
        <v>51.15</v>
      </c>
      <c r="P102" s="5">
        <v>2</v>
      </c>
      <c r="Q102" s="6">
        <v>7000</v>
      </c>
      <c r="R102" s="6">
        <v>618.78</v>
      </c>
      <c r="S102" s="6">
        <v>0</v>
      </c>
      <c r="T102" s="6">
        <v>0</v>
      </c>
      <c r="U102" s="5">
        <v>675</v>
      </c>
      <c r="V102" s="5">
        <v>0</v>
      </c>
    </row>
    <row r="103" spans="1:22" x14ac:dyDescent="0.25">
      <c r="A103" s="4" t="s">
        <v>163</v>
      </c>
      <c r="B103" s="5">
        <v>36</v>
      </c>
      <c r="C103" s="4" t="s">
        <v>23</v>
      </c>
      <c r="D103" s="4" t="s">
        <v>29</v>
      </c>
      <c r="E103" s="4" t="s">
        <v>90</v>
      </c>
      <c r="F103" s="4" t="s">
        <v>30</v>
      </c>
      <c r="G103" s="6">
        <v>101500</v>
      </c>
      <c r="H103" s="5">
        <v>2</v>
      </c>
      <c r="I103" s="7">
        <v>45253</v>
      </c>
      <c r="J103" s="4" t="s">
        <v>39</v>
      </c>
      <c r="K103" s="5">
        <v>1</v>
      </c>
      <c r="L103" s="6">
        <v>9964.3799999999992</v>
      </c>
      <c r="M103" s="6">
        <v>23084.95</v>
      </c>
      <c r="N103" s="5">
        <v>45</v>
      </c>
      <c r="O103" s="6">
        <v>104.19</v>
      </c>
      <c r="P103" s="5">
        <v>5</v>
      </c>
      <c r="Q103" s="6">
        <v>15000</v>
      </c>
      <c r="R103" s="6">
        <v>3109.89</v>
      </c>
      <c r="S103" s="6">
        <v>400000</v>
      </c>
      <c r="T103" s="6">
        <v>2900</v>
      </c>
      <c r="U103" s="5">
        <v>644</v>
      </c>
      <c r="V103" s="5">
        <v>0</v>
      </c>
    </row>
    <row r="104" spans="1:22" x14ac:dyDescent="0.25">
      <c r="A104" s="4" t="s">
        <v>164</v>
      </c>
      <c r="B104" s="5">
        <v>58</v>
      </c>
      <c r="C104" s="4" t="s">
        <v>23</v>
      </c>
      <c r="D104" s="4" t="s">
        <v>98</v>
      </c>
      <c r="E104" s="4" t="s">
        <v>67</v>
      </c>
      <c r="F104" s="4" t="s">
        <v>38</v>
      </c>
      <c r="G104" s="6">
        <v>9200</v>
      </c>
      <c r="H104" s="5">
        <v>28</v>
      </c>
      <c r="I104" s="7">
        <v>35845</v>
      </c>
      <c r="J104" s="4" t="s">
        <v>39</v>
      </c>
      <c r="K104" s="5">
        <v>2</v>
      </c>
      <c r="L104" s="6">
        <v>1130.6199999999999</v>
      </c>
      <c r="M104" s="6">
        <v>22201.68</v>
      </c>
      <c r="N104" s="5">
        <v>11</v>
      </c>
      <c r="O104" s="6">
        <v>49.32</v>
      </c>
      <c r="P104" s="5">
        <v>6</v>
      </c>
      <c r="Q104" s="6">
        <v>0</v>
      </c>
      <c r="R104" s="6">
        <v>0</v>
      </c>
      <c r="S104" s="6">
        <v>0</v>
      </c>
      <c r="T104" s="6">
        <v>0</v>
      </c>
      <c r="U104" s="5">
        <v>642</v>
      </c>
      <c r="V104" s="5">
        <v>1</v>
      </c>
    </row>
    <row r="105" spans="1:22" x14ac:dyDescent="0.25">
      <c r="A105" s="4" t="s">
        <v>165</v>
      </c>
      <c r="B105" s="5">
        <v>36</v>
      </c>
      <c r="C105" s="4" t="s">
        <v>23</v>
      </c>
      <c r="D105" s="4" t="s">
        <v>41</v>
      </c>
      <c r="E105" s="4" t="s">
        <v>25</v>
      </c>
      <c r="F105" s="4" t="s">
        <v>26</v>
      </c>
      <c r="G105" s="6">
        <v>21700</v>
      </c>
      <c r="H105" s="5">
        <v>15</v>
      </c>
      <c r="I105" s="7">
        <v>40683</v>
      </c>
      <c r="J105" s="4" t="s">
        <v>27</v>
      </c>
      <c r="K105" s="5">
        <v>2</v>
      </c>
      <c r="L105" s="6">
        <v>2236.42</v>
      </c>
      <c r="M105" s="6">
        <v>25709.47</v>
      </c>
      <c r="N105" s="5">
        <v>21</v>
      </c>
      <c r="O105" s="6">
        <v>40.909999999999997</v>
      </c>
      <c r="P105" s="5">
        <v>5</v>
      </c>
      <c r="Q105" s="6">
        <v>3500</v>
      </c>
      <c r="R105" s="6">
        <v>1145.3399999999999</v>
      </c>
      <c r="S105" s="6">
        <v>0</v>
      </c>
      <c r="T105" s="6">
        <v>0</v>
      </c>
      <c r="U105" s="5">
        <v>651</v>
      </c>
      <c r="V105" s="5">
        <v>1</v>
      </c>
    </row>
    <row r="106" spans="1:22" x14ac:dyDescent="0.25">
      <c r="A106" s="4" t="s">
        <v>166</v>
      </c>
      <c r="B106" s="5">
        <v>40</v>
      </c>
      <c r="C106" s="4" t="s">
        <v>23</v>
      </c>
      <c r="D106" s="4" t="s">
        <v>70</v>
      </c>
      <c r="E106" s="4" t="s">
        <v>45</v>
      </c>
      <c r="F106" s="4" t="s">
        <v>48</v>
      </c>
      <c r="G106" s="6">
        <v>29500</v>
      </c>
      <c r="H106" s="5">
        <v>7</v>
      </c>
      <c r="I106" s="7">
        <v>43463</v>
      </c>
      <c r="J106" s="4" t="s">
        <v>39</v>
      </c>
      <c r="K106" s="5">
        <v>1</v>
      </c>
      <c r="L106" s="6">
        <v>1355.23</v>
      </c>
      <c r="M106" s="6">
        <v>23151.07</v>
      </c>
      <c r="N106" s="5">
        <v>26</v>
      </c>
      <c r="O106" s="6">
        <v>49.55</v>
      </c>
      <c r="P106" s="5">
        <v>11</v>
      </c>
      <c r="Q106" s="6">
        <v>4500</v>
      </c>
      <c r="R106" s="6">
        <v>586.54999999999995</v>
      </c>
      <c r="S106" s="6">
        <v>113000</v>
      </c>
      <c r="T106" s="6">
        <v>779</v>
      </c>
      <c r="U106" s="5">
        <v>538</v>
      </c>
      <c r="V106" s="5">
        <v>2</v>
      </c>
    </row>
    <row r="107" spans="1:22" x14ac:dyDescent="0.25">
      <c r="A107" s="4" t="s">
        <v>167</v>
      </c>
      <c r="B107" s="5">
        <v>62</v>
      </c>
      <c r="C107" s="4" t="s">
        <v>33</v>
      </c>
      <c r="D107" s="4" t="s">
        <v>59</v>
      </c>
      <c r="E107" s="4" t="s">
        <v>45</v>
      </c>
      <c r="F107" s="4" t="s">
        <v>30</v>
      </c>
      <c r="G107" s="6">
        <v>30300</v>
      </c>
      <c r="H107" s="5">
        <v>22</v>
      </c>
      <c r="I107" s="7">
        <v>37911</v>
      </c>
      <c r="J107" s="4" t="s">
        <v>39</v>
      </c>
      <c r="K107" s="5">
        <v>3</v>
      </c>
      <c r="L107" s="6">
        <v>3212.67</v>
      </c>
      <c r="M107" s="6">
        <v>0</v>
      </c>
      <c r="N107" s="5">
        <v>22</v>
      </c>
      <c r="O107" s="6">
        <v>63.99</v>
      </c>
      <c r="P107" s="5">
        <v>4</v>
      </c>
      <c r="Q107" s="6">
        <v>4000</v>
      </c>
      <c r="R107" s="6">
        <v>2893.46</v>
      </c>
      <c r="S107" s="6">
        <v>56000</v>
      </c>
      <c r="T107" s="6">
        <v>298</v>
      </c>
      <c r="U107" s="5">
        <v>751</v>
      </c>
      <c r="V107" s="5">
        <v>0</v>
      </c>
    </row>
    <row r="108" spans="1:22" x14ac:dyDescent="0.25">
      <c r="A108" s="4" t="s">
        <v>168</v>
      </c>
      <c r="B108" s="5">
        <v>46</v>
      </c>
      <c r="C108" s="4" t="s">
        <v>33</v>
      </c>
      <c r="D108" s="4" t="s">
        <v>59</v>
      </c>
      <c r="E108" s="4" t="s">
        <v>63</v>
      </c>
      <c r="F108" s="4" t="s">
        <v>30</v>
      </c>
      <c r="G108" s="6">
        <v>22300</v>
      </c>
      <c r="H108" s="5">
        <v>7</v>
      </c>
      <c r="I108" s="7">
        <v>43519</v>
      </c>
      <c r="J108" s="4" t="s">
        <v>39</v>
      </c>
      <c r="K108" s="5">
        <v>3</v>
      </c>
      <c r="L108" s="6">
        <v>3147.05</v>
      </c>
      <c r="M108" s="6">
        <v>12519.64</v>
      </c>
      <c r="N108" s="5">
        <v>19</v>
      </c>
      <c r="O108" s="6">
        <v>31.8</v>
      </c>
      <c r="P108" s="5">
        <v>2</v>
      </c>
      <c r="Q108" s="6">
        <v>4000</v>
      </c>
      <c r="R108" s="6">
        <v>20.079999999999998</v>
      </c>
      <c r="S108" s="6">
        <v>0</v>
      </c>
      <c r="T108" s="6">
        <v>0</v>
      </c>
      <c r="U108" s="5">
        <v>625</v>
      </c>
      <c r="V108" s="5">
        <v>0</v>
      </c>
    </row>
    <row r="109" spans="1:22" x14ac:dyDescent="0.25">
      <c r="A109" s="4" t="s">
        <v>169</v>
      </c>
      <c r="B109" s="5">
        <v>61</v>
      </c>
      <c r="C109" s="4" t="s">
        <v>23</v>
      </c>
      <c r="D109" s="4" t="s">
        <v>51</v>
      </c>
      <c r="E109" s="4" t="s">
        <v>90</v>
      </c>
      <c r="F109" s="4" t="s">
        <v>30</v>
      </c>
      <c r="G109" s="6">
        <v>135200</v>
      </c>
      <c r="H109" s="5">
        <v>31</v>
      </c>
      <c r="I109" s="7">
        <v>34932</v>
      </c>
      <c r="J109" s="4" t="s">
        <v>39</v>
      </c>
      <c r="K109" s="5">
        <v>5</v>
      </c>
      <c r="L109" s="6">
        <v>35786.699999999997</v>
      </c>
      <c r="M109" s="6">
        <v>206557.16</v>
      </c>
      <c r="N109" s="5">
        <v>49</v>
      </c>
      <c r="O109" s="6">
        <v>124.51</v>
      </c>
      <c r="P109" s="5">
        <v>2</v>
      </c>
      <c r="Q109" s="6">
        <v>15000</v>
      </c>
      <c r="R109" s="6">
        <v>7398.11</v>
      </c>
      <c r="S109" s="6">
        <v>0</v>
      </c>
      <c r="T109" s="6">
        <v>0</v>
      </c>
      <c r="U109" s="5">
        <v>716</v>
      </c>
      <c r="V109" s="5">
        <v>0</v>
      </c>
    </row>
    <row r="110" spans="1:22" x14ac:dyDescent="0.25">
      <c r="A110" s="4" t="s">
        <v>170</v>
      </c>
      <c r="B110" s="5">
        <v>23</v>
      </c>
      <c r="C110" s="4" t="s">
        <v>23</v>
      </c>
      <c r="D110" s="4" t="s">
        <v>57</v>
      </c>
      <c r="E110" s="4" t="s">
        <v>67</v>
      </c>
      <c r="F110" s="4" t="s">
        <v>26</v>
      </c>
      <c r="G110" s="6">
        <v>4200</v>
      </c>
      <c r="H110" s="5">
        <v>1</v>
      </c>
      <c r="I110" s="7">
        <v>45683</v>
      </c>
      <c r="J110" s="4" t="s">
        <v>39</v>
      </c>
      <c r="K110" s="5">
        <v>1</v>
      </c>
      <c r="L110" s="6">
        <v>219.58</v>
      </c>
      <c r="M110" s="6">
        <v>2208.79</v>
      </c>
      <c r="N110" s="5">
        <v>12</v>
      </c>
      <c r="O110" s="6">
        <v>19.440000000000001</v>
      </c>
      <c r="P110" s="5">
        <v>2</v>
      </c>
      <c r="Q110" s="6">
        <v>1000</v>
      </c>
      <c r="R110" s="6">
        <v>200.06</v>
      </c>
      <c r="S110" s="6">
        <v>0</v>
      </c>
      <c r="T110" s="6">
        <v>0</v>
      </c>
      <c r="U110" s="5">
        <v>588</v>
      </c>
      <c r="V110" s="5">
        <v>0</v>
      </c>
    </row>
    <row r="111" spans="1:22" x14ac:dyDescent="0.25">
      <c r="A111" s="4" t="s">
        <v>171</v>
      </c>
      <c r="B111" s="5">
        <v>46</v>
      </c>
      <c r="C111" s="4" t="s">
        <v>23</v>
      </c>
      <c r="D111" s="4" t="s">
        <v>59</v>
      </c>
      <c r="E111" s="4" t="s">
        <v>35</v>
      </c>
      <c r="F111" s="4" t="s">
        <v>30</v>
      </c>
      <c r="G111" s="6">
        <v>46900</v>
      </c>
      <c r="H111" s="5">
        <v>7</v>
      </c>
      <c r="I111" s="7">
        <v>43457</v>
      </c>
      <c r="J111" s="4" t="s">
        <v>39</v>
      </c>
      <c r="K111" s="5">
        <v>1</v>
      </c>
      <c r="L111" s="6">
        <v>7995.61</v>
      </c>
      <c r="M111" s="6">
        <v>0</v>
      </c>
      <c r="N111" s="5">
        <v>23</v>
      </c>
      <c r="O111" s="6">
        <v>56.87</v>
      </c>
      <c r="P111" s="5">
        <v>4</v>
      </c>
      <c r="Q111" s="6">
        <v>10000</v>
      </c>
      <c r="R111" s="6">
        <v>4305.49</v>
      </c>
      <c r="S111" s="6">
        <v>114000</v>
      </c>
      <c r="T111" s="6">
        <v>826</v>
      </c>
      <c r="U111" s="5">
        <v>649</v>
      </c>
      <c r="V111" s="5">
        <v>0</v>
      </c>
    </row>
    <row r="112" spans="1:22" x14ac:dyDescent="0.25">
      <c r="A112" s="4" t="s">
        <v>172</v>
      </c>
      <c r="B112" s="5">
        <v>39</v>
      </c>
      <c r="C112" s="4" t="s">
        <v>23</v>
      </c>
      <c r="D112" s="4" t="s">
        <v>37</v>
      </c>
      <c r="E112" s="4" t="s">
        <v>45</v>
      </c>
      <c r="F112" s="4" t="s">
        <v>30</v>
      </c>
      <c r="G112" s="6">
        <v>23300</v>
      </c>
      <c r="H112" s="5">
        <v>11</v>
      </c>
      <c r="I112" s="7">
        <v>1</v>
      </c>
      <c r="J112" s="4" t="s">
        <v>49</v>
      </c>
      <c r="K112" s="5">
        <v>2</v>
      </c>
      <c r="L112" s="6">
        <v>1059</v>
      </c>
      <c r="M112" s="6">
        <v>24937.78</v>
      </c>
      <c r="N112" s="5">
        <v>24</v>
      </c>
      <c r="O112" s="6">
        <v>36.36</v>
      </c>
      <c r="P112" s="5">
        <v>2</v>
      </c>
      <c r="Q112" s="6">
        <v>4000</v>
      </c>
      <c r="R112" s="6">
        <v>637.71</v>
      </c>
      <c r="S112" s="6">
        <v>0</v>
      </c>
      <c r="T112" s="6">
        <v>0</v>
      </c>
      <c r="U112" s="5">
        <v>618</v>
      </c>
      <c r="V112" s="5">
        <v>0</v>
      </c>
    </row>
    <row r="113" spans="1:22" x14ac:dyDescent="0.25">
      <c r="A113" s="4" t="s">
        <v>173</v>
      </c>
      <c r="B113" s="5">
        <v>40</v>
      </c>
      <c r="C113" s="4" t="s">
        <v>33</v>
      </c>
      <c r="D113" s="4" t="s">
        <v>34</v>
      </c>
      <c r="E113" s="4" t="s">
        <v>25</v>
      </c>
      <c r="F113" s="4" t="s">
        <v>48</v>
      </c>
      <c r="G113" s="6">
        <v>36900</v>
      </c>
      <c r="H113" s="5">
        <v>11</v>
      </c>
      <c r="I113" s="7">
        <v>41948</v>
      </c>
      <c r="J113" s="4" t="s">
        <v>27</v>
      </c>
      <c r="K113" s="5">
        <v>3</v>
      </c>
      <c r="L113" s="6">
        <v>6380.94</v>
      </c>
      <c r="M113" s="6">
        <v>71929.259999999995</v>
      </c>
      <c r="N113" s="5">
        <v>19</v>
      </c>
      <c r="O113" s="6">
        <v>40.159999999999997</v>
      </c>
      <c r="P113" s="5">
        <v>0</v>
      </c>
      <c r="Q113" s="6">
        <v>0</v>
      </c>
      <c r="R113" s="6">
        <v>0</v>
      </c>
      <c r="S113" s="6">
        <v>0</v>
      </c>
      <c r="T113" s="6">
        <v>0</v>
      </c>
      <c r="U113" s="5">
        <v>666</v>
      </c>
      <c r="V113" s="5">
        <v>0</v>
      </c>
    </row>
    <row r="114" spans="1:22" x14ac:dyDescent="0.25">
      <c r="A114" s="4" t="s">
        <v>174</v>
      </c>
      <c r="B114" s="5">
        <v>36</v>
      </c>
      <c r="C114" s="4" t="s">
        <v>23</v>
      </c>
      <c r="D114" s="4" t="s">
        <v>41</v>
      </c>
      <c r="E114" s="4" t="s">
        <v>42</v>
      </c>
      <c r="F114" s="4" t="s">
        <v>48</v>
      </c>
      <c r="G114" s="6">
        <v>134100</v>
      </c>
      <c r="H114" s="5">
        <v>7</v>
      </c>
      <c r="I114" s="7">
        <v>43389</v>
      </c>
      <c r="J114" s="4" t="s">
        <v>27</v>
      </c>
      <c r="K114" s="5">
        <v>2</v>
      </c>
      <c r="L114" s="6">
        <v>42787.78</v>
      </c>
      <c r="M114" s="6">
        <v>70194.289999999994</v>
      </c>
      <c r="N114" s="5">
        <v>62</v>
      </c>
      <c r="O114" s="6">
        <v>76.34</v>
      </c>
      <c r="P114" s="5">
        <v>0</v>
      </c>
      <c r="Q114" s="6">
        <v>15000</v>
      </c>
      <c r="R114" s="6">
        <v>3597.05</v>
      </c>
      <c r="S114" s="6">
        <v>400000</v>
      </c>
      <c r="T114" s="6">
        <v>2716</v>
      </c>
      <c r="U114" s="5">
        <v>708</v>
      </c>
      <c r="V114" s="5">
        <v>0</v>
      </c>
    </row>
    <row r="115" spans="1:22" x14ac:dyDescent="0.25">
      <c r="A115" s="4" t="s">
        <v>175</v>
      </c>
      <c r="B115" s="5">
        <v>40</v>
      </c>
      <c r="C115" s="4" t="s">
        <v>33</v>
      </c>
      <c r="D115" s="4" t="s">
        <v>29</v>
      </c>
      <c r="E115" s="4" t="s">
        <v>25</v>
      </c>
      <c r="F115" s="4" t="s">
        <v>30</v>
      </c>
      <c r="G115" s="6">
        <v>28900</v>
      </c>
      <c r="H115" s="5">
        <v>2</v>
      </c>
      <c r="I115" s="7">
        <v>45480</v>
      </c>
      <c r="J115" s="4" t="s">
        <v>27</v>
      </c>
      <c r="K115" s="5">
        <v>2</v>
      </c>
      <c r="L115" s="6">
        <v>10964.67</v>
      </c>
      <c r="M115" s="6">
        <v>4045.42</v>
      </c>
      <c r="N115" s="5">
        <v>39</v>
      </c>
      <c r="O115" s="6">
        <v>35.51</v>
      </c>
      <c r="P115" s="5">
        <v>2</v>
      </c>
      <c r="Q115" s="6">
        <v>5000</v>
      </c>
      <c r="R115" s="6">
        <v>555.44000000000005</v>
      </c>
      <c r="S115" s="6">
        <v>45000</v>
      </c>
      <c r="T115" s="6">
        <v>334</v>
      </c>
      <c r="U115" s="5">
        <v>630</v>
      </c>
      <c r="V115" s="5">
        <v>1</v>
      </c>
    </row>
    <row r="116" spans="1:22" x14ac:dyDescent="0.25">
      <c r="A116" s="4" t="s">
        <v>176</v>
      </c>
      <c r="B116" s="5">
        <v>46</v>
      </c>
      <c r="C116" s="4" t="s">
        <v>23</v>
      </c>
      <c r="D116" s="4" t="s">
        <v>34</v>
      </c>
      <c r="E116" s="4" t="s">
        <v>63</v>
      </c>
      <c r="F116" s="4" t="s">
        <v>48</v>
      </c>
      <c r="G116" s="6">
        <v>31400</v>
      </c>
      <c r="H116" s="5">
        <v>17</v>
      </c>
      <c r="I116" s="7">
        <v>39787</v>
      </c>
      <c r="J116" s="4" t="s">
        <v>39</v>
      </c>
      <c r="K116" s="5">
        <v>3</v>
      </c>
      <c r="L116" s="6">
        <v>1466.23</v>
      </c>
      <c r="M116" s="6">
        <v>0</v>
      </c>
      <c r="N116" s="5">
        <v>31</v>
      </c>
      <c r="O116" s="6">
        <v>63.89</v>
      </c>
      <c r="P116" s="5">
        <v>4</v>
      </c>
      <c r="Q116" s="6">
        <v>3500</v>
      </c>
      <c r="R116" s="6">
        <v>1960.04</v>
      </c>
      <c r="S116" s="6">
        <v>73000</v>
      </c>
      <c r="T116" s="6">
        <v>530</v>
      </c>
      <c r="U116" s="5">
        <v>559</v>
      </c>
      <c r="V116" s="5">
        <v>1</v>
      </c>
    </row>
    <row r="117" spans="1:22" x14ac:dyDescent="0.25">
      <c r="A117" s="4" t="s">
        <v>177</v>
      </c>
      <c r="B117" s="5">
        <v>61</v>
      </c>
      <c r="C117" s="4" t="s">
        <v>23</v>
      </c>
      <c r="D117" s="4" t="s">
        <v>72</v>
      </c>
      <c r="E117" s="4" t="s">
        <v>25</v>
      </c>
      <c r="F117" s="4" t="s">
        <v>38</v>
      </c>
      <c r="G117" s="6">
        <v>43300</v>
      </c>
      <c r="H117" s="5">
        <v>5</v>
      </c>
      <c r="I117" s="7">
        <v>44174</v>
      </c>
      <c r="J117" s="4" t="s">
        <v>39</v>
      </c>
      <c r="K117" s="5">
        <v>2</v>
      </c>
      <c r="L117" s="6">
        <v>15895.38</v>
      </c>
      <c r="M117" s="6">
        <v>11423.14</v>
      </c>
      <c r="N117" s="5">
        <v>26</v>
      </c>
      <c r="O117" s="6">
        <v>44.76</v>
      </c>
      <c r="P117" s="5">
        <v>1</v>
      </c>
      <c r="Q117" s="6">
        <v>7500</v>
      </c>
      <c r="R117" s="6">
        <v>215.94</v>
      </c>
      <c r="S117" s="6">
        <v>0</v>
      </c>
      <c r="T117" s="6">
        <v>0</v>
      </c>
      <c r="U117" s="5">
        <v>637</v>
      </c>
      <c r="V117" s="5">
        <v>0</v>
      </c>
    </row>
    <row r="118" spans="1:22" x14ac:dyDescent="0.25">
      <c r="A118" s="4" t="s">
        <v>178</v>
      </c>
      <c r="B118" s="5">
        <v>44</v>
      </c>
      <c r="C118" s="4" t="s">
        <v>33</v>
      </c>
      <c r="D118" s="4" t="s">
        <v>134</v>
      </c>
      <c r="E118" s="4" t="s">
        <v>90</v>
      </c>
      <c r="F118" s="4" t="s">
        <v>48</v>
      </c>
      <c r="G118" s="6">
        <v>77200</v>
      </c>
      <c r="H118" s="5">
        <v>6</v>
      </c>
      <c r="I118" s="7">
        <v>44064</v>
      </c>
      <c r="J118" s="4" t="s">
        <v>27</v>
      </c>
      <c r="K118" s="5">
        <v>4</v>
      </c>
      <c r="L118" s="6">
        <v>1886</v>
      </c>
      <c r="M118" s="6">
        <v>17530.23</v>
      </c>
      <c r="N118" s="5">
        <v>42</v>
      </c>
      <c r="O118" s="6">
        <v>55.01</v>
      </c>
      <c r="P118" s="5">
        <v>2</v>
      </c>
      <c r="Q118" s="6">
        <v>9500</v>
      </c>
      <c r="R118" s="6">
        <v>2005.53</v>
      </c>
      <c r="S118" s="6">
        <v>0</v>
      </c>
      <c r="T118" s="6">
        <v>0</v>
      </c>
      <c r="U118" s="5">
        <v>569</v>
      </c>
      <c r="V118" s="5">
        <v>0</v>
      </c>
    </row>
    <row r="119" spans="1:22" x14ac:dyDescent="0.25">
      <c r="A119" s="4" t="s">
        <v>179</v>
      </c>
      <c r="B119" s="5">
        <v>40</v>
      </c>
      <c r="C119" s="4" t="s">
        <v>23</v>
      </c>
      <c r="D119" s="4" t="s">
        <v>34</v>
      </c>
      <c r="E119" s="4" t="s">
        <v>45</v>
      </c>
      <c r="F119" s="4" t="s">
        <v>30</v>
      </c>
      <c r="G119" s="6">
        <v>25900</v>
      </c>
      <c r="H119" s="5">
        <v>5</v>
      </c>
      <c r="I119" s="7">
        <v>44263</v>
      </c>
      <c r="J119" s="4" t="s">
        <v>39</v>
      </c>
      <c r="K119" s="5">
        <v>2</v>
      </c>
      <c r="L119" s="6">
        <v>2149.46</v>
      </c>
      <c r="M119" s="6">
        <v>0</v>
      </c>
      <c r="N119" s="5">
        <v>13</v>
      </c>
      <c r="O119" s="6">
        <v>23.31</v>
      </c>
      <c r="P119" s="5">
        <v>4</v>
      </c>
      <c r="Q119" s="6">
        <v>4500</v>
      </c>
      <c r="R119" s="6">
        <v>518.53</v>
      </c>
      <c r="S119" s="6">
        <v>0</v>
      </c>
      <c r="T119" s="6">
        <v>0</v>
      </c>
      <c r="U119" s="5">
        <v>584</v>
      </c>
      <c r="V119" s="5">
        <v>0</v>
      </c>
    </row>
    <row r="120" spans="1:22" x14ac:dyDescent="0.25">
      <c r="A120" s="4" t="s">
        <v>180</v>
      </c>
      <c r="B120" s="5">
        <v>46</v>
      </c>
      <c r="C120" s="4" t="s">
        <v>33</v>
      </c>
      <c r="D120" s="4" t="s">
        <v>34</v>
      </c>
      <c r="E120" s="4" t="s">
        <v>45</v>
      </c>
      <c r="F120" s="4" t="s">
        <v>30</v>
      </c>
      <c r="G120" s="6">
        <v>22900</v>
      </c>
      <c r="H120" s="5">
        <v>16</v>
      </c>
      <c r="I120" s="7">
        <v>40135</v>
      </c>
      <c r="J120" s="4" t="s">
        <v>31</v>
      </c>
      <c r="K120" s="5">
        <v>2</v>
      </c>
      <c r="L120" s="6">
        <v>841.23</v>
      </c>
      <c r="M120" s="6">
        <v>18345.22</v>
      </c>
      <c r="N120" s="5">
        <v>24</v>
      </c>
      <c r="O120" s="6">
        <v>24.94</v>
      </c>
      <c r="P120" s="5">
        <v>1</v>
      </c>
      <c r="Q120" s="6">
        <v>3500</v>
      </c>
      <c r="R120" s="6">
        <v>1994.47</v>
      </c>
      <c r="S120" s="6">
        <v>0</v>
      </c>
      <c r="T120" s="6">
        <v>0</v>
      </c>
      <c r="U120" s="5">
        <v>657</v>
      </c>
      <c r="V120" s="5">
        <v>0</v>
      </c>
    </row>
    <row r="121" spans="1:22" x14ac:dyDescent="0.25">
      <c r="A121" s="4" t="s">
        <v>181</v>
      </c>
      <c r="B121" s="5">
        <v>53</v>
      </c>
      <c r="C121" s="4" t="s">
        <v>33</v>
      </c>
      <c r="D121" s="4" t="s">
        <v>37</v>
      </c>
      <c r="E121" s="4" t="s">
        <v>25</v>
      </c>
      <c r="F121" s="4" t="s">
        <v>30</v>
      </c>
      <c r="G121" s="6">
        <v>52400</v>
      </c>
      <c r="H121" s="5">
        <v>21</v>
      </c>
      <c r="I121" s="7">
        <v>38535</v>
      </c>
      <c r="J121" s="4" t="s">
        <v>39</v>
      </c>
      <c r="K121" s="5">
        <v>5</v>
      </c>
      <c r="L121" s="6">
        <v>16078.34</v>
      </c>
      <c r="M121" s="6">
        <v>80512.39</v>
      </c>
      <c r="N121" s="5">
        <v>34</v>
      </c>
      <c r="O121" s="6">
        <v>57.37</v>
      </c>
      <c r="P121" s="5">
        <v>6</v>
      </c>
      <c r="Q121" s="6">
        <v>8500</v>
      </c>
      <c r="R121" s="6">
        <v>374.76</v>
      </c>
      <c r="S121" s="6">
        <v>0</v>
      </c>
      <c r="T121" s="6">
        <v>0</v>
      </c>
      <c r="U121" s="5">
        <v>686</v>
      </c>
      <c r="V121" s="5">
        <v>1</v>
      </c>
    </row>
    <row r="122" spans="1:22" x14ac:dyDescent="0.25">
      <c r="A122" s="4" t="s">
        <v>182</v>
      </c>
      <c r="B122" s="5">
        <v>41</v>
      </c>
      <c r="C122" s="4" t="s">
        <v>23</v>
      </c>
      <c r="D122" s="4" t="s">
        <v>24</v>
      </c>
      <c r="E122" s="4" t="s">
        <v>35</v>
      </c>
      <c r="F122" s="4" t="s">
        <v>30</v>
      </c>
      <c r="G122" s="6">
        <v>56000</v>
      </c>
      <c r="H122" s="5">
        <v>14</v>
      </c>
      <c r="I122" s="7">
        <v>41002</v>
      </c>
      <c r="J122" s="4" t="s">
        <v>39</v>
      </c>
      <c r="K122" s="5">
        <v>1</v>
      </c>
      <c r="L122" s="6">
        <v>4915.8500000000004</v>
      </c>
      <c r="M122" s="6">
        <v>65507.34</v>
      </c>
      <c r="N122" s="5">
        <v>30</v>
      </c>
      <c r="O122" s="6">
        <v>115.1</v>
      </c>
      <c r="P122" s="5">
        <v>6</v>
      </c>
      <c r="Q122" s="6">
        <v>13500</v>
      </c>
      <c r="R122" s="6">
        <v>6037.19</v>
      </c>
      <c r="S122" s="6">
        <v>120000</v>
      </c>
      <c r="T122" s="6">
        <v>737</v>
      </c>
      <c r="U122" s="5">
        <v>578</v>
      </c>
      <c r="V122" s="5">
        <v>0</v>
      </c>
    </row>
    <row r="123" spans="1:22" x14ac:dyDescent="0.25">
      <c r="A123" s="4" t="s">
        <v>183</v>
      </c>
      <c r="B123" s="5">
        <v>44</v>
      </c>
      <c r="C123" s="4" t="s">
        <v>33</v>
      </c>
      <c r="D123" s="4" t="s">
        <v>72</v>
      </c>
      <c r="E123" s="4" t="s">
        <v>63</v>
      </c>
      <c r="F123" s="4" t="s">
        <v>30</v>
      </c>
      <c r="G123" s="6">
        <v>20100</v>
      </c>
      <c r="H123" s="5">
        <v>24</v>
      </c>
      <c r="I123" s="7">
        <v>37166</v>
      </c>
      <c r="J123" s="4" t="s">
        <v>27</v>
      </c>
      <c r="K123" s="5">
        <v>2</v>
      </c>
      <c r="L123" s="6">
        <v>3990.23</v>
      </c>
      <c r="M123" s="6">
        <v>30617.63</v>
      </c>
      <c r="N123" s="5">
        <v>29</v>
      </c>
      <c r="O123" s="6">
        <v>35.46</v>
      </c>
      <c r="P123" s="5">
        <v>2</v>
      </c>
      <c r="Q123" s="6">
        <v>4000</v>
      </c>
      <c r="R123" s="6">
        <v>130.69999999999999</v>
      </c>
      <c r="S123" s="6">
        <v>0</v>
      </c>
      <c r="T123" s="6">
        <v>0</v>
      </c>
      <c r="U123" s="5">
        <v>630</v>
      </c>
      <c r="V123" s="5">
        <v>0</v>
      </c>
    </row>
    <row r="124" spans="1:22" x14ac:dyDescent="0.25">
      <c r="A124" s="4" t="s">
        <v>184</v>
      </c>
      <c r="B124" s="5">
        <v>65</v>
      </c>
      <c r="C124" s="4" t="s">
        <v>33</v>
      </c>
      <c r="D124" s="4" t="s">
        <v>44</v>
      </c>
      <c r="E124" s="4" t="s">
        <v>25</v>
      </c>
      <c r="F124" s="4" t="s">
        <v>38</v>
      </c>
      <c r="G124" s="6">
        <v>30200</v>
      </c>
      <c r="H124" s="5">
        <v>34</v>
      </c>
      <c r="I124" s="7">
        <v>33537</v>
      </c>
      <c r="J124" s="4" t="s">
        <v>27</v>
      </c>
      <c r="K124" s="5">
        <v>6</v>
      </c>
      <c r="L124" s="6">
        <v>1270.8</v>
      </c>
      <c r="M124" s="6">
        <v>65063.34</v>
      </c>
      <c r="N124" s="5">
        <v>31</v>
      </c>
      <c r="O124" s="6">
        <v>45.46</v>
      </c>
      <c r="P124" s="5">
        <v>2</v>
      </c>
      <c r="Q124" s="6">
        <v>4500</v>
      </c>
      <c r="R124" s="6">
        <v>1128.6400000000001</v>
      </c>
      <c r="S124" s="6">
        <v>0</v>
      </c>
      <c r="T124" s="6">
        <v>0</v>
      </c>
      <c r="U124" s="5">
        <v>690</v>
      </c>
      <c r="V124" s="5">
        <v>1</v>
      </c>
    </row>
    <row r="125" spans="1:22" x14ac:dyDescent="0.25">
      <c r="A125" s="4" t="s">
        <v>185</v>
      </c>
      <c r="B125" s="5">
        <v>41</v>
      </c>
      <c r="C125" s="4" t="s">
        <v>23</v>
      </c>
      <c r="D125" s="4" t="s">
        <v>57</v>
      </c>
      <c r="E125" s="4" t="s">
        <v>45</v>
      </c>
      <c r="F125" s="4" t="s">
        <v>48</v>
      </c>
      <c r="G125" s="6">
        <v>22300</v>
      </c>
      <c r="H125" s="5">
        <v>11</v>
      </c>
      <c r="I125" s="7">
        <v>42073</v>
      </c>
      <c r="J125" s="4" t="s">
        <v>27</v>
      </c>
      <c r="K125" s="5">
        <v>2</v>
      </c>
      <c r="L125" s="6">
        <v>708.87</v>
      </c>
      <c r="M125" s="6">
        <v>12013.1</v>
      </c>
      <c r="N125" s="5">
        <v>27</v>
      </c>
      <c r="O125" s="6">
        <v>90.55</v>
      </c>
      <c r="P125" s="5">
        <v>3</v>
      </c>
      <c r="Q125" s="6">
        <v>5500</v>
      </c>
      <c r="R125" s="6">
        <v>273.85000000000002</v>
      </c>
      <c r="S125" s="6">
        <v>73000</v>
      </c>
      <c r="T125" s="6">
        <v>426</v>
      </c>
      <c r="U125" s="5">
        <v>579</v>
      </c>
      <c r="V125" s="5">
        <v>0</v>
      </c>
    </row>
    <row r="126" spans="1:22" x14ac:dyDescent="0.25">
      <c r="A126" s="4" t="s">
        <v>186</v>
      </c>
      <c r="B126" s="5">
        <v>62</v>
      </c>
      <c r="C126" s="4" t="s">
        <v>23</v>
      </c>
      <c r="D126" s="4" t="s">
        <v>70</v>
      </c>
      <c r="E126" s="4" t="s">
        <v>25</v>
      </c>
      <c r="F126" s="4" t="s">
        <v>30</v>
      </c>
      <c r="G126" s="6">
        <v>18600</v>
      </c>
      <c r="H126" s="5">
        <v>15</v>
      </c>
      <c r="I126" s="7">
        <v>40572</v>
      </c>
      <c r="J126" s="4" t="s">
        <v>39</v>
      </c>
      <c r="K126" s="5">
        <v>4</v>
      </c>
      <c r="L126" s="6">
        <v>547.6</v>
      </c>
      <c r="M126" s="6">
        <v>0</v>
      </c>
      <c r="N126" s="5">
        <v>19</v>
      </c>
      <c r="O126" s="6">
        <v>20.82</v>
      </c>
      <c r="P126" s="5">
        <v>4</v>
      </c>
      <c r="Q126" s="6">
        <v>2000</v>
      </c>
      <c r="R126" s="6">
        <v>1480.31</v>
      </c>
      <c r="S126" s="6">
        <v>0</v>
      </c>
      <c r="T126" s="6">
        <v>0</v>
      </c>
      <c r="U126" s="5">
        <v>650</v>
      </c>
      <c r="V126" s="5">
        <v>0</v>
      </c>
    </row>
    <row r="127" spans="1:22" x14ac:dyDescent="0.25">
      <c r="A127" s="4" t="s">
        <v>187</v>
      </c>
      <c r="B127" s="5">
        <v>46</v>
      </c>
      <c r="C127" s="4" t="s">
        <v>23</v>
      </c>
      <c r="D127" s="4" t="s">
        <v>70</v>
      </c>
      <c r="E127" s="4" t="s">
        <v>42</v>
      </c>
      <c r="F127" s="4" t="s">
        <v>30</v>
      </c>
      <c r="G127" s="6">
        <v>67800</v>
      </c>
      <c r="H127" s="5">
        <v>7</v>
      </c>
      <c r="I127" s="7">
        <v>43446</v>
      </c>
      <c r="J127" s="4" t="s">
        <v>27</v>
      </c>
      <c r="K127" s="5">
        <v>1</v>
      </c>
      <c r="L127" s="6">
        <v>13851.4</v>
      </c>
      <c r="M127" s="6">
        <v>0</v>
      </c>
      <c r="N127" s="5">
        <v>39</v>
      </c>
      <c r="O127" s="6">
        <v>119.71</v>
      </c>
      <c r="P127" s="5">
        <v>2</v>
      </c>
      <c r="Q127" s="6">
        <v>12500</v>
      </c>
      <c r="R127" s="6">
        <v>2093.33</v>
      </c>
      <c r="S127" s="6">
        <v>0</v>
      </c>
      <c r="T127" s="6">
        <v>0</v>
      </c>
      <c r="U127" s="5">
        <v>676</v>
      </c>
      <c r="V127" s="5">
        <v>0</v>
      </c>
    </row>
    <row r="128" spans="1:22" x14ac:dyDescent="0.25">
      <c r="A128" s="4" t="s">
        <v>188</v>
      </c>
      <c r="B128" s="5">
        <v>59</v>
      </c>
      <c r="C128" s="4" t="s">
        <v>23</v>
      </c>
      <c r="D128" s="4" t="s">
        <v>41</v>
      </c>
      <c r="E128" s="4" t="s">
        <v>25</v>
      </c>
      <c r="F128" s="4" t="s">
        <v>26</v>
      </c>
      <c r="G128" s="6">
        <v>37400</v>
      </c>
      <c r="H128" s="5">
        <v>10</v>
      </c>
      <c r="I128" s="7">
        <v>42276</v>
      </c>
      <c r="J128" s="4" t="s">
        <v>39</v>
      </c>
      <c r="K128" s="5">
        <v>5</v>
      </c>
      <c r="L128" s="6">
        <v>12686.52</v>
      </c>
      <c r="M128" s="6">
        <v>23444.98</v>
      </c>
      <c r="N128" s="5">
        <v>28</v>
      </c>
      <c r="O128" s="6">
        <v>38.69</v>
      </c>
      <c r="P128" s="5">
        <v>5</v>
      </c>
      <c r="Q128" s="6">
        <v>0</v>
      </c>
      <c r="R128" s="6">
        <v>0</v>
      </c>
      <c r="S128" s="6">
        <v>0</v>
      </c>
      <c r="T128" s="6">
        <v>0</v>
      </c>
      <c r="U128" s="5">
        <v>692</v>
      </c>
      <c r="V128" s="5">
        <v>0</v>
      </c>
    </row>
    <row r="129" spans="1:22" x14ac:dyDescent="0.25">
      <c r="A129" s="4" t="s">
        <v>189</v>
      </c>
      <c r="B129" s="5">
        <v>46</v>
      </c>
      <c r="C129" s="4" t="s">
        <v>33</v>
      </c>
      <c r="D129" s="4" t="s">
        <v>72</v>
      </c>
      <c r="E129" s="4" t="s">
        <v>35</v>
      </c>
      <c r="F129" s="4" t="s">
        <v>30</v>
      </c>
      <c r="G129" s="6">
        <v>54600</v>
      </c>
      <c r="H129" s="5">
        <v>12</v>
      </c>
      <c r="I129" s="7">
        <v>41553</v>
      </c>
      <c r="J129" s="4" t="s">
        <v>39</v>
      </c>
      <c r="K129" s="5">
        <v>3</v>
      </c>
      <c r="L129" s="6">
        <v>1947.57</v>
      </c>
      <c r="M129" s="6">
        <v>0</v>
      </c>
      <c r="N129" s="5">
        <v>38</v>
      </c>
      <c r="O129" s="6">
        <v>52.11</v>
      </c>
      <c r="P129" s="5">
        <v>7</v>
      </c>
      <c r="Q129" s="6">
        <v>9000</v>
      </c>
      <c r="R129" s="6">
        <v>2439.81</v>
      </c>
      <c r="S129" s="6">
        <v>166000</v>
      </c>
      <c r="T129" s="6">
        <v>923</v>
      </c>
      <c r="U129" s="5">
        <v>691</v>
      </c>
      <c r="V129" s="5">
        <v>0</v>
      </c>
    </row>
    <row r="130" spans="1:22" x14ac:dyDescent="0.25">
      <c r="A130" s="4" t="s">
        <v>190</v>
      </c>
      <c r="B130" s="5">
        <v>33</v>
      </c>
      <c r="C130" s="4" t="s">
        <v>23</v>
      </c>
      <c r="D130" s="4" t="s">
        <v>34</v>
      </c>
      <c r="E130" s="4" t="s">
        <v>54</v>
      </c>
      <c r="F130" s="4" t="s">
        <v>30</v>
      </c>
      <c r="G130" s="6">
        <v>20200</v>
      </c>
      <c r="H130" s="5">
        <v>9</v>
      </c>
      <c r="I130" s="7">
        <v>42688</v>
      </c>
      <c r="J130" s="4" t="s">
        <v>31</v>
      </c>
      <c r="K130" s="5">
        <v>3</v>
      </c>
      <c r="L130" s="6">
        <v>7226.72</v>
      </c>
      <c r="M130" s="6">
        <v>0</v>
      </c>
      <c r="N130" s="5">
        <v>25</v>
      </c>
      <c r="O130" s="6">
        <v>62.01</v>
      </c>
      <c r="P130" s="5">
        <v>3</v>
      </c>
      <c r="Q130" s="6">
        <v>2500</v>
      </c>
      <c r="R130" s="6">
        <v>699.85</v>
      </c>
      <c r="S130" s="6">
        <v>0</v>
      </c>
      <c r="T130" s="6">
        <v>0</v>
      </c>
      <c r="U130" s="5">
        <v>658</v>
      </c>
      <c r="V130" s="5">
        <v>0</v>
      </c>
    </row>
    <row r="131" spans="1:22" x14ac:dyDescent="0.25">
      <c r="A131" s="4" t="s">
        <v>191</v>
      </c>
      <c r="B131" s="5">
        <v>33</v>
      </c>
      <c r="C131" s="4" t="s">
        <v>33</v>
      </c>
      <c r="D131" s="4" t="s">
        <v>29</v>
      </c>
      <c r="E131" s="4" t="s">
        <v>90</v>
      </c>
      <c r="F131" s="4" t="s">
        <v>30</v>
      </c>
      <c r="G131" s="6">
        <v>72500</v>
      </c>
      <c r="H131" s="5">
        <v>6</v>
      </c>
      <c r="I131" s="7">
        <v>43852</v>
      </c>
      <c r="J131" s="4" t="s">
        <v>27</v>
      </c>
      <c r="K131" s="5">
        <v>3</v>
      </c>
      <c r="L131" s="6">
        <v>3251.02</v>
      </c>
      <c r="M131" s="6">
        <v>46896.24</v>
      </c>
      <c r="N131" s="5">
        <v>49</v>
      </c>
      <c r="O131" s="6">
        <v>70.180000000000007</v>
      </c>
      <c r="P131" s="5">
        <v>2</v>
      </c>
      <c r="Q131" s="6">
        <v>15000</v>
      </c>
      <c r="R131" s="6">
        <v>182.85</v>
      </c>
      <c r="S131" s="6">
        <v>0</v>
      </c>
      <c r="T131" s="6">
        <v>0</v>
      </c>
      <c r="U131" s="5">
        <v>703</v>
      </c>
      <c r="V131" s="5">
        <v>0</v>
      </c>
    </row>
    <row r="132" spans="1:22" x14ac:dyDescent="0.25">
      <c r="A132" s="4" t="s">
        <v>192</v>
      </c>
      <c r="B132" s="5">
        <v>45</v>
      </c>
      <c r="C132" s="4" t="s">
        <v>23</v>
      </c>
      <c r="D132" s="4" t="s">
        <v>51</v>
      </c>
      <c r="E132" s="4" t="s">
        <v>67</v>
      </c>
      <c r="F132" s="4" t="s">
        <v>30</v>
      </c>
      <c r="G132" s="6">
        <v>5000</v>
      </c>
      <c r="H132" s="5">
        <v>12</v>
      </c>
      <c r="I132" s="7">
        <v>41593</v>
      </c>
      <c r="J132" s="4" t="s">
        <v>31</v>
      </c>
      <c r="K132" s="5">
        <v>1</v>
      </c>
      <c r="L132" s="6">
        <v>579.82000000000005</v>
      </c>
      <c r="M132" s="6">
        <v>10632.05</v>
      </c>
      <c r="N132" s="5">
        <v>21</v>
      </c>
      <c r="O132" s="6">
        <v>44.21</v>
      </c>
      <c r="P132" s="5">
        <v>0</v>
      </c>
      <c r="Q132" s="6">
        <v>1000</v>
      </c>
      <c r="R132" s="6">
        <v>258.74</v>
      </c>
      <c r="S132" s="6">
        <v>0</v>
      </c>
      <c r="T132" s="6">
        <v>0</v>
      </c>
      <c r="U132" s="5">
        <v>544</v>
      </c>
      <c r="V132" s="5">
        <v>0</v>
      </c>
    </row>
    <row r="133" spans="1:22" x14ac:dyDescent="0.25">
      <c r="A133" s="4" t="s">
        <v>193</v>
      </c>
      <c r="B133" s="5">
        <v>47</v>
      </c>
      <c r="C133" s="4" t="s">
        <v>33</v>
      </c>
      <c r="D133" s="4" t="s">
        <v>51</v>
      </c>
      <c r="E133" s="4" t="s">
        <v>42</v>
      </c>
      <c r="F133" s="4" t="s">
        <v>30</v>
      </c>
      <c r="G133" s="6">
        <v>94700</v>
      </c>
      <c r="H133" s="5">
        <v>9</v>
      </c>
      <c r="I133" s="7">
        <v>42982</v>
      </c>
      <c r="J133" s="4" t="s">
        <v>27</v>
      </c>
      <c r="K133" s="5">
        <v>2</v>
      </c>
      <c r="L133" s="6">
        <v>6506.46</v>
      </c>
      <c r="M133" s="6">
        <v>47335.08</v>
      </c>
      <c r="N133" s="5">
        <v>47</v>
      </c>
      <c r="O133" s="6">
        <v>122.9</v>
      </c>
      <c r="P133" s="5">
        <v>1</v>
      </c>
      <c r="Q133" s="6">
        <v>0</v>
      </c>
      <c r="R133" s="6">
        <v>0</v>
      </c>
      <c r="S133" s="6">
        <v>171000</v>
      </c>
      <c r="T133" s="6">
        <v>1116</v>
      </c>
      <c r="U133" s="5">
        <v>716</v>
      </c>
      <c r="V133" s="5">
        <v>0</v>
      </c>
    </row>
    <row r="134" spans="1:22" x14ac:dyDescent="0.25">
      <c r="A134" s="4" t="s">
        <v>194</v>
      </c>
      <c r="B134" s="5">
        <v>61</v>
      </c>
      <c r="C134" s="4" t="s">
        <v>23</v>
      </c>
      <c r="D134" s="4" t="s">
        <v>57</v>
      </c>
      <c r="E134" s="4" t="s">
        <v>42</v>
      </c>
      <c r="F134" s="4" t="s">
        <v>38</v>
      </c>
      <c r="G134" s="6">
        <v>174700</v>
      </c>
      <c r="H134" s="5">
        <v>12</v>
      </c>
      <c r="I134" s="7">
        <v>41836</v>
      </c>
      <c r="J134" s="4" t="s">
        <v>49</v>
      </c>
      <c r="K134" s="5">
        <v>5</v>
      </c>
      <c r="L134" s="6">
        <v>10518.62</v>
      </c>
      <c r="M134" s="6">
        <v>0</v>
      </c>
      <c r="N134" s="5">
        <v>65</v>
      </c>
      <c r="O134" s="6">
        <v>257.18</v>
      </c>
      <c r="P134" s="5">
        <v>1</v>
      </c>
      <c r="Q134" s="6">
        <v>0</v>
      </c>
      <c r="R134" s="6">
        <v>0</v>
      </c>
      <c r="S134" s="6">
        <v>0</v>
      </c>
      <c r="T134" s="6">
        <v>0</v>
      </c>
      <c r="U134" s="5">
        <v>669</v>
      </c>
      <c r="V134" s="5">
        <v>0</v>
      </c>
    </row>
    <row r="135" spans="1:22" x14ac:dyDescent="0.25">
      <c r="A135" s="4" t="s">
        <v>195</v>
      </c>
      <c r="B135" s="5">
        <v>41</v>
      </c>
      <c r="C135" s="4" t="s">
        <v>23</v>
      </c>
      <c r="D135" s="4" t="s">
        <v>34</v>
      </c>
      <c r="E135" s="4" t="s">
        <v>25</v>
      </c>
      <c r="F135" s="4" t="s">
        <v>30</v>
      </c>
      <c r="G135" s="6">
        <v>40000</v>
      </c>
      <c r="H135" s="5">
        <v>16</v>
      </c>
      <c r="I135" s="7">
        <v>40091</v>
      </c>
      <c r="J135" s="4" t="s">
        <v>31</v>
      </c>
      <c r="K135" s="5">
        <v>2</v>
      </c>
      <c r="L135" s="6">
        <v>1351.18</v>
      </c>
      <c r="M135" s="6">
        <v>29160.29</v>
      </c>
      <c r="N135" s="5">
        <v>32</v>
      </c>
      <c r="O135" s="6">
        <v>46.45</v>
      </c>
      <c r="P135" s="5">
        <v>1</v>
      </c>
      <c r="Q135" s="6">
        <v>8000</v>
      </c>
      <c r="R135" s="6">
        <v>1768.35</v>
      </c>
      <c r="S135" s="6">
        <v>187000</v>
      </c>
      <c r="T135" s="6">
        <v>1019</v>
      </c>
      <c r="U135" s="5">
        <v>652</v>
      </c>
      <c r="V135" s="5">
        <v>0</v>
      </c>
    </row>
    <row r="136" spans="1:22" x14ac:dyDescent="0.25">
      <c r="A136" s="4" t="s">
        <v>196</v>
      </c>
      <c r="B136" s="5">
        <v>41</v>
      </c>
      <c r="C136" s="4" t="s">
        <v>23</v>
      </c>
      <c r="D136" s="4" t="s">
        <v>24</v>
      </c>
      <c r="E136" s="4" t="s">
        <v>90</v>
      </c>
      <c r="F136" s="4" t="s">
        <v>30</v>
      </c>
      <c r="G136" s="6">
        <v>51400</v>
      </c>
      <c r="H136" s="5">
        <v>15</v>
      </c>
      <c r="I136" s="7">
        <v>40711</v>
      </c>
      <c r="J136" s="4" t="s">
        <v>39</v>
      </c>
      <c r="K136" s="5">
        <v>3</v>
      </c>
      <c r="L136" s="6">
        <v>10377.65</v>
      </c>
      <c r="M136" s="6">
        <v>57948.28</v>
      </c>
      <c r="N136" s="5">
        <v>42</v>
      </c>
      <c r="O136" s="6">
        <v>131.69999999999999</v>
      </c>
      <c r="P136" s="5">
        <v>3</v>
      </c>
      <c r="Q136" s="6">
        <v>8000</v>
      </c>
      <c r="R136" s="6">
        <v>2024.21</v>
      </c>
      <c r="S136" s="6">
        <v>0</v>
      </c>
      <c r="T136" s="6">
        <v>0</v>
      </c>
      <c r="U136" s="5">
        <v>741</v>
      </c>
      <c r="V136" s="5">
        <v>0</v>
      </c>
    </row>
    <row r="137" spans="1:22" x14ac:dyDescent="0.25">
      <c r="A137" s="4" t="s">
        <v>197</v>
      </c>
      <c r="B137" s="5">
        <v>55</v>
      </c>
      <c r="C137" s="4" t="s">
        <v>23</v>
      </c>
      <c r="D137" s="4" t="s">
        <v>24</v>
      </c>
      <c r="E137" s="4" t="s">
        <v>54</v>
      </c>
      <c r="F137" s="4" t="s">
        <v>30</v>
      </c>
      <c r="G137" s="6">
        <v>29900</v>
      </c>
      <c r="H137" s="5">
        <v>20</v>
      </c>
      <c r="I137" s="7">
        <v>38668</v>
      </c>
      <c r="J137" s="4" t="s">
        <v>39</v>
      </c>
      <c r="K137" s="5">
        <v>3</v>
      </c>
      <c r="L137" s="6">
        <v>4475.6899999999996</v>
      </c>
      <c r="M137" s="6">
        <v>26252.27</v>
      </c>
      <c r="N137" s="5">
        <v>19</v>
      </c>
      <c r="O137" s="6">
        <v>52.64</v>
      </c>
      <c r="P137" s="5">
        <v>3</v>
      </c>
      <c r="Q137" s="6">
        <v>4000</v>
      </c>
      <c r="R137" s="6">
        <v>515.11</v>
      </c>
      <c r="S137" s="6">
        <v>0</v>
      </c>
      <c r="T137" s="6">
        <v>0</v>
      </c>
      <c r="U137" s="5">
        <v>684</v>
      </c>
      <c r="V137" s="5">
        <v>0</v>
      </c>
    </row>
    <row r="138" spans="1:22" x14ac:dyDescent="0.25">
      <c r="A138" s="4" t="s">
        <v>198</v>
      </c>
      <c r="B138" s="5">
        <v>61</v>
      </c>
      <c r="C138" s="4" t="s">
        <v>23</v>
      </c>
      <c r="D138" s="4" t="s">
        <v>41</v>
      </c>
      <c r="E138" s="4" t="s">
        <v>63</v>
      </c>
      <c r="F138" s="4" t="s">
        <v>30</v>
      </c>
      <c r="G138" s="6">
        <v>31700</v>
      </c>
      <c r="H138" s="5">
        <v>12</v>
      </c>
      <c r="I138" s="7">
        <v>41568</v>
      </c>
      <c r="J138" s="4" t="s">
        <v>39</v>
      </c>
      <c r="K138" s="5">
        <v>2</v>
      </c>
      <c r="L138" s="6">
        <v>2588</v>
      </c>
      <c r="M138" s="6">
        <v>0</v>
      </c>
      <c r="N138" s="5">
        <v>22</v>
      </c>
      <c r="O138" s="6">
        <v>29.89</v>
      </c>
      <c r="P138" s="5">
        <v>8</v>
      </c>
      <c r="Q138" s="6">
        <v>7000</v>
      </c>
      <c r="R138" s="6">
        <v>2600.37</v>
      </c>
      <c r="S138" s="6">
        <v>0</v>
      </c>
      <c r="T138" s="6">
        <v>0</v>
      </c>
      <c r="U138" s="5">
        <v>711</v>
      </c>
      <c r="V138" s="5">
        <v>1</v>
      </c>
    </row>
    <row r="139" spans="1:22" x14ac:dyDescent="0.25">
      <c r="A139" s="4" t="s">
        <v>199</v>
      </c>
      <c r="B139" s="5">
        <v>46</v>
      </c>
      <c r="C139" s="4" t="s">
        <v>33</v>
      </c>
      <c r="D139" s="4" t="s">
        <v>44</v>
      </c>
      <c r="E139" s="4" t="s">
        <v>90</v>
      </c>
      <c r="F139" s="4" t="s">
        <v>26</v>
      </c>
      <c r="G139" s="6">
        <v>169500</v>
      </c>
      <c r="H139" s="5">
        <v>6</v>
      </c>
      <c r="I139" s="7">
        <v>43896</v>
      </c>
      <c r="J139" s="4" t="s">
        <v>39</v>
      </c>
      <c r="K139" s="5">
        <v>1</v>
      </c>
      <c r="L139" s="6">
        <v>6430.63</v>
      </c>
      <c r="M139" s="6">
        <v>0</v>
      </c>
      <c r="N139" s="5">
        <v>60</v>
      </c>
      <c r="O139" s="6">
        <v>148.69</v>
      </c>
      <c r="P139" s="5">
        <v>5</v>
      </c>
      <c r="Q139" s="6">
        <v>15000</v>
      </c>
      <c r="R139" s="6">
        <v>1289.27</v>
      </c>
      <c r="S139" s="6">
        <v>0</v>
      </c>
      <c r="T139" s="6">
        <v>0</v>
      </c>
      <c r="U139" s="5">
        <v>713</v>
      </c>
      <c r="V139" s="5">
        <v>0</v>
      </c>
    </row>
    <row r="140" spans="1:22" x14ac:dyDescent="0.25">
      <c r="A140" s="4" t="s">
        <v>200</v>
      </c>
      <c r="B140" s="5">
        <v>48</v>
      </c>
      <c r="C140" s="4" t="s">
        <v>23</v>
      </c>
      <c r="D140" s="4" t="s">
        <v>62</v>
      </c>
      <c r="E140" s="4" t="s">
        <v>45</v>
      </c>
      <c r="F140" s="4" t="s">
        <v>30</v>
      </c>
      <c r="G140" s="6">
        <v>24300</v>
      </c>
      <c r="H140" s="5">
        <v>14</v>
      </c>
      <c r="I140" s="7">
        <v>41129</v>
      </c>
      <c r="J140" s="4" t="s">
        <v>39</v>
      </c>
      <c r="K140" s="5">
        <v>1</v>
      </c>
      <c r="L140" s="6">
        <v>6511.75</v>
      </c>
      <c r="M140" s="6">
        <v>21896.81</v>
      </c>
      <c r="N140" s="5">
        <v>18</v>
      </c>
      <c r="O140" s="6">
        <v>72.23</v>
      </c>
      <c r="P140" s="5">
        <v>8</v>
      </c>
      <c r="Q140" s="6">
        <v>6000</v>
      </c>
      <c r="R140" s="6">
        <v>2816.5</v>
      </c>
      <c r="S140" s="6">
        <v>39000</v>
      </c>
      <c r="T140" s="6">
        <v>204</v>
      </c>
      <c r="U140" s="5">
        <v>596</v>
      </c>
      <c r="V140" s="5">
        <v>0</v>
      </c>
    </row>
    <row r="141" spans="1:22" x14ac:dyDescent="0.25">
      <c r="A141" s="4" t="s">
        <v>201</v>
      </c>
      <c r="B141" s="5">
        <v>32</v>
      </c>
      <c r="C141" s="4" t="s">
        <v>23</v>
      </c>
      <c r="D141" s="4" t="s">
        <v>108</v>
      </c>
      <c r="E141" s="4" t="s">
        <v>45</v>
      </c>
      <c r="F141" s="4" t="s">
        <v>30</v>
      </c>
      <c r="G141" s="6">
        <v>14200</v>
      </c>
      <c r="H141" s="5">
        <v>3</v>
      </c>
      <c r="I141" s="7">
        <v>44872</v>
      </c>
      <c r="J141" s="4" t="s">
        <v>39</v>
      </c>
      <c r="K141" s="5">
        <v>1</v>
      </c>
      <c r="L141" s="6">
        <v>616.48</v>
      </c>
      <c r="M141" s="6">
        <v>0</v>
      </c>
      <c r="N141" s="5">
        <v>22</v>
      </c>
      <c r="O141" s="6">
        <v>18.64</v>
      </c>
      <c r="P141" s="5">
        <v>6</v>
      </c>
      <c r="Q141" s="6">
        <v>0</v>
      </c>
      <c r="R141" s="6">
        <v>0</v>
      </c>
      <c r="S141" s="6">
        <v>0</v>
      </c>
      <c r="T141" s="6">
        <v>0</v>
      </c>
      <c r="U141" s="5">
        <v>650</v>
      </c>
      <c r="V141" s="5">
        <v>0</v>
      </c>
    </row>
    <row r="142" spans="1:22" x14ac:dyDescent="0.25">
      <c r="A142" s="4" t="s">
        <v>202</v>
      </c>
      <c r="B142" s="5">
        <v>39</v>
      </c>
      <c r="C142" s="4" t="s">
        <v>23</v>
      </c>
      <c r="D142" s="4" t="s">
        <v>24</v>
      </c>
      <c r="E142" s="4" t="s">
        <v>42</v>
      </c>
      <c r="F142" s="4" t="s">
        <v>48</v>
      </c>
      <c r="G142" s="6">
        <v>86300</v>
      </c>
      <c r="H142" s="5">
        <v>9</v>
      </c>
      <c r="I142" s="7">
        <v>42654</v>
      </c>
      <c r="J142" s="4" t="s">
        <v>31</v>
      </c>
      <c r="K142" s="5">
        <v>2</v>
      </c>
      <c r="L142" s="6">
        <v>20033.560000000001</v>
      </c>
      <c r="M142" s="6">
        <v>0</v>
      </c>
      <c r="N142" s="5">
        <v>64</v>
      </c>
      <c r="O142" s="6">
        <v>98.56</v>
      </c>
      <c r="P142" s="5">
        <v>2</v>
      </c>
      <c r="Q142" s="6">
        <v>13000</v>
      </c>
      <c r="R142" s="6">
        <v>2110.23</v>
      </c>
      <c r="S142" s="6">
        <v>233000</v>
      </c>
      <c r="T142" s="6">
        <v>1413</v>
      </c>
      <c r="U142" s="5">
        <v>713</v>
      </c>
      <c r="V142" s="5">
        <v>0</v>
      </c>
    </row>
    <row r="143" spans="1:22" x14ac:dyDescent="0.25">
      <c r="A143" s="4" t="s">
        <v>203</v>
      </c>
      <c r="B143" s="5">
        <v>39</v>
      </c>
      <c r="C143" s="4" t="s">
        <v>33</v>
      </c>
      <c r="D143" s="4" t="s">
        <v>108</v>
      </c>
      <c r="E143" s="4" t="s">
        <v>25</v>
      </c>
      <c r="F143" s="4" t="s">
        <v>30</v>
      </c>
      <c r="G143" s="6">
        <v>50000</v>
      </c>
      <c r="H143" s="5">
        <v>3</v>
      </c>
      <c r="I143" s="7">
        <v>44952</v>
      </c>
      <c r="J143" s="4" t="s">
        <v>31</v>
      </c>
      <c r="K143" s="5">
        <v>2</v>
      </c>
      <c r="L143" s="6">
        <v>1914.07</v>
      </c>
      <c r="M143" s="6">
        <v>19074.580000000002</v>
      </c>
      <c r="N143" s="5">
        <v>25</v>
      </c>
      <c r="O143" s="6">
        <v>75.040000000000006</v>
      </c>
      <c r="P143" s="5">
        <v>1</v>
      </c>
      <c r="Q143" s="6">
        <v>7500</v>
      </c>
      <c r="R143" s="6">
        <v>2860.24</v>
      </c>
      <c r="S143" s="6">
        <v>78000</v>
      </c>
      <c r="T143" s="6">
        <v>386</v>
      </c>
      <c r="U143" s="5">
        <v>570</v>
      </c>
      <c r="V143" s="5">
        <v>0</v>
      </c>
    </row>
    <row r="144" spans="1:22" x14ac:dyDescent="0.25">
      <c r="A144" s="4" t="s">
        <v>204</v>
      </c>
      <c r="B144" s="5">
        <v>52</v>
      </c>
      <c r="C144" s="4" t="s">
        <v>23</v>
      </c>
      <c r="D144" s="4" t="s">
        <v>34</v>
      </c>
      <c r="E144" s="4" t="s">
        <v>35</v>
      </c>
      <c r="F144" s="4" t="s">
        <v>30</v>
      </c>
      <c r="G144" s="6">
        <v>55700</v>
      </c>
      <c r="H144" s="5">
        <v>13</v>
      </c>
      <c r="I144" s="7">
        <v>41253</v>
      </c>
      <c r="J144" s="4" t="s">
        <v>27</v>
      </c>
      <c r="K144" s="5">
        <v>1</v>
      </c>
      <c r="L144" s="6">
        <v>6870.63</v>
      </c>
      <c r="M144" s="6">
        <v>115747.69</v>
      </c>
      <c r="N144" s="5">
        <v>34</v>
      </c>
      <c r="O144" s="6">
        <v>86.74</v>
      </c>
      <c r="P144" s="5">
        <v>3</v>
      </c>
      <c r="Q144" s="6">
        <v>0</v>
      </c>
      <c r="R144" s="6">
        <v>0</v>
      </c>
      <c r="S144" s="6">
        <v>0</v>
      </c>
      <c r="T144" s="6">
        <v>0</v>
      </c>
      <c r="U144" s="5">
        <v>660</v>
      </c>
      <c r="V144" s="5">
        <v>1</v>
      </c>
    </row>
    <row r="145" spans="1:22" x14ac:dyDescent="0.25">
      <c r="A145" s="4" t="s">
        <v>205</v>
      </c>
      <c r="B145" s="5">
        <v>24</v>
      </c>
      <c r="C145" s="4" t="s">
        <v>23</v>
      </c>
      <c r="D145" s="4" t="s">
        <v>206</v>
      </c>
      <c r="E145" s="4" t="s">
        <v>45</v>
      </c>
      <c r="F145" s="4" t="s">
        <v>26</v>
      </c>
      <c r="G145" s="6">
        <v>28300</v>
      </c>
      <c r="H145" s="5">
        <v>4</v>
      </c>
      <c r="I145" s="7">
        <v>44577</v>
      </c>
      <c r="J145" s="4" t="s">
        <v>31</v>
      </c>
      <c r="K145" s="5">
        <v>3</v>
      </c>
      <c r="L145" s="6">
        <v>4384.87</v>
      </c>
      <c r="M145" s="6">
        <v>12021</v>
      </c>
      <c r="N145" s="5">
        <v>28</v>
      </c>
      <c r="O145" s="6">
        <v>55.27</v>
      </c>
      <c r="P145" s="5">
        <v>1</v>
      </c>
      <c r="Q145" s="6">
        <v>6000</v>
      </c>
      <c r="R145" s="6">
        <v>714.94</v>
      </c>
      <c r="S145" s="6">
        <v>0</v>
      </c>
      <c r="T145" s="6">
        <v>0</v>
      </c>
      <c r="U145" s="5">
        <v>597</v>
      </c>
      <c r="V145" s="5">
        <v>0</v>
      </c>
    </row>
    <row r="146" spans="1:22" x14ac:dyDescent="0.25">
      <c r="A146" s="4" t="s">
        <v>207</v>
      </c>
      <c r="B146" s="5">
        <v>35</v>
      </c>
      <c r="C146" s="4" t="s">
        <v>33</v>
      </c>
      <c r="D146" s="4" t="s">
        <v>34</v>
      </c>
      <c r="E146" s="4" t="s">
        <v>25</v>
      </c>
      <c r="F146" s="4" t="s">
        <v>48</v>
      </c>
      <c r="G146" s="6">
        <v>21100</v>
      </c>
      <c r="H146" s="5">
        <v>6</v>
      </c>
      <c r="I146" s="7">
        <v>43753</v>
      </c>
      <c r="J146" s="4" t="s">
        <v>31</v>
      </c>
      <c r="K146" s="5">
        <v>2</v>
      </c>
      <c r="L146" s="6">
        <v>1137.74</v>
      </c>
      <c r="M146" s="6">
        <v>9839.09</v>
      </c>
      <c r="N146" s="5">
        <v>21</v>
      </c>
      <c r="O146" s="6">
        <v>48.34</v>
      </c>
      <c r="P146" s="5">
        <v>1</v>
      </c>
      <c r="Q146" s="6">
        <v>0</v>
      </c>
      <c r="R146" s="6">
        <v>0</v>
      </c>
      <c r="S146" s="6">
        <v>0</v>
      </c>
      <c r="T146" s="6">
        <v>0</v>
      </c>
      <c r="U146" s="5">
        <v>590</v>
      </c>
      <c r="V146" s="5">
        <v>0</v>
      </c>
    </row>
    <row r="147" spans="1:22" x14ac:dyDescent="0.25">
      <c r="A147" s="4" t="s">
        <v>208</v>
      </c>
      <c r="B147" s="5">
        <v>68</v>
      </c>
      <c r="C147" s="4" t="s">
        <v>33</v>
      </c>
      <c r="D147" s="4" t="s">
        <v>70</v>
      </c>
      <c r="E147" s="4" t="s">
        <v>95</v>
      </c>
      <c r="F147" s="4" t="s">
        <v>30</v>
      </c>
      <c r="G147" s="6">
        <v>24300</v>
      </c>
      <c r="H147" s="5">
        <v>8</v>
      </c>
      <c r="I147" s="7">
        <v>43083</v>
      </c>
      <c r="J147" s="4" t="s">
        <v>39</v>
      </c>
      <c r="K147" s="5">
        <v>2</v>
      </c>
      <c r="L147" s="6">
        <v>2471.25</v>
      </c>
      <c r="M147" s="6">
        <v>11517.14</v>
      </c>
      <c r="N147" s="5">
        <v>22</v>
      </c>
      <c r="O147" s="6">
        <v>53.7</v>
      </c>
      <c r="P147" s="5">
        <v>8</v>
      </c>
      <c r="Q147" s="6">
        <v>0</v>
      </c>
      <c r="R147" s="6">
        <v>0</v>
      </c>
      <c r="S147" s="6">
        <v>0</v>
      </c>
      <c r="T147" s="6">
        <v>0</v>
      </c>
      <c r="U147" s="5">
        <v>633</v>
      </c>
      <c r="V147" s="5">
        <v>0</v>
      </c>
    </row>
    <row r="148" spans="1:22" x14ac:dyDescent="0.25">
      <c r="A148" s="4" t="s">
        <v>209</v>
      </c>
      <c r="B148" s="5">
        <v>61</v>
      </c>
      <c r="C148" s="4" t="s">
        <v>33</v>
      </c>
      <c r="D148" s="4" t="s">
        <v>24</v>
      </c>
      <c r="E148" s="4" t="s">
        <v>63</v>
      </c>
      <c r="F148" s="4" t="s">
        <v>30</v>
      </c>
      <c r="G148" s="6">
        <v>38200</v>
      </c>
      <c r="H148" s="5">
        <v>4</v>
      </c>
      <c r="I148" s="7">
        <v>44712</v>
      </c>
      <c r="J148" s="4" t="s">
        <v>39</v>
      </c>
      <c r="K148" s="5">
        <v>3</v>
      </c>
      <c r="L148" s="6">
        <v>5152.7700000000004</v>
      </c>
      <c r="M148" s="6">
        <v>7027</v>
      </c>
      <c r="N148" s="5">
        <v>15</v>
      </c>
      <c r="O148" s="6">
        <v>59.61</v>
      </c>
      <c r="P148" s="5">
        <v>5</v>
      </c>
      <c r="Q148" s="6">
        <v>0</v>
      </c>
      <c r="R148" s="6">
        <v>0</v>
      </c>
      <c r="S148" s="6">
        <v>0</v>
      </c>
      <c r="T148" s="6">
        <v>0</v>
      </c>
      <c r="U148" s="5">
        <v>621</v>
      </c>
      <c r="V148" s="5">
        <v>0</v>
      </c>
    </row>
    <row r="149" spans="1:22" x14ac:dyDescent="0.25">
      <c r="A149" s="4" t="s">
        <v>107</v>
      </c>
      <c r="B149" s="5">
        <v>68</v>
      </c>
      <c r="C149" s="4" t="s">
        <v>33</v>
      </c>
      <c r="D149" s="4" t="s">
        <v>108</v>
      </c>
      <c r="E149" s="4" t="s">
        <v>95</v>
      </c>
      <c r="F149" s="4" t="s">
        <v>30</v>
      </c>
      <c r="G149" s="6">
        <v>19400</v>
      </c>
      <c r="H149" s="5">
        <v>5</v>
      </c>
      <c r="I149" s="7">
        <v>44135</v>
      </c>
      <c r="J149" s="4" t="s">
        <v>39</v>
      </c>
      <c r="K149" s="5">
        <v>2</v>
      </c>
      <c r="L149" s="6">
        <v>2911.52</v>
      </c>
      <c r="M149" s="6">
        <v>8008.63</v>
      </c>
      <c r="N149" s="5">
        <v>16</v>
      </c>
      <c r="O149" s="6">
        <v>59.75</v>
      </c>
      <c r="P149" s="5">
        <v>3</v>
      </c>
      <c r="Q149" s="6">
        <v>0</v>
      </c>
      <c r="R149" s="6">
        <v>0</v>
      </c>
      <c r="S149" s="6">
        <v>0</v>
      </c>
      <c r="T149" s="6">
        <v>0</v>
      </c>
      <c r="U149" s="5">
        <v>595</v>
      </c>
      <c r="V149" s="5">
        <v>0</v>
      </c>
    </row>
    <row r="150" spans="1:22" x14ac:dyDescent="0.25">
      <c r="A150" s="4" t="s">
        <v>210</v>
      </c>
      <c r="B150" s="5">
        <v>45</v>
      </c>
      <c r="C150" s="4" t="s">
        <v>23</v>
      </c>
      <c r="D150" s="4" t="s">
        <v>108</v>
      </c>
      <c r="E150" s="4" t="s">
        <v>25</v>
      </c>
      <c r="F150" s="4" t="s">
        <v>48</v>
      </c>
      <c r="G150" s="6">
        <v>33300</v>
      </c>
      <c r="H150" s="5">
        <v>15</v>
      </c>
      <c r="I150" s="7">
        <v>40471</v>
      </c>
      <c r="J150" s="4" t="s">
        <v>27</v>
      </c>
      <c r="K150" s="5">
        <v>2</v>
      </c>
      <c r="L150" s="6">
        <v>1713.06</v>
      </c>
      <c r="M150" s="6">
        <v>44722.05</v>
      </c>
      <c r="N150" s="5">
        <v>32</v>
      </c>
      <c r="O150" s="6">
        <v>53.58</v>
      </c>
      <c r="P150" s="5">
        <v>3</v>
      </c>
      <c r="Q150" s="6">
        <v>0</v>
      </c>
      <c r="R150" s="6">
        <v>0</v>
      </c>
      <c r="S150" s="6">
        <v>0</v>
      </c>
      <c r="T150" s="6">
        <v>0</v>
      </c>
      <c r="U150" s="5">
        <v>616</v>
      </c>
      <c r="V150" s="5">
        <v>0</v>
      </c>
    </row>
    <row r="151" spans="1:22" x14ac:dyDescent="0.25">
      <c r="A151" s="4" t="s">
        <v>211</v>
      </c>
      <c r="B151" s="5">
        <v>56</v>
      </c>
      <c r="C151" s="4" t="s">
        <v>23</v>
      </c>
      <c r="D151" s="4" t="s">
        <v>24</v>
      </c>
      <c r="E151" s="4" t="s">
        <v>45</v>
      </c>
      <c r="F151" s="4" t="s">
        <v>30</v>
      </c>
      <c r="G151" s="6">
        <v>19300</v>
      </c>
      <c r="H151" s="5">
        <v>23</v>
      </c>
      <c r="I151" s="7">
        <v>37868</v>
      </c>
      <c r="J151" s="4" t="s">
        <v>27</v>
      </c>
      <c r="K151" s="5">
        <v>4</v>
      </c>
      <c r="L151" s="6">
        <v>1274.08</v>
      </c>
      <c r="M151" s="6">
        <v>26371.96</v>
      </c>
      <c r="N151" s="5">
        <v>35</v>
      </c>
      <c r="O151" s="6">
        <v>65.77</v>
      </c>
      <c r="P151" s="5">
        <v>1</v>
      </c>
      <c r="Q151" s="6">
        <v>2000</v>
      </c>
      <c r="R151" s="6">
        <v>699.38</v>
      </c>
      <c r="S151" s="6">
        <v>0</v>
      </c>
      <c r="T151" s="6">
        <v>0</v>
      </c>
      <c r="U151" s="5">
        <v>691</v>
      </c>
      <c r="V151" s="5">
        <v>0</v>
      </c>
    </row>
    <row r="152" spans="1:22" x14ac:dyDescent="0.25">
      <c r="A152" s="4" t="s">
        <v>212</v>
      </c>
      <c r="B152" s="5">
        <v>52</v>
      </c>
      <c r="C152" s="4" t="s">
        <v>23</v>
      </c>
      <c r="D152" s="4" t="s">
        <v>134</v>
      </c>
      <c r="E152" s="4" t="s">
        <v>35</v>
      </c>
      <c r="F152" s="4" t="s">
        <v>30</v>
      </c>
      <c r="G152" s="6">
        <v>70400</v>
      </c>
      <c r="H152" s="5">
        <v>22</v>
      </c>
      <c r="I152" s="7">
        <v>38000</v>
      </c>
      <c r="J152" s="4" t="s">
        <v>31</v>
      </c>
      <c r="K152" s="5">
        <v>3</v>
      </c>
      <c r="L152" s="6">
        <v>5830.82</v>
      </c>
      <c r="M152" s="6">
        <v>0</v>
      </c>
      <c r="N152" s="5">
        <v>42</v>
      </c>
      <c r="O152" s="6">
        <v>100.66</v>
      </c>
      <c r="P152" s="5">
        <v>0</v>
      </c>
      <c r="Q152" s="6">
        <v>15000</v>
      </c>
      <c r="R152" s="6">
        <v>703.99</v>
      </c>
      <c r="S152" s="6">
        <v>0</v>
      </c>
      <c r="T152" s="6">
        <v>0</v>
      </c>
      <c r="U152" s="5">
        <v>678</v>
      </c>
      <c r="V152" s="5">
        <v>0</v>
      </c>
    </row>
    <row r="153" spans="1:22" x14ac:dyDescent="0.25">
      <c r="A153" s="4" t="s">
        <v>213</v>
      </c>
      <c r="B153" s="5">
        <v>55</v>
      </c>
      <c r="C153" s="4" t="s">
        <v>33</v>
      </c>
      <c r="D153" s="4" t="s">
        <v>59</v>
      </c>
      <c r="E153" s="4" t="s">
        <v>63</v>
      </c>
      <c r="F153" s="4" t="s">
        <v>30</v>
      </c>
      <c r="G153" s="6">
        <v>40100</v>
      </c>
      <c r="H153" s="5">
        <v>8</v>
      </c>
      <c r="I153" s="7">
        <v>43092</v>
      </c>
      <c r="J153" s="4" t="s">
        <v>27</v>
      </c>
      <c r="K153" s="5">
        <v>1</v>
      </c>
      <c r="L153" s="6">
        <v>3896.34</v>
      </c>
      <c r="M153" s="6">
        <v>26732.26</v>
      </c>
      <c r="N153" s="5">
        <v>35</v>
      </c>
      <c r="O153" s="6">
        <v>42.96</v>
      </c>
      <c r="P153" s="5">
        <v>1</v>
      </c>
      <c r="Q153" s="6">
        <v>0</v>
      </c>
      <c r="R153" s="6">
        <v>0</v>
      </c>
      <c r="S153" s="6">
        <v>156000</v>
      </c>
      <c r="T153" s="6">
        <v>1112</v>
      </c>
      <c r="U153" s="5">
        <v>635</v>
      </c>
      <c r="V153" s="5">
        <v>0</v>
      </c>
    </row>
    <row r="154" spans="1:22" x14ac:dyDescent="0.25">
      <c r="A154" s="4" t="s">
        <v>214</v>
      </c>
      <c r="B154" s="5">
        <v>45</v>
      </c>
      <c r="C154" s="4" t="s">
        <v>33</v>
      </c>
      <c r="D154" s="4" t="s">
        <v>59</v>
      </c>
      <c r="E154" s="4" t="s">
        <v>35</v>
      </c>
      <c r="F154" s="4" t="s">
        <v>30</v>
      </c>
      <c r="G154" s="6">
        <v>42900</v>
      </c>
      <c r="H154" s="5">
        <v>9</v>
      </c>
      <c r="I154" s="7">
        <v>42708</v>
      </c>
      <c r="J154" s="4" t="s">
        <v>31</v>
      </c>
      <c r="K154" s="5">
        <v>1</v>
      </c>
      <c r="L154" s="6">
        <v>9852.65</v>
      </c>
      <c r="M154" s="6">
        <v>48641.48</v>
      </c>
      <c r="N154" s="5">
        <v>43</v>
      </c>
      <c r="O154" s="6">
        <v>62.2</v>
      </c>
      <c r="P154" s="5">
        <v>3</v>
      </c>
      <c r="Q154" s="6">
        <v>0</v>
      </c>
      <c r="R154" s="6">
        <v>0</v>
      </c>
      <c r="S154" s="6">
        <v>78000</v>
      </c>
      <c r="T154" s="6">
        <v>439</v>
      </c>
      <c r="U154" s="5">
        <v>672</v>
      </c>
      <c r="V154" s="5">
        <v>0</v>
      </c>
    </row>
    <row r="155" spans="1:22" x14ac:dyDescent="0.25">
      <c r="A155" s="4" t="s">
        <v>215</v>
      </c>
      <c r="B155" s="5">
        <v>53</v>
      </c>
      <c r="C155" s="4" t="s">
        <v>33</v>
      </c>
      <c r="D155" s="4" t="s">
        <v>98</v>
      </c>
      <c r="E155" s="4" t="s">
        <v>45</v>
      </c>
      <c r="F155" s="4" t="s">
        <v>30</v>
      </c>
      <c r="G155" s="6">
        <v>21300</v>
      </c>
      <c r="H155" s="5">
        <v>22</v>
      </c>
      <c r="I155" s="7">
        <v>38139</v>
      </c>
      <c r="J155" s="4" t="s">
        <v>31</v>
      </c>
      <c r="K155" s="5">
        <v>2</v>
      </c>
      <c r="L155" s="6">
        <v>838.69</v>
      </c>
      <c r="M155" s="6">
        <v>71450.94</v>
      </c>
      <c r="N155" s="5">
        <v>35</v>
      </c>
      <c r="O155" s="6">
        <v>38.9</v>
      </c>
      <c r="P155" s="5">
        <v>2</v>
      </c>
      <c r="Q155" s="6">
        <v>4500</v>
      </c>
      <c r="R155" s="6">
        <v>438.96</v>
      </c>
      <c r="S155" s="6">
        <v>0</v>
      </c>
      <c r="T155" s="6">
        <v>0</v>
      </c>
      <c r="U155" s="5">
        <v>600</v>
      </c>
      <c r="V155" s="5">
        <v>0</v>
      </c>
    </row>
    <row r="156" spans="1:22" x14ac:dyDescent="0.25">
      <c r="A156" s="4" t="s">
        <v>216</v>
      </c>
      <c r="B156" s="5">
        <v>72</v>
      </c>
      <c r="C156" s="4" t="s">
        <v>33</v>
      </c>
      <c r="D156" s="4" t="s">
        <v>34</v>
      </c>
      <c r="E156" s="4" t="s">
        <v>95</v>
      </c>
      <c r="F156" s="4" t="s">
        <v>48</v>
      </c>
      <c r="G156" s="6">
        <v>20100</v>
      </c>
      <c r="H156" s="5">
        <v>8</v>
      </c>
      <c r="I156" s="7">
        <v>43342</v>
      </c>
      <c r="J156" s="4" t="s">
        <v>39</v>
      </c>
      <c r="K156" s="5">
        <v>1</v>
      </c>
      <c r="L156" s="6">
        <v>575.88</v>
      </c>
      <c r="M156" s="6">
        <v>17420.759999999998</v>
      </c>
      <c r="N156" s="5">
        <v>19</v>
      </c>
      <c r="O156" s="6">
        <v>59.84</v>
      </c>
      <c r="P156" s="5">
        <v>10</v>
      </c>
      <c r="Q156" s="6">
        <v>0</v>
      </c>
      <c r="R156" s="6">
        <v>0</v>
      </c>
      <c r="S156" s="6">
        <v>0</v>
      </c>
      <c r="T156" s="6">
        <v>0</v>
      </c>
      <c r="U156" s="5">
        <v>730</v>
      </c>
      <c r="V156" s="5">
        <v>0</v>
      </c>
    </row>
    <row r="157" spans="1:22" x14ac:dyDescent="0.25">
      <c r="A157" s="4" t="s">
        <v>217</v>
      </c>
      <c r="B157" s="5">
        <v>40</v>
      </c>
      <c r="C157" s="4" t="s">
        <v>23</v>
      </c>
      <c r="D157" s="4" t="s">
        <v>34</v>
      </c>
      <c r="E157" s="4" t="s">
        <v>25</v>
      </c>
      <c r="F157" s="4" t="s">
        <v>38</v>
      </c>
      <c r="G157" s="6">
        <v>34300</v>
      </c>
      <c r="H157" s="5">
        <v>7</v>
      </c>
      <c r="I157" s="7">
        <v>43388</v>
      </c>
      <c r="J157" s="4" t="s">
        <v>27</v>
      </c>
      <c r="K157" s="5">
        <v>3</v>
      </c>
      <c r="L157" s="6">
        <v>1225.23</v>
      </c>
      <c r="M157" s="6">
        <v>29187.07</v>
      </c>
      <c r="N157" s="5">
        <v>18</v>
      </c>
      <c r="O157" s="6">
        <v>61.23</v>
      </c>
      <c r="P157" s="5">
        <v>3</v>
      </c>
      <c r="Q157" s="6">
        <v>6000</v>
      </c>
      <c r="R157" s="6">
        <v>1137.04</v>
      </c>
      <c r="S157" s="6">
        <v>114000</v>
      </c>
      <c r="T157" s="6">
        <v>846</v>
      </c>
      <c r="U157" s="5">
        <v>621</v>
      </c>
      <c r="V157" s="5">
        <v>0</v>
      </c>
    </row>
    <row r="158" spans="1:22" x14ac:dyDescent="0.25">
      <c r="A158" s="4" t="s">
        <v>218</v>
      </c>
      <c r="B158" s="5">
        <v>59</v>
      </c>
      <c r="C158" s="4" t="s">
        <v>23</v>
      </c>
      <c r="D158" s="4" t="s">
        <v>98</v>
      </c>
      <c r="E158" s="4" t="s">
        <v>54</v>
      </c>
      <c r="F158" s="4" t="s">
        <v>30</v>
      </c>
      <c r="G158" s="6">
        <v>17800</v>
      </c>
      <c r="H158" s="5">
        <v>18</v>
      </c>
      <c r="I158" s="7">
        <v>39436</v>
      </c>
      <c r="J158" s="4" t="s">
        <v>39</v>
      </c>
      <c r="K158" s="5">
        <v>1</v>
      </c>
      <c r="L158" s="6">
        <v>949.92</v>
      </c>
      <c r="M158" s="6">
        <v>20246.810000000001</v>
      </c>
      <c r="N158" s="5">
        <v>17</v>
      </c>
      <c r="O158" s="6">
        <v>75.25</v>
      </c>
      <c r="P158" s="5">
        <v>1</v>
      </c>
      <c r="Q158" s="6">
        <v>3500</v>
      </c>
      <c r="R158" s="6">
        <v>307.69</v>
      </c>
      <c r="S158" s="6">
        <v>47000</v>
      </c>
      <c r="T158" s="6">
        <v>335</v>
      </c>
      <c r="U158" s="5">
        <v>637</v>
      </c>
      <c r="V158" s="5">
        <v>1</v>
      </c>
    </row>
    <row r="159" spans="1:22" x14ac:dyDescent="0.25">
      <c r="A159" s="4" t="s">
        <v>219</v>
      </c>
      <c r="B159" s="5">
        <v>33</v>
      </c>
      <c r="C159" s="4" t="s">
        <v>33</v>
      </c>
      <c r="D159" s="4" t="s">
        <v>72</v>
      </c>
      <c r="E159" s="4" t="s">
        <v>25</v>
      </c>
      <c r="F159" s="4" t="s">
        <v>30</v>
      </c>
      <c r="G159" s="6">
        <v>18400</v>
      </c>
      <c r="H159" s="5">
        <v>10</v>
      </c>
      <c r="I159" s="7">
        <v>42592</v>
      </c>
      <c r="J159" s="4" t="s">
        <v>31</v>
      </c>
      <c r="K159" s="5">
        <v>1</v>
      </c>
      <c r="L159" s="6">
        <v>1721.58</v>
      </c>
      <c r="M159" s="6">
        <v>10196.799999999999</v>
      </c>
      <c r="N159" s="5">
        <v>23</v>
      </c>
      <c r="O159" s="6">
        <v>18.829999999999998</v>
      </c>
      <c r="P159" s="5">
        <v>1</v>
      </c>
      <c r="Q159" s="6">
        <v>3000</v>
      </c>
      <c r="R159" s="6">
        <v>924.5</v>
      </c>
      <c r="S159" s="6">
        <v>0</v>
      </c>
      <c r="T159" s="6">
        <v>0</v>
      </c>
      <c r="U159" s="5">
        <v>599</v>
      </c>
      <c r="V159" s="5">
        <v>0</v>
      </c>
    </row>
    <row r="160" spans="1:22" x14ac:dyDescent="0.25">
      <c r="A160" s="4" t="s">
        <v>220</v>
      </c>
      <c r="B160" s="5">
        <v>36</v>
      </c>
      <c r="C160" s="4" t="s">
        <v>33</v>
      </c>
      <c r="D160" s="4" t="s">
        <v>34</v>
      </c>
      <c r="E160" s="4" t="s">
        <v>54</v>
      </c>
      <c r="F160" s="4" t="s">
        <v>30</v>
      </c>
      <c r="G160" s="6">
        <v>50000</v>
      </c>
      <c r="H160" s="5">
        <v>2</v>
      </c>
      <c r="I160" s="7">
        <v>45233</v>
      </c>
      <c r="J160" s="4" t="s">
        <v>31</v>
      </c>
      <c r="K160" s="5">
        <v>2</v>
      </c>
      <c r="L160" s="6">
        <v>1994.77</v>
      </c>
      <c r="M160" s="6">
        <v>14998.32</v>
      </c>
      <c r="N160" s="5">
        <v>39</v>
      </c>
      <c r="O160" s="6">
        <v>37.1</v>
      </c>
      <c r="P160" s="5">
        <v>4</v>
      </c>
      <c r="Q160" s="6">
        <v>10000</v>
      </c>
      <c r="R160" s="6">
        <v>2747.53</v>
      </c>
      <c r="S160" s="6">
        <v>0</v>
      </c>
      <c r="T160" s="6">
        <v>0</v>
      </c>
      <c r="U160" s="5">
        <v>656</v>
      </c>
      <c r="V160" s="5">
        <v>1</v>
      </c>
    </row>
    <row r="161" spans="1:22" x14ac:dyDescent="0.25">
      <c r="A161" s="4" t="s">
        <v>221</v>
      </c>
      <c r="B161" s="5">
        <v>49</v>
      </c>
      <c r="C161" s="4" t="s">
        <v>23</v>
      </c>
      <c r="D161" s="4" t="s">
        <v>108</v>
      </c>
      <c r="E161" s="4" t="s">
        <v>45</v>
      </c>
      <c r="F161" s="4" t="s">
        <v>26</v>
      </c>
      <c r="G161" s="6">
        <v>29000</v>
      </c>
      <c r="H161" s="5">
        <v>19</v>
      </c>
      <c r="I161" s="7">
        <v>39240</v>
      </c>
      <c r="J161" s="4" t="s">
        <v>39</v>
      </c>
      <c r="K161" s="5">
        <v>4</v>
      </c>
      <c r="L161" s="6">
        <v>1759.19</v>
      </c>
      <c r="M161" s="6">
        <v>0</v>
      </c>
      <c r="N161" s="5">
        <v>16</v>
      </c>
      <c r="O161" s="6">
        <v>35.4</v>
      </c>
      <c r="P161" s="5">
        <v>6</v>
      </c>
      <c r="Q161" s="6">
        <v>3000</v>
      </c>
      <c r="R161" s="6">
        <v>744.85</v>
      </c>
      <c r="S161" s="6">
        <v>138000</v>
      </c>
      <c r="T161" s="6">
        <v>800</v>
      </c>
      <c r="U161" s="5">
        <v>694</v>
      </c>
      <c r="V161" s="5">
        <v>0</v>
      </c>
    </row>
    <row r="162" spans="1:22" x14ac:dyDescent="0.25">
      <c r="A162" s="4" t="s">
        <v>222</v>
      </c>
      <c r="B162" s="5">
        <v>43</v>
      </c>
      <c r="C162" s="4" t="s">
        <v>33</v>
      </c>
      <c r="D162" s="4" t="s">
        <v>59</v>
      </c>
      <c r="E162" s="4" t="s">
        <v>67</v>
      </c>
      <c r="F162" s="4" t="s">
        <v>26</v>
      </c>
      <c r="G162" s="6">
        <v>6600</v>
      </c>
      <c r="H162" s="5">
        <v>2</v>
      </c>
      <c r="I162" s="7">
        <v>45450</v>
      </c>
      <c r="J162" s="4" t="s">
        <v>31</v>
      </c>
      <c r="K162" s="5">
        <v>2</v>
      </c>
      <c r="L162" s="6">
        <v>574.63</v>
      </c>
      <c r="M162" s="6">
        <v>2001.25</v>
      </c>
      <c r="N162" s="5">
        <v>19</v>
      </c>
      <c r="O162" s="6">
        <v>16.93</v>
      </c>
      <c r="P162" s="5">
        <v>3</v>
      </c>
      <c r="Q162" s="6">
        <v>1000</v>
      </c>
      <c r="R162" s="6">
        <v>49.04</v>
      </c>
      <c r="S162" s="6">
        <v>0</v>
      </c>
      <c r="T162" s="6">
        <v>0</v>
      </c>
      <c r="U162" s="5">
        <v>576</v>
      </c>
      <c r="V162" s="5">
        <v>1</v>
      </c>
    </row>
    <row r="163" spans="1:22" x14ac:dyDescent="0.25">
      <c r="A163" s="4" t="s">
        <v>223</v>
      </c>
      <c r="B163" s="5">
        <v>51</v>
      </c>
      <c r="C163" s="4" t="s">
        <v>33</v>
      </c>
      <c r="D163" s="4" t="s">
        <v>72</v>
      </c>
      <c r="E163" s="4" t="s">
        <v>45</v>
      </c>
      <c r="F163" s="4" t="s">
        <v>48</v>
      </c>
      <c r="G163" s="6">
        <v>42500</v>
      </c>
      <c r="H163" s="5">
        <v>21</v>
      </c>
      <c r="I163" s="7">
        <v>38485</v>
      </c>
      <c r="J163" s="4" t="s">
        <v>27</v>
      </c>
      <c r="K163" s="5">
        <v>4</v>
      </c>
      <c r="L163" s="6">
        <v>3258.54</v>
      </c>
      <c r="M163" s="6">
        <v>0</v>
      </c>
      <c r="N163" s="5">
        <v>39</v>
      </c>
      <c r="O163" s="6">
        <v>31.06</v>
      </c>
      <c r="P163" s="5">
        <v>2</v>
      </c>
      <c r="Q163" s="6">
        <v>4500</v>
      </c>
      <c r="R163" s="6">
        <v>856.15</v>
      </c>
      <c r="S163" s="6">
        <v>117000</v>
      </c>
      <c r="T163" s="6">
        <v>712</v>
      </c>
      <c r="U163" s="5">
        <v>748</v>
      </c>
      <c r="V163" s="5">
        <v>0</v>
      </c>
    </row>
    <row r="164" spans="1:22" x14ac:dyDescent="0.25">
      <c r="A164" s="4" t="s">
        <v>224</v>
      </c>
      <c r="B164" s="5">
        <v>43</v>
      </c>
      <c r="C164" s="4" t="s">
        <v>23</v>
      </c>
      <c r="D164" s="4" t="s">
        <v>34</v>
      </c>
      <c r="E164" s="4" t="s">
        <v>42</v>
      </c>
      <c r="F164" s="4" t="s">
        <v>26</v>
      </c>
      <c r="G164" s="6">
        <v>36700</v>
      </c>
      <c r="H164" s="5">
        <v>4</v>
      </c>
      <c r="I164" s="7">
        <v>44560</v>
      </c>
      <c r="J164" s="4" t="s">
        <v>27</v>
      </c>
      <c r="K164" s="5">
        <v>3</v>
      </c>
      <c r="L164" s="6">
        <v>4870.49</v>
      </c>
      <c r="M164" s="6">
        <v>0</v>
      </c>
      <c r="N164" s="5">
        <v>36</v>
      </c>
      <c r="O164" s="6">
        <v>88.12</v>
      </c>
      <c r="P164" s="5">
        <v>2</v>
      </c>
      <c r="Q164" s="6">
        <v>6500</v>
      </c>
      <c r="R164" s="6">
        <v>2899.04</v>
      </c>
      <c r="S164" s="6">
        <v>0</v>
      </c>
      <c r="T164" s="6">
        <v>0</v>
      </c>
      <c r="U164" s="5">
        <v>615</v>
      </c>
      <c r="V164" s="5">
        <v>0</v>
      </c>
    </row>
    <row r="165" spans="1:22" x14ac:dyDescent="0.25">
      <c r="A165" s="4" t="s">
        <v>225</v>
      </c>
      <c r="B165" s="5">
        <v>18</v>
      </c>
      <c r="C165" s="4" t="s">
        <v>33</v>
      </c>
      <c r="D165" s="4" t="s">
        <v>98</v>
      </c>
      <c r="E165" s="4" t="s">
        <v>117</v>
      </c>
      <c r="F165" s="4" t="s">
        <v>26</v>
      </c>
      <c r="G165" s="6">
        <v>8800</v>
      </c>
      <c r="H165" s="5">
        <v>0</v>
      </c>
      <c r="I165" s="7">
        <v>45994</v>
      </c>
      <c r="J165" s="4" t="s">
        <v>31</v>
      </c>
      <c r="K165" s="5">
        <v>2</v>
      </c>
      <c r="L165" s="6">
        <v>377.62</v>
      </c>
      <c r="M165" s="6">
        <v>0</v>
      </c>
      <c r="N165" s="5">
        <v>24</v>
      </c>
      <c r="O165" s="6">
        <v>49.12</v>
      </c>
      <c r="P165" s="5">
        <v>0</v>
      </c>
      <c r="Q165" s="6">
        <v>1000</v>
      </c>
      <c r="R165" s="6">
        <v>318.02</v>
      </c>
      <c r="S165" s="6">
        <v>0</v>
      </c>
      <c r="T165" s="6">
        <v>0</v>
      </c>
      <c r="U165" s="5">
        <v>623</v>
      </c>
      <c r="V165" s="5">
        <v>0</v>
      </c>
    </row>
    <row r="166" spans="1:22" x14ac:dyDescent="0.25">
      <c r="A166" s="4" t="s">
        <v>226</v>
      </c>
      <c r="B166" s="5">
        <v>39</v>
      </c>
      <c r="C166" s="4" t="s">
        <v>23</v>
      </c>
      <c r="D166" s="4" t="s">
        <v>41</v>
      </c>
      <c r="E166" s="4" t="s">
        <v>45</v>
      </c>
      <c r="F166" s="4" t="s">
        <v>48</v>
      </c>
      <c r="G166" s="6">
        <v>12700</v>
      </c>
      <c r="H166" s="5">
        <v>8</v>
      </c>
      <c r="I166" s="7">
        <v>43228</v>
      </c>
      <c r="J166" s="4" t="s">
        <v>27</v>
      </c>
      <c r="K166" s="5">
        <v>1</v>
      </c>
      <c r="L166" s="6">
        <v>474.09</v>
      </c>
      <c r="M166" s="6">
        <v>0</v>
      </c>
      <c r="N166" s="5">
        <v>28</v>
      </c>
      <c r="O166" s="6">
        <v>30.77</v>
      </c>
      <c r="P166" s="5">
        <v>3</v>
      </c>
      <c r="Q166" s="6">
        <v>0</v>
      </c>
      <c r="R166" s="6">
        <v>0</v>
      </c>
      <c r="S166" s="6">
        <v>0</v>
      </c>
      <c r="T166" s="6">
        <v>0</v>
      </c>
      <c r="U166" s="5">
        <v>611</v>
      </c>
      <c r="V166" s="5">
        <v>0</v>
      </c>
    </row>
    <row r="167" spans="1:22" x14ac:dyDescent="0.25">
      <c r="A167" s="4" t="s">
        <v>227</v>
      </c>
      <c r="B167" s="5">
        <v>56</v>
      </c>
      <c r="C167" s="4" t="s">
        <v>33</v>
      </c>
      <c r="D167" s="4" t="s">
        <v>44</v>
      </c>
      <c r="E167" s="4" t="s">
        <v>45</v>
      </c>
      <c r="F167" s="4" t="s">
        <v>26</v>
      </c>
      <c r="G167" s="6">
        <v>18900</v>
      </c>
      <c r="H167" s="5">
        <v>24</v>
      </c>
      <c r="I167" s="7">
        <v>37495</v>
      </c>
      <c r="J167" s="4" t="s">
        <v>39</v>
      </c>
      <c r="K167" s="5">
        <v>2</v>
      </c>
      <c r="L167" s="6">
        <v>2348.79</v>
      </c>
      <c r="M167" s="6">
        <v>0</v>
      </c>
      <c r="N167" s="5">
        <v>26</v>
      </c>
      <c r="O167" s="6">
        <v>47.56</v>
      </c>
      <c r="P167" s="5">
        <v>4</v>
      </c>
      <c r="Q167" s="6">
        <v>4000</v>
      </c>
      <c r="R167" s="6">
        <v>597.34</v>
      </c>
      <c r="S167" s="6">
        <v>54000</v>
      </c>
      <c r="T167" s="6">
        <v>325</v>
      </c>
      <c r="U167" s="5">
        <v>682</v>
      </c>
      <c r="V167" s="5">
        <v>0</v>
      </c>
    </row>
    <row r="168" spans="1:22" x14ac:dyDescent="0.25">
      <c r="A168" s="4" t="s">
        <v>228</v>
      </c>
      <c r="B168" s="5">
        <v>51</v>
      </c>
      <c r="C168" s="4" t="s">
        <v>33</v>
      </c>
      <c r="D168" s="4" t="s">
        <v>70</v>
      </c>
      <c r="E168" s="4" t="s">
        <v>35</v>
      </c>
      <c r="F168" s="4" t="s">
        <v>30</v>
      </c>
      <c r="G168" s="6">
        <v>71100</v>
      </c>
      <c r="H168" s="5">
        <v>11</v>
      </c>
      <c r="I168" s="7">
        <v>42133</v>
      </c>
      <c r="J168" s="4" t="s">
        <v>31</v>
      </c>
      <c r="K168" s="5">
        <v>2</v>
      </c>
      <c r="L168" s="6">
        <v>5168.93</v>
      </c>
      <c r="M168" s="6">
        <v>23113.95</v>
      </c>
      <c r="N168" s="5">
        <v>54</v>
      </c>
      <c r="O168" s="6">
        <v>112.32</v>
      </c>
      <c r="P168" s="5">
        <v>0</v>
      </c>
      <c r="Q168" s="6">
        <v>12000</v>
      </c>
      <c r="R168" s="6">
        <v>6563.86</v>
      </c>
      <c r="S168" s="6">
        <v>0</v>
      </c>
      <c r="T168" s="6">
        <v>0</v>
      </c>
      <c r="U168" s="5">
        <v>741</v>
      </c>
      <c r="V168" s="5">
        <v>0</v>
      </c>
    </row>
    <row r="169" spans="1:22" x14ac:dyDescent="0.25">
      <c r="A169" s="4" t="s">
        <v>229</v>
      </c>
      <c r="B169" s="5">
        <v>28</v>
      </c>
      <c r="C169" s="4" t="s">
        <v>23</v>
      </c>
      <c r="D169" s="4" t="s">
        <v>34</v>
      </c>
      <c r="E169" s="4" t="s">
        <v>42</v>
      </c>
      <c r="F169" s="4" t="s">
        <v>48</v>
      </c>
      <c r="G169" s="6">
        <v>70700</v>
      </c>
      <c r="H169" s="5">
        <v>3</v>
      </c>
      <c r="I169" s="7">
        <v>45164</v>
      </c>
      <c r="J169" s="4" t="s">
        <v>31</v>
      </c>
      <c r="K169" s="5">
        <v>1</v>
      </c>
      <c r="L169" s="6">
        <v>4174.84</v>
      </c>
      <c r="M169" s="6">
        <v>17388.150000000001</v>
      </c>
      <c r="N169" s="5">
        <v>41</v>
      </c>
      <c r="O169" s="6">
        <v>70.180000000000007</v>
      </c>
      <c r="P169" s="5">
        <v>2</v>
      </c>
      <c r="Q169" s="6">
        <v>0</v>
      </c>
      <c r="R169" s="6">
        <v>0</v>
      </c>
      <c r="S169" s="6">
        <v>0</v>
      </c>
      <c r="T169" s="6">
        <v>0</v>
      </c>
      <c r="U169" s="5">
        <v>727</v>
      </c>
      <c r="V169" s="5">
        <v>0</v>
      </c>
    </row>
    <row r="170" spans="1:22" x14ac:dyDescent="0.25">
      <c r="A170" s="4" t="s">
        <v>230</v>
      </c>
      <c r="B170" s="5">
        <v>58</v>
      </c>
      <c r="C170" s="4" t="s">
        <v>23</v>
      </c>
      <c r="D170" s="4" t="s">
        <v>98</v>
      </c>
      <c r="E170" s="4" t="s">
        <v>63</v>
      </c>
      <c r="F170" s="4" t="s">
        <v>30</v>
      </c>
      <c r="G170" s="6">
        <v>19200</v>
      </c>
      <c r="H170" s="5">
        <v>13</v>
      </c>
      <c r="I170" s="7">
        <v>41444</v>
      </c>
      <c r="J170" s="4" t="s">
        <v>39</v>
      </c>
      <c r="K170" s="5">
        <v>4</v>
      </c>
      <c r="L170" s="6">
        <v>632.08000000000004</v>
      </c>
      <c r="M170" s="6">
        <v>5204.21</v>
      </c>
      <c r="N170" s="5">
        <v>18</v>
      </c>
      <c r="O170" s="6">
        <v>43.9</v>
      </c>
      <c r="P170" s="5">
        <v>6</v>
      </c>
      <c r="Q170" s="6">
        <v>4000</v>
      </c>
      <c r="R170" s="6">
        <v>986.29</v>
      </c>
      <c r="S170" s="6">
        <v>0</v>
      </c>
      <c r="T170" s="6">
        <v>0</v>
      </c>
      <c r="U170" s="5">
        <v>698</v>
      </c>
      <c r="V170" s="5">
        <v>0</v>
      </c>
    </row>
    <row r="171" spans="1:22" x14ac:dyDescent="0.25">
      <c r="A171" s="4" t="s">
        <v>231</v>
      </c>
      <c r="B171" s="5">
        <v>42</v>
      </c>
      <c r="C171" s="4" t="s">
        <v>33</v>
      </c>
      <c r="D171" s="4" t="s">
        <v>34</v>
      </c>
      <c r="E171" s="4" t="s">
        <v>25</v>
      </c>
      <c r="F171" s="4" t="s">
        <v>30</v>
      </c>
      <c r="G171" s="6">
        <v>19500</v>
      </c>
      <c r="H171" s="5">
        <v>10</v>
      </c>
      <c r="I171" s="7">
        <v>42548</v>
      </c>
      <c r="J171" s="4" t="s">
        <v>39</v>
      </c>
      <c r="K171" s="5">
        <v>3</v>
      </c>
      <c r="L171" s="6">
        <v>1815.23</v>
      </c>
      <c r="M171" s="6">
        <v>19506.8</v>
      </c>
      <c r="N171" s="5">
        <v>18</v>
      </c>
      <c r="O171" s="6">
        <v>48.48</v>
      </c>
      <c r="P171" s="5">
        <v>8</v>
      </c>
      <c r="Q171" s="6">
        <v>4000</v>
      </c>
      <c r="R171" s="6">
        <v>957.96</v>
      </c>
      <c r="S171" s="6">
        <v>35000</v>
      </c>
      <c r="T171" s="6">
        <v>254</v>
      </c>
      <c r="U171" s="5">
        <v>608</v>
      </c>
      <c r="V171" s="5">
        <v>1</v>
      </c>
    </row>
    <row r="172" spans="1:22" x14ac:dyDescent="0.25">
      <c r="A172" s="4" t="s">
        <v>232</v>
      </c>
      <c r="B172" s="5">
        <v>42</v>
      </c>
      <c r="C172" s="4" t="s">
        <v>23</v>
      </c>
      <c r="D172" s="4" t="s">
        <v>59</v>
      </c>
      <c r="E172" s="4" t="s">
        <v>35</v>
      </c>
      <c r="F172" s="4" t="s">
        <v>30</v>
      </c>
      <c r="G172" s="6">
        <v>46100</v>
      </c>
      <c r="H172" s="5">
        <v>5</v>
      </c>
      <c r="I172" s="7">
        <v>44332</v>
      </c>
      <c r="J172" s="4" t="s">
        <v>39</v>
      </c>
      <c r="K172" s="5">
        <v>3</v>
      </c>
      <c r="L172" s="6">
        <v>4308.8500000000004</v>
      </c>
      <c r="M172" s="6">
        <v>47477.33</v>
      </c>
      <c r="N172" s="5">
        <v>34</v>
      </c>
      <c r="O172" s="6">
        <v>59.88</v>
      </c>
      <c r="P172" s="5">
        <v>7</v>
      </c>
      <c r="Q172" s="6">
        <v>11500</v>
      </c>
      <c r="R172" s="6">
        <v>2321.3200000000002</v>
      </c>
      <c r="S172" s="6">
        <v>0</v>
      </c>
      <c r="T172" s="6">
        <v>0</v>
      </c>
      <c r="U172" s="5">
        <v>670</v>
      </c>
      <c r="V172" s="5">
        <v>0</v>
      </c>
    </row>
    <row r="173" spans="1:22" x14ac:dyDescent="0.25">
      <c r="A173" s="4" t="s">
        <v>233</v>
      </c>
      <c r="B173" s="5">
        <v>37</v>
      </c>
      <c r="C173" s="4" t="s">
        <v>33</v>
      </c>
      <c r="D173" s="4" t="s">
        <v>29</v>
      </c>
      <c r="E173" s="4" t="s">
        <v>25</v>
      </c>
      <c r="F173" s="4" t="s">
        <v>30</v>
      </c>
      <c r="G173" s="6">
        <v>25100</v>
      </c>
      <c r="H173" s="5">
        <v>9</v>
      </c>
      <c r="I173" s="7">
        <v>42976</v>
      </c>
      <c r="J173" s="4" t="s">
        <v>27</v>
      </c>
      <c r="K173" s="5">
        <v>2</v>
      </c>
      <c r="L173" s="6">
        <v>1695.82</v>
      </c>
      <c r="M173" s="6">
        <v>0</v>
      </c>
      <c r="N173" s="5">
        <v>19</v>
      </c>
      <c r="O173" s="6">
        <v>74.75</v>
      </c>
      <c r="P173" s="5">
        <v>5</v>
      </c>
      <c r="Q173" s="6">
        <v>0</v>
      </c>
      <c r="R173" s="6">
        <v>0</v>
      </c>
      <c r="S173" s="6">
        <v>0</v>
      </c>
      <c r="T173" s="6">
        <v>0</v>
      </c>
      <c r="U173" s="5">
        <v>596</v>
      </c>
      <c r="V173" s="5">
        <v>0</v>
      </c>
    </row>
    <row r="174" spans="1:22" x14ac:dyDescent="0.25">
      <c r="A174" s="4" t="s">
        <v>234</v>
      </c>
      <c r="B174" s="5">
        <v>32</v>
      </c>
      <c r="C174" s="4" t="s">
        <v>33</v>
      </c>
      <c r="D174" s="4" t="s">
        <v>34</v>
      </c>
      <c r="E174" s="4" t="s">
        <v>35</v>
      </c>
      <c r="F174" s="4" t="s">
        <v>30</v>
      </c>
      <c r="G174" s="6">
        <v>57900</v>
      </c>
      <c r="H174" s="5">
        <v>1</v>
      </c>
      <c r="I174" s="7">
        <v>45772</v>
      </c>
      <c r="J174" s="4" t="s">
        <v>39</v>
      </c>
      <c r="K174" s="5">
        <v>2</v>
      </c>
      <c r="L174" s="6">
        <v>8915.49</v>
      </c>
      <c r="M174" s="6">
        <v>10673.61</v>
      </c>
      <c r="N174" s="5">
        <v>23</v>
      </c>
      <c r="O174" s="6">
        <v>82.82</v>
      </c>
      <c r="P174" s="5">
        <v>5</v>
      </c>
      <c r="Q174" s="6">
        <v>7500</v>
      </c>
      <c r="R174" s="6">
        <v>1173.76</v>
      </c>
      <c r="S174" s="6">
        <v>0</v>
      </c>
      <c r="T174" s="6">
        <v>0</v>
      </c>
      <c r="U174" s="5">
        <v>622</v>
      </c>
      <c r="V174" s="5">
        <v>0</v>
      </c>
    </row>
    <row r="175" spans="1:22" x14ac:dyDescent="0.25">
      <c r="A175" s="4" t="s">
        <v>235</v>
      </c>
      <c r="B175" s="5">
        <v>29</v>
      </c>
      <c r="C175" s="4" t="s">
        <v>23</v>
      </c>
      <c r="D175" s="4" t="s">
        <v>34</v>
      </c>
      <c r="E175" s="4" t="s">
        <v>54</v>
      </c>
      <c r="F175" s="4" t="s">
        <v>26</v>
      </c>
      <c r="G175" s="6">
        <v>14200</v>
      </c>
      <c r="H175" s="5">
        <v>7</v>
      </c>
      <c r="I175" s="7">
        <v>43429</v>
      </c>
      <c r="J175" s="4" t="s">
        <v>31</v>
      </c>
      <c r="K175" s="5">
        <v>2</v>
      </c>
      <c r="L175" s="6">
        <v>1263.28</v>
      </c>
      <c r="M175" s="6">
        <v>15633.08</v>
      </c>
      <c r="N175" s="5">
        <v>19</v>
      </c>
      <c r="O175" s="6">
        <v>41.7</v>
      </c>
      <c r="P175" s="5">
        <v>1</v>
      </c>
      <c r="Q175" s="6">
        <v>0</v>
      </c>
      <c r="R175" s="6">
        <v>0</v>
      </c>
      <c r="S175" s="6">
        <v>0</v>
      </c>
      <c r="T175" s="6">
        <v>0</v>
      </c>
      <c r="U175" s="5">
        <v>549</v>
      </c>
      <c r="V175" s="5">
        <v>0</v>
      </c>
    </row>
    <row r="176" spans="1:22" x14ac:dyDescent="0.25">
      <c r="A176" s="4" t="s">
        <v>236</v>
      </c>
      <c r="B176" s="5">
        <v>48</v>
      </c>
      <c r="C176" s="4" t="s">
        <v>23</v>
      </c>
      <c r="D176" s="4" t="s">
        <v>44</v>
      </c>
      <c r="E176" s="4" t="s">
        <v>25</v>
      </c>
      <c r="F176" s="4" t="s">
        <v>30</v>
      </c>
      <c r="G176" s="6">
        <v>44700</v>
      </c>
      <c r="H176" s="5">
        <v>8</v>
      </c>
      <c r="I176" s="7">
        <v>43045</v>
      </c>
      <c r="J176" s="4" t="s">
        <v>27</v>
      </c>
      <c r="K176" s="5">
        <v>1</v>
      </c>
      <c r="L176" s="6">
        <v>5100.6499999999996</v>
      </c>
      <c r="M176" s="6">
        <v>0</v>
      </c>
      <c r="N176" s="5">
        <v>36</v>
      </c>
      <c r="O176" s="6">
        <v>58.32</v>
      </c>
      <c r="P176" s="5">
        <v>4</v>
      </c>
      <c r="Q176" s="6">
        <v>5000</v>
      </c>
      <c r="R176" s="6">
        <v>2102.5500000000002</v>
      </c>
      <c r="S176" s="6">
        <v>98000</v>
      </c>
      <c r="T176" s="6">
        <v>539</v>
      </c>
      <c r="U176" s="5">
        <v>676</v>
      </c>
      <c r="V176" s="5">
        <v>0</v>
      </c>
    </row>
    <row r="177" spans="1:22" x14ac:dyDescent="0.25">
      <c r="A177" s="4" t="s">
        <v>237</v>
      </c>
      <c r="B177" s="5">
        <v>37</v>
      </c>
      <c r="C177" s="4" t="s">
        <v>23</v>
      </c>
      <c r="D177" s="4" t="s">
        <v>44</v>
      </c>
      <c r="E177" s="4" t="s">
        <v>35</v>
      </c>
      <c r="F177" s="4" t="s">
        <v>30</v>
      </c>
      <c r="G177" s="6">
        <v>42900</v>
      </c>
      <c r="H177" s="5">
        <v>4</v>
      </c>
      <c r="I177" s="7">
        <v>44569</v>
      </c>
      <c r="J177" s="4" t="s">
        <v>31</v>
      </c>
      <c r="K177" s="5">
        <v>1</v>
      </c>
      <c r="L177" s="6">
        <v>1381.74</v>
      </c>
      <c r="M177" s="6">
        <v>20321.43</v>
      </c>
      <c r="N177" s="5">
        <v>39</v>
      </c>
      <c r="O177" s="6">
        <v>68.03</v>
      </c>
      <c r="P177" s="5">
        <v>2</v>
      </c>
      <c r="Q177" s="6">
        <v>7500</v>
      </c>
      <c r="R177" s="6">
        <v>1505.71</v>
      </c>
      <c r="S177" s="6">
        <v>0</v>
      </c>
      <c r="T177" s="6">
        <v>0</v>
      </c>
      <c r="U177" s="5">
        <v>599</v>
      </c>
      <c r="V177" s="5">
        <v>0</v>
      </c>
    </row>
    <row r="178" spans="1:22" x14ac:dyDescent="0.25">
      <c r="A178" s="4" t="s">
        <v>238</v>
      </c>
      <c r="B178" s="5">
        <v>70</v>
      </c>
      <c r="C178" s="4" t="s">
        <v>33</v>
      </c>
      <c r="D178" s="4" t="s">
        <v>79</v>
      </c>
      <c r="E178" s="4" t="s">
        <v>95</v>
      </c>
      <c r="F178" s="4" t="s">
        <v>38</v>
      </c>
      <c r="G178" s="6">
        <v>18100</v>
      </c>
      <c r="H178" s="5">
        <v>30</v>
      </c>
      <c r="I178" s="7">
        <v>35193</v>
      </c>
      <c r="J178" s="4" t="s">
        <v>39</v>
      </c>
      <c r="K178" s="5">
        <v>4</v>
      </c>
      <c r="L178" s="6">
        <v>2617.66</v>
      </c>
      <c r="M178" s="6">
        <v>64521.62</v>
      </c>
      <c r="N178" s="5">
        <v>15</v>
      </c>
      <c r="O178" s="6">
        <v>16.37</v>
      </c>
      <c r="P178" s="5">
        <v>2</v>
      </c>
      <c r="Q178" s="6">
        <v>2000</v>
      </c>
      <c r="R178" s="6">
        <v>211.89</v>
      </c>
      <c r="S178" s="6">
        <v>0</v>
      </c>
      <c r="T178" s="6">
        <v>0</v>
      </c>
      <c r="U178" s="5">
        <v>709</v>
      </c>
      <c r="V178" s="5">
        <v>0</v>
      </c>
    </row>
    <row r="179" spans="1:22" x14ac:dyDescent="0.25">
      <c r="A179" s="4" t="s">
        <v>239</v>
      </c>
      <c r="B179" s="5">
        <v>37</v>
      </c>
      <c r="C179" s="4" t="s">
        <v>33</v>
      </c>
      <c r="D179" s="4" t="s">
        <v>59</v>
      </c>
      <c r="E179" s="4" t="s">
        <v>90</v>
      </c>
      <c r="F179" s="4" t="s">
        <v>48</v>
      </c>
      <c r="G179" s="6">
        <v>86300</v>
      </c>
      <c r="H179" s="5">
        <v>3</v>
      </c>
      <c r="I179" s="7">
        <v>45059</v>
      </c>
      <c r="J179" s="4" t="s">
        <v>39</v>
      </c>
      <c r="K179" s="5">
        <v>1</v>
      </c>
      <c r="L179" s="6">
        <v>3097.96</v>
      </c>
      <c r="M179" s="6">
        <v>0</v>
      </c>
      <c r="N179" s="5">
        <v>36</v>
      </c>
      <c r="O179" s="6">
        <v>87.13</v>
      </c>
      <c r="P179" s="5">
        <v>5</v>
      </c>
      <c r="Q179" s="6">
        <v>15000</v>
      </c>
      <c r="R179" s="6">
        <v>2685.45</v>
      </c>
      <c r="S179" s="6">
        <v>0</v>
      </c>
      <c r="T179" s="6">
        <v>0</v>
      </c>
      <c r="U179" s="5">
        <v>615</v>
      </c>
      <c r="V179" s="5">
        <v>0</v>
      </c>
    </row>
    <row r="180" spans="1:22" x14ac:dyDescent="0.25">
      <c r="A180" s="4" t="s">
        <v>240</v>
      </c>
      <c r="B180" s="5">
        <v>36</v>
      </c>
      <c r="C180" s="4" t="s">
        <v>33</v>
      </c>
      <c r="D180" s="4" t="s">
        <v>62</v>
      </c>
      <c r="E180" s="4" t="s">
        <v>63</v>
      </c>
      <c r="F180" s="4" t="s">
        <v>48</v>
      </c>
      <c r="G180" s="6">
        <v>27200</v>
      </c>
      <c r="H180" s="5">
        <v>3</v>
      </c>
      <c r="I180" s="7">
        <v>44895</v>
      </c>
      <c r="J180" s="4" t="s">
        <v>31</v>
      </c>
      <c r="K180" s="5">
        <v>2</v>
      </c>
      <c r="L180" s="6">
        <v>2600.31</v>
      </c>
      <c r="M180" s="6">
        <v>8894.8700000000008</v>
      </c>
      <c r="N180" s="5">
        <v>40</v>
      </c>
      <c r="O180" s="6">
        <v>44.58</v>
      </c>
      <c r="P180" s="5">
        <v>1</v>
      </c>
      <c r="Q180" s="6">
        <v>7000</v>
      </c>
      <c r="R180" s="6">
        <v>1044.43</v>
      </c>
      <c r="S180" s="6">
        <v>0</v>
      </c>
      <c r="T180" s="6">
        <v>0</v>
      </c>
      <c r="U180" s="5">
        <v>687</v>
      </c>
      <c r="V180" s="5">
        <v>0</v>
      </c>
    </row>
    <row r="181" spans="1:22" x14ac:dyDescent="0.25">
      <c r="A181" s="4" t="s">
        <v>241</v>
      </c>
      <c r="B181" s="5">
        <v>51</v>
      </c>
      <c r="C181" s="4" t="s">
        <v>23</v>
      </c>
      <c r="D181" s="4" t="s">
        <v>62</v>
      </c>
      <c r="E181" s="4" t="s">
        <v>45</v>
      </c>
      <c r="F181" s="4" t="s">
        <v>30</v>
      </c>
      <c r="G181" s="6">
        <v>22500</v>
      </c>
      <c r="H181" s="5">
        <v>19</v>
      </c>
      <c r="I181" s="7">
        <v>39322</v>
      </c>
      <c r="J181" s="4" t="s">
        <v>49</v>
      </c>
      <c r="K181" s="5">
        <v>2</v>
      </c>
      <c r="L181" s="6">
        <v>2915.58</v>
      </c>
      <c r="M181" s="6">
        <v>27303.15</v>
      </c>
      <c r="N181" s="5">
        <v>23</v>
      </c>
      <c r="O181" s="6">
        <v>28.64</v>
      </c>
      <c r="P181" s="5">
        <v>1</v>
      </c>
      <c r="Q181" s="6">
        <v>0</v>
      </c>
      <c r="R181" s="6">
        <v>0</v>
      </c>
      <c r="S181" s="6">
        <v>0</v>
      </c>
      <c r="T181" s="6">
        <v>0</v>
      </c>
      <c r="U181" s="5">
        <v>630</v>
      </c>
      <c r="V181" s="5">
        <v>0</v>
      </c>
    </row>
    <row r="182" spans="1:22" x14ac:dyDescent="0.25">
      <c r="A182" s="4" t="s">
        <v>242</v>
      </c>
      <c r="B182" s="5">
        <v>18</v>
      </c>
      <c r="C182" s="4" t="s">
        <v>23</v>
      </c>
      <c r="D182" s="4" t="s">
        <v>243</v>
      </c>
      <c r="E182" s="4" t="s">
        <v>117</v>
      </c>
      <c r="F182" s="4" t="s">
        <v>26</v>
      </c>
      <c r="G182" s="6">
        <v>5700</v>
      </c>
      <c r="H182" s="5">
        <v>0</v>
      </c>
      <c r="I182" s="7">
        <v>46056</v>
      </c>
      <c r="J182" s="4" t="s">
        <v>49</v>
      </c>
      <c r="K182" s="5">
        <v>3</v>
      </c>
      <c r="L182" s="6">
        <v>307.70999999999998</v>
      </c>
      <c r="M182" s="6">
        <v>521.51</v>
      </c>
      <c r="N182" s="5">
        <v>19</v>
      </c>
      <c r="O182" s="6">
        <v>27.35</v>
      </c>
      <c r="P182" s="5">
        <v>3</v>
      </c>
      <c r="Q182" s="6">
        <v>1500</v>
      </c>
      <c r="R182" s="6">
        <v>287.32</v>
      </c>
      <c r="S182" s="6">
        <v>0</v>
      </c>
      <c r="T182" s="6">
        <v>0</v>
      </c>
      <c r="U182" s="5">
        <v>518</v>
      </c>
      <c r="V182" s="5">
        <v>1</v>
      </c>
    </row>
    <row r="183" spans="1:22" x14ac:dyDescent="0.25">
      <c r="A183" s="4" t="s">
        <v>244</v>
      </c>
      <c r="B183" s="5">
        <v>39</v>
      </c>
      <c r="C183" s="4" t="s">
        <v>33</v>
      </c>
      <c r="D183" s="4" t="s">
        <v>75</v>
      </c>
      <c r="E183" s="4" t="s">
        <v>35</v>
      </c>
      <c r="F183" s="4" t="s">
        <v>26</v>
      </c>
      <c r="G183" s="6">
        <v>36100</v>
      </c>
      <c r="H183" s="5">
        <v>10</v>
      </c>
      <c r="I183" s="7">
        <v>42392</v>
      </c>
      <c r="J183" s="4" t="s">
        <v>27</v>
      </c>
      <c r="K183" s="5">
        <v>5</v>
      </c>
      <c r="L183" s="6">
        <v>890.25</v>
      </c>
      <c r="M183" s="6">
        <v>23108.95</v>
      </c>
      <c r="N183" s="5">
        <v>31</v>
      </c>
      <c r="O183" s="6">
        <v>94.09</v>
      </c>
      <c r="P183" s="5">
        <v>2</v>
      </c>
      <c r="Q183" s="6">
        <v>0</v>
      </c>
      <c r="R183" s="6">
        <v>0</v>
      </c>
      <c r="S183" s="6">
        <v>55000</v>
      </c>
      <c r="T183" s="6">
        <v>376</v>
      </c>
      <c r="U183" s="5">
        <v>554</v>
      </c>
      <c r="V183" s="5">
        <v>2</v>
      </c>
    </row>
    <row r="184" spans="1:22" x14ac:dyDescent="0.25">
      <c r="A184" s="4" t="s">
        <v>245</v>
      </c>
      <c r="B184" s="5">
        <v>48</v>
      </c>
      <c r="C184" s="4" t="s">
        <v>23</v>
      </c>
      <c r="D184" s="4" t="s">
        <v>62</v>
      </c>
      <c r="E184" s="4" t="s">
        <v>45</v>
      </c>
      <c r="F184" s="4" t="s">
        <v>48</v>
      </c>
      <c r="G184" s="6">
        <v>48000</v>
      </c>
      <c r="H184" s="5">
        <v>13</v>
      </c>
      <c r="I184" s="7">
        <v>41366</v>
      </c>
      <c r="J184" s="4" t="s">
        <v>39</v>
      </c>
      <c r="K184" s="5">
        <v>1</v>
      </c>
      <c r="L184" s="6">
        <v>5093.72</v>
      </c>
      <c r="M184" s="6">
        <v>0</v>
      </c>
      <c r="N184" s="5">
        <v>27</v>
      </c>
      <c r="O184" s="6">
        <v>71.67</v>
      </c>
      <c r="P184" s="5">
        <v>3</v>
      </c>
      <c r="Q184" s="6">
        <v>6000</v>
      </c>
      <c r="R184" s="6">
        <v>1186.3900000000001</v>
      </c>
      <c r="S184" s="6">
        <v>0</v>
      </c>
      <c r="T184" s="6">
        <v>0</v>
      </c>
      <c r="U184" s="5">
        <v>683</v>
      </c>
      <c r="V184" s="5">
        <v>0</v>
      </c>
    </row>
    <row r="185" spans="1:22" x14ac:dyDescent="0.25">
      <c r="A185" s="4" t="s">
        <v>246</v>
      </c>
      <c r="B185" s="5">
        <v>36</v>
      </c>
      <c r="C185" s="4" t="s">
        <v>23</v>
      </c>
      <c r="D185" s="4" t="s">
        <v>34</v>
      </c>
      <c r="E185" s="4" t="s">
        <v>25</v>
      </c>
      <c r="F185" s="4" t="s">
        <v>30</v>
      </c>
      <c r="G185" s="6">
        <v>102400</v>
      </c>
      <c r="H185" s="5">
        <v>17</v>
      </c>
      <c r="I185" s="7">
        <v>39804</v>
      </c>
      <c r="J185" s="4" t="s">
        <v>49</v>
      </c>
      <c r="K185" s="5">
        <v>1</v>
      </c>
      <c r="L185" s="6">
        <v>4723.03</v>
      </c>
      <c r="M185" s="6">
        <v>139565.56</v>
      </c>
      <c r="N185" s="5">
        <v>47</v>
      </c>
      <c r="O185" s="6">
        <v>98.76</v>
      </c>
      <c r="P185" s="5">
        <v>3</v>
      </c>
      <c r="Q185" s="6">
        <v>12500</v>
      </c>
      <c r="R185" s="6">
        <v>1850.32</v>
      </c>
      <c r="S185" s="6">
        <v>0</v>
      </c>
      <c r="T185" s="6">
        <v>0</v>
      </c>
      <c r="U185" s="5">
        <v>719</v>
      </c>
      <c r="V185" s="5">
        <v>0</v>
      </c>
    </row>
    <row r="186" spans="1:22" x14ac:dyDescent="0.25">
      <c r="A186" s="4" t="s">
        <v>247</v>
      </c>
      <c r="B186" s="5">
        <v>52</v>
      </c>
      <c r="C186" s="4" t="s">
        <v>23</v>
      </c>
      <c r="D186" s="4" t="s">
        <v>24</v>
      </c>
      <c r="E186" s="4" t="s">
        <v>45</v>
      </c>
      <c r="F186" s="4" t="s">
        <v>30</v>
      </c>
      <c r="G186" s="6">
        <v>28000</v>
      </c>
      <c r="H186" s="5">
        <v>26</v>
      </c>
      <c r="I186" s="7">
        <v>36522</v>
      </c>
      <c r="J186" s="4" t="s">
        <v>27</v>
      </c>
      <c r="K186" s="5">
        <v>3</v>
      </c>
      <c r="L186" s="6">
        <v>5775.61</v>
      </c>
      <c r="M186" s="6">
        <v>0</v>
      </c>
      <c r="N186" s="5">
        <v>27</v>
      </c>
      <c r="O186" s="6">
        <v>55.95</v>
      </c>
      <c r="P186" s="5">
        <v>4</v>
      </c>
      <c r="Q186" s="6">
        <v>3500</v>
      </c>
      <c r="R186" s="6">
        <v>701.97</v>
      </c>
      <c r="S186" s="6">
        <v>0</v>
      </c>
      <c r="T186" s="6">
        <v>0</v>
      </c>
      <c r="U186" s="5">
        <v>659</v>
      </c>
      <c r="V186" s="5">
        <v>1</v>
      </c>
    </row>
    <row r="187" spans="1:22" x14ac:dyDescent="0.25">
      <c r="A187" s="4" t="s">
        <v>248</v>
      </c>
      <c r="B187" s="5">
        <v>39</v>
      </c>
      <c r="C187" s="4" t="s">
        <v>23</v>
      </c>
      <c r="D187" s="4" t="s">
        <v>34</v>
      </c>
      <c r="E187" s="4" t="s">
        <v>90</v>
      </c>
      <c r="F187" s="4" t="s">
        <v>30</v>
      </c>
      <c r="G187" s="6">
        <v>83800</v>
      </c>
      <c r="H187" s="5">
        <v>6</v>
      </c>
      <c r="I187" s="7">
        <v>44005</v>
      </c>
      <c r="J187" s="4" t="s">
        <v>31</v>
      </c>
      <c r="K187" s="5">
        <v>1</v>
      </c>
      <c r="L187" s="6">
        <v>25787.41</v>
      </c>
      <c r="M187" s="6">
        <v>31133.919999999998</v>
      </c>
      <c r="N187" s="5">
        <v>63</v>
      </c>
      <c r="O187" s="6">
        <v>68.150000000000006</v>
      </c>
      <c r="P187" s="5">
        <v>2</v>
      </c>
      <c r="Q187" s="6">
        <v>0</v>
      </c>
      <c r="R187" s="6">
        <v>0</v>
      </c>
      <c r="S187" s="6">
        <v>0</v>
      </c>
      <c r="T187" s="6">
        <v>0</v>
      </c>
      <c r="U187" s="5">
        <v>664</v>
      </c>
      <c r="V187" s="5">
        <v>0</v>
      </c>
    </row>
    <row r="188" spans="1:22" x14ac:dyDescent="0.25">
      <c r="A188" s="4" t="s">
        <v>249</v>
      </c>
      <c r="B188" s="5">
        <v>51</v>
      </c>
      <c r="C188" s="4" t="s">
        <v>33</v>
      </c>
      <c r="D188" s="4" t="s">
        <v>24</v>
      </c>
      <c r="E188" s="4" t="s">
        <v>35</v>
      </c>
      <c r="F188" s="4" t="s">
        <v>30</v>
      </c>
      <c r="G188" s="6">
        <v>64300</v>
      </c>
      <c r="H188" s="5">
        <v>13</v>
      </c>
      <c r="I188" s="7">
        <v>41470</v>
      </c>
      <c r="J188" s="4" t="s">
        <v>27</v>
      </c>
      <c r="K188" s="5">
        <v>1</v>
      </c>
      <c r="L188" s="6">
        <v>4499.8999999999996</v>
      </c>
      <c r="M188" s="6">
        <v>0</v>
      </c>
      <c r="N188" s="5">
        <v>43</v>
      </c>
      <c r="O188" s="6">
        <v>86.38</v>
      </c>
      <c r="P188" s="5">
        <v>3</v>
      </c>
      <c r="Q188" s="6">
        <v>10000</v>
      </c>
      <c r="R188" s="6">
        <v>6689.78</v>
      </c>
      <c r="S188" s="6">
        <v>0</v>
      </c>
      <c r="T188" s="6">
        <v>0</v>
      </c>
      <c r="U188" s="5">
        <v>725</v>
      </c>
      <c r="V188" s="5">
        <v>0</v>
      </c>
    </row>
    <row r="189" spans="1:22" x14ac:dyDescent="0.25">
      <c r="A189" s="4" t="s">
        <v>250</v>
      </c>
      <c r="B189" s="5">
        <v>67</v>
      </c>
      <c r="C189" s="4" t="s">
        <v>33</v>
      </c>
      <c r="D189" s="4" t="s">
        <v>24</v>
      </c>
      <c r="E189" s="4" t="s">
        <v>95</v>
      </c>
      <c r="F189" s="4" t="s">
        <v>30</v>
      </c>
      <c r="G189" s="6">
        <v>39400</v>
      </c>
      <c r="H189" s="5">
        <v>11</v>
      </c>
      <c r="I189" s="7">
        <v>42240</v>
      </c>
      <c r="J189" s="4" t="s">
        <v>49</v>
      </c>
      <c r="K189" s="5">
        <v>3</v>
      </c>
      <c r="L189" s="6">
        <v>1768.6</v>
      </c>
      <c r="M189" s="6">
        <v>0</v>
      </c>
      <c r="N189" s="5">
        <v>25</v>
      </c>
      <c r="O189" s="6">
        <v>122.09</v>
      </c>
      <c r="P189" s="5">
        <v>9</v>
      </c>
      <c r="Q189" s="6">
        <v>7000</v>
      </c>
      <c r="R189" s="6">
        <v>4441.07</v>
      </c>
      <c r="S189" s="6">
        <v>0</v>
      </c>
      <c r="T189" s="6">
        <v>0</v>
      </c>
      <c r="U189" s="5">
        <v>580</v>
      </c>
      <c r="V189" s="5">
        <v>0</v>
      </c>
    </row>
    <row r="190" spans="1:22" x14ac:dyDescent="0.25">
      <c r="A190" s="4" t="s">
        <v>251</v>
      </c>
      <c r="B190" s="5">
        <v>65</v>
      </c>
      <c r="C190" s="4" t="s">
        <v>33</v>
      </c>
      <c r="D190" s="4" t="s">
        <v>29</v>
      </c>
      <c r="E190" s="4" t="s">
        <v>67</v>
      </c>
      <c r="F190" s="4" t="s">
        <v>26</v>
      </c>
      <c r="G190" s="6">
        <v>5200</v>
      </c>
      <c r="H190" s="5">
        <v>17</v>
      </c>
      <c r="I190" s="7">
        <v>39910</v>
      </c>
      <c r="J190" s="4" t="s">
        <v>27</v>
      </c>
      <c r="K190" s="5">
        <v>4</v>
      </c>
      <c r="L190" s="6">
        <v>619.01</v>
      </c>
      <c r="M190" s="6">
        <v>5740.91</v>
      </c>
      <c r="N190" s="5">
        <v>15</v>
      </c>
      <c r="O190" s="6">
        <v>38.9</v>
      </c>
      <c r="P190" s="5">
        <v>2</v>
      </c>
      <c r="Q190" s="6">
        <v>500</v>
      </c>
      <c r="R190" s="6">
        <v>85.35</v>
      </c>
      <c r="S190" s="6">
        <v>0</v>
      </c>
      <c r="T190" s="6">
        <v>0</v>
      </c>
      <c r="U190" s="5">
        <v>584</v>
      </c>
      <c r="V190" s="5">
        <v>1</v>
      </c>
    </row>
    <row r="191" spans="1:22" x14ac:dyDescent="0.25">
      <c r="A191" s="4" t="s">
        <v>252</v>
      </c>
      <c r="B191" s="5">
        <v>62</v>
      </c>
      <c r="C191" s="4" t="s">
        <v>33</v>
      </c>
      <c r="D191" s="4" t="s">
        <v>29</v>
      </c>
      <c r="E191" s="4" t="s">
        <v>25</v>
      </c>
      <c r="F191" s="4" t="s">
        <v>30</v>
      </c>
      <c r="G191" s="6">
        <v>29500</v>
      </c>
      <c r="H191" s="5">
        <v>11</v>
      </c>
      <c r="I191" s="7">
        <v>42014</v>
      </c>
      <c r="J191" s="4" t="s">
        <v>39</v>
      </c>
      <c r="K191" s="5">
        <v>1</v>
      </c>
      <c r="L191" s="6">
        <v>1708.61</v>
      </c>
      <c r="M191" s="6">
        <v>22058.06</v>
      </c>
      <c r="N191" s="5">
        <v>27</v>
      </c>
      <c r="O191" s="6">
        <v>36.049999999999997</v>
      </c>
      <c r="P191" s="5">
        <v>4</v>
      </c>
      <c r="Q191" s="6">
        <v>6000</v>
      </c>
      <c r="R191" s="6">
        <v>107.19</v>
      </c>
      <c r="S191" s="6">
        <v>0</v>
      </c>
      <c r="T191" s="6">
        <v>0</v>
      </c>
      <c r="U191" s="5">
        <v>590</v>
      </c>
      <c r="V191" s="5">
        <v>0</v>
      </c>
    </row>
    <row r="192" spans="1:22" x14ac:dyDescent="0.25">
      <c r="A192" s="4" t="s">
        <v>253</v>
      </c>
      <c r="B192" s="5">
        <v>47</v>
      </c>
      <c r="C192" s="4" t="s">
        <v>33</v>
      </c>
      <c r="D192" s="4" t="s">
        <v>98</v>
      </c>
      <c r="E192" s="4" t="s">
        <v>90</v>
      </c>
      <c r="F192" s="4" t="s">
        <v>26</v>
      </c>
      <c r="G192" s="6">
        <v>79100</v>
      </c>
      <c r="H192" s="5">
        <v>6</v>
      </c>
      <c r="I192" s="7">
        <v>43952</v>
      </c>
      <c r="J192" s="4" t="s">
        <v>31</v>
      </c>
      <c r="K192" s="5">
        <v>3</v>
      </c>
      <c r="L192" s="6">
        <v>6564.39</v>
      </c>
      <c r="M192" s="6">
        <v>17281.080000000002</v>
      </c>
      <c r="N192" s="5">
        <v>39</v>
      </c>
      <c r="O192" s="6">
        <v>79.75</v>
      </c>
      <c r="P192" s="5">
        <v>2</v>
      </c>
      <c r="Q192" s="6">
        <v>0</v>
      </c>
      <c r="R192" s="6">
        <v>0</v>
      </c>
      <c r="S192" s="6">
        <v>320000</v>
      </c>
      <c r="T192" s="6">
        <v>2157</v>
      </c>
      <c r="U192" s="5">
        <v>735</v>
      </c>
      <c r="V192" s="5">
        <v>0</v>
      </c>
    </row>
    <row r="193" spans="1:22" x14ac:dyDescent="0.25">
      <c r="A193" s="4" t="s">
        <v>254</v>
      </c>
      <c r="B193" s="5">
        <v>58</v>
      </c>
      <c r="C193" s="4" t="s">
        <v>33</v>
      </c>
      <c r="D193" s="4" t="s">
        <v>37</v>
      </c>
      <c r="E193" s="4" t="s">
        <v>63</v>
      </c>
      <c r="F193" s="4" t="s">
        <v>26</v>
      </c>
      <c r="G193" s="6">
        <v>23100</v>
      </c>
      <c r="H193" s="5">
        <v>4</v>
      </c>
      <c r="I193" s="7">
        <v>44693</v>
      </c>
      <c r="J193" s="4" t="s">
        <v>39</v>
      </c>
      <c r="K193" s="5">
        <v>2</v>
      </c>
      <c r="L193" s="6">
        <v>1261.8399999999999</v>
      </c>
      <c r="M193" s="6">
        <v>10445.24</v>
      </c>
      <c r="N193" s="5">
        <v>22</v>
      </c>
      <c r="O193" s="6">
        <v>32.72</v>
      </c>
      <c r="P193" s="5">
        <v>6</v>
      </c>
      <c r="Q193" s="6">
        <v>4500</v>
      </c>
      <c r="R193" s="6">
        <v>2710.52</v>
      </c>
      <c r="S193" s="6">
        <v>0</v>
      </c>
      <c r="T193" s="6">
        <v>0</v>
      </c>
      <c r="U193" s="5">
        <v>647</v>
      </c>
      <c r="V193" s="5">
        <v>0</v>
      </c>
    </row>
    <row r="194" spans="1:22" x14ac:dyDescent="0.25">
      <c r="A194" s="4" t="s">
        <v>255</v>
      </c>
      <c r="B194" s="5">
        <v>51</v>
      </c>
      <c r="C194" s="4" t="s">
        <v>33</v>
      </c>
      <c r="D194" s="4" t="s">
        <v>37</v>
      </c>
      <c r="E194" s="4" t="s">
        <v>45</v>
      </c>
      <c r="F194" s="4" t="s">
        <v>30</v>
      </c>
      <c r="G194" s="6">
        <v>27900</v>
      </c>
      <c r="H194" s="5">
        <v>14</v>
      </c>
      <c r="I194" s="7">
        <v>40907</v>
      </c>
      <c r="J194" s="4" t="s">
        <v>31</v>
      </c>
      <c r="K194" s="5">
        <v>2</v>
      </c>
      <c r="L194" s="6">
        <v>2395.81</v>
      </c>
      <c r="M194" s="6">
        <v>18446.259999999998</v>
      </c>
      <c r="N194" s="5">
        <v>41</v>
      </c>
      <c r="O194" s="6">
        <v>36.15</v>
      </c>
      <c r="P194" s="5">
        <v>0</v>
      </c>
      <c r="Q194" s="6">
        <v>3500</v>
      </c>
      <c r="R194" s="6">
        <v>1878.77</v>
      </c>
      <c r="S194" s="6">
        <v>119000</v>
      </c>
      <c r="T194" s="6">
        <v>772</v>
      </c>
      <c r="U194" s="5">
        <v>640</v>
      </c>
      <c r="V194" s="5">
        <v>1</v>
      </c>
    </row>
    <row r="195" spans="1:22" x14ac:dyDescent="0.25">
      <c r="A195" s="4" t="s">
        <v>256</v>
      </c>
      <c r="B195" s="5">
        <v>52</v>
      </c>
      <c r="C195" s="4" t="s">
        <v>33</v>
      </c>
      <c r="D195" s="4" t="s">
        <v>24</v>
      </c>
      <c r="E195" s="4" t="s">
        <v>25</v>
      </c>
      <c r="F195" s="4" t="s">
        <v>30</v>
      </c>
      <c r="G195" s="6">
        <v>30100</v>
      </c>
      <c r="H195" s="5">
        <v>21</v>
      </c>
      <c r="I195" s="7">
        <v>38352</v>
      </c>
      <c r="J195" s="4" t="s">
        <v>39</v>
      </c>
      <c r="K195" s="5">
        <v>3</v>
      </c>
      <c r="L195" s="6">
        <v>7448.73</v>
      </c>
      <c r="M195" s="6">
        <v>0</v>
      </c>
      <c r="N195" s="5">
        <v>19</v>
      </c>
      <c r="O195" s="6">
        <v>71</v>
      </c>
      <c r="P195" s="5">
        <v>5</v>
      </c>
      <c r="Q195" s="6">
        <v>3000</v>
      </c>
      <c r="R195" s="6">
        <v>365.94</v>
      </c>
      <c r="S195" s="6">
        <v>0</v>
      </c>
      <c r="T195" s="6">
        <v>0</v>
      </c>
      <c r="U195" s="5">
        <v>717</v>
      </c>
      <c r="V195" s="5">
        <v>0</v>
      </c>
    </row>
    <row r="196" spans="1:22" x14ac:dyDescent="0.25">
      <c r="A196" s="4" t="s">
        <v>257</v>
      </c>
      <c r="B196" s="5">
        <v>27</v>
      </c>
      <c r="C196" s="4" t="s">
        <v>23</v>
      </c>
      <c r="D196" s="4" t="s">
        <v>34</v>
      </c>
      <c r="E196" s="4" t="s">
        <v>54</v>
      </c>
      <c r="F196" s="4" t="s">
        <v>26</v>
      </c>
      <c r="G196" s="6">
        <v>24600</v>
      </c>
      <c r="H196" s="5">
        <v>2</v>
      </c>
      <c r="I196" s="7">
        <v>45521</v>
      </c>
      <c r="J196" s="4" t="s">
        <v>31</v>
      </c>
      <c r="K196" s="5">
        <v>2</v>
      </c>
      <c r="L196" s="6">
        <v>1817.48</v>
      </c>
      <c r="M196" s="6">
        <v>0</v>
      </c>
      <c r="N196" s="5">
        <v>35</v>
      </c>
      <c r="O196" s="6">
        <v>20.09</v>
      </c>
      <c r="P196" s="5">
        <v>1</v>
      </c>
      <c r="Q196" s="6">
        <v>3000</v>
      </c>
      <c r="R196" s="6">
        <v>584.75</v>
      </c>
      <c r="S196" s="6">
        <v>0</v>
      </c>
      <c r="T196" s="6">
        <v>0</v>
      </c>
      <c r="U196" s="5">
        <v>531</v>
      </c>
      <c r="V196" s="5">
        <v>0</v>
      </c>
    </row>
    <row r="197" spans="1:22" x14ac:dyDescent="0.25">
      <c r="A197" s="4" t="s">
        <v>258</v>
      </c>
      <c r="B197" s="5">
        <v>57</v>
      </c>
      <c r="C197" s="4" t="s">
        <v>23</v>
      </c>
      <c r="D197" s="4" t="s">
        <v>57</v>
      </c>
      <c r="E197" s="4" t="s">
        <v>42</v>
      </c>
      <c r="F197" s="4" t="s">
        <v>26</v>
      </c>
      <c r="G197" s="6">
        <v>48800</v>
      </c>
      <c r="H197" s="5">
        <v>16</v>
      </c>
      <c r="I197" s="7">
        <v>40209</v>
      </c>
      <c r="J197" s="4" t="s">
        <v>27</v>
      </c>
      <c r="K197" s="5">
        <v>3</v>
      </c>
      <c r="L197" s="6">
        <v>9450.81</v>
      </c>
      <c r="M197" s="6">
        <v>56992.160000000003</v>
      </c>
      <c r="N197" s="5">
        <v>39</v>
      </c>
      <c r="O197" s="6">
        <v>43.13</v>
      </c>
      <c r="P197" s="5">
        <v>4</v>
      </c>
      <c r="Q197" s="6">
        <v>5500</v>
      </c>
      <c r="R197" s="6">
        <v>1676.34</v>
      </c>
      <c r="S197" s="6">
        <v>0</v>
      </c>
      <c r="T197" s="6">
        <v>0</v>
      </c>
      <c r="U197" s="5">
        <v>696</v>
      </c>
      <c r="V197" s="5">
        <v>0</v>
      </c>
    </row>
    <row r="198" spans="1:22" x14ac:dyDescent="0.25">
      <c r="A198" s="4" t="s">
        <v>259</v>
      </c>
      <c r="B198" s="5">
        <v>72</v>
      </c>
      <c r="C198" s="4" t="s">
        <v>33</v>
      </c>
      <c r="D198" s="4" t="s">
        <v>108</v>
      </c>
      <c r="E198" s="4" t="s">
        <v>95</v>
      </c>
      <c r="F198" s="4" t="s">
        <v>38</v>
      </c>
      <c r="G198" s="6">
        <v>23600</v>
      </c>
      <c r="H198" s="5">
        <v>16</v>
      </c>
      <c r="I198" s="7">
        <v>40304</v>
      </c>
      <c r="J198" s="4" t="s">
        <v>27</v>
      </c>
      <c r="K198" s="5">
        <v>1</v>
      </c>
      <c r="L198" s="6">
        <v>964.14</v>
      </c>
      <c r="M198" s="6">
        <v>17814.490000000002</v>
      </c>
      <c r="N198" s="5">
        <v>23</v>
      </c>
      <c r="O198" s="6">
        <v>43.69</v>
      </c>
      <c r="P198" s="5">
        <v>2</v>
      </c>
      <c r="Q198" s="6">
        <v>3000</v>
      </c>
      <c r="R198" s="6">
        <v>494.73</v>
      </c>
      <c r="S198" s="6">
        <v>0</v>
      </c>
      <c r="T198" s="6">
        <v>0</v>
      </c>
      <c r="U198" s="5">
        <v>638</v>
      </c>
      <c r="V198" s="5">
        <v>0</v>
      </c>
    </row>
    <row r="199" spans="1:22" x14ac:dyDescent="0.25">
      <c r="A199" s="4" t="s">
        <v>260</v>
      </c>
      <c r="B199" s="5">
        <v>48</v>
      </c>
      <c r="C199" s="4" t="s">
        <v>33</v>
      </c>
      <c r="D199" s="4" t="s">
        <v>59</v>
      </c>
      <c r="E199" s="4" t="s">
        <v>54</v>
      </c>
      <c r="F199" s="4" t="s">
        <v>30</v>
      </c>
      <c r="G199" s="6">
        <v>36400</v>
      </c>
      <c r="H199" s="5">
        <v>7</v>
      </c>
      <c r="I199" s="7">
        <v>43395</v>
      </c>
      <c r="J199" s="4" t="s">
        <v>31</v>
      </c>
      <c r="K199" s="5">
        <v>3</v>
      </c>
      <c r="L199" s="6">
        <v>1107.0899999999999</v>
      </c>
      <c r="M199" s="6">
        <v>12204.02</v>
      </c>
      <c r="N199" s="5">
        <v>22</v>
      </c>
      <c r="O199" s="6">
        <v>63.64</v>
      </c>
      <c r="P199" s="5">
        <v>1</v>
      </c>
      <c r="Q199" s="6">
        <v>0</v>
      </c>
      <c r="R199" s="6">
        <v>0</v>
      </c>
      <c r="S199" s="6">
        <v>155000</v>
      </c>
      <c r="T199" s="6">
        <v>895</v>
      </c>
      <c r="U199" s="5">
        <v>665</v>
      </c>
      <c r="V199" s="5">
        <v>0</v>
      </c>
    </row>
    <row r="200" spans="1:22" x14ac:dyDescent="0.25">
      <c r="A200" s="4" t="s">
        <v>261</v>
      </c>
      <c r="B200" s="5">
        <v>52</v>
      </c>
      <c r="C200" s="4" t="s">
        <v>33</v>
      </c>
      <c r="D200" s="4" t="s">
        <v>108</v>
      </c>
      <c r="E200" s="4" t="s">
        <v>54</v>
      </c>
      <c r="F200" s="4" t="s">
        <v>30</v>
      </c>
      <c r="G200" s="6">
        <v>31000</v>
      </c>
      <c r="H200" s="5">
        <v>10</v>
      </c>
      <c r="I200" s="7">
        <v>42625</v>
      </c>
      <c r="J200" s="4" t="s">
        <v>39</v>
      </c>
      <c r="K200" s="5">
        <v>4</v>
      </c>
      <c r="L200" s="6">
        <v>2095.7199999999998</v>
      </c>
      <c r="M200" s="6">
        <v>0</v>
      </c>
      <c r="N200" s="5">
        <v>28</v>
      </c>
      <c r="O200" s="6">
        <v>82.74</v>
      </c>
      <c r="P200" s="5">
        <v>5</v>
      </c>
      <c r="Q200" s="6">
        <v>0</v>
      </c>
      <c r="R200" s="6">
        <v>0</v>
      </c>
      <c r="S200" s="6">
        <v>50000</v>
      </c>
      <c r="T200" s="6">
        <v>248</v>
      </c>
      <c r="U200" s="5">
        <v>655</v>
      </c>
      <c r="V200" s="5">
        <v>0</v>
      </c>
    </row>
    <row r="201" spans="1:22" x14ac:dyDescent="0.25">
      <c r="A201" s="4" t="s">
        <v>262</v>
      </c>
      <c r="B201" s="5">
        <v>36</v>
      </c>
      <c r="C201" s="4" t="s">
        <v>23</v>
      </c>
      <c r="D201" s="4" t="s">
        <v>37</v>
      </c>
      <c r="E201" s="4" t="s">
        <v>45</v>
      </c>
      <c r="F201" s="4" t="s">
        <v>48</v>
      </c>
      <c r="G201" s="6">
        <v>7000</v>
      </c>
      <c r="H201" s="5">
        <v>8</v>
      </c>
      <c r="I201" s="7">
        <v>43237</v>
      </c>
      <c r="J201" s="4" t="s">
        <v>27</v>
      </c>
      <c r="K201" s="5">
        <v>2</v>
      </c>
      <c r="L201" s="6">
        <v>574.6</v>
      </c>
      <c r="M201" s="6">
        <v>3470.47</v>
      </c>
      <c r="N201" s="5">
        <v>22</v>
      </c>
      <c r="O201" s="6">
        <v>25.13</v>
      </c>
      <c r="P201" s="5">
        <v>2</v>
      </c>
      <c r="Q201" s="6">
        <v>1000</v>
      </c>
      <c r="R201" s="6">
        <v>275.35000000000002</v>
      </c>
      <c r="S201" s="6">
        <v>0</v>
      </c>
      <c r="T201" s="6">
        <v>0</v>
      </c>
      <c r="U201" s="5">
        <v>630</v>
      </c>
      <c r="V201" s="5">
        <v>0</v>
      </c>
    </row>
    <row r="202" spans="1:22" x14ac:dyDescent="0.25">
      <c r="A202" s="4" t="s">
        <v>263</v>
      </c>
      <c r="B202" s="5">
        <v>49</v>
      </c>
      <c r="C202" s="4" t="s">
        <v>23</v>
      </c>
      <c r="D202" s="4" t="s">
        <v>34</v>
      </c>
      <c r="E202" s="4" t="s">
        <v>25</v>
      </c>
      <c r="F202" s="4" t="s">
        <v>48</v>
      </c>
      <c r="G202" s="6">
        <v>20500</v>
      </c>
      <c r="H202" s="5">
        <v>5</v>
      </c>
      <c r="I202" s="7">
        <v>44239</v>
      </c>
      <c r="J202" s="4" t="s">
        <v>27</v>
      </c>
      <c r="K202" s="5">
        <v>3</v>
      </c>
      <c r="L202" s="6">
        <v>421.39</v>
      </c>
      <c r="M202" s="6">
        <v>9932.0300000000007</v>
      </c>
      <c r="N202" s="5">
        <v>37</v>
      </c>
      <c r="O202" s="6">
        <v>52.29</v>
      </c>
      <c r="P202" s="5">
        <v>9</v>
      </c>
      <c r="Q202" s="6">
        <v>3500</v>
      </c>
      <c r="R202" s="6">
        <v>521.77</v>
      </c>
      <c r="S202" s="6">
        <v>85000</v>
      </c>
      <c r="T202" s="6">
        <v>604</v>
      </c>
      <c r="U202" s="5">
        <v>9999</v>
      </c>
      <c r="V202" s="5">
        <v>0</v>
      </c>
    </row>
    <row r="203" spans="1:22" x14ac:dyDescent="0.25">
      <c r="A203" s="4" t="s">
        <v>264</v>
      </c>
      <c r="B203" s="5">
        <v>58</v>
      </c>
      <c r="C203" s="4" t="s">
        <v>33</v>
      </c>
      <c r="D203" s="4" t="s">
        <v>62</v>
      </c>
      <c r="E203" s="4" t="s">
        <v>35</v>
      </c>
      <c r="F203" s="4" t="s">
        <v>26</v>
      </c>
      <c r="G203" s="6">
        <v>48700</v>
      </c>
      <c r="H203" s="5">
        <v>12</v>
      </c>
      <c r="I203" s="7">
        <v>41547</v>
      </c>
      <c r="J203" s="4" t="s">
        <v>49</v>
      </c>
      <c r="K203" s="5">
        <v>2</v>
      </c>
      <c r="L203" s="6">
        <v>2570.0100000000002</v>
      </c>
      <c r="M203" s="6">
        <v>0</v>
      </c>
      <c r="N203" s="5">
        <v>23</v>
      </c>
      <c r="O203" s="6">
        <v>76.069999999999993</v>
      </c>
      <c r="P203" s="5">
        <v>1</v>
      </c>
      <c r="Q203" s="6">
        <v>6000</v>
      </c>
      <c r="R203" s="6">
        <v>258.10000000000002</v>
      </c>
      <c r="S203" s="6">
        <v>127000</v>
      </c>
      <c r="T203" s="6">
        <v>908</v>
      </c>
      <c r="U203" s="5">
        <v>653</v>
      </c>
      <c r="V203" s="5">
        <v>0</v>
      </c>
    </row>
    <row r="204" spans="1:22" x14ac:dyDescent="0.25">
      <c r="A204" s="4" t="s">
        <v>265</v>
      </c>
      <c r="B204" s="5">
        <v>41</v>
      </c>
      <c r="C204" s="4" t="s">
        <v>33</v>
      </c>
      <c r="D204" s="4" t="s">
        <v>29</v>
      </c>
      <c r="E204" s="4" t="s">
        <v>42</v>
      </c>
      <c r="F204" s="4" t="s">
        <v>30</v>
      </c>
      <c r="G204" s="6">
        <v>1850000</v>
      </c>
      <c r="H204" s="5">
        <v>7</v>
      </c>
      <c r="I204" s="7">
        <v>43410</v>
      </c>
      <c r="J204" s="4" t="s">
        <v>31</v>
      </c>
      <c r="K204" s="5">
        <v>1</v>
      </c>
      <c r="L204" s="6">
        <v>185000</v>
      </c>
      <c r="M204" s="6">
        <v>2384000</v>
      </c>
      <c r="N204" s="5">
        <v>37</v>
      </c>
      <c r="O204" s="6">
        <v>47.1</v>
      </c>
      <c r="P204" s="5">
        <v>1</v>
      </c>
      <c r="Q204" s="6">
        <v>15000</v>
      </c>
      <c r="R204" s="6">
        <v>5074.59</v>
      </c>
      <c r="S204" s="6">
        <v>318000</v>
      </c>
      <c r="T204" s="6">
        <v>2239</v>
      </c>
      <c r="U204" s="5">
        <v>800</v>
      </c>
      <c r="V204" s="5">
        <v>0</v>
      </c>
    </row>
    <row r="205" spans="1:22" x14ac:dyDescent="0.25">
      <c r="A205" s="4" t="s">
        <v>266</v>
      </c>
      <c r="B205" s="5">
        <v>65</v>
      </c>
      <c r="C205" s="4" t="s">
        <v>23</v>
      </c>
      <c r="D205" s="4" t="s">
        <v>34</v>
      </c>
      <c r="E205" s="4" t="s">
        <v>42</v>
      </c>
      <c r="F205" s="4" t="s">
        <v>48</v>
      </c>
      <c r="G205" s="6">
        <v>68100</v>
      </c>
      <c r="H205" s="5">
        <v>26</v>
      </c>
      <c r="I205" s="7">
        <v>36439</v>
      </c>
      <c r="J205" s="4" t="s">
        <v>39</v>
      </c>
      <c r="K205" s="5">
        <v>2</v>
      </c>
      <c r="L205" s="6">
        <v>5952.02</v>
      </c>
      <c r="M205" s="6">
        <v>38157.07</v>
      </c>
      <c r="N205" s="5">
        <v>29</v>
      </c>
      <c r="O205" s="6">
        <v>74.42</v>
      </c>
      <c r="P205" s="5">
        <v>1</v>
      </c>
      <c r="Q205" s="6">
        <v>8000</v>
      </c>
      <c r="R205" s="6">
        <v>3541.77</v>
      </c>
      <c r="S205" s="6">
        <v>0</v>
      </c>
      <c r="T205" s="6">
        <v>0</v>
      </c>
      <c r="U205" s="5">
        <v>643</v>
      </c>
      <c r="V205" s="5">
        <v>0</v>
      </c>
    </row>
    <row r="206" spans="1:22" x14ac:dyDescent="0.25">
      <c r="A206" s="4" t="s">
        <v>267</v>
      </c>
      <c r="B206" s="5">
        <v>56</v>
      </c>
      <c r="C206" s="4" t="s">
        <v>33</v>
      </c>
      <c r="D206" s="4" t="s">
        <v>98</v>
      </c>
      <c r="E206" s="4" t="s">
        <v>25</v>
      </c>
      <c r="F206" s="4" t="s">
        <v>30</v>
      </c>
      <c r="G206" s="6">
        <v>50600</v>
      </c>
      <c r="H206" s="5">
        <v>24</v>
      </c>
      <c r="I206" s="7">
        <v>37395</v>
      </c>
      <c r="J206" s="4" t="s">
        <v>39</v>
      </c>
      <c r="K206" s="5">
        <v>3</v>
      </c>
      <c r="L206" s="6">
        <v>8070.82</v>
      </c>
      <c r="M206" s="6">
        <v>0</v>
      </c>
      <c r="N206" s="5">
        <v>20</v>
      </c>
      <c r="O206" s="6">
        <v>59.68</v>
      </c>
      <c r="P206" s="5">
        <v>5</v>
      </c>
      <c r="Q206" s="6">
        <v>11000</v>
      </c>
      <c r="R206" s="6">
        <v>84.98</v>
      </c>
      <c r="S206" s="6">
        <v>0</v>
      </c>
      <c r="T206" s="6">
        <v>0</v>
      </c>
      <c r="U206" s="5">
        <v>630</v>
      </c>
      <c r="V206" s="5">
        <v>2</v>
      </c>
    </row>
    <row r="207" spans="1:22" x14ac:dyDescent="0.25">
      <c r="A207" s="4" t="s">
        <v>268</v>
      </c>
      <c r="B207" s="5">
        <v>41</v>
      </c>
      <c r="C207" s="4" t="s">
        <v>23</v>
      </c>
      <c r="D207" s="4" t="s">
        <v>24</v>
      </c>
      <c r="E207" s="4" t="s">
        <v>90</v>
      </c>
      <c r="F207" s="4" t="s">
        <v>26</v>
      </c>
      <c r="G207" s="6">
        <v>144200</v>
      </c>
      <c r="H207" s="5">
        <v>9</v>
      </c>
      <c r="I207" s="7">
        <v>42702</v>
      </c>
      <c r="J207" s="4" t="s">
        <v>31</v>
      </c>
      <c r="K207" s="5">
        <v>3</v>
      </c>
      <c r="L207" s="6">
        <v>4399.1099999999997</v>
      </c>
      <c r="M207" s="6">
        <v>0</v>
      </c>
      <c r="N207" s="5">
        <v>67</v>
      </c>
      <c r="O207" s="6">
        <v>93.36</v>
      </c>
      <c r="P207" s="5">
        <v>0</v>
      </c>
      <c r="Q207" s="6">
        <v>15000</v>
      </c>
      <c r="R207" s="6">
        <v>3677.2</v>
      </c>
      <c r="S207" s="6">
        <v>400000</v>
      </c>
      <c r="T207" s="6">
        <v>1947</v>
      </c>
      <c r="U207" s="5">
        <v>687</v>
      </c>
      <c r="V207" s="5">
        <v>0</v>
      </c>
    </row>
    <row r="208" spans="1:22" x14ac:dyDescent="0.25">
      <c r="A208" s="4" t="s">
        <v>269</v>
      </c>
      <c r="B208" s="5">
        <v>39</v>
      </c>
      <c r="C208" s="4" t="s">
        <v>23</v>
      </c>
      <c r="D208" s="4" t="s">
        <v>57</v>
      </c>
      <c r="E208" s="4" t="s">
        <v>25</v>
      </c>
      <c r="F208" s="4" t="s">
        <v>30</v>
      </c>
      <c r="G208" s="6">
        <v>23300</v>
      </c>
      <c r="H208" s="5">
        <v>10</v>
      </c>
      <c r="I208" s="7">
        <v>42603</v>
      </c>
      <c r="J208" s="4" t="s">
        <v>39</v>
      </c>
      <c r="K208" s="5">
        <v>5</v>
      </c>
      <c r="L208" s="6">
        <v>2503.1</v>
      </c>
      <c r="M208" s="6">
        <v>0</v>
      </c>
      <c r="N208" s="5">
        <v>16</v>
      </c>
      <c r="O208" s="6">
        <v>55.55</v>
      </c>
      <c r="P208" s="5">
        <v>4</v>
      </c>
      <c r="Q208" s="6">
        <v>5000</v>
      </c>
      <c r="R208" s="6">
        <v>778.8</v>
      </c>
      <c r="S208" s="6">
        <v>43000</v>
      </c>
      <c r="T208" s="6">
        <v>314</v>
      </c>
      <c r="U208" s="5">
        <v>685</v>
      </c>
      <c r="V208" s="5">
        <v>0</v>
      </c>
    </row>
    <row r="209" spans="1:22" x14ac:dyDescent="0.25">
      <c r="A209" s="4" t="s">
        <v>270</v>
      </c>
      <c r="B209" s="5">
        <v>51</v>
      </c>
      <c r="C209" s="4" t="s">
        <v>33</v>
      </c>
      <c r="D209" s="4" t="s">
        <v>44</v>
      </c>
      <c r="E209" s="4" t="s">
        <v>25</v>
      </c>
      <c r="F209" s="4" t="s">
        <v>30</v>
      </c>
      <c r="G209" s="6">
        <v>48800</v>
      </c>
      <c r="H209" s="5">
        <v>11</v>
      </c>
      <c r="I209" s="7">
        <v>42215</v>
      </c>
      <c r="J209" s="4" t="s">
        <v>27</v>
      </c>
      <c r="K209" s="5">
        <v>1</v>
      </c>
      <c r="L209" s="6">
        <v>4198.13</v>
      </c>
      <c r="M209" s="6">
        <v>29850.19</v>
      </c>
      <c r="N209" s="5">
        <v>33</v>
      </c>
      <c r="O209" s="6">
        <v>60.77</v>
      </c>
      <c r="P209" s="5">
        <v>5</v>
      </c>
      <c r="Q209" s="6">
        <v>6000</v>
      </c>
      <c r="R209" s="6">
        <v>1450.33</v>
      </c>
      <c r="S209" s="6">
        <v>81000</v>
      </c>
      <c r="T209" s="6">
        <v>373</v>
      </c>
      <c r="U209" s="5">
        <v>648</v>
      </c>
      <c r="V209" s="5">
        <v>1</v>
      </c>
    </row>
    <row r="210" spans="1:22" x14ac:dyDescent="0.25">
      <c r="A210" s="4" t="s">
        <v>271</v>
      </c>
      <c r="B210" s="5">
        <v>52</v>
      </c>
      <c r="C210" s="4" t="s">
        <v>23</v>
      </c>
      <c r="D210" s="4" t="s">
        <v>72</v>
      </c>
      <c r="E210" s="4" t="s">
        <v>45</v>
      </c>
      <c r="F210" s="4" t="s">
        <v>26</v>
      </c>
      <c r="G210" s="6">
        <v>17900</v>
      </c>
      <c r="H210" s="5">
        <v>7</v>
      </c>
      <c r="I210" s="7">
        <v>43671</v>
      </c>
      <c r="J210" s="4" t="s">
        <v>27</v>
      </c>
      <c r="K210" s="5">
        <v>1</v>
      </c>
      <c r="L210" s="6">
        <v>1291.5999999999999</v>
      </c>
      <c r="M210" s="6">
        <v>4647.53</v>
      </c>
      <c r="N210" s="5">
        <v>25</v>
      </c>
      <c r="O210" s="6">
        <v>42.51</v>
      </c>
      <c r="P210" s="5">
        <v>4</v>
      </c>
      <c r="Q210" s="6">
        <v>4500</v>
      </c>
      <c r="R210" s="6">
        <v>1988.89</v>
      </c>
      <c r="S210" s="6">
        <v>0</v>
      </c>
      <c r="T210" s="6">
        <v>0</v>
      </c>
      <c r="U210" s="5">
        <v>589</v>
      </c>
      <c r="V210" s="5">
        <v>0</v>
      </c>
    </row>
    <row r="211" spans="1:22" x14ac:dyDescent="0.25">
      <c r="A211" s="4" t="s">
        <v>272</v>
      </c>
      <c r="B211" s="5">
        <v>36</v>
      </c>
      <c r="C211" s="4" t="s">
        <v>33</v>
      </c>
      <c r="D211" s="4" t="s">
        <v>108</v>
      </c>
      <c r="E211" s="4" t="s">
        <v>45</v>
      </c>
      <c r="F211" s="4" t="s">
        <v>30</v>
      </c>
      <c r="G211" s="6">
        <v>15900</v>
      </c>
      <c r="H211" s="5">
        <v>2</v>
      </c>
      <c r="I211" s="7">
        <v>45432</v>
      </c>
      <c r="J211" s="4" t="s">
        <v>27</v>
      </c>
      <c r="K211" s="5">
        <v>2</v>
      </c>
      <c r="L211" s="6">
        <v>9420.7900000000009</v>
      </c>
      <c r="M211" s="6">
        <v>0</v>
      </c>
      <c r="N211" s="5">
        <v>22</v>
      </c>
      <c r="O211" s="6">
        <v>40.57</v>
      </c>
      <c r="P211" s="5">
        <v>2</v>
      </c>
      <c r="Q211" s="6">
        <v>4000</v>
      </c>
      <c r="R211" s="6">
        <v>95.78</v>
      </c>
      <c r="S211" s="6">
        <v>0</v>
      </c>
      <c r="T211" s="6">
        <v>0</v>
      </c>
      <c r="U211" s="5">
        <v>578</v>
      </c>
      <c r="V211" s="5">
        <v>0</v>
      </c>
    </row>
    <row r="212" spans="1:22" x14ac:dyDescent="0.25">
      <c r="A212" s="4" t="s">
        <v>273</v>
      </c>
      <c r="B212" s="5">
        <v>34</v>
      </c>
      <c r="C212" s="4" t="s">
        <v>33</v>
      </c>
      <c r="D212" s="4" t="s">
        <v>57</v>
      </c>
      <c r="E212" s="4" t="s">
        <v>45</v>
      </c>
      <c r="F212" s="4" t="s">
        <v>30</v>
      </c>
      <c r="G212" s="6">
        <v>16600</v>
      </c>
      <c r="H212" s="5">
        <v>11</v>
      </c>
      <c r="I212" s="7">
        <v>41936</v>
      </c>
      <c r="J212" s="4" t="s">
        <v>31</v>
      </c>
      <c r="K212" s="5">
        <v>1</v>
      </c>
      <c r="L212" s="6">
        <v>2828.24</v>
      </c>
      <c r="M212" s="6">
        <v>13759.17</v>
      </c>
      <c r="N212" s="5">
        <v>24</v>
      </c>
      <c r="O212" s="6">
        <v>36.96</v>
      </c>
      <c r="P212" s="5">
        <v>2</v>
      </c>
      <c r="Q212" s="6">
        <v>2500</v>
      </c>
      <c r="R212" s="6">
        <v>1204.78</v>
      </c>
      <c r="S212" s="6">
        <v>42000</v>
      </c>
      <c r="T212" s="6">
        <v>311</v>
      </c>
      <c r="U212" s="5">
        <v>519</v>
      </c>
      <c r="V212" s="5">
        <v>0</v>
      </c>
    </row>
    <row r="213" spans="1:22" x14ac:dyDescent="0.25">
      <c r="A213" s="4" t="s">
        <v>274</v>
      </c>
      <c r="B213" s="5">
        <v>18</v>
      </c>
      <c r="C213" s="4" t="s">
        <v>33</v>
      </c>
      <c r="D213" s="4" t="s">
        <v>24</v>
      </c>
      <c r="E213" s="4" t="s">
        <v>67</v>
      </c>
      <c r="F213" s="4" t="s">
        <v>26</v>
      </c>
      <c r="G213" s="6">
        <v>5000</v>
      </c>
      <c r="H213" s="5">
        <v>0</v>
      </c>
      <c r="I213" s="7">
        <v>46121</v>
      </c>
      <c r="J213" s="4" t="s">
        <v>27</v>
      </c>
      <c r="K213" s="5">
        <v>2</v>
      </c>
      <c r="L213" s="6">
        <v>336.45</v>
      </c>
      <c r="M213" s="6">
        <v>0</v>
      </c>
      <c r="N213" s="5">
        <v>21</v>
      </c>
      <c r="O213" s="6">
        <v>28.87</v>
      </c>
      <c r="P213" s="5">
        <v>5</v>
      </c>
      <c r="Q213" s="6">
        <v>1000</v>
      </c>
      <c r="R213" s="6">
        <v>180.76</v>
      </c>
      <c r="S213" s="6">
        <v>0</v>
      </c>
      <c r="T213" s="6">
        <v>0</v>
      </c>
      <c r="U213" s="5">
        <v>533</v>
      </c>
      <c r="V213" s="5">
        <v>0</v>
      </c>
    </row>
    <row r="214" spans="1:22" x14ac:dyDescent="0.25">
      <c r="A214" s="4" t="s">
        <v>275</v>
      </c>
      <c r="B214" s="5">
        <v>62</v>
      </c>
      <c r="C214" s="4" t="s">
        <v>23</v>
      </c>
      <c r="D214" s="4" t="s">
        <v>34</v>
      </c>
      <c r="E214" s="4" t="s">
        <v>25</v>
      </c>
      <c r="F214" s="4" t="s">
        <v>38</v>
      </c>
      <c r="G214" s="6">
        <v>25300</v>
      </c>
      <c r="H214" s="5">
        <v>13</v>
      </c>
      <c r="I214" s="7">
        <v>41423</v>
      </c>
      <c r="J214" s="4" t="s">
        <v>39</v>
      </c>
      <c r="K214" s="5">
        <v>2</v>
      </c>
      <c r="L214" s="6">
        <v>2543.64</v>
      </c>
      <c r="M214" s="6">
        <v>27505.87</v>
      </c>
      <c r="N214" s="5">
        <v>28</v>
      </c>
      <c r="O214" s="6">
        <v>40.409999999999997</v>
      </c>
      <c r="P214" s="5">
        <v>3</v>
      </c>
      <c r="Q214" s="6">
        <v>2500</v>
      </c>
      <c r="R214" s="6">
        <v>178.57</v>
      </c>
      <c r="S214" s="6">
        <v>103000</v>
      </c>
      <c r="T214" s="6">
        <v>555</v>
      </c>
      <c r="U214" s="5">
        <v>588</v>
      </c>
      <c r="V214" s="5">
        <v>1</v>
      </c>
    </row>
    <row r="215" spans="1:22" x14ac:dyDescent="0.25">
      <c r="A215" s="4" t="s">
        <v>276</v>
      </c>
      <c r="B215" s="5">
        <v>54</v>
      </c>
      <c r="C215" s="4" t="s">
        <v>23</v>
      </c>
      <c r="D215" s="4" t="s">
        <v>59</v>
      </c>
      <c r="E215" s="4" t="s">
        <v>63</v>
      </c>
      <c r="F215" s="4" t="s">
        <v>48</v>
      </c>
      <c r="G215" s="6">
        <v>54100</v>
      </c>
      <c r="H215" s="5">
        <v>5</v>
      </c>
      <c r="I215" s="7">
        <v>44165</v>
      </c>
      <c r="J215" s="4" t="s">
        <v>49</v>
      </c>
      <c r="K215" s="5">
        <v>1</v>
      </c>
      <c r="L215" s="6">
        <v>10465.35</v>
      </c>
      <c r="M215" s="6">
        <v>37189.15</v>
      </c>
      <c r="N215" s="5">
        <v>29</v>
      </c>
      <c r="O215" s="6">
        <v>50.72</v>
      </c>
      <c r="P215" s="5">
        <v>4</v>
      </c>
      <c r="Q215" s="6">
        <v>9500</v>
      </c>
      <c r="R215" s="6">
        <v>2749.37</v>
      </c>
      <c r="S215" s="6">
        <v>0</v>
      </c>
      <c r="T215" s="6">
        <v>0</v>
      </c>
      <c r="U215" s="5">
        <v>556</v>
      </c>
      <c r="V215" s="5">
        <v>0</v>
      </c>
    </row>
    <row r="216" spans="1:22" x14ac:dyDescent="0.25">
      <c r="A216" s="4" t="s">
        <v>277</v>
      </c>
      <c r="B216" s="5">
        <v>45</v>
      </c>
      <c r="C216" s="4" t="s">
        <v>33</v>
      </c>
      <c r="D216" s="4" t="s">
        <v>24</v>
      </c>
      <c r="E216" s="4" t="s">
        <v>90</v>
      </c>
      <c r="F216" s="4" t="s">
        <v>26</v>
      </c>
      <c r="G216" s="6">
        <v>164600</v>
      </c>
      <c r="H216" s="5">
        <v>17</v>
      </c>
      <c r="I216" s="7">
        <v>39984</v>
      </c>
      <c r="J216" s="4" t="s">
        <v>31</v>
      </c>
      <c r="K216" s="5">
        <v>4</v>
      </c>
      <c r="L216" s="6">
        <v>8280.75</v>
      </c>
      <c r="M216" s="6">
        <v>200885.4</v>
      </c>
      <c r="N216" s="5">
        <v>81</v>
      </c>
      <c r="O216" s="6">
        <v>110.63</v>
      </c>
      <c r="P216" s="5">
        <v>3</v>
      </c>
      <c r="Q216" s="6">
        <v>15000</v>
      </c>
      <c r="R216" s="6">
        <v>4869.45</v>
      </c>
      <c r="S216" s="6">
        <v>374000</v>
      </c>
      <c r="T216" s="6">
        <v>2166</v>
      </c>
      <c r="U216" s="5">
        <v>729</v>
      </c>
      <c r="V216" s="5">
        <v>0</v>
      </c>
    </row>
    <row r="217" spans="1:22" x14ac:dyDescent="0.25">
      <c r="A217" s="4" t="s">
        <v>278</v>
      </c>
      <c r="B217" s="5">
        <v>27</v>
      </c>
      <c r="C217" s="4" t="s">
        <v>23</v>
      </c>
      <c r="D217" s="4" t="s">
        <v>24</v>
      </c>
      <c r="E217" s="4" t="s">
        <v>67</v>
      </c>
      <c r="F217" s="4" t="s">
        <v>26</v>
      </c>
      <c r="G217" s="6">
        <v>12200</v>
      </c>
      <c r="H217" s="5">
        <v>0</v>
      </c>
      <c r="I217" s="7">
        <v>45967</v>
      </c>
      <c r="J217" s="4" t="s">
        <v>31</v>
      </c>
      <c r="K217" s="5">
        <v>1</v>
      </c>
      <c r="L217" s="6">
        <v>438.83</v>
      </c>
      <c r="M217" s="6">
        <v>0</v>
      </c>
      <c r="N217" s="5">
        <v>48</v>
      </c>
      <c r="O217" s="6">
        <v>199</v>
      </c>
      <c r="P217" s="5">
        <v>0</v>
      </c>
      <c r="Q217" s="6">
        <v>0</v>
      </c>
      <c r="R217" s="6">
        <v>0</v>
      </c>
      <c r="S217" s="6">
        <v>0</v>
      </c>
      <c r="T217" s="6">
        <v>0</v>
      </c>
      <c r="U217" s="5">
        <v>624</v>
      </c>
      <c r="V217" s="5">
        <v>0</v>
      </c>
    </row>
    <row r="218" spans="1:22" x14ac:dyDescent="0.25">
      <c r="A218" s="4" t="s">
        <v>279</v>
      </c>
      <c r="B218" s="5">
        <v>49</v>
      </c>
      <c r="C218" s="4" t="s">
        <v>23</v>
      </c>
      <c r="D218" s="4" t="s">
        <v>44</v>
      </c>
      <c r="E218" s="4" t="s">
        <v>67</v>
      </c>
      <c r="F218" s="4" t="s">
        <v>26</v>
      </c>
      <c r="G218" s="6">
        <v>3700</v>
      </c>
      <c r="H218" s="5">
        <v>20</v>
      </c>
      <c r="I218" s="7">
        <v>38883</v>
      </c>
      <c r="J218" s="4" t="s">
        <v>39</v>
      </c>
      <c r="K218" s="5">
        <v>3</v>
      </c>
      <c r="L218" s="6">
        <v>385.35</v>
      </c>
      <c r="M218" s="6">
        <v>9713.98</v>
      </c>
      <c r="N218" s="5">
        <v>11</v>
      </c>
      <c r="O218" s="6">
        <v>44.43</v>
      </c>
      <c r="P218" s="5">
        <v>7</v>
      </c>
      <c r="Q218" s="6">
        <v>500</v>
      </c>
      <c r="R218" s="6">
        <v>65.47</v>
      </c>
      <c r="S218" s="6">
        <v>0</v>
      </c>
      <c r="T218" s="6">
        <v>0</v>
      </c>
      <c r="U218" s="5">
        <v>648</v>
      </c>
      <c r="V218" s="5">
        <v>1</v>
      </c>
    </row>
    <row r="219" spans="1:22" x14ac:dyDescent="0.25">
      <c r="A219" s="4" t="s">
        <v>280</v>
      </c>
      <c r="B219" s="5">
        <v>38</v>
      </c>
      <c r="C219" s="4" t="s">
        <v>33</v>
      </c>
      <c r="D219" s="4" t="s">
        <v>51</v>
      </c>
      <c r="E219" s="4" t="s">
        <v>25</v>
      </c>
      <c r="F219" s="4" t="s">
        <v>30</v>
      </c>
      <c r="G219" s="6">
        <v>25400</v>
      </c>
      <c r="H219" s="5">
        <v>14</v>
      </c>
      <c r="I219" s="7">
        <v>40961</v>
      </c>
      <c r="J219" s="4" t="s">
        <v>27</v>
      </c>
      <c r="K219" s="5">
        <v>4</v>
      </c>
      <c r="L219" s="6">
        <v>9620.52</v>
      </c>
      <c r="M219" s="6">
        <v>0</v>
      </c>
      <c r="N219" s="5">
        <v>31</v>
      </c>
      <c r="O219" s="6">
        <v>63.92</v>
      </c>
      <c r="P219" s="5">
        <v>1</v>
      </c>
      <c r="Q219" s="6">
        <v>6000</v>
      </c>
      <c r="R219" s="6">
        <v>1251.6300000000001</v>
      </c>
      <c r="S219" s="6">
        <v>125000</v>
      </c>
      <c r="T219" s="6">
        <v>880</v>
      </c>
      <c r="U219" s="5">
        <v>633</v>
      </c>
      <c r="V219" s="5">
        <v>0</v>
      </c>
    </row>
    <row r="220" spans="1:22" x14ac:dyDescent="0.25">
      <c r="A220" s="4" t="s">
        <v>281</v>
      </c>
      <c r="B220" s="5">
        <v>44</v>
      </c>
      <c r="C220" s="4" t="s">
        <v>23</v>
      </c>
      <c r="D220" s="4" t="s">
        <v>134</v>
      </c>
      <c r="E220" s="4" t="s">
        <v>45</v>
      </c>
      <c r="F220" s="4" t="s">
        <v>30</v>
      </c>
      <c r="G220" s="6">
        <v>15600</v>
      </c>
      <c r="H220" s="5">
        <v>11</v>
      </c>
      <c r="I220" s="7">
        <v>42219</v>
      </c>
      <c r="J220" s="4" t="s">
        <v>31</v>
      </c>
      <c r="K220" s="5">
        <v>3</v>
      </c>
      <c r="L220" s="6">
        <v>677.64</v>
      </c>
      <c r="M220" s="6">
        <v>0</v>
      </c>
      <c r="N220" s="5">
        <v>23</v>
      </c>
      <c r="O220" s="6">
        <v>43.05</v>
      </c>
      <c r="P220" s="5">
        <v>2</v>
      </c>
      <c r="Q220" s="6">
        <v>4000</v>
      </c>
      <c r="R220" s="6">
        <v>2395.13</v>
      </c>
      <c r="S220" s="6">
        <v>0</v>
      </c>
      <c r="T220" s="6">
        <v>0</v>
      </c>
      <c r="U220" s="5">
        <v>616</v>
      </c>
      <c r="V220" s="5">
        <v>0</v>
      </c>
    </row>
    <row r="221" spans="1:22" x14ac:dyDescent="0.25">
      <c r="A221" s="4" t="s">
        <v>282</v>
      </c>
      <c r="B221" s="5">
        <v>21</v>
      </c>
      <c r="C221" s="4" t="s">
        <v>33</v>
      </c>
      <c r="D221" s="4" t="s">
        <v>29</v>
      </c>
      <c r="E221" s="4" t="s">
        <v>25</v>
      </c>
      <c r="F221" s="4" t="s">
        <v>26</v>
      </c>
      <c r="G221" s="6">
        <v>17300</v>
      </c>
      <c r="H221" s="5">
        <v>1</v>
      </c>
      <c r="I221" s="7">
        <v>45744</v>
      </c>
      <c r="J221" s="4" t="s">
        <v>31</v>
      </c>
      <c r="K221" s="5">
        <v>2</v>
      </c>
      <c r="L221" s="6">
        <v>9739.9500000000007</v>
      </c>
      <c r="M221" s="6">
        <v>2833.46</v>
      </c>
      <c r="N221" s="5">
        <v>25</v>
      </c>
      <c r="O221" s="6">
        <v>35.78</v>
      </c>
      <c r="P221" s="5">
        <v>2</v>
      </c>
      <c r="Q221" s="6">
        <v>0</v>
      </c>
      <c r="R221" s="6">
        <v>0</v>
      </c>
      <c r="S221" s="6">
        <v>34000</v>
      </c>
      <c r="T221" s="6">
        <v>220</v>
      </c>
      <c r="U221" s="5">
        <v>595</v>
      </c>
      <c r="V221" s="5">
        <v>0</v>
      </c>
    </row>
    <row r="222" spans="1:22" x14ac:dyDescent="0.25">
      <c r="A222" s="4" t="s">
        <v>283</v>
      </c>
      <c r="B222" s="5">
        <v>58</v>
      </c>
      <c r="C222" s="4" t="s">
        <v>23</v>
      </c>
      <c r="D222" s="4" t="s">
        <v>98</v>
      </c>
      <c r="E222" s="4" t="s">
        <v>54</v>
      </c>
      <c r="F222" s="4" t="s">
        <v>30</v>
      </c>
      <c r="G222" s="6">
        <v>33500</v>
      </c>
      <c r="H222" s="5">
        <v>18</v>
      </c>
      <c r="I222" s="7">
        <v>39473</v>
      </c>
      <c r="J222" s="4" t="s">
        <v>39</v>
      </c>
      <c r="K222" s="5">
        <v>3</v>
      </c>
      <c r="L222" s="6">
        <v>9015</v>
      </c>
      <c r="M222" s="6">
        <v>0</v>
      </c>
      <c r="N222" s="5">
        <v>28</v>
      </c>
      <c r="O222" s="6">
        <v>40.82</v>
      </c>
      <c r="P222" s="5">
        <v>1</v>
      </c>
      <c r="Q222" s="6">
        <v>7000</v>
      </c>
      <c r="R222" s="6">
        <v>636.13</v>
      </c>
      <c r="S222" s="6">
        <v>139000</v>
      </c>
      <c r="T222" s="6">
        <v>788</v>
      </c>
      <c r="U222" s="5">
        <v>643</v>
      </c>
      <c r="V222" s="5">
        <v>0</v>
      </c>
    </row>
    <row r="223" spans="1:22" x14ac:dyDescent="0.25">
      <c r="A223" s="4" t="s">
        <v>284</v>
      </c>
      <c r="B223" s="5">
        <v>57</v>
      </c>
      <c r="C223" s="4" t="s">
        <v>33</v>
      </c>
      <c r="D223" s="4" t="s">
        <v>24</v>
      </c>
      <c r="E223" s="4" t="s">
        <v>25</v>
      </c>
      <c r="F223" s="4" t="s">
        <v>30</v>
      </c>
      <c r="G223" s="6">
        <v>28400</v>
      </c>
      <c r="H223" s="5">
        <v>7</v>
      </c>
      <c r="I223" s="7">
        <v>43425</v>
      </c>
      <c r="J223" s="4" t="s">
        <v>39</v>
      </c>
      <c r="K223" s="5">
        <v>1</v>
      </c>
      <c r="L223" s="6">
        <v>4683.7700000000004</v>
      </c>
      <c r="M223" s="6">
        <v>0</v>
      </c>
      <c r="N223" s="5">
        <v>24</v>
      </c>
      <c r="O223" s="6">
        <v>36.630000000000003</v>
      </c>
      <c r="P223" s="5">
        <v>3</v>
      </c>
      <c r="Q223" s="6">
        <v>6500</v>
      </c>
      <c r="R223" s="6">
        <v>2633.56</v>
      </c>
      <c r="S223" s="6">
        <v>98000</v>
      </c>
      <c r="T223" s="6">
        <v>485</v>
      </c>
      <c r="U223" s="5">
        <v>551</v>
      </c>
      <c r="V223" s="5">
        <v>1</v>
      </c>
    </row>
    <row r="224" spans="1:22" x14ac:dyDescent="0.25">
      <c r="A224" s="4" t="s">
        <v>285</v>
      </c>
      <c r="B224" s="5">
        <v>69</v>
      </c>
      <c r="C224" s="4" t="s">
        <v>23</v>
      </c>
      <c r="D224" s="4" t="s">
        <v>57</v>
      </c>
      <c r="E224" s="4" t="s">
        <v>95</v>
      </c>
      <c r="F224" s="4" t="s">
        <v>30</v>
      </c>
      <c r="G224" s="6">
        <v>30200</v>
      </c>
      <c r="H224" s="5">
        <v>1</v>
      </c>
      <c r="I224" s="7">
        <v>45561</v>
      </c>
      <c r="J224" s="4" t="s">
        <v>39</v>
      </c>
      <c r="K224" s="5">
        <v>2</v>
      </c>
      <c r="L224" s="6">
        <v>3131.19</v>
      </c>
      <c r="M224" s="6">
        <v>0</v>
      </c>
      <c r="N224" s="5">
        <v>18</v>
      </c>
      <c r="O224" s="6">
        <v>48.31</v>
      </c>
      <c r="P224" s="5">
        <v>12</v>
      </c>
      <c r="Q224" s="6">
        <v>4000</v>
      </c>
      <c r="R224" s="6">
        <v>2080.9</v>
      </c>
      <c r="S224" s="6">
        <v>0</v>
      </c>
      <c r="T224" s="6">
        <v>0</v>
      </c>
      <c r="U224" s="5">
        <v>652</v>
      </c>
      <c r="V224" s="5">
        <v>0</v>
      </c>
    </row>
    <row r="225" spans="1:22" x14ac:dyDescent="0.25">
      <c r="A225" s="4" t="s">
        <v>286</v>
      </c>
      <c r="B225" s="5">
        <v>61</v>
      </c>
      <c r="C225" s="4" t="s">
        <v>33</v>
      </c>
      <c r="D225" s="4" t="s">
        <v>41</v>
      </c>
      <c r="E225" s="4" t="s">
        <v>25</v>
      </c>
      <c r="F225" s="4" t="s">
        <v>48</v>
      </c>
      <c r="G225" s="6">
        <v>32900</v>
      </c>
      <c r="H225" s="5">
        <v>23</v>
      </c>
      <c r="I225" s="7">
        <v>37575</v>
      </c>
      <c r="J225" s="4" t="s">
        <v>287</v>
      </c>
      <c r="K225" s="5">
        <v>2</v>
      </c>
      <c r="L225" s="6">
        <v>2964.43</v>
      </c>
      <c r="M225" s="6">
        <v>87424.07</v>
      </c>
      <c r="N225" s="5">
        <v>25</v>
      </c>
      <c r="O225" s="6">
        <v>36.65</v>
      </c>
      <c r="P225" s="5">
        <v>6</v>
      </c>
      <c r="Q225" s="6">
        <v>0</v>
      </c>
      <c r="R225" s="6">
        <v>0</v>
      </c>
      <c r="S225" s="6">
        <v>0</v>
      </c>
      <c r="T225" s="6">
        <v>0</v>
      </c>
      <c r="U225" s="5">
        <v>624</v>
      </c>
      <c r="V225" s="5">
        <v>0</v>
      </c>
    </row>
    <row r="226" spans="1:22" x14ac:dyDescent="0.25">
      <c r="A226" s="4" t="s">
        <v>288</v>
      </c>
      <c r="B226" s="5">
        <v>49</v>
      </c>
      <c r="C226" s="4" t="s">
        <v>33</v>
      </c>
      <c r="D226" s="4" t="s">
        <v>41</v>
      </c>
      <c r="E226" s="4" t="s">
        <v>25</v>
      </c>
      <c r="F226" s="4" t="s">
        <v>38</v>
      </c>
      <c r="G226" s="6">
        <v>36400</v>
      </c>
      <c r="H226" s="5">
        <v>18</v>
      </c>
      <c r="I226" s="7">
        <v>39352</v>
      </c>
      <c r="J226" s="4" t="s">
        <v>31</v>
      </c>
      <c r="K226" s="5">
        <v>2</v>
      </c>
      <c r="L226" s="6">
        <v>3197.24</v>
      </c>
      <c r="M226" s="6">
        <v>47435.74</v>
      </c>
      <c r="N226" s="5">
        <v>31</v>
      </c>
      <c r="O226" s="6">
        <v>81.34</v>
      </c>
      <c r="P226" s="5">
        <v>1</v>
      </c>
      <c r="Q226" s="6">
        <v>0</v>
      </c>
      <c r="R226" s="6">
        <v>0</v>
      </c>
      <c r="S226" s="6">
        <v>120000</v>
      </c>
      <c r="T226" s="6">
        <v>643</v>
      </c>
      <c r="U226" s="5">
        <v>711</v>
      </c>
      <c r="V226" s="5">
        <v>0</v>
      </c>
    </row>
    <row r="227" spans="1:22" x14ac:dyDescent="0.25">
      <c r="A227" s="4" t="s">
        <v>289</v>
      </c>
      <c r="B227" s="5">
        <v>39</v>
      </c>
      <c r="C227" s="4" t="s">
        <v>33</v>
      </c>
      <c r="D227" s="4" t="s">
        <v>34</v>
      </c>
      <c r="E227" s="4" t="s">
        <v>45</v>
      </c>
      <c r="F227" s="4" t="s">
        <v>30</v>
      </c>
      <c r="G227" s="6">
        <v>21200</v>
      </c>
      <c r="H227" s="5">
        <v>14</v>
      </c>
      <c r="I227" s="7">
        <v>41113</v>
      </c>
      <c r="J227" s="4" t="s">
        <v>27</v>
      </c>
      <c r="K227" s="5">
        <v>2</v>
      </c>
      <c r="L227" s="6">
        <v>488.51</v>
      </c>
      <c r="M227" s="6">
        <v>25591.29</v>
      </c>
      <c r="N227" s="5">
        <v>24</v>
      </c>
      <c r="O227" s="6">
        <v>27.01</v>
      </c>
      <c r="P227" s="5">
        <v>2</v>
      </c>
      <c r="Q227" s="6">
        <v>4500</v>
      </c>
      <c r="R227" s="6">
        <v>2299.75</v>
      </c>
      <c r="S227" s="6">
        <v>0</v>
      </c>
      <c r="T227" s="6">
        <v>0</v>
      </c>
      <c r="U227" s="5">
        <v>664</v>
      </c>
      <c r="V227" s="5">
        <v>0</v>
      </c>
    </row>
    <row r="228" spans="1:22" x14ac:dyDescent="0.25">
      <c r="A228" s="4" t="s">
        <v>290</v>
      </c>
      <c r="B228" s="5">
        <v>38</v>
      </c>
      <c r="C228" s="4" t="s">
        <v>23</v>
      </c>
      <c r="D228" s="4" t="s">
        <v>34</v>
      </c>
      <c r="E228" s="4" t="s">
        <v>25</v>
      </c>
      <c r="F228" s="4" t="s">
        <v>30</v>
      </c>
      <c r="G228" s="6">
        <v>44000</v>
      </c>
      <c r="H228" s="5">
        <v>9</v>
      </c>
      <c r="I228" s="7">
        <v>42787</v>
      </c>
      <c r="J228" s="4" t="s">
        <v>39</v>
      </c>
      <c r="K228" s="5">
        <v>2</v>
      </c>
      <c r="L228" s="6">
        <v>7732.64</v>
      </c>
      <c r="M228" s="6">
        <v>25941.86</v>
      </c>
      <c r="N228" s="5">
        <v>33</v>
      </c>
      <c r="O228" s="6">
        <v>54.85</v>
      </c>
      <c r="P228" s="5">
        <v>3</v>
      </c>
      <c r="Q228" s="6">
        <v>8500</v>
      </c>
      <c r="R228" s="6">
        <v>933.28</v>
      </c>
      <c r="S228" s="6">
        <v>0</v>
      </c>
      <c r="T228" s="6">
        <v>0</v>
      </c>
      <c r="U228" s="5">
        <v>640</v>
      </c>
      <c r="V228" s="5">
        <v>0</v>
      </c>
    </row>
    <row r="229" spans="1:22" x14ac:dyDescent="0.25">
      <c r="A229" s="4" t="s">
        <v>291</v>
      </c>
      <c r="B229" s="5">
        <v>33</v>
      </c>
      <c r="C229" s="4" t="s">
        <v>33</v>
      </c>
      <c r="D229" s="4" t="s">
        <v>134</v>
      </c>
      <c r="E229" s="4" t="s">
        <v>42</v>
      </c>
      <c r="F229" s="4" t="s">
        <v>30</v>
      </c>
      <c r="G229" s="6">
        <v>35300</v>
      </c>
      <c r="H229" s="5">
        <v>13</v>
      </c>
      <c r="I229" s="7">
        <v>41216</v>
      </c>
      <c r="J229" s="4" t="s">
        <v>31</v>
      </c>
      <c r="K229" s="5">
        <v>2</v>
      </c>
      <c r="L229" s="6">
        <v>2095.17</v>
      </c>
      <c r="M229" s="6">
        <v>43946.02</v>
      </c>
      <c r="N229" s="5">
        <v>26</v>
      </c>
      <c r="O229" s="6">
        <v>53.66</v>
      </c>
      <c r="P229" s="5">
        <v>0</v>
      </c>
      <c r="Q229" s="6">
        <v>8500</v>
      </c>
      <c r="R229" s="6">
        <v>3750.55</v>
      </c>
      <c r="S229" s="6">
        <v>155000</v>
      </c>
      <c r="T229" s="6">
        <v>993</v>
      </c>
      <c r="U229" s="5">
        <v>643</v>
      </c>
      <c r="V229" s="5">
        <v>0</v>
      </c>
    </row>
    <row r="230" spans="1:22" x14ac:dyDescent="0.25">
      <c r="A230" s="4" t="s">
        <v>292</v>
      </c>
      <c r="B230" s="5">
        <v>46</v>
      </c>
      <c r="C230" s="4" t="s">
        <v>23</v>
      </c>
      <c r="D230" s="4" t="s">
        <v>37</v>
      </c>
      <c r="E230" s="4" t="s">
        <v>25</v>
      </c>
      <c r="F230" s="4" t="s">
        <v>30</v>
      </c>
      <c r="G230" s="6">
        <v>24100</v>
      </c>
      <c r="H230" s="5">
        <v>9</v>
      </c>
      <c r="I230" s="7">
        <v>42666</v>
      </c>
      <c r="J230" s="4" t="s">
        <v>39</v>
      </c>
      <c r="K230" s="5">
        <v>3</v>
      </c>
      <c r="L230" s="6">
        <v>4409.04</v>
      </c>
      <c r="M230" s="6">
        <v>21268.51</v>
      </c>
      <c r="N230" s="5">
        <v>25</v>
      </c>
      <c r="O230" s="6">
        <v>34.19</v>
      </c>
      <c r="P230" s="5">
        <v>1</v>
      </c>
      <c r="Q230" s="6">
        <v>3500</v>
      </c>
      <c r="R230" s="6">
        <v>53.71</v>
      </c>
      <c r="S230" s="6">
        <v>47000</v>
      </c>
      <c r="T230" s="6">
        <v>254</v>
      </c>
      <c r="U230" s="5">
        <v>745</v>
      </c>
      <c r="V230" s="5">
        <v>0</v>
      </c>
    </row>
    <row r="231" spans="1:22" x14ac:dyDescent="0.25">
      <c r="A231" s="4" t="s">
        <v>293</v>
      </c>
      <c r="B231" s="5">
        <v>30</v>
      </c>
      <c r="C231" s="4" t="s">
        <v>33</v>
      </c>
      <c r="D231" s="4" t="s">
        <v>70</v>
      </c>
      <c r="E231" s="4" t="s">
        <v>45</v>
      </c>
      <c r="F231" s="4" t="s">
        <v>26</v>
      </c>
      <c r="G231" s="6">
        <v>20200</v>
      </c>
      <c r="H231" s="5">
        <v>4</v>
      </c>
      <c r="I231" s="7">
        <v>44723</v>
      </c>
      <c r="J231" s="4" t="s">
        <v>31</v>
      </c>
      <c r="K231" s="5">
        <v>2</v>
      </c>
      <c r="L231" s="6">
        <v>413.14</v>
      </c>
      <c r="M231" s="6">
        <v>3452.55</v>
      </c>
      <c r="N231" s="5">
        <v>27</v>
      </c>
      <c r="O231" s="6">
        <v>52.45</v>
      </c>
      <c r="P231" s="5">
        <v>1</v>
      </c>
      <c r="Q231" s="6">
        <v>4500</v>
      </c>
      <c r="R231" s="6">
        <v>503.28</v>
      </c>
      <c r="S231" s="6">
        <v>0</v>
      </c>
      <c r="T231" s="6">
        <v>0</v>
      </c>
      <c r="U231" s="5">
        <v>602</v>
      </c>
      <c r="V231" s="5">
        <v>0</v>
      </c>
    </row>
    <row r="232" spans="1:22" x14ac:dyDescent="0.25">
      <c r="A232" s="4" t="s">
        <v>294</v>
      </c>
      <c r="B232" s="5">
        <v>45</v>
      </c>
      <c r="C232" s="4" t="s">
        <v>23</v>
      </c>
      <c r="D232" s="4" t="s">
        <v>72</v>
      </c>
      <c r="E232" s="4" t="s">
        <v>63</v>
      </c>
      <c r="F232" s="4" t="s">
        <v>30</v>
      </c>
      <c r="G232" s="6">
        <v>28800</v>
      </c>
      <c r="H232" s="5">
        <v>13</v>
      </c>
      <c r="I232" s="7">
        <v>41283</v>
      </c>
      <c r="J232" s="4" t="s">
        <v>27</v>
      </c>
      <c r="K232" s="5">
        <v>3</v>
      </c>
      <c r="L232" s="6">
        <v>1525.64</v>
      </c>
      <c r="M232" s="6">
        <v>0</v>
      </c>
      <c r="N232" s="5">
        <v>29</v>
      </c>
      <c r="O232" s="6">
        <v>23.16</v>
      </c>
      <c r="P232" s="5">
        <v>2</v>
      </c>
      <c r="Q232" s="6">
        <v>0</v>
      </c>
      <c r="R232" s="6">
        <v>0</v>
      </c>
      <c r="S232" s="6">
        <v>0</v>
      </c>
      <c r="T232" s="6">
        <v>0</v>
      </c>
      <c r="U232" s="5">
        <v>688</v>
      </c>
      <c r="V232" s="5">
        <v>0</v>
      </c>
    </row>
    <row r="233" spans="1:22" x14ac:dyDescent="0.25">
      <c r="A233" s="4" t="s">
        <v>295</v>
      </c>
      <c r="B233" s="5">
        <v>61</v>
      </c>
      <c r="C233" s="4" t="s">
        <v>33</v>
      </c>
      <c r="D233" s="4" t="s">
        <v>37</v>
      </c>
      <c r="E233" s="4" t="s">
        <v>42</v>
      </c>
      <c r="F233" s="4" t="s">
        <v>30</v>
      </c>
      <c r="G233" s="6">
        <v>59800</v>
      </c>
      <c r="H233" s="5">
        <v>10</v>
      </c>
      <c r="I233" s="7">
        <v>42560</v>
      </c>
      <c r="J233" s="4" t="s">
        <v>27</v>
      </c>
      <c r="K233" s="5">
        <v>2</v>
      </c>
      <c r="L233" s="6">
        <v>9335.43</v>
      </c>
      <c r="M233" s="6">
        <v>19419.07</v>
      </c>
      <c r="N233" s="5">
        <v>49</v>
      </c>
      <c r="O233" s="6">
        <v>93.42</v>
      </c>
      <c r="P233" s="5">
        <v>0</v>
      </c>
      <c r="Q233" s="6">
        <v>8500</v>
      </c>
      <c r="R233" s="6">
        <v>3185.99</v>
      </c>
      <c r="S233" s="6">
        <v>0</v>
      </c>
      <c r="T233" s="6">
        <v>0</v>
      </c>
      <c r="U233" s="5">
        <v>741</v>
      </c>
      <c r="V233" s="5">
        <v>0</v>
      </c>
    </row>
    <row r="234" spans="1:22" x14ac:dyDescent="0.25">
      <c r="A234" s="4" t="s">
        <v>296</v>
      </c>
      <c r="B234" s="5">
        <v>68</v>
      </c>
      <c r="C234" s="4" t="s">
        <v>33</v>
      </c>
      <c r="D234" s="4" t="s">
        <v>34</v>
      </c>
      <c r="E234" s="4" t="s">
        <v>95</v>
      </c>
      <c r="F234" s="4" t="s">
        <v>38</v>
      </c>
      <c r="G234" s="6">
        <v>26000</v>
      </c>
      <c r="H234" s="5">
        <v>21</v>
      </c>
      <c r="I234" s="7">
        <v>38412</v>
      </c>
      <c r="J234" s="4" t="s">
        <v>39</v>
      </c>
      <c r="K234" s="5">
        <v>5</v>
      </c>
      <c r="L234" s="6">
        <v>2399.5100000000002</v>
      </c>
      <c r="M234" s="6">
        <v>0</v>
      </c>
      <c r="N234" s="5">
        <v>18</v>
      </c>
      <c r="O234" s="6">
        <v>32.44</v>
      </c>
      <c r="P234" s="5">
        <v>4</v>
      </c>
      <c r="Q234" s="6">
        <v>6500</v>
      </c>
      <c r="R234" s="6">
        <v>1897.33</v>
      </c>
      <c r="S234" s="6">
        <v>0</v>
      </c>
      <c r="T234" s="6">
        <v>0</v>
      </c>
      <c r="U234" s="5">
        <v>606</v>
      </c>
      <c r="V234" s="5">
        <v>1</v>
      </c>
    </row>
    <row r="235" spans="1:22" x14ac:dyDescent="0.25">
      <c r="A235" s="4" t="s">
        <v>297</v>
      </c>
      <c r="B235" s="5">
        <v>53</v>
      </c>
      <c r="C235" s="4" t="s">
        <v>23</v>
      </c>
      <c r="D235" s="4" t="s">
        <v>34</v>
      </c>
      <c r="E235" s="4" t="s">
        <v>25</v>
      </c>
      <c r="F235" s="4" t="s">
        <v>48</v>
      </c>
      <c r="G235" s="6">
        <v>49000</v>
      </c>
      <c r="H235" s="5">
        <v>27</v>
      </c>
      <c r="I235" s="7">
        <v>36327</v>
      </c>
      <c r="J235" s="4" t="s">
        <v>31</v>
      </c>
      <c r="K235" s="5">
        <v>2</v>
      </c>
      <c r="L235" s="6">
        <v>8838.2199999999993</v>
      </c>
      <c r="M235" s="6">
        <v>117130.5</v>
      </c>
      <c r="N235" s="5">
        <v>25</v>
      </c>
      <c r="O235" s="6">
        <v>82.36</v>
      </c>
      <c r="P235" s="5">
        <v>4</v>
      </c>
      <c r="Q235" s="6">
        <v>11000</v>
      </c>
      <c r="R235" s="6">
        <v>2615.7600000000002</v>
      </c>
      <c r="S235" s="6">
        <v>0</v>
      </c>
      <c r="T235" s="6">
        <v>0</v>
      </c>
      <c r="U235" s="5">
        <v>586</v>
      </c>
      <c r="V235" s="5">
        <v>0</v>
      </c>
    </row>
    <row r="236" spans="1:22" x14ac:dyDescent="0.25">
      <c r="A236" s="4" t="s">
        <v>298</v>
      </c>
      <c r="B236" s="5">
        <v>48</v>
      </c>
      <c r="C236" s="4" t="s">
        <v>23</v>
      </c>
      <c r="D236" s="4" t="s">
        <v>34</v>
      </c>
      <c r="E236" s="4" t="s">
        <v>25</v>
      </c>
      <c r="F236" s="4" t="s">
        <v>30</v>
      </c>
      <c r="G236" s="6">
        <v>42</v>
      </c>
      <c r="H236" s="5">
        <v>5</v>
      </c>
      <c r="I236" s="7">
        <v>44347</v>
      </c>
      <c r="J236" s="4" t="s">
        <v>27</v>
      </c>
      <c r="K236" s="5">
        <v>1</v>
      </c>
      <c r="L236" s="6">
        <v>3158.05</v>
      </c>
      <c r="M236" s="6">
        <v>12996.2</v>
      </c>
      <c r="N236" s="5">
        <v>28</v>
      </c>
      <c r="O236" s="6">
        <v>64.900000000000006</v>
      </c>
      <c r="P236" s="5">
        <v>5</v>
      </c>
      <c r="Q236" s="6">
        <v>0</v>
      </c>
      <c r="R236" s="6">
        <v>0</v>
      </c>
      <c r="S236" s="6">
        <v>171000</v>
      </c>
      <c r="T236" s="6">
        <v>1215</v>
      </c>
      <c r="U236" s="5">
        <v>624</v>
      </c>
      <c r="V236" s="5">
        <v>0</v>
      </c>
    </row>
    <row r="237" spans="1:22" x14ac:dyDescent="0.25">
      <c r="A237" s="4" t="s">
        <v>299</v>
      </c>
      <c r="B237" s="5">
        <v>55</v>
      </c>
      <c r="C237" s="4" t="s">
        <v>23</v>
      </c>
      <c r="D237" s="4" t="s">
        <v>98</v>
      </c>
      <c r="E237" s="4" t="s">
        <v>63</v>
      </c>
      <c r="F237" s="4" t="s">
        <v>30</v>
      </c>
      <c r="G237" s="6">
        <v>35000</v>
      </c>
      <c r="H237" s="5">
        <v>22</v>
      </c>
      <c r="I237" s="7">
        <v>37942</v>
      </c>
      <c r="J237" s="4" t="s">
        <v>39</v>
      </c>
      <c r="K237" s="5">
        <v>5</v>
      </c>
      <c r="L237" s="6">
        <v>2248.5300000000002</v>
      </c>
      <c r="M237" s="6">
        <v>30873.200000000001</v>
      </c>
      <c r="N237" s="5">
        <v>24</v>
      </c>
      <c r="O237" s="6">
        <v>41.55</v>
      </c>
      <c r="P237" s="5">
        <v>9</v>
      </c>
      <c r="Q237" s="6">
        <v>8000</v>
      </c>
      <c r="R237" s="6">
        <v>621.87</v>
      </c>
      <c r="S237" s="6">
        <v>0</v>
      </c>
      <c r="T237" s="6">
        <v>0</v>
      </c>
      <c r="U237" s="5">
        <v>686</v>
      </c>
      <c r="V237" s="5">
        <v>0</v>
      </c>
    </row>
    <row r="238" spans="1:22" x14ac:dyDescent="0.25">
      <c r="A238" s="4" t="s">
        <v>300</v>
      </c>
      <c r="B238" s="5">
        <v>41</v>
      </c>
      <c r="C238" s="4" t="s">
        <v>33</v>
      </c>
      <c r="D238" s="4" t="s">
        <v>34</v>
      </c>
      <c r="E238" s="4" t="s">
        <v>42</v>
      </c>
      <c r="F238" s="4" t="s">
        <v>30</v>
      </c>
      <c r="G238" s="6">
        <v>63100</v>
      </c>
      <c r="H238" s="5">
        <v>16</v>
      </c>
      <c r="I238" s="7">
        <v>40421</v>
      </c>
      <c r="J238" s="4" t="s">
        <v>27</v>
      </c>
      <c r="K238" s="5">
        <v>6</v>
      </c>
      <c r="L238" s="6">
        <v>2397.75</v>
      </c>
      <c r="M238" s="6">
        <v>64637.85</v>
      </c>
      <c r="N238" s="5">
        <v>39</v>
      </c>
      <c r="O238" s="6">
        <v>36.57</v>
      </c>
      <c r="P238" s="5">
        <v>2</v>
      </c>
      <c r="Q238" s="6">
        <v>13000</v>
      </c>
      <c r="R238" s="6">
        <v>1646.28</v>
      </c>
      <c r="S238" s="6">
        <v>0</v>
      </c>
      <c r="T238" s="6">
        <v>0</v>
      </c>
      <c r="U238" s="5">
        <v>651</v>
      </c>
      <c r="V238" s="5">
        <v>1</v>
      </c>
    </row>
    <row r="239" spans="1:22" x14ac:dyDescent="0.25">
      <c r="A239" s="4" t="s">
        <v>301</v>
      </c>
      <c r="B239" s="5">
        <v>38</v>
      </c>
      <c r="C239" s="4" t="s">
        <v>23</v>
      </c>
      <c r="D239" s="4" t="s">
        <v>57</v>
      </c>
      <c r="E239" s="4" t="s">
        <v>45</v>
      </c>
      <c r="F239" s="4" t="s">
        <v>26</v>
      </c>
      <c r="G239" s="6">
        <v>34500</v>
      </c>
      <c r="H239" s="5">
        <v>11</v>
      </c>
      <c r="I239" s="7">
        <v>41931</v>
      </c>
      <c r="J239" s="4" t="s">
        <v>27</v>
      </c>
      <c r="K239" s="5">
        <v>3</v>
      </c>
      <c r="L239" s="6">
        <v>2003.27</v>
      </c>
      <c r="M239" s="6">
        <v>0</v>
      </c>
      <c r="N239" s="5">
        <v>36</v>
      </c>
      <c r="O239" s="6">
        <v>55.45</v>
      </c>
      <c r="P239" s="5">
        <v>2</v>
      </c>
      <c r="Q239" s="6">
        <v>0</v>
      </c>
      <c r="R239" s="6">
        <v>0</v>
      </c>
      <c r="S239" s="6">
        <v>0</v>
      </c>
      <c r="T239" s="6">
        <v>0</v>
      </c>
      <c r="U239" s="5">
        <v>625</v>
      </c>
      <c r="V239" s="5">
        <v>1</v>
      </c>
    </row>
    <row r="240" spans="1:22" x14ac:dyDescent="0.25">
      <c r="A240" s="4" t="s">
        <v>302</v>
      </c>
      <c r="B240" s="5">
        <v>37</v>
      </c>
      <c r="C240" s="4" t="s">
        <v>23</v>
      </c>
      <c r="D240" s="4" t="s">
        <v>72</v>
      </c>
      <c r="E240" s="4" t="s">
        <v>54</v>
      </c>
      <c r="F240" s="4" t="s">
        <v>30</v>
      </c>
      <c r="G240" s="6">
        <v>24500</v>
      </c>
      <c r="H240" s="5">
        <v>8</v>
      </c>
      <c r="I240" s="7">
        <v>43007</v>
      </c>
      <c r="J240" s="4" t="s">
        <v>27</v>
      </c>
      <c r="K240" s="5">
        <v>2</v>
      </c>
      <c r="L240" s="6">
        <v>1242.81</v>
      </c>
      <c r="M240" s="6">
        <v>36769.449999999997</v>
      </c>
      <c r="N240" s="5">
        <v>27</v>
      </c>
      <c r="O240" s="6">
        <v>80.48</v>
      </c>
      <c r="P240" s="5">
        <v>1</v>
      </c>
      <c r="Q240" s="6">
        <v>4000</v>
      </c>
      <c r="R240" s="6">
        <v>2316.94</v>
      </c>
      <c r="S240" s="6">
        <v>52000</v>
      </c>
      <c r="T240" s="6">
        <v>353</v>
      </c>
      <c r="U240" s="5">
        <v>566</v>
      </c>
      <c r="V240" s="5">
        <v>0</v>
      </c>
    </row>
    <row r="241" spans="1:22" x14ac:dyDescent="0.25">
      <c r="A241" s="4" t="s">
        <v>303</v>
      </c>
      <c r="B241" s="5">
        <v>58</v>
      </c>
      <c r="C241" s="4" t="s">
        <v>23</v>
      </c>
      <c r="D241" s="4" t="s">
        <v>57</v>
      </c>
      <c r="E241" s="4" t="s">
        <v>25</v>
      </c>
      <c r="F241" s="4" t="s">
        <v>30</v>
      </c>
      <c r="G241" s="6">
        <v>46900</v>
      </c>
      <c r="H241" s="5">
        <v>36</v>
      </c>
      <c r="I241" s="7">
        <v>32906</v>
      </c>
      <c r="J241" s="4" t="s">
        <v>39</v>
      </c>
      <c r="K241" s="5">
        <v>3</v>
      </c>
      <c r="L241" s="6">
        <v>8301.1299999999992</v>
      </c>
      <c r="M241" s="6">
        <v>123079.52</v>
      </c>
      <c r="N241" s="5">
        <v>27</v>
      </c>
      <c r="O241" s="6">
        <v>85.41</v>
      </c>
      <c r="P241" s="5">
        <v>4</v>
      </c>
      <c r="Q241" s="6">
        <v>6500</v>
      </c>
      <c r="R241" s="6">
        <v>108.4</v>
      </c>
      <c r="S241" s="6">
        <v>80000</v>
      </c>
      <c r="T241" s="6">
        <v>586</v>
      </c>
      <c r="U241" s="5">
        <v>674</v>
      </c>
      <c r="V241" s="5">
        <v>0</v>
      </c>
    </row>
    <row r="242" spans="1:22" x14ac:dyDescent="0.25">
      <c r="A242" s="4" t="s">
        <v>304</v>
      </c>
      <c r="B242" s="5">
        <v>48</v>
      </c>
      <c r="C242" s="4" t="s">
        <v>33</v>
      </c>
      <c r="D242" s="4" t="s">
        <v>72</v>
      </c>
      <c r="E242" s="4" t="s">
        <v>25</v>
      </c>
      <c r="F242" s="4" t="s">
        <v>48</v>
      </c>
      <c r="G242" s="6">
        <v>25900</v>
      </c>
      <c r="H242" s="5">
        <v>14</v>
      </c>
      <c r="I242" s="7">
        <v>41098</v>
      </c>
      <c r="J242" s="4" t="s">
        <v>39</v>
      </c>
      <c r="K242" s="5">
        <v>4</v>
      </c>
      <c r="L242" s="6">
        <v>3961.93</v>
      </c>
      <c r="M242" s="6">
        <v>25146.98</v>
      </c>
      <c r="N242" s="5">
        <v>18</v>
      </c>
      <c r="O242" s="6">
        <v>41.29</v>
      </c>
      <c r="P242" s="5">
        <v>6</v>
      </c>
      <c r="Q242" s="6">
        <v>3000</v>
      </c>
      <c r="R242" s="6">
        <v>455.18</v>
      </c>
      <c r="S242" s="6">
        <v>71000</v>
      </c>
      <c r="T242" s="6">
        <v>447</v>
      </c>
      <c r="U242" s="5">
        <v>624</v>
      </c>
      <c r="V242" s="5">
        <v>1</v>
      </c>
    </row>
    <row r="243" spans="1:22" x14ac:dyDescent="0.25">
      <c r="A243" s="4" t="s">
        <v>305</v>
      </c>
      <c r="B243" s="5">
        <v>54</v>
      </c>
      <c r="C243" s="4" t="s">
        <v>23</v>
      </c>
      <c r="D243" s="4" t="s">
        <v>57</v>
      </c>
      <c r="E243" s="4" t="s">
        <v>45</v>
      </c>
      <c r="F243" s="4" t="s">
        <v>30</v>
      </c>
      <c r="G243" s="6">
        <v>15400</v>
      </c>
      <c r="H243" s="5">
        <v>21</v>
      </c>
      <c r="I243" s="7">
        <v>38400</v>
      </c>
      <c r="J243" s="4" t="s">
        <v>31</v>
      </c>
      <c r="K243" s="5">
        <v>1</v>
      </c>
      <c r="L243" s="6">
        <v>4111.6899999999996</v>
      </c>
      <c r="M243" s="6">
        <v>0</v>
      </c>
      <c r="N243" s="5">
        <v>23</v>
      </c>
      <c r="O243" s="6">
        <v>25.41</v>
      </c>
      <c r="P243" s="5">
        <v>1</v>
      </c>
      <c r="Q243" s="6">
        <v>1500</v>
      </c>
      <c r="R243" s="6">
        <v>615.26</v>
      </c>
      <c r="S243" s="6">
        <v>48000</v>
      </c>
      <c r="T243" s="6">
        <v>344</v>
      </c>
      <c r="U243" s="5">
        <v>649</v>
      </c>
      <c r="V243" s="5">
        <v>1</v>
      </c>
    </row>
    <row r="244" spans="1:22" x14ac:dyDescent="0.25">
      <c r="A244" s="4" t="s">
        <v>306</v>
      </c>
      <c r="B244" s="5">
        <v>45</v>
      </c>
      <c r="C244" s="4" t="s">
        <v>33</v>
      </c>
      <c r="D244" s="4" t="s">
        <v>51</v>
      </c>
      <c r="E244" s="4" t="s">
        <v>35</v>
      </c>
      <c r="F244" s="4" t="s">
        <v>30</v>
      </c>
      <c r="G244" s="6">
        <v>33000</v>
      </c>
      <c r="H244" s="5">
        <v>7</v>
      </c>
      <c r="I244" s="7">
        <v>43594</v>
      </c>
      <c r="J244" s="4" t="s">
        <v>39</v>
      </c>
      <c r="K244" s="5">
        <v>1</v>
      </c>
      <c r="L244" s="6">
        <v>5380.97</v>
      </c>
      <c r="M244" s="6">
        <v>0</v>
      </c>
      <c r="N244" s="5">
        <v>29</v>
      </c>
      <c r="O244" s="6">
        <v>48.85</v>
      </c>
      <c r="P244" s="5">
        <v>2</v>
      </c>
      <c r="Q244" s="6">
        <v>7000</v>
      </c>
      <c r="R244" s="6">
        <v>632.98</v>
      </c>
      <c r="S244" s="6">
        <v>0</v>
      </c>
      <c r="T244" s="6">
        <v>0</v>
      </c>
      <c r="U244" s="5">
        <v>645</v>
      </c>
      <c r="V244" s="5">
        <v>1</v>
      </c>
    </row>
    <row r="245" spans="1:22" x14ac:dyDescent="0.25">
      <c r="A245" s="4" t="s">
        <v>307</v>
      </c>
      <c r="B245" s="5">
        <v>54</v>
      </c>
      <c r="C245" s="4" t="s">
        <v>33</v>
      </c>
      <c r="D245" s="4" t="s">
        <v>34</v>
      </c>
      <c r="E245" s="4" t="s">
        <v>45</v>
      </c>
      <c r="F245" s="4" t="s">
        <v>30</v>
      </c>
      <c r="G245" s="6">
        <v>26900</v>
      </c>
      <c r="H245" s="5">
        <v>12</v>
      </c>
      <c r="I245" s="7">
        <v>41588</v>
      </c>
      <c r="J245" s="4" t="s">
        <v>31</v>
      </c>
      <c r="K245" s="5">
        <v>1</v>
      </c>
      <c r="L245" s="6">
        <v>14567.16</v>
      </c>
      <c r="M245" s="6">
        <v>0</v>
      </c>
      <c r="N245" s="5">
        <v>39</v>
      </c>
      <c r="O245" s="6">
        <v>85.65</v>
      </c>
      <c r="P245" s="5">
        <v>1</v>
      </c>
      <c r="Q245" s="6">
        <v>0</v>
      </c>
      <c r="R245" s="6">
        <v>0</v>
      </c>
      <c r="S245" s="6">
        <v>88000</v>
      </c>
      <c r="T245" s="6">
        <v>575</v>
      </c>
      <c r="U245" s="5">
        <v>578</v>
      </c>
      <c r="V245" s="5">
        <v>1</v>
      </c>
    </row>
    <row r="246" spans="1:22" x14ac:dyDescent="0.25">
      <c r="A246" s="4" t="s">
        <v>308</v>
      </c>
      <c r="B246" s="5">
        <v>48</v>
      </c>
      <c r="C246" s="4" t="s">
        <v>33</v>
      </c>
      <c r="D246" s="4" t="s">
        <v>59</v>
      </c>
      <c r="E246" s="4" t="s">
        <v>25</v>
      </c>
      <c r="F246" s="4" t="s">
        <v>30</v>
      </c>
      <c r="G246" s="6">
        <v>43000</v>
      </c>
      <c r="H246" s="5">
        <v>19</v>
      </c>
      <c r="I246" s="7">
        <v>38983</v>
      </c>
      <c r="J246" s="4" t="s">
        <v>39</v>
      </c>
      <c r="K246" s="5">
        <v>2</v>
      </c>
      <c r="L246" s="6">
        <v>1471.72</v>
      </c>
      <c r="M246" s="6">
        <v>44646.82</v>
      </c>
      <c r="N246" s="5">
        <v>26</v>
      </c>
      <c r="O246" s="6">
        <v>48.45</v>
      </c>
      <c r="P246" s="5">
        <v>8</v>
      </c>
      <c r="Q246" s="6">
        <v>9000</v>
      </c>
      <c r="R246" s="6">
        <v>2640.19</v>
      </c>
      <c r="S246" s="6">
        <v>0</v>
      </c>
      <c r="T246" s="6">
        <v>0</v>
      </c>
      <c r="U246" s="5">
        <v>703</v>
      </c>
      <c r="V246" s="5">
        <v>0</v>
      </c>
    </row>
    <row r="247" spans="1:22" x14ac:dyDescent="0.25">
      <c r="A247" s="4" t="s">
        <v>309</v>
      </c>
      <c r="B247" s="5">
        <v>39</v>
      </c>
      <c r="C247" s="4" t="s">
        <v>33</v>
      </c>
      <c r="D247" s="4" t="s">
        <v>34</v>
      </c>
      <c r="E247" s="4" t="s">
        <v>45</v>
      </c>
      <c r="F247" s="4" t="s">
        <v>30</v>
      </c>
      <c r="G247" s="6">
        <v>26900</v>
      </c>
      <c r="H247" s="5">
        <v>12</v>
      </c>
      <c r="I247" s="7">
        <v>41814</v>
      </c>
      <c r="J247" s="4" t="s">
        <v>39</v>
      </c>
      <c r="K247" s="5">
        <v>2</v>
      </c>
      <c r="L247" s="6">
        <v>3732.43</v>
      </c>
      <c r="M247" s="6">
        <v>19605.16</v>
      </c>
      <c r="N247" s="5">
        <v>27</v>
      </c>
      <c r="O247" s="6">
        <v>45.53</v>
      </c>
      <c r="P247" s="5">
        <v>6</v>
      </c>
      <c r="Q247" s="6">
        <v>3500</v>
      </c>
      <c r="R247" s="6">
        <v>1410.71</v>
      </c>
      <c r="S247" s="6">
        <v>0</v>
      </c>
      <c r="T247" s="6">
        <v>0</v>
      </c>
      <c r="U247" s="5">
        <v>593</v>
      </c>
      <c r="V247" s="5">
        <v>0</v>
      </c>
    </row>
    <row r="248" spans="1:22" x14ac:dyDescent="0.25">
      <c r="A248" s="4" t="s">
        <v>310</v>
      </c>
      <c r="B248" s="5">
        <v>77</v>
      </c>
      <c r="C248" s="4" t="s">
        <v>23</v>
      </c>
      <c r="D248" s="4" t="s">
        <v>29</v>
      </c>
      <c r="E248" s="4" t="s">
        <v>95</v>
      </c>
      <c r="F248" s="4" t="s">
        <v>30</v>
      </c>
      <c r="G248" s="6">
        <v>18600</v>
      </c>
      <c r="H248" s="5">
        <v>9</v>
      </c>
      <c r="I248" s="7">
        <v>42704</v>
      </c>
      <c r="J248" s="4" t="s">
        <v>27</v>
      </c>
      <c r="K248" s="5">
        <v>3</v>
      </c>
      <c r="L248" s="6">
        <v>1000.61</v>
      </c>
      <c r="M248" s="6">
        <v>11182.51</v>
      </c>
      <c r="N248" s="5">
        <v>29</v>
      </c>
      <c r="O248" s="6">
        <v>42.55</v>
      </c>
      <c r="P248" s="5">
        <v>1</v>
      </c>
      <c r="Q248" s="6">
        <v>3500</v>
      </c>
      <c r="R248" s="6">
        <v>264.20999999999998</v>
      </c>
      <c r="S248" s="6">
        <v>0</v>
      </c>
      <c r="T248" s="6">
        <v>0</v>
      </c>
      <c r="U248" s="5">
        <v>680</v>
      </c>
      <c r="V248" s="5">
        <v>0</v>
      </c>
    </row>
    <row r="249" spans="1:22" x14ac:dyDescent="0.25">
      <c r="A249" s="4" t="s">
        <v>311</v>
      </c>
      <c r="B249" s="5">
        <v>48</v>
      </c>
      <c r="C249" s="4" t="s">
        <v>23</v>
      </c>
      <c r="D249" s="4" t="s">
        <v>41</v>
      </c>
      <c r="E249" s="4" t="s">
        <v>25</v>
      </c>
      <c r="F249" s="4" t="s">
        <v>26</v>
      </c>
      <c r="G249" s="6">
        <v>40800</v>
      </c>
      <c r="H249" s="5">
        <v>17</v>
      </c>
      <c r="I249" s="7">
        <v>39992</v>
      </c>
      <c r="J249" s="4" t="s">
        <v>27</v>
      </c>
      <c r="K249" s="5">
        <v>4</v>
      </c>
      <c r="L249" s="6">
        <v>2813.92</v>
      </c>
      <c r="M249" s="6">
        <v>0</v>
      </c>
      <c r="N249" s="5">
        <v>26</v>
      </c>
      <c r="O249" s="6">
        <v>55.35</v>
      </c>
      <c r="P249" s="5">
        <v>3</v>
      </c>
      <c r="Q249" s="6">
        <v>7000</v>
      </c>
      <c r="R249" s="6">
        <v>4563.8500000000004</v>
      </c>
      <c r="S249" s="6">
        <v>0</v>
      </c>
      <c r="T249" s="6">
        <v>0</v>
      </c>
      <c r="U249" s="5">
        <v>727</v>
      </c>
      <c r="V249" s="5">
        <v>0</v>
      </c>
    </row>
    <row r="250" spans="1:22" x14ac:dyDescent="0.25">
      <c r="A250" s="4" t="s">
        <v>312</v>
      </c>
      <c r="B250" s="5">
        <v>72</v>
      </c>
      <c r="C250" s="4" t="s">
        <v>23</v>
      </c>
      <c r="D250" s="4" t="s">
        <v>29</v>
      </c>
      <c r="E250" s="4" t="s">
        <v>95</v>
      </c>
      <c r="F250" s="4" t="s">
        <v>38</v>
      </c>
      <c r="G250" s="6">
        <v>21500</v>
      </c>
      <c r="H250" s="5">
        <v>24</v>
      </c>
      <c r="I250" s="7">
        <v>37357</v>
      </c>
      <c r="J250" s="4" t="s">
        <v>39</v>
      </c>
      <c r="K250" s="5">
        <v>2</v>
      </c>
      <c r="L250" s="6">
        <v>1888.56</v>
      </c>
      <c r="M250" s="6">
        <v>40292.03</v>
      </c>
      <c r="N250" s="5">
        <v>18</v>
      </c>
      <c r="O250" s="6">
        <v>29.92</v>
      </c>
      <c r="P250" s="5">
        <v>7</v>
      </c>
      <c r="Q250" s="6">
        <v>3500</v>
      </c>
      <c r="R250" s="6">
        <v>906.52</v>
      </c>
      <c r="S250" s="6">
        <v>0</v>
      </c>
      <c r="T250" s="6">
        <v>0</v>
      </c>
      <c r="U250" s="5">
        <v>621</v>
      </c>
      <c r="V250" s="5">
        <v>0</v>
      </c>
    </row>
    <row r="251" spans="1:22" x14ac:dyDescent="0.25">
      <c r="A251" s="4" t="s">
        <v>313</v>
      </c>
      <c r="B251" s="5">
        <v>31</v>
      </c>
      <c r="C251" s="4" t="s">
        <v>33</v>
      </c>
      <c r="D251" s="4" t="s">
        <v>37</v>
      </c>
      <c r="E251" s="4" t="s">
        <v>25</v>
      </c>
      <c r="F251" s="4" t="s">
        <v>30</v>
      </c>
      <c r="G251" s="6">
        <v>17000</v>
      </c>
      <c r="H251" s="5">
        <v>12</v>
      </c>
      <c r="I251" s="7">
        <v>41808</v>
      </c>
      <c r="J251" s="4" t="s">
        <v>27</v>
      </c>
      <c r="K251" s="5">
        <v>2</v>
      </c>
      <c r="L251" s="6">
        <v>1862.4</v>
      </c>
      <c r="M251" s="6">
        <v>0</v>
      </c>
      <c r="N251" s="5">
        <v>23</v>
      </c>
      <c r="O251" s="6">
        <v>36.54</v>
      </c>
      <c r="P251" s="5">
        <v>5</v>
      </c>
      <c r="Q251" s="6">
        <v>4000</v>
      </c>
      <c r="R251" s="6">
        <v>384.54</v>
      </c>
      <c r="S251" s="6">
        <v>0</v>
      </c>
      <c r="T251" s="6">
        <v>0</v>
      </c>
      <c r="U251" s="5">
        <v>655</v>
      </c>
      <c r="V251" s="5">
        <v>0</v>
      </c>
    </row>
    <row r="252" spans="1:22" x14ac:dyDescent="0.25">
      <c r="A252" s="4" t="s">
        <v>314</v>
      </c>
      <c r="B252" s="5">
        <v>30</v>
      </c>
      <c r="C252" s="4" t="s">
        <v>23</v>
      </c>
      <c r="D252" s="4" t="s">
        <v>62</v>
      </c>
      <c r="E252" s="4" t="s">
        <v>25</v>
      </c>
      <c r="F252" s="4" t="s">
        <v>48</v>
      </c>
      <c r="G252" s="6">
        <v>32200</v>
      </c>
      <c r="H252" s="5">
        <v>5</v>
      </c>
      <c r="I252" s="7">
        <v>44234</v>
      </c>
      <c r="J252" s="4" t="s">
        <v>31</v>
      </c>
      <c r="K252" s="5">
        <v>2</v>
      </c>
      <c r="L252" s="6">
        <v>8280.69</v>
      </c>
      <c r="M252" s="6">
        <v>0</v>
      </c>
      <c r="N252" s="5">
        <v>37</v>
      </c>
      <c r="O252" s="6">
        <v>46.46</v>
      </c>
      <c r="P252" s="5">
        <v>0</v>
      </c>
      <c r="Q252" s="6">
        <v>8000</v>
      </c>
      <c r="R252" s="6">
        <v>2162.4699999999998</v>
      </c>
      <c r="S252" s="6">
        <v>0</v>
      </c>
      <c r="T252" s="6">
        <v>0</v>
      </c>
      <c r="U252" s="5">
        <v>623</v>
      </c>
      <c r="V252" s="5">
        <v>0</v>
      </c>
    </row>
    <row r="253" spans="1:22" x14ac:dyDescent="0.25">
      <c r="A253" s="4" t="s">
        <v>315</v>
      </c>
      <c r="B253" s="5">
        <v>53</v>
      </c>
      <c r="C253" s="4" t="s">
        <v>23</v>
      </c>
      <c r="D253" s="4" t="s">
        <v>75</v>
      </c>
      <c r="E253" s="4" t="s">
        <v>90</v>
      </c>
      <c r="F253" s="4" t="s">
        <v>30</v>
      </c>
      <c r="G253" s="6">
        <v>131500</v>
      </c>
      <c r="H253" s="5">
        <v>21</v>
      </c>
      <c r="I253" s="7">
        <v>38309</v>
      </c>
      <c r="J253" s="4" t="s">
        <v>27</v>
      </c>
      <c r="K253" s="5">
        <v>4</v>
      </c>
      <c r="L253" s="6">
        <v>15630.67</v>
      </c>
      <c r="M253" s="6">
        <v>211228.42</v>
      </c>
      <c r="N253" s="5">
        <v>61</v>
      </c>
      <c r="O253" s="6">
        <v>138.88999999999999</v>
      </c>
      <c r="P253" s="5">
        <v>2</v>
      </c>
      <c r="Q253" s="6">
        <v>15000</v>
      </c>
      <c r="R253" s="6">
        <v>5332.79</v>
      </c>
      <c r="S253" s="6">
        <v>0</v>
      </c>
      <c r="T253" s="6">
        <v>0</v>
      </c>
      <c r="U253" s="5">
        <v>640</v>
      </c>
      <c r="V253" s="5">
        <v>0</v>
      </c>
    </row>
    <row r="254" spans="1:22" x14ac:dyDescent="0.25">
      <c r="A254" s="4" t="s">
        <v>316</v>
      </c>
      <c r="B254" s="5">
        <v>58</v>
      </c>
      <c r="C254" s="4" t="s">
        <v>23</v>
      </c>
      <c r="D254" s="4" t="s">
        <v>57</v>
      </c>
      <c r="E254" s="4" t="s">
        <v>45</v>
      </c>
      <c r="F254" s="4" t="s">
        <v>30</v>
      </c>
      <c r="G254" s="6">
        <v>29200</v>
      </c>
      <c r="H254" s="5">
        <v>18</v>
      </c>
      <c r="I254" s="7">
        <v>39607</v>
      </c>
      <c r="J254" s="4" t="s">
        <v>39</v>
      </c>
      <c r="K254" s="5">
        <v>4</v>
      </c>
      <c r="L254" s="6">
        <v>801.25</v>
      </c>
      <c r="M254" s="6">
        <v>33114.239999999998</v>
      </c>
      <c r="N254" s="5">
        <v>29</v>
      </c>
      <c r="O254" s="6">
        <v>83.93</v>
      </c>
      <c r="P254" s="5">
        <v>3</v>
      </c>
      <c r="Q254" s="6">
        <v>4500</v>
      </c>
      <c r="R254" s="6">
        <v>318.52999999999997</v>
      </c>
      <c r="S254" s="6">
        <v>0</v>
      </c>
      <c r="T254" s="6">
        <v>0</v>
      </c>
      <c r="U254" s="5">
        <v>704</v>
      </c>
      <c r="V254" s="5">
        <v>0</v>
      </c>
    </row>
    <row r="255" spans="1:22" x14ac:dyDescent="0.25">
      <c r="A255" s="4" t="s">
        <v>317</v>
      </c>
      <c r="B255" s="5">
        <v>22</v>
      </c>
      <c r="C255" s="4" t="s">
        <v>33</v>
      </c>
      <c r="D255" s="4" t="s">
        <v>24</v>
      </c>
      <c r="E255" s="4" t="s">
        <v>45</v>
      </c>
      <c r="F255" s="4" t="s">
        <v>26</v>
      </c>
      <c r="G255" s="6">
        <v>9100</v>
      </c>
      <c r="H255" s="5">
        <v>0</v>
      </c>
      <c r="I255" s="7">
        <v>45969</v>
      </c>
      <c r="J255" s="4" t="s">
        <v>31</v>
      </c>
      <c r="K255" s="5">
        <v>1</v>
      </c>
      <c r="L255" s="6">
        <v>859.41</v>
      </c>
      <c r="M255" s="6">
        <v>0</v>
      </c>
      <c r="N255" s="5">
        <v>48</v>
      </c>
      <c r="O255" s="6">
        <v>199</v>
      </c>
      <c r="P255" s="5">
        <v>0</v>
      </c>
      <c r="Q255" s="6">
        <v>0</v>
      </c>
      <c r="R255" s="6">
        <v>0</v>
      </c>
      <c r="S255" s="6">
        <v>0</v>
      </c>
      <c r="T255" s="6">
        <v>0</v>
      </c>
      <c r="U255" s="5">
        <v>630</v>
      </c>
      <c r="V255" s="5">
        <v>0</v>
      </c>
    </row>
    <row r="256" spans="1:22" x14ac:dyDescent="0.25">
      <c r="A256" s="4" t="s">
        <v>318</v>
      </c>
      <c r="B256" s="5">
        <v>65</v>
      </c>
      <c r="C256" s="4" t="s">
        <v>33</v>
      </c>
      <c r="D256" s="4" t="s">
        <v>79</v>
      </c>
      <c r="E256" s="4" t="s">
        <v>25</v>
      </c>
      <c r="F256" s="4" t="s">
        <v>48</v>
      </c>
      <c r="G256" s="6">
        <v>30300</v>
      </c>
      <c r="H256" s="5">
        <v>12</v>
      </c>
      <c r="I256" s="7">
        <v>41881</v>
      </c>
      <c r="J256" s="4" t="s">
        <v>31</v>
      </c>
      <c r="K256" s="5">
        <v>2</v>
      </c>
      <c r="L256" s="6">
        <v>3370.98</v>
      </c>
      <c r="M256" s="6">
        <v>19111.080000000002</v>
      </c>
      <c r="N256" s="5">
        <v>29</v>
      </c>
      <c r="O256" s="6">
        <v>43.37</v>
      </c>
      <c r="P256" s="5">
        <v>1</v>
      </c>
      <c r="Q256" s="6">
        <v>7000</v>
      </c>
      <c r="R256" s="6">
        <v>1284.45</v>
      </c>
      <c r="S256" s="6">
        <v>0</v>
      </c>
      <c r="T256" s="6">
        <v>0</v>
      </c>
      <c r="U256" s="5">
        <v>629</v>
      </c>
      <c r="V256" s="5">
        <v>0</v>
      </c>
    </row>
    <row r="257" spans="1:22" x14ac:dyDescent="0.25">
      <c r="A257" s="4" t="s">
        <v>319</v>
      </c>
      <c r="B257" s="5">
        <v>41</v>
      </c>
      <c r="C257" s="4" t="s">
        <v>33</v>
      </c>
      <c r="D257" s="4" t="s">
        <v>57</v>
      </c>
      <c r="E257" s="4" t="s">
        <v>45</v>
      </c>
      <c r="F257" s="4" t="s">
        <v>26</v>
      </c>
      <c r="G257" s="6">
        <v>30300</v>
      </c>
      <c r="H257" s="5">
        <v>6</v>
      </c>
      <c r="I257" s="7">
        <v>44075</v>
      </c>
      <c r="J257" s="4" t="s">
        <v>31</v>
      </c>
      <c r="K257" s="5">
        <v>2</v>
      </c>
      <c r="L257" s="6">
        <v>2863.29</v>
      </c>
      <c r="M257" s="6">
        <v>36496.370000000003</v>
      </c>
      <c r="N257" s="5">
        <v>26</v>
      </c>
      <c r="O257" s="6">
        <v>48.32</v>
      </c>
      <c r="P257" s="5">
        <v>1</v>
      </c>
      <c r="Q257" s="6">
        <v>0</v>
      </c>
      <c r="R257" s="6">
        <v>0</v>
      </c>
      <c r="S257" s="6">
        <v>0</v>
      </c>
      <c r="T257" s="6">
        <v>0</v>
      </c>
      <c r="U257" s="5">
        <v>657</v>
      </c>
      <c r="V257" s="5">
        <v>0</v>
      </c>
    </row>
    <row r="258" spans="1:22" x14ac:dyDescent="0.25">
      <c r="A258" s="4" t="s">
        <v>320</v>
      </c>
      <c r="B258" s="5">
        <v>61</v>
      </c>
      <c r="C258" s="4" t="s">
        <v>321</v>
      </c>
      <c r="D258" s="4" t="s">
        <v>41</v>
      </c>
      <c r="E258" s="4" t="s">
        <v>45</v>
      </c>
      <c r="F258" s="4" t="s">
        <v>38</v>
      </c>
      <c r="G258" s="6">
        <v>31000</v>
      </c>
      <c r="H258" s="5">
        <v>5</v>
      </c>
      <c r="I258" s="7">
        <v>44344</v>
      </c>
      <c r="J258" s="4" t="s">
        <v>49</v>
      </c>
      <c r="K258" s="5">
        <v>4</v>
      </c>
      <c r="L258" s="6">
        <v>4357.25</v>
      </c>
      <c r="M258" s="6">
        <v>0</v>
      </c>
      <c r="N258" s="5">
        <v>26</v>
      </c>
      <c r="O258" s="6">
        <v>81.67</v>
      </c>
      <c r="P258" s="5">
        <v>1</v>
      </c>
      <c r="Q258" s="6">
        <v>4000</v>
      </c>
      <c r="R258" s="6">
        <v>1060.0999999999999</v>
      </c>
      <c r="S258" s="6">
        <v>51000</v>
      </c>
      <c r="T258" s="6">
        <v>232</v>
      </c>
      <c r="U258" s="5">
        <v>658</v>
      </c>
      <c r="V258" s="5">
        <v>0</v>
      </c>
    </row>
    <row r="259" spans="1:22" x14ac:dyDescent="0.25">
      <c r="A259" s="4" t="s">
        <v>322</v>
      </c>
      <c r="B259" s="5">
        <v>70</v>
      </c>
      <c r="C259" s="4" t="s">
        <v>33</v>
      </c>
      <c r="D259" s="4" t="s">
        <v>41</v>
      </c>
      <c r="E259" s="4" t="s">
        <v>95</v>
      </c>
      <c r="F259" s="4" t="s">
        <v>30</v>
      </c>
      <c r="G259" s="6">
        <v>23300</v>
      </c>
      <c r="H259" s="5">
        <v>17</v>
      </c>
      <c r="I259" s="7">
        <v>39710</v>
      </c>
      <c r="J259" s="4" t="s">
        <v>27</v>
      </c>
      <c r="K259" s="5">
        <v>3</v>
      </c>
      <c r="L259" s="6">
        <v>3619.29</v>
      </c>
      <c r="M259" s="6">
        <v>0</v>
      </c>
      <c r="N259" s="5">
        <v>23</v>
      </c>
      <c r="O259" s="6">
        <v>78.209999999999994</v>
      </c>
      <c r="P259" s="5">
        <v>2</v>
      </c>
      <c r="Q259" s="6">
        <v>0</v>
      </c>
      <c r="R259" s="6">
        <v>0</v>
      </c>
      <c r="S259" s="6">
        <v>0</v>
      </c>
      <c r="T259" s="6">
        <v>0</v>
      </c>
      <c r="U259" s="5">
        <v>650</v>
      </c>
      <c r="V259" s="5">
        <v>0</v>
      </c>
    </row>
    <row r="260" spans="1:22" x14ac:dyDescent="0.25">
      <c r="A260" s="4" t="s">
        <v>323</v>
      </c>
      <c r="B260" s="5">
        <v>58</v>
      </c>
      <c r="C260" s="4" t="s">
        <v>33</v>
      </c>
      <c r="D260" s="4" t="s">
        <v>34</v>
      </c>
      <c r="E260" s="4" t="s">
        <v>35</v>
      </c>
      <c r="F260" s="4" t="s">
        <v>30</v>
      </c>
      <c r="G260" s="6">
        <v>83100</v>
      </c>
      <c r="H260" s="5">
        <v>20</v>
      </c>
      <c r="I260" s="7">
        <v>38821</v>
      </c>
      <c r="J260" s="4" t="s">
        <v>49</v>
      </c>
      <c r="K260" s="5">
        <v>1</v>
      </c>
      <c r="L260" s="6">
        <v>5376.04</v>
      </c>
      <c r="M260" s="6">
        <v>72922.7</v>
      </c>
      <c r="N260" s="5">
        <v>42</v>
      </c>
      <c r="O260" s="6">
        <v>121.66</v>
      </c>
      <c r="P260" s="5">
        <v>1</v>
      </c>
      <c r="Q260" s="6">
        <v>0</v>
      </c>
      <c r="R260" s="6">
        <v>0</v>
      </c>
      <c r="S260" s="6">
        <v>0</v>
      </c>
      <c r="T260" s="6">
        <v>0</v>
      </c>
      <c r="U260" s="5">
        <v>661</v>
      </c>
      <c r="V260" s="5">
        <v>0</v>
      </c>
    </row>
    <row r="261" spans="1:22" x14ac:dyDescent="0.25">
      <c r="A261" s="4" t="s">
        <v>324</v>
      </c>
      <c r="B261" s="5">
        <v>39</v>
      </c>
      <c r="C261" s="4" t="s">
        <v>23</v>
      </c>
      <c r="D261" s="4" t="s">
        <v>29</v>
      </c>
      <c r="E261" s="4" t="s">
        <v>35</v>
      </c>
      <c r="F261" s="4" t="s">
        <v>26</v>
      </c>
      <c r="G261" s="6">
        <v>50200</v>
      </c>
      <c r="H261" s="5">
        <v>13</v>
      </c>
      <c r="I261" s="7">
        <v>41210</v>
      </c>
      <c r="J261" s="4" t="s">
        <v>31</v>
      </c>
      <c r="K261" s="5">
        <v>4</v>
      </c>
      <c r="L261" s="6">
        <v>6122.18</v>
      </c>
      <c r="M261" s="6">
        <v>43625.16</v>
      </c>
      <c r="N261" s="5">
        <v>36</v>
      </c>
      <c r="O261" s="6">
        <v>96.38</v>
      </c>
      <c r="P261" s="5">
        <v>5</v>
      </c>
      <c r="Q261" s="6">
        <v>0</v>
      </c>
      <c r="R261" s="6">
        <v>0</v>
      </c>
      <c r="S261" s="6">
        <v>120000</v>
      </c>
      <c r="T261" s="6">
        <v>674</v>
      </c>
      <c r="U261" s="5">
        <v>677</v>
      </c>
      <c r="V261" s="5">
        <v>0</v>
      </c>
    </row>
    <row r="262" spans="1:22" x14ac:dyDescent="0.25">
      <c r="A262" s="4" t="s">
        <v>325</v>
      </c>
      <c r="B262" s="5">
        <v>40</v>
      </c>
      <c r="C262" s="4" t="s">
        <v>23</v>
      </c>
      <c r="D262" s="4" t="s">
        <v>98</v>
      </c>
      <c r="E262" s="4" t="s">
        <v>45</v>
      </c>
      <c r="F262" s="4" t="s">
        <v>30</v>
      </c>
      <c r="G262" s="6">
        <v>20500</v>
      </c>
      <c r="H262" s="5">
        <v>4</v>
      </c>
      <c r="I262" s="7">
        <v>44744</v>
      </c>
      <c r="J262" s="4" t="s">
        <v>31</v>
      </c>
      <c r="K262" s="5">
        <v>2</v>
      </c>
      <c r="L262" s="6">
        <v>1361.55</v>
      </c>
      <c r="M262" s="6">
        <v>0</v>
      </c>
      <c r="N262" s="5">
        <v>26</v>
      </c>
      <c r="O262" s="6">
        <v>74.260000000000005</v>
      </c>
      <c r="P262" s="5">
        <v>2</v>
      </c>
      <c r="Q262" s="6">
        <v>4500</v>
      </c>
      <c r="R262" s="6">
        <v>2120.15</v>
      </c>
      <c r="S262" s="6">
        <v>71000</v>
      </c>
      <c r="T262" s="6">
        <v>360</v>
      </c>
      <c r="U262" s="5">
        <v>609</v>
      </c>
      <c r="V262" s="5">
        <v>0</v>
      </c>
    </row>
    <row r="263" spans="1:22" x14ac:dyDescent="0.25">
      <c r="A263" s="4" t="s">
        <v>326</v>
      </c>
      <c r="B263" s="5">
        <v>36</v>
      </c>
      <c r="C263" s="4" t="s">
        <v>23</v>
      </c>
      <c r="D263" s="4" t="s">
        <v>29</v>
      </c>
      <c r="E263" s="4" t="s">
        <v>63</v>
      </c>
      <c r="F263" s="4" t="s">
        <v>48</v>
      </c>
      <c r="G263" s="6">
        <v>29800</v>
      </c>
      <c r="H263" s="5">
        <v>8</v>
      </c>
      <c r="I263" s="7">
        <v>43034</v>
      </c>
      <c r="J263" s="4" t="s">
        <v>39</v>
      </c>
      <c r="K263" s="5">
        <v>1</v>
      </c>
      <c r="L263" s="6">
        <v>2090.2800000000002</v>
      </c>
      <c r="M263" s="6">
        <v>13554.79</v>
      </c>
      <c r="N263" s="5">
        <v>25</v>
      </c>
      <c r="O263" s="6">
        <v>40.76</v>
      </c>
      <c r="P263" s="5">
        <v>7</v>
      </c>
      <c r="Q263" s="6">
        <v>7500</v>
      </c>
      <c r="R263" s="6">
        <v>4841.68</v>
      </c>
      <c r="S263" s="6">
        <v>117000</v>
      </c>
      <c r="T263" s="6">
        <v>633</v>
      </c>
      <c r="U263" s="5">
        <v>680</v>
      </c>
      <c r="V263" s="5">
        <v>0</v>
      </c>
    </row>
    <row r="264" spans="1:22" x14ac:dyDescent="0.25">
      <c r="A264" s="4" t="s">
        <v>327</v>
      </c>
      <c r="B264" s="5">
        <v>42</v>
      </c>
      <c r="C264" s="4" t="s">
        <v>33</v>
      </c>
      <c r="D264" s="4" t="s">
        <v>98</v>
      </c>
      <c r="E264" s="4" t="s">
        <v>63</v>
      </c>
      <c r="F264" s="4" t="s">
        <v>48</v>
      </c>
      <c r="G264" s="6">
        <v>22700</v>
      </c>
      <c r="H264" s="5">
        <v>10</v>
      </c>
      <c r="I264" s="7">
        <v>42276</v>
      </c>
      <c r="J264" s="4" t="s">
        <v>49</v>
      </c>
      <c r="K264" s="5">
        <v>1</v>
      </c>
      <c r="L264" s="6">
        <v>997.35</v>
      </c>
      <c r="M264" s="6">
        <v>0</v>
      </c>
      <c r="N264" s="5">
        <v>20</v>
      </c>
      <c r="O264" s="6">
        <v>55.53</v>
      </c>
      <c r="P264" s="5">
        <v>3</v>
      </c>
      <c r="Q264" s="6">
        <v>5000</v>
      </c>
      <c r="R264" s="6">
        <v>1342.16</v>
      </c>
      <c r="S264" s="6">
        <v>0</v>
      </c>
      <c r="T264" s="6">
        <v>0</v>
      </c>
      <c r="U264" s="5">
        <v>687</v>
      </c>
      <c r="V264" s="5">
        <v>0</v>
      </c>
    </row>
    <row r="265" spans="1:22" x14ac:dyDescent="0.25">
      <c r="A265" s="4" t="s">
        <v>328</v>
      </c>
      <c r="B265" s="5">
        <v>34</v>
      </c>
      <c r="C265" s="4" t="s">
        <v>23</v>
      </c>
      <c r="D265" s="4" t="s">
        <v>70</v>
      </c>
      <c r="E265" s="4" t="s">
        <v>67</v>
      </c>
      <c r="F265" s="4" t="s">
        <v>30</v>
      </c>
      <c r="G265" s="6">
        <v>4100</v>
      </c>
      <c r="H265" s="5">
        <v>5</v>
      </c>
      <c r="I265" s="7">
        <v>44381</v>
      </c>
      <c r="J265" s="4" t="s">
        <v>31</v>
      </c>
      <c r="K265" s="5">
        <v>1</v>
      </c>
      <c r="L265" s="6">
        <v>256.95</v>
      </c>
      <c r="M265" s="6">
        <v>0</v>
      </c>
      <c r="N265" s="5">
        <v>9</v>
      </c>
      <c r="O265" s="6">
        <v>36.85</v>
      </c>
      <c r="P265" s="5">
        <v>4</v>
      </c>
      <c r="Q265" s="6">
        <v>500</v>
      </c>
      <c r="R265" s="6">
        <v>7.24</v>
      </c>
      <c r="S265" s="6">
        <v>0</v>
      </c>
      <c r="T265" s="6">
        <v>0</v>
      </c>
      <c r="U265" s="5">
        <v>559</v>
      </c>
      <c r="V265" s="5">
        <v>0</v>
      </c>
    </row>
    <row r="266" spans="1:22" x14ac:dyDescent="0.25">
      <c r="A266" s="4" t="s">
        <v>329</v>
      </c>
      <c r="B266" s="5">
        <v>62</v>
      </c>
      <c r="C266" s="4" t="s">
        <v>33</v>
      </c>
      <c r="D266" s="4" t="s">
        <v>98</v>
      </c>
      <c r="E266" s="4" t="s">
        <v>45</v>
      </c>
      <c r="F266" s="4" t="s">
        <v>30</v>
      </c>
      <c r="G266" s="6">
        <v>23500</v>
      </c>
      <c r="H266" s="5">
        <v>13</v>
      </c>
      <c r="I266" s="7">
        <v>41382</v>
      </c>
      <c r="J266" s="4" t="s">
        <v>31</v>
      </c>
      <c r="K266" s="5">
        <v>1</v>
      </c>
      <c r="L266" s="6">
        <v>3317.85</v>
      </c>
      <c r="M266" s="6">
        <v>15947.79</v>
      </c>
      <c r="N266" s="5">
        <v>25</v>
      </c>
      <c r="O266" s="6">
        <v>33.15</v>
      </c>
      <c r="P266" s="5">
        <v>0</v>
      </c>
      <c r="Q266" s="6">
        <v>2500</v>
      </c>
      <c r="R266" s="6">
        <v>1021.14</v>
      </c>
      <c r="S266" s="6">
        <v>0</v>
      </c>
      <c r="T266" s="6">
        <v>0</v>
      </c>
      <c r="U266" s="5">
        <v>625</v>
      </c>
      <c r="V266" s="5">
        <v>0</v>
      </c>
    </row>
    <row r="267" spans="1:22" x14ac:dyDescent="0.25">
      <c r="A267" s="4" t="s">
        <v>330</v>
      </c>
      <c r="B267" s="5">
        <v>54</v>
      </c>
      <c r="C267" s="4" t="s">
        <v>33</v>
      </c>
      <c r="D267" s="4" t="s">
        <v>41</v>
      </c>
      <c r="E267" s="4" t="s">
        <v>25</v>
      </c>
      <c r="F267" s="4" t="s">
        <v>38</v>
      </c>
      <c r="G267" s="6">
        <v>31800</v>
      </c>
      <c r="H267" s="5">
        <v>14</v>
      </c>
      <c r="I267" s="7">
        <v>40899</v>
      </c>
      <c r="J267" s="4" t="s">
        <v>39</v>
      </c>
      <c r="K267" s="5">
        <v>3</v>
      </c>
      <c r="L267" s="6">
        <v>-102.8</v>
      </c>
      <c r="M267" s="6">
        <v>45569.02</v>
      </c>
      <c r="N267" s="5">
        <v>22</v>
      </c>
      <c r="O267" s="6">
        <v>78.989999999999995</v>
      </c>
      <c r="P267" s="5">
        <v>5</v>
      </c>
      <c r="Q267" s="6">
        <v>0</v>
      </c>
      <c r="R267" s="6">
        <v>0</v>
      </c>
      <c r="S267" s="6">
        <v>96000</v>
      </c>
      <c r="T267" s="6">
        <v>719</v>
      </c>
      <c r="U267" s="5">
        <v>639</v>
      </c>
      <c r="V267" s="5">
        <v>0</v>
      </c>
    </row>
    <row r="268" spans="1:22" x14ac:dyDescent="0.25">
      <c r="A268" s="4" t="s">
        <v>331</v>
      </c>
      <c r="B268" s="5">
        <v>57</v>
      </c>
      <c r="C268" s="4" t="s">
        <v>33</v>
      </c>
      <c r="D268" s="4" t="s">
        <v>41</v>
      </c>
      <c r="E268" s="4" t="s">
        <v>45</v>
      </c>
      <c r="F268" s="4" t="s">
        <v>26</v>
      </c>
      <c r="G268" s="6">
        <v>21000</v>
      </c>
      <c r="H268" s="5">
        <v>19</v>
      </c>
      <c r="I268" s="7">
        <v>39273</v>
      </c>
      <c r="J268" s="4" t="s">
        <v>49</v>
      </c>
      <c r="K268" s="5">
        <v>1</v>
      </c>
      <c r="L268" s="6">
        <v>1027.1199999999999</v>
      </c>
      <c r="M268" s="6">
        <v>23929.51</v>
      </c>
      <c r="N268" s="5">
        <v>19</v>
      </c>
      <c r="O268" s="6">
        <v>61.61</v>
      </c>
      <c r="P268" s="5">
        <v>5</v>
      </c>
      <c r="Q268" s="6">
        <v>6500</v>
      </c>
      <c r="R268" s="6">
        <v>684.78</v>
      </c>
      <c r="S268" s="6">
        <v>520000</v>
      </c>
      <c r="T268" s="6">
        <v>3800</v>
      </c>
      <c r="U268" s="5">
        <v>677</v>
      </c>
      <c r="V268" s="5">
        <v>1</v>
      </c>
    </row>
    <row r="269" spans="1:22" x14ac:dyDescent="0.25">
      <c r="A269" s="4" t="s">
        <v>332</v>
      </c>
      <c r="B269" s="5">
        <v>48</v>
      </c>
      <c r="C269" s="4" t="s">
        <v>33</v>
      </c>
      <c r="D269" s="4" t="s">
        <v>41</v>
      </c>
      <c r="E269" s="4" t="s">
        <v>45</v>
      </c>
      <c r="F269" s="4" t="s">
        <v>30</v>
      </c>
      <c r="G269" s="6">
        <v>19200</v>
      </c>
      <c r="H269" s="5">
        <v>11</v>
      </c>
      <c r="I269" s="7">
        <v>42106</v>
      </c>
      <c r="J269" s="4" t="s">
        <v>31</v>
      </c>
      <c r="K269" s="5">
        <v>1</v>
      </c>
      <c r="L269" s="6">
        <v>651.84</v>
      </c>
      <c r="M269" s="6">
        <v>0</v>
      </c>
      <c r="N269" s="5">
        <v>21</v>
      </c>
      <c r="O269" s="6">
        <v>35.869999999999997</v>
      </c>
      <c r="P269" s="5">
        <v>3</v>
      </c>
      <c r="Q269" s="6">
        <v>4500</v>
      </c>
      <c r="R269" s="6">
        <v>1754.16</v>
      </c>
      <c r="S269" s="6">
        <v>48000</v>
      </c>
      <c r="T269" s="6">
        <v>334</v>
      </c>
      <c r="U269" s="5">
        <v>619</v>
      </c>
      <c r="V269" s="5">
        <v>0</v>
      </c>
    </row>
    <row r="270" spans="1:22" x14ac:dyDescent="0.25">
      <c r="A270" s="4" t="s">
        <v>333</v>
      </c>
      <c r="B270" s="5">
        <v>39</v>
      </c>
      <c r="C270" s="4" t="s">
        <v>33</v>
      </c>
      <c r="D270" s="4" t="s">
        <v>134</v>
      </c>
      <c r="E270" s="4" t="s">
        <v>42</v>
      </c>
      <c r="F270" s="4" t="s">
        <v>48</v>
      </c>
      <c r="G270" s="6">
        <v>79900</v>
      </c>
      <c r="H270" s="5">
        <v>9</v>
      </c>
      <c r="I270" s="7">
        <v>42649</v>
      </c>
      <c r="J270" s="4" t="s">
        <v>31</v>
      </c>
      <c r="K270" s="5">
        <v>2</v>
      </c>
      <c r="L270" s="6">
        <v>1885.2</v>
      </c>
      <c r="M270" s="6">
        <v>47245.02</v>
      </c>
      <c r="N270" s="5">
        <v>45</v>
      </c>
      <c r="O270" s="6">
        <v>133.62</v>
      </c>
      <c r="P270" s="5">
        <v>2</v>
      </c>
      <c r="Q270" s="6">
        <v>10500</v>
      </c>
      <c r="R270" s="6">
        <v>2751.7</v>
      </c>
      <c r="S270" s="6">
        <v>0</v>
      </c>
      <c r="T270" s="6">
        <v>0</v>
      </c>
      <c r="U270" s="5">
        <v>652</v>
      </c>
      <c r="V270" s="5">
        <v>0</v>
      </c>
    </row>
    <row r="271" spans="1:22" x14ac:dyDescent="0.25">
      <c r="A271" s="4" t="s">
        <v>334</v>
      </c>
      <c r="B271" s="5">
        <v>35</v>
      </c>
      <c r="C271" s="4" t="s">
        <v>23</v>
      </c>
      <c r="D271" s="4" t="s">
        <v>57</v>
      </c>
      <c r="E271" s="4" t="s">
        <v>25</v>
      </c>
      <c r="F271" s="4" t="s">
        <v>30</v>
      </c>
      <c r="G271" s="6">
        <v>30100</v>
      </c>
      <c r="H271" s="5">
        <v>11</v>
      </c>
      <c r="I271" s="7">
        <v>42085</v>
      </c>
      <c r="J271" s="4" t="s">
        <v>49</v>
      </c>
      <c r="K271" s="5">
        <v>3</v>
      </c>
      <c r="L271" s="6">
        <v>1331.08</v>
      </c>
      <c r="M271" s="6">
        <v>29307.84</v>
      </c>
      <c r="N271" s="5">
        <v>23</v>
      </c>
      <c r="O271" s="6">
        <v>33.42</v>
      </c>
      <c r="P271" s="5">
        <v>4</v>
      </c>
      <c r="Q271" s="6">
        <v>0</v>
      </c>
      <c r="R271" s="6">
        <v>0</v>
      </c>
      <c r="S271" s="6">
        <v>123000</v>
      </c>
      <c r="T271" s="6">
        <v>703</v>
      </c>
      <c r="U271" s="5">
        <v>585</v>
      </c>
      <c r="V271" s="5">
        <v>0</v>
      </c>
    </row>
    <row r="272" spans="1:22" x14ac:dyDescent="0.25">
      <c r="A272" s="4" t="s">
        <v>335</v>
      </c>
      <c r="B272" s="5">
        <v>63</v>
      </c>
      <c r="C272" s="4" t="s">
        <v>23</v>
      </c>
      <c r="D272" s="4" t="s">
        <v>98</v>
      </c>
      <c r="E272" s="4" t="s">
        <v>45</v>
      </c>
      <c r="F272" s="4" t="s">
        <v>38</v>
      </c>
      <c r="G272" s="6">
        <v>33800</v>
      </c>
      <c r="H272" s="5">
        <v>26</v>
      </c>
      <c r="I272" s="7">
        <v>36669</v>
      </c>
      <c r="J272" s="4" t="s">
        <v>27</v>
      </c>
      <c r="K272" s="5">
        <v>4</v>
      </c>
      <c r="L272" s="6">
        <v>1829.78</v>
      </c>
      <c r="M272" s="6">
        <v>79865.14</v>
      </c>
      <c r="N272" s="5">
        <v>31</v>
      </c>
      <c r="O272" s="6">
        <v>73.599999999999994</v>
      </c>
      <c r="P272" s="5">
        <v>6</v>
      </c>
      <c r="Q272" s="6">
        <v>0</v>
      </c>
      <c r="R272" s="6">
        <v>0</v>
      </c>
      <c r="S272" s="6">
        <v>0</v>
      </c>
      <c r="T272" s="6">
        <v>0</v>
      </c>
      <c r="U272" s="5">
        <v>745</v>
      </c>
      <c r="V272" s="5">
        <v>0</v>
      </c>
    </row>
    <row r="273" spans="1:22" x14ac:dyDescent="0.25">
      <c r="A273" s="4" t="s">
        <v>336</v>
      </c>
      <c r="B273" s="5">
        <v>999</v>
      </c>
      <c r="C273" s="4" t="s">
        <v>33</v>
      </c>
      <c r="D273" s="4" t="s">
        <v>62</v>
      </c>
      <c r="E273" s="4" t="s">
        <v>45</v>
      </c>
      <c r="F273" s="4" t="s">
        <v>26</v>
      </c>
      <c r="G273" s="6">
        <v>11400</v>
      </c>
      <c r="H273" s="5">
        <v>2</v>
      </c>
      <c r="I273" s="7">
        <v>45449</v>
      </c>
      <c r="J273" s="4" t="s">
        <v>27</v>
      </c>
      <c r="K273" s="5">
        <v>2</v>
      </c>
      <c r="L273" s="6">
        <v>1125.81</v>
      </c>
      <c r="M273" s="6">
        <v>3735.11</v>
      </c>
      <c r="N273" s="5">
        <v>22</v>
      </c>
      <c r="O273" s="6">
        <v>33.67</v>
      </c>
      <c r="P273" s="5">
        <v>5</v>
      </c>
      <c r="Q273" s="6">
        <v>0</v>
      </c>
      <c r="R273" s="6">
        <v>0</v>
      </c>
      <c r="S273" s="6">
        <v>0</v>
      </c>
      <c r="T273" s="6">
        <v>0</v>
      </c>
      <c r="U273" s="5">
        <v>572</v>
      </c>
      <c r="V273" s="5">
        <v>0</v>
      </c>
    </row>
    <row r="274" spans="1:22" x14ac:dyDescent="0.25">
      <c r="A274" s="4" t="s">
        <v>337</v>
      </c>
      <c r="B274" s="5">
        <v>36</v>
      </c>
      <c r="C274" s="4" t="s">
        <v>23</v>
      </c>
      <c r="D274" s="4" t="s">
        <v>108</v>
      </c>
      <c r="E274" s="4" t="s">
        <v>35</v>
      </c>
      <c r="F274" s="4" t="s">
        <v>30</v>
      </c>
      <c r="G274" s="6">
        <v>29800</v>
      </c>
      <c r="H274" s="5">
        <v>16</v>
      </c>
      <c r="I274" s="7">
        <v>40306</v>
      </c>
      <c r="J274" s="4" t="s">
        <v>49</v>
      </c>
      <c r="K274" s="5">
        <v>2</v>
      </c>
      <c r="L274" s="6">
        <v>3084.39</v>
      </c>
      <c r="M274" s="6">
        <v>36995.74</v>
      </c>
      <c r="N274" s="5">
        <v>22</v>
      </c>
      <c r="O274" s="6">
        <v>54.12</v>
      </c>
      <c r="P274" s="5">
        <v>1</v>
      </c>
      <c r="Q274" s="6">
        <v>7000</v>
      </c>
      <c r="R274" s="6">
        <v>4155.7700000000004</v>
      </c>
      <c r="S274" s="6">
        <v>65000</v>
      </c>
      <c r="T274" s="6">
        <v>306</v>
      </c>
      <c r="U274" s="5">
        <v>639</v>
      </c>
      <c r="V274" s="5">
        <v>0</v>
      </c>
    </row>
    <row r="275" spans="1:22" x14ac:dyDescent="0.25">
      <c r="A275" s="4" t="s">
        <v>338</v>
      </c>
      <c r="B275" s="5">
        <v>45</v>
      </c>
      <c r="C275" s="4" t="s">
        <v>33</v>
      </c>
      <c r="D275" s="4" t="s">
        <v>41</v>
      </c>
      <c r="E275" s="4" t="s">
        <v>25</v>
      </c>
      <c r="F275" s="4" t="s">
        <v>30</v>
      </c>
      <c r="G275" s="6">
        <v>49500</v>
      </c>
      <c r="H275" s="5">
        <v>16</v>
      </c>
      <c r="I275" s="7">
        <v>40393</v>
      </c>
      <c r="J275" s="4" t="s">
        <v>31</v>
      </c>
      <c r="K275" s="5">
        <v>1</v>
      </c>
      <c r="L275" s="6">
        <v>2216.04</v>
      </c>
      <c r="M275" s="6">
        <v>48366.36</v>
      </c>
      <c r="N275" s="5">
        <v>40</v>
      </c>
      <c r="O275" s="6">
        <v>62.35</v>
      </c>
      <c r="P275" s="5">
        <v>2</v>
      </c>
      <c r="Q275" s="6">
        <v>2000</v>
      </c>
      <c r="R275" s="6">
        <v>5400</v>
      </c>
      <c r="S275" s="6">
        <v>238000</v>
      </c>
      <c r="T275" s="6">
        <v>1142</v>
      </c>
      <c r="U275" s="5">
        <v>674</v>
      </c>
      <c r="V275" s="5">
        <v>0</v>
      </c>
    </row>
    <row r="276" spans="1:22" x14ac:dyDescent="0.25">
      <c r="A276" s="4" t="s">
        <v>339</v>
      </c>
      <c r="B276" s="5">
        <v>40</v>
      </c>
      <c r="C276" s="4" t="s">
        <v>23</v>
      </c>
      <c r="D276" s="4" t="s">
        <v>57</v>
      </c>
      <c r="E276" s="4" t="s">
        <v>25</v>
      </c>
      <c r="F276" s="4" t="s">
        <v>30</v>
      </c>
      <c r="G276" s="6">
        <v>22400</v>
      </c>
      <c r="H276" s="5">
        <v>7</v>
      </c>
      <c r="I276" s="7">
        <v>43685</v>
      </c>
      <c r="J276" s="4" t="s">
        <v>31</v>
      </c>
      <c r="K276" s="5">
        <v>1</v>
      </c>
      <c r="L276" s="6">
        <v>551.92999999999995</v>
      </c>
      <c r="M276" s="6">
        <v>0</v>
      </c>
      <c r="N276" s="5">
        <v>24</v>
      </c>
      <c r="O276" s="6">
        <v>31.82</v>
      </c>
      <c r="P276" s="5">
        <v>0</v>
      </c>
      <c r="Q276" s="6">
        <v>0</v>
      </c>
      <c r="R276" s="6">
        <v>0</v>
      </c>
      <c r="S276" s="6">
        <v>35000</v>
      </c>
      <c r="T276" s="6">
        <v>196</v>
      </c>
      <c r="U276" s="5">
        <v>613</v>
      </c>
      <c r="V276" s="5">
        <v>0</v>
      </c>
    </row>
    <row r="277" spans="1:22" x14ac:dyDescent="0.25">
      <c r="A277" s="4" t="s">
        <v>340</v>
      </c>
      <c r="B277" s="5">
        <v>55</v>
      </c>
      <c r="C277" s="4" t="s">
        <v>23</v>
      </c>
      <c r="D277" s="4" t="s">
        <v>37</v>
      </c>
      <c r="E277" s="4" t="s">
        <v>25</v>
      </c>
      <c r="F277" s="4" t="s">
        <v>30</v>
      </c>
      <c r="G277" s="6">
        <v>40800</v>
      </c>
      <c r="H277" s="5">
        <v>18</v>
      </c>
      <c r="I277" s="7">
        <v>39349</v>
      </c>
      <c r="J277" s="4" t="s">
        <v>39</v>
      </c>
      <c r="K277" s="5">
        <v>2</v>
      </c>
      <c r="L277" s="6">
        <v>660</v>
      </c>
      <c r="M277" s="6">
        <v>39515.040000000001</v>
      </c>
      <c r="N277" s="5">
        <v>25</v>
      </c>
      <c r="O277" s="6">
        <v>36.68</v>
      </c>
      <c r="P277" s="5">
        <v>5</v>
      </c>
      <c r="Q277" s="6">
        <v>0</v>
      </c>
      <c r="R277" s="6">
        <v>0</v>
      </c>
      <c r="S277" s="6">
        <v>0</v>
      </c>
      <c r="T277" s="6">
        <v>0</v>
      </c>
      <c r="U277" s="5">
        <v>654</v>
      </c>
      <c r="V277" s="5">
        <v>0</v>
      </c>
    </row>
    <row r="278" spans="1:22" x14ac:dyDescent="0.25">
      <c r="A278" s="4" t="s">
        <v>341</v>
      </c>
      <c r="B278" s="5">
        <v>52</v>
      </c>
      <c r="C278" s="4" t="s">
        <v>33</v>
      </c>
      <c r="D278" s="4" t="s">
        <v>59</v>
      </c>
      <c r="E278" s="4" t="s">
        <v>45</v>
      </c>
      <c r="F278" s="4" t="s">
        <v>26</v>
      </c>
      <c r="G278" s="6">
        <v>37800</v>
      </c>
      <c r="H278" s="5">
        <v>0</v>
      </c>
      <c r="I278" s="7">
        <v>47849</v>
      </c>
      <c r="J278" s="4" t="s">
        <v>27</v>
      </c>
      <c r="K278" s="5">
        <v>4</v>
      </c>
      <c r="L278" s="6">
        <v>3389</v>
      </c>
      <c r="M278" s="6">
        <v>49397.19</v>
      </c>
      <c r="N278" s="5">
        <v>30</v>
      </c>
      <c r="O278" s="6">
        <v>96.48</v>
      </c>
      <c r="P278" s="5">
        <v>3</v>
      </c>
      <c r="Q278" s="6">
        <v>7500</v>
      </c>
      <c r="R278" s="6">
        <v>1873.99</v>
      </c>
      <c r="S278" s="6">
        <v>92000</v>
      </c>
      <c r="T278" s="6">
        <v>511</v>
      </c>
      <c r="U278" s="5">
        <v>688</v>
      </c>
      <c r="V278" s="5">
        <v>0</v>
      </c>
    </row>
    <row r="279" spans="1:22" x14ac:dyDescent="0.25">
      <c r="A279" s="4" t="s">
        <v>342</v>
      </c>
      <c r="B279" s="5">
        <v>57</v>
      </c>
      <c r="C279" s="4" t="s">
        <v>33</v>
      </c>
      <c r="D279" s="4" t="s">
        <v>24</v>
      </c>
      <c r="E279" s="4" t="s">
        <v>35</v>
      </c>
      <c r="F279" s="4" t="s">
        <v>30</v>
      </c>
      <c r="G279" s="6">
        <v>61300</v>
      </c>
      <c r="H279" s="5">
        <v>17</v>
      </c>
      <c r="I279" s="7">
        <v>39884</v>
      </c>
      <c r="J279" s="4" t="s">
        <v>49</v>
      </c>
      <c r="K279" s="5">
        <v>2</v>
      </c>
      <c r="L279" s="6">
        <v>6165.21</v>
      </c>
      <c r="M279" s="6">
        <v>39926.480000000003</v>
      </c>
      <c r="N279" s="5">
        <v>32</v>
      </c>
      <c r="O279" s="6">
        <v>90.09</v>
      </c>
      <c r="P279" s="5">
        <v>4</v>
      </c>
      <c r="Q279" s="6">
        <v>7500</v>
      </c>
      <c r="R279" s="6">
        <v>1458.16</v>
      </c>
      <c r="S279" s="6">
        <v>0</v>
      </c>
      <c r="T279" s="6">
        <v>0</v>
      </c>
      <c r="U279" s="5">
        <v>716</v>
      </c>
      <c r="V279" s="5">
        <v>1</v>
      </c>
    </row>
    <row r="280" spans="1:22" x14ac:dyDescent="0.25">
      <c r="A280" s="4" t="s">
        <v>343</v>
      </c>
      <c r="B280" s="5">
        <v>39</v>
      </c>
      <c r="C280" s="4" t="s">
        <v>23</v>
      </c>
      <c r="D280" s="4" t="s">
        <v>59</v>
      </c>
      <c r="E280" s="4" t="s">
        <v>35</v>
      </c>
      <c r="F280" s="4" t="s">
        <v>30</v>
      </c>
      <c r="G280" s="6">
        <v>82500</v>
      </c>
      <c r="H280" s="5">
        <v>8</v>
      </c>
      <c r="I280" s="7">
        <v>43287</v>
      </c>
      <c r="J280" s="4" t="s">
        <v>27</v>
      </c>
      <c r="K280" s="5">
        <v>1</v>
      </c>
      <c r="L280" s="6">
        <v>16007.41</v>
      </c>
      <c r="M280" s="6">
        <v>0</v>
      </c>
      <c r="N280" s="5">
        <v>48</v>
      </c>
      <c r="O280" s="6">
        <v>137.62</v>
      </c>
      <c r="P280" s="5">
        <v>7</v>
      </c>
      <c r="Q280" s="6">
        <v>15000</v>
      </c>
      <c r="R280" s="6">
        <v>9784.5300000000007</v>
      </c>
      <c r="S280" s="6">
        <v>0</v>
      </c>
      <c r="T280" s="6">
        <v>0</v>
      </c>
      <c r="U280" s="5">
        <v>757</v>
      </c>
      <c r="V280" s="5">
        <v>0</v>
      </c>
    </row>
    <row r="281" spans="1:22" x14ac:dyDescent="0.25">
      <c r="A281" s="4" t="s">
        <v>344</v>
      </c>
      <c r="B281" s="5">
        <v>37</v>
      </c>
      <c r="C281" s="4" t="s">
        <v>33</v>
      </c>
      <c r="D281" s="4" t="s">
        <v>98</v>
      </c>
      <c r="E281" s="4" t="s">
        <v>35</v>
      </c>
      <c r="F281" s="4" t="s">
        <v>26</v>
      </c>
      <c r="G281" s="6">
        <v>47700</v>
      </c>
      <c r="H281" s="5">
        <v>8</v>
      </c>
      <c r="I281" s="7">
        <v>43134</v>
      </c>
      <c r="J281" s="4" t="s">
        <v>27</v>
      </c>
      <c r="K281" s="5">
        <v>1</v>
      </c>
      <c r="L281" s="6">
        <v>11030.7</v>
      </c>
      <c r="M281" s="6">
        <v>33938.199999999997</v>
      </c>
      <c r="N281" s="5">
        <v>40</v>
      </c>
      <c r="O281" s="6">
        <v>66.650000000000006</v>
      </c>
      <c r="P281" s="5">
        <v>1</v>
      </c>
      <c r="Q281" s="6">
        <v>9500</v>
      </c>
      <c r="R281" s="6">
        <v>7830.1</v>
      </c>
      <c r="S281" s="6">
        <v>0</v>
      </c>
      <c r="T281" s="6">
        <v>0</v>
      </c>
      <c r="U281" s="5">
        <v>681</v>
      </c>
      <c r="V281" s="5">
        <v>0</v>
      </c>
    </row>
    <row r="282" spans="1:22" x14ac:dyDescent="0.25">
      <c r="A282" s="4" t="s">
        <v>345</v>
      </c>
      <c r="B282" s="5">
        <v>36</v>
      </c>
      <c r="C282" s="4" t="s">
        <v>33</v>
      </c>
      <c r="D282" s="4" t="s">
        <v>57</v>
      </c>
      <c r="E282" s="4" t="s">
        <v>45</v>
      </c>
      <c r="F282" s="4" t="s">
        <v>30</v>
      </c>
      <c r="G282" s="6">
        <v>29900</v>
      </c>
      <c r="H282" s="5">
        <v>3</v>
      </c>
      <c r="I282" s="7">
        <v>44977</v>
      </c>
      <c r="J282" s="4" t="s">
        <v>39</v>
      </c>
      <c r="K282" s="5">
        <v>1</v>
      </c>
      <c r="L282" s="6">
        <v>3418.51</v>
      </c>
      <c r="M282" s="6">
        <v>0</v>
      </c>
      <c r="N282" s="5">
        <v>26</v>
      </c>
      <c r="O282" s="6">
        <v>56.83</v>
      </c>
      <c r="P282" s="5">
        <v>0</v>
      </c>
      <c r="Q282" s="6">
        <v>6000</v>
      </c>
      <c r="R282" s="6">
        <v>1047.71</v>
      </c>
      <c r="S282" s="6">
        <v>0</v>
      </c>
      <c r="T282" s="6">
        <v>0</v>
      </c>
      <c r="U282" s="5">
        <v>642</v>
      </c>
      <c r="V282" s="5">
        <v>0</v>
      </c>
    </row>
    <row r="283" spans="1:22" x14ac:dyDescent="0.25">
      <c r="A283" s="4" t="s">
        <v>346</v>
      </c>
      <c r="B283" s="5">
        <v>62</v>
      </c>
      <c r="C283" s="4" t="s">
        <v>33</v>
      </c>
      <c r="D283" s="4" t="s">
        <v>79</v>
      </c>
      <c r="E283" s="4" t="s">
        <v>45</v>
      </c>
      <c r="F283" s="4" t="s">
        <v>30</v>
      </c>
      <c r="G283" s="6">
        <v>26800</v>
      </c>
      <c r="H283" s="5">
        <v>24</v>
      </c>
      <c r="I283" s="7">
        <v>37175</v>
      </c>
      <c r="J283" s="4" t="s">
        <v>39</v>
      </c>
      <c r="K283" s="5">
        <v>6</v>
      </c>
      <c r="L283" s="6">
        <v>1260.44</v>
      </c>
      <c r="M283" s="6">
        <v>27678.6</v>
      </c>
      <c r="N283" s="5">
        <v>21</v>
      </c>
      <c r="O283" s="6">
        <v>43.24</v>
      </c>
      <c r="P283" s="5">
        <v>4</v>
      </c>
      <c r="Q283" s="6">
        <v>3000</v>
      </c>
      <c r="R283" s="6">
        <v>232.78</v>
      </c>
      <c r="S283" s="6">
        <v>0</v>
      </c>
      <c r="T283" s="6">
        <v>0</v>
      </c>
      <c r="U283" s="5">
        <v>580</v>
      </c>
      <c r="V283" s="5">
        <v>1</v>
      </c>
    </row>
    <row r="284" spans="1:22" x14ac:dyDescent="0.25">
      <c r="A284" s="4" t="s">
        <v>347</v>
      </c>
      <c r="B284" s="5">
        <v>58</v>
      </c>
      <c r="C284" s="4" t="s">
        <v>23</v>
      </c>
      <c r="D284" s="4" t="s">
        <v>34</v>
      </c>
      <c r="E284" s="4" t="s">
        <v>42</v>
      </c>
      <c r="F284" s="4" t="s">
        <v>30</v>
      </c>
      <c r="G284" s="6">
        <v>66000</v>
      </c>
      <c r="H284" s="5">
        <v>20</v>
      </c>
      <c r="I284" s="7">
        <v>38794</v>
      </c>
      <c r="J284" s="4" t="s">
        <v>49</v>
      </c>
      <c r="K284" s="5">
        <v>2</v>
      </c>
      <c r="L284" s="6">
        <v>4725.1400000000003</v>
      </c>
      <c r="M284" s="6">
        <v>77762.95</v>
      </c>
      <c r="N284" s="5">
        <v>25</v>
      </c>
      <c r="O284" s="6">
        <v>85.68</v>
      </c>
      <c r="P284" s="5">
        <v>8</v>
      </c>
      <c r="Q284" s="6">
        <v>15000</v>
      </c>
      <c r="R284" s="6">
        <v>3231.59</v>
      </c>
      <c r="S284" s="6">
        <v>0</v>
      </c>
      <c r="T284" s="6">
        <v>0</v>
      </c>
      <c r="U284" s="5">
        <v>707</v>
      </c>
      <c r="V284" s="5">
        <v>0</v>
      </c>
    </row>
    <row r="285" spans="1:22" x14ac:dyDescent="0.25">
      <c r="A285" s="4" t="s">
        <v>348</v>
      </c>
      <c r="B285" s="5">
        <v>62</v>
      </c>
      <c r="C285" s="4" t="s">
        <v>23</v>
      </c>
      <c r="D285" s="4" t="s">
        <v>34</v>
      </c>
      <c r="E285" s="4" t="s">
        <v>45</v>
      </c>
      <c r="F285" s="4" t="s">
        <v>38</v>
      </c>
      <c r="G285" s="6">
        <v>22200</v>
      </c>
      <c r="H285" s="5">
        <v>14</v>
      </c>
      <c r="I285" s="7">
        <v>41049</v>
      </c>
      <c r="J285" s="4" t="s">
        <v>27</v>
      </c>
      <c r="K285" s="5">
        <v>2</v>
      </c>
      <c r="L285" s="6">
        <v>2168.6</v>
      </c>
      <c r="M285" s="6">
        <v>8465.1299999999992</v>
      </c>
      <c r="N285" s="5">
        <v>32</v>
      </c>
      <c r="O285" s="6">
        <v>38.69</v>
      </c>
      <c r="P285" s="5">
        <v>4</v>
      </c>
      <c r="Q285" s="6">
        <v>2500</v>
      </c>
      <c r="R285" s="6">
        <v>789.87</v>
      </c>
      <c r="S285" s="6">
        <v>0</v>
      </c>
      <c r="T285" s="6">
        <v>0</v>
      </c>
      <c r="U285" s="5">
        <v>626</v>
      </c>
      <c r="V285" s="5">
        <v>0</v>
      </c>
    </row>
    <row r="286" spans="1:22" x14ac:dyDescent="0.25">
      <c r="A286" s="4" t="s">
        <v>349</v>
      </c>
      <c r="B286" s="5">
        <v>55</v>
      </c>
      <c r="C286" s="4" t="s">
        <v>33</v>
      </c>
      <c r="D286" s="4" t="s">
        <v>37</v>
      </c>
      <c r="E286" s="4" t="s">
        <v>25</v>
      </c>
      <c r="F286" s="4" t="s">
        <v>30</v>
      </c>
      <c r="G286" s="6">
        <v>16900</v>
      </c>
      <c r="H286" s="5">
        <v>16</v>
      </c>
      <c r="I286" s="7">
        <v>40264</v>
      </c>
      <c r="J286" s="4" t="s">
        <v>39</v>
      </c>
      <c r="K286" s="5">
        <v>2</v>
      </c>
      <c r="L286" s="6">
        <v>2079.2399999999998</v>
      </c>
      <c r="M286" s="6">
        <v>19451.18</v>
      </c>
      <c r="N286" s="5">
        <v>13</v>
      </c>
      <c r="O286" s="6">
        <v>58.05</v>
      </c>
      <c r="P286" s="5">
        <v>4</v>
      </c>
      <c r="Q286" s="6">
        <v>2000</v>
      </c>
      <c r="R286" s="6">
        <v>453.59</v>
      </c>
      <c r="S286" s="6">
        <v>0</v>
      </c>
      <c r="T286" s="6">
        <v>0</v>
      </c>
      <c r="U286" s="5">
        <v>629</v>
      </c>
      <c r="V286" s="5">
        <v>0</v>
      </c>
    </row>
    <row r="287" spans="1:22" x14ac:dyDescent="0.25">
      <c r="A287" s="4" t="s">
        <v>350</v>
      </c>
      <c r="B287" s="5">
        <v>39</v>
      </c>
      <c r="C287" s="4" t="s">
        <v>33</v>
      </c>
      <c r="D287" s="4" t="s">
        <v>51</v>
      </c>
      <c r="E287" s="4" t="s">
        <v>25</v>
      </c>
      <c r="F287" s="4" t="s">
        <v>30</v>
      </c>
      <c r="G287" s="6">
        <v>22500</v>
      </c>
      <c r="H287" s="5">
        <v>13</v>
      </c>
      <c r="I287" s="7">
        <v>41432</v>
      </c>
      <c r="J287" s="4" t="s">
        <v>27</v>
      </c>
      <c r="K287" s="5">
        <v>4</v>
      </c>
      <c r="L287" s="6">
        <v>1761.2</v>
      </c>
      <c r="M287" s="6">
        <v>0</v>
      </c>
      <c r="N287" s="5">
        <v>27</v>
      </c>
      <c r="O287" s="6">
        <v>56.84</v>
      </c>
      <c r="P287" s="5">
        <v>1</v>
      </c>
      <c r="Q287" s="6">
        <v>4000</v>
      </c>
      <c r="R287" s="6">
        <v>2656.13</v>
      </c>
      <c r="S287" s="6">
        <v>0</v>
      </c>
      <c r="T287" s="6">
        <v>0</v>
      </c>
      <c r="U287" s="5">
        <v>622</v>
      </c>
      <c r="V287" s="5">
        <v>1</v>
      </c>
    </row>
    <row r="288" spans="1:22" x14ac:dyDescent="0.25">
      <c r="A288" s="4" t="s">
        <v>351</v>
      </c>
      <c r="B288" s="5">
        <v>50</v>
      </c>
      <c r="C288" s="4" t="s">
        <v>33</v>
      </c>
      <c r="D288" s="4" t="s">
        <v>128</v>
      </c>
      <c r="E288" s="4" t="s">
        <v>25</v>
      </c>
      <c r="F288" s="4" t="s">
        <v>48</v>
      </c>
      <c r="G288" s="6">
        <v>36000</v>
      </c>
      <c r="H288" s="5">
        <v>14</v>
      </c>
      <c r="I288" s="7">
        <v>40882</v>
      </c>
      <c r="J288" s="4" t="s">
        <v>27</v>
      </c>
      <c r="K288" s="5">
        <v>3</v>
      </c>
      <c r="L288" s="6">
        <v>4974.6400000000003</v>
      </c>
      <c r="M288" s="6">
        <v>25875.78</v>
      </c>
      <c r="N288" s="5">
        <v>33</v>
      </c>
      <c r="O288" s="6">
        <v>45.05</v>
      </c>
      <c r="P288" s="5">
        <v>3</v>
      </c>
      <c r="Q288" s="6">
        <v>0</v>
      </c>
      <c r="R288" s="6">
        <v>0</v>
      </c>
      <c r="S288" s="6">
        <v>0</v>
      </c>
      <c r="T288" s="6">
        <v>0</v>
      </c>
      <c r="U288" s="5">
        <v>665</v>
      </c>
      <c r="V288" s="5">
        <v>1</v>
      </c>
    </row>
    <row r="289" spans="1:22" x14ac:dyDescent="0.25">
      <c r="A289" s="4" t="s">
        <v>352</v>
      </c>
      <c r="B289" s="5">
        <v>49</v>
      </c>
      <c r="C289" s="4" t="s">
        <v>33</v>
      </c>
      <c r="D289" s="4" t="s">
        <v>37</v>
      </c>
      <c r="E289" s="4" t="s">
        <v>42</v>
      </c>
      <c r="F289" s="4" t="s">
        <v>48</v>
      </c>
      <c r="G289" s="6">
        <v>60700</v>
      </c>
      <c r="H289" s="5">
        <v>11</v>
      </c>
      <c r="I289" s="7">
        <v>42016</v>
      </c>
      <c r="J289" s="4" t="s">
        <v>31</v>
      </c>
      <c r="K289" s="5">
        <v>1</v>
      </c>
      <c r="L289" s="6">
        <v>5805.14</v>
      </c>
      <c r="M289" s="6">
        <v>132580.19</v>
      </c>
      <c r="N289" s="5">
        <v>41</v>
      </c>
      <c r="O289" s="6">
        <v>73.88</v>
      </c>
      <c r="P289" s="5">
        <v>6</v>
      </c>
      <c r="Q289" s="6">
        <v>0</v>
      </c>
      <c r="R289" s="6">
        <v>0</v>
      </c>
      <c r="S289" s="6">
        <v>0</v>
      </c>
      <c r="T289" s="6">
        <v>0</v>
      </c>
      <c r="U289" s="5">
        <v>588</v>
      </c>
      <c r="V289" s="5">
        <v>0</v>
      </c>
    </row>
    <row r="290" spans="1:22" x14ac:dyDescent="0.25">
      <c r="A290" s="4" t="s">
        <v>353</v>
      </c>
      <c r="B290" s="5">
        <v>18</v>
      </c>
      <c r="C290" s="4" t="s">
        <v>33</v>
      </c>
      <c r="D290" s="4" t="s">
        <v>57</v>
      </c>
      <c r="E290" s="4" t="s">
        <v>25</v>
      </c>
      <c r="F290" s="4" t="s">
        <v>26</v>
      </c>
      <c r="G290" s="6">
        <v>28500</v>
      </c>
      <c r="H290" s="5">
        <v>0</v>
      </c>
      <c r="I290" s="7">
        <v>46072</v>
      </c>
      <c r="J290" s="4" t="s">
        <v>31</v>
      </c>
      <c r="K290" s="5">
        <v>2</v>
      </c>
      <c r="L290" s="6">
        <v>10442.39</v>
      </c>
      <c r="M290" s="6">
        <v>2175.29</v>
      </c>
      <c r="N290" s="5">
        <v>34</v>
      </c>
      <c r="O290" s="6">
        <v>40.82</v>
      </c>
      <c r="P290" s="5">
        <v>3</v>
      </c>
      <c r="Q290" s="6">
        <v>4000</v>
      </c>
      <c r="R290" s="6">
        <v>942.57</v>
      </c>
      <c r="S290" s="6">
        <v>0</v>
      </c>
      <c r="T290" s="6">
        <v>0</v>
      </c>
      <c r="U290" s="5">
        <v>580</v>
      </c>
      <c r="V290" s="5">
        <v>1</v>
      </c>
    </row>
    <row r="291" spans="1:22" x14ac:dyDescent="0.25">
      <c r="A291" s="4" t="s">
        <v>354</v>
      </c>
      <c r="B291" s="5">
        <v>31</v>
      </c>
      <c r="C291" s="4" t="s">
        <v>23</v>
      </c>
      <c r="D291" s="4" t="s">
        <v>29</v>
      </c>
      <c r="E291" s="4" t="s">
        <v>67</v>
      </c>
      <c r="F291" s="4" t="s">
        <v>26</v>
      </c>
      <c r="G291" s="6">
        <v>3300</v>
      </c>
      <c r="H291" s="5">
        <v>11</v>
      </c>
      <c r="I291" s="7">
        <v>42060</v>
      </c>
      <c r="J291" s="4" t="s">
        <v>31</v>
      </c>
      <c r="K291" s="5">
        <v>2</v>
      </c>
      <c r="L291" s="6">
        <v>303.45</v>
      </c>
      <c r="M291" s="6">
        <v>2094.98</v>
      </c>
      <c r="N291" s="5">
        <v>20</v>
      </c>
      <c r="O291" s="6">
        <v>23.9</v>
      </c>
      <c r="P291" s="5">
        <v>0</v>
      </c>
      <c r="Q291" s="6">
        <v>500</v>
      </c>
      <c r="R291" s="6">
        <v>253.09</v>
      </c>
      <c r="S291" s="6">
        <v>0</v>
      </c>
      <c r="T291" s="6">
        <v>0</v>
      </c>
      <c r="U291" s="5">
        <v>588</v>
      </c>
      <c r="V291" s="5">
        <v>0</v>
      </c>
    </row>
    <row r="292" spans="1:22" x14ac:dyDescent="0.25">
      <c r="A292" s="4" t="s">
        <v>355</v>
      </c>
      <c r="B292" s="5">
        <v>45</v>
      </c>
      <c r="C292" s="4" t="s">
        <v>33</v>
      </c>
      <c r="D292" s="4" t="s">
        <v>24</v>
      </c>
      <c r="E292" s="4" t="s">
        <v>25</v>
      </c>
      <c r="F292" s="4" t="s">
        <v>26</v>
      </c>
      <c r="G292" s="6">
        <v>47400</v>
      </c>
      <c r="H292" s="5">
        <v>13</v>
      </c>
      <c r="I292" s="7">
        <v>41399</v>
      </c>
      <c r="J292" s="4" t="s">
        <v>27</v>
      </c>
      <c r="K292" s="5">
        <v>3</v>
      </c>
      <c r="L292" s="6">
        <v>5731.36</v>
      </c>
      <c r="M292" s="6">
        <v>0</v>
      </c>
      <c r="N292" s="5">
        <v>33</v>
      </c>
      <c r="O292" s="6">
        <v>64.459999999999994</v>
      </c>
      <c r="P292" s="5">
        <v>4</v>
      </c>
      <c r="Q292" s="6">
        <v>7000</v>
      </c>
      <c r="R292" s="6">
        <v>3471.04</v>
      </c>
      <c r="S292" s="6">
        <v>0</v>
      </c>
      <c r="T292" s="6">
        <v>0</v>
      </c>
      <c r="U292" s="5">
        <v>655</v>
      </c>
      <c r="V292" s="5">
        <v>1</v>
      </c>
    </row>
    <row r="293" spans="1:22" x14ac:dyDescent="0.25">
      <c r="A293" s="4" t="s">
        <v>356</v>
      </c>
      <c r="B293" s="5">
        <v>50</v>
      </c>
      <c r="C293" s="4" t="s">
        <v>23</v>
      </c>
      <c r="D293" s="4" t="s">
        <v>57</v>
      </c>
      <c r="E293" s="4" t="s">
        <v>25</v>
      </c>
      <c r="F293" s="4" t="s">
        <v>26</v>
      </c>
      <c r="G293" s="6">
        <v>29600</v>
      </c>
      <c r="H293" s="5">
        <v>8</v>
      </c>
      <c r="I293" s="7">
        <v>43174</v>
      </c>
      <c r="J293" s="4" t="s">
        <v>27</v>
      </c>
      <c r="K293" s="5">
        <v>2</v>
      </c>
      <c r="L293" s="6">
        <v>-253.25</v>
      </c>
      <c r="M293" s="6">
        <v>18762.07</v>
      </c>
      <c r="N293" s="5">
        <v>31</v>
      </c>
      <c r="O293" s="6">
        <v>43.79</v>
      </c>
      <c r="P293" s="5">
        <v>2</v>
      </c>
      <c r="Q293" s="6">
        <v>0</v>
      </c>
      <c r="R293" s="6">
        <v>0</v>
      </c>
      <c r="S293" s="6">
        <v>56000</v>
      </c>
      <c r="T293" s="6">
        <v>380</v>
      </c>
      <c r="U293" s="5">
        <v>572</v>
      </c>
      <c r="V293" s="5">
        <v>0</v>
      </c>
    </row>
    <row r="294" spans="1:22" x14ac:dyDescent="0.25">
      <c r="A294" s="4" t="s">
        <v>357</v>
      </c>
      <c r="B294" s="5">
        <v>41</v>
      </c>
      <c r="C294" s="4" t="s">
        <v>23</v>
      </c>
      <c r="D294" s="4" t="s">
        <v>59</v>
      </c>
      <c r="E294" s="4" t="s">
        <v>25</v>
      </c>
      <c r="F294" s="4" t="s">
        <v>26</v>
      </c>
      <c r="G294" s="6">
        <v>39100</v>
      </c>
      <c r="H294" s="5">
        <v>17</v>
      </c>
      <c r="I294" s="7">
        <v>39763</v>
      </c>
      <c r="J294" s="4" t="s">
        <v>39</v>
      </c>
      <c r="K294" s="5">
        <v>1</v>
      </c>
      <c r="L294" s="6">
        <v>6279.01</v>
      </c>
      <c r="M294" s="6">
        <v>37906.980000000003</v>
      </c>
      <c r="N294" s="5">
        <v>25</v>
      </c>
      <c r="O294" s="6">
        <v>47.1</v>
      </c>
      <c r="P294" s="5">
        <v>8</v>
      </c>
      <c r="Q294" s="6">
        <v>6000</v>
      </c>
      <c r="R294" s="6">
        <v>1178.8499999999999</v>
      </c>
      <c r="S294" s="6">
        <v>159000</v>
      </c>
      <c r="T294" s="6">
        <v>807</v>
      </c>
      <c r="U294" s="5">
        <v>650</v>
      </c>
      <c r="V294" s="5">
        <v>0</v>
      </c>
    </row>
    <row r="295" spans="1:22" x14ac:dyDescent="0.25">
      <c r="A295" s="4" t="s">
        <v>358</v>
      </c>
      <c r="B295" s="5">
        <v>37</v>
      </c>
      <c r="C295" s="4" t="s">
        <v>23</v>
      </c>
      <c r="D295" s="4" t="s">
        <v>34</v>
      </c>
      <c r="E295" s="4" t="s">
        <v>35</v>
      </c>
      <c r="F295" s="4" t="s">
        <v>30</v>
      </c>
      <c r="G295" s="6">
        <v>42400</v>
      </c>
      <c r="H295" s="5">
        <v>9</v>
      </c>
      <c r="I295" s="7">
        <v>42929</v>
      </c>
      <c r="J295" s="4" t="s">
        <v>39</v>
      </c>
      <c r="K295" s="5">
        <v>2</v>
      </c>
      <c r="L295" s="6">
        <v>3279.37</v>
      </c>
      <c r="M295" s="6">
        <v>0</v>
      </c>
      <c r="N295" s="5">
        <v>30</v>
      </c>
      <c r="O295" s="6">
        <v>72.69</v>
      </c>
      <c r="P295" s="5">
        <v>4</v>
      </c>
      <c r="Q295" s="6">
        <v>8000</v>
      </c>
      <c r="R295" s="6">
        <v>689.94</v>
      </c>
      <c r="S295" s="6">
        <v>175000</v>
      </c>
      <c r="T295" s="6">
        <v>951</v>
      </c>
      <c r="U295" s="5">
        <v>640</v>
      </c>
      <c r="V295" s="5">
        <v>1</v>
      </c>
    </row>
    <row r="296" spans="1:22" x14ac:dyDescent="0.25">
      <c r="A296" s="4" t="s">
        <v>359</v>
      </c>
      <c r="B296" s="5">
        <v>47</v>
      </c>
      <c r="C296" s="4" t="s">
        <v>23</v>
      </c>
      <c r="D296" s="4" t="s">
        <v>59</v>
      </c>
      <c r="E296" s="4" t="s">
        <v>25</v>
      </c>
      <c r="F296" s="4" t="s">
        <v>30</v>
      </c>
      <c r="G296" s="6">
        <v>28100</v>
      </c>
      <c r="H296" s="5">
        <v>13</v>
      </c>
      <c r="I296" s="7">
        <v>41375</v>
      </c>
      <c r="J296" s="4" t="s">
        <v>39</v>
      </c>
      <c r="K296" s="5">
        <v>3</v>
      </c>
      <c r="L296" s="6">
        <v>2841.24</v>
      </c>
      <c r="M296" s="6">
        <v>54721.18</v>
      </c>
      <c r="N296" s="5">
        <v>21</v>
      </c>
      <c r="O296" s="6">
        <v>44.5</v>
      </c>
      <c r="P296" s="5">
        <v>6</v>
      </c>
      <c r="Q296" s="6">
        <v>0</v>
      </c>
      <c r="R296" s="6">
        <v>0</v>
      </c>
      <c r="S296" s="6">
        <v>0</v>
      </c>
      <c r="T296" s="6">
        <v>0</v>
      </c>
      <c r="U296" s="5">
        <v>716</v>
      </c>
      <c r="V296" s="5">
        <v>0</v>
      </c>
    </row>
    <row r="297" spans="1:22" x14ac:dyDescent="0.25">
      <c r="A297" s="4" t="s">
        <v>360</v>
      </c>
      <c r="B297" s="5">
        <v>48</v>
      </c>
      <c r="C297" s="4" t="s">
        <v>33</v>
      </c>
      <c r="D297" s="4" t="s">
        <v>62</v>
      </c>
      <c r="E297" s="4" t="s">
        <v>35</v>
      </c>
      <c r="F297" s="4" t="s">
        <v>26</v>
      </c>
      <c r="G297" s="6">
        <v>35700</v>
      </c>
      <c r="H297" s="5">
        <v>12</v>
      </c>
      <c r="I297" s="7">
        <v>41895</v>
      </c>
      <c r="J297" s="4" t="s">
        <v>31</v>
      </c>
      <c r="K297" s="5">
        <v>3</v>
      </c>
      <c r="L297" s="6">
        <v>2655.68</v>
      </c>
      <c r="M297" s="6">
        <v>49138.12</v>
      </c>
      <c r="N297" s="5">
        <v>33</v>
      </c>
      <c r="O297" s="6">
        <v>66.209999999999994</v>
      </c>
      <c r="P297" s="5">
        <v>0</v>
      </c>
      <c r="Q297" s="6">
        <v>4000</v>
      </c>
      <c r="R297" s="6">
        <v>1891.35</v>
      </c>
      <c r="S297" s="6">
        <v>0</v>
      </c>
      <c r="T297" s="6">
        <v>0</v>
      </c>
      <c r="U297" s="5">
        <v>614</v>
      </c>
      <c r="V297" s="5">
        <v>0</v>
      </c>
    </row>
    <row r="298" spans="1:22" x14ac:dyDescent="0.25">
      <c r="A298" s="4" t="s">
        <v>361</v>
      </c>
      <c r="B298" s="5">
        <v>58</v>
      </c>
      <c r="C298" s="4" t="s">
        <v>33</v>
      </c>
      <c r="D298" s="4" t="s">
        <v>98</v>
      </c>
      <c r="E298" s="4" t="s">
        <v>42</v>
      </c>
      <c r="F298" s="4" t="s">
        <v>48</v>
      </c>
      <c r="G298" s="6">
        <v>42000</v>
      </c>
      <c r="H298" s="5">
        <v>10</v>
      </c>
      <c r="I298" s="7">
        <v>42325</v>
      </c>
      <c r="J298" s="4" t="s">
        <v>39</v>
      </c>
      <c r="K298" s="5">
        <v>1</v>
      </c>
      <c r="L298" s="6">
        <v>6474.91</v>
      </c>
      <c r="M298" s="6">
        <v>27769.68</v>
      </c>
      <c r="N298" s="5">
        <v>32</v>
      </c>
      <c r="O298" s="6">
        <v>45.13</v>
      </c>
      <c r="P298" s="5">
        <v>3</v>
      </c>
      <c r="Q298" s="6">
        <v>4500</v>
      </c>
      <c r="R298" s="6">
        <v>1584.32</v>
      </c>
      <c r="S298" s="6">
        <v>0</v>
      </c>
      <c r="T298" s="6">
        <v>0</v>
      </c>
      <c r="U298" s="5">
        <v>634</v>
      </c>
      <c r="V298" s="5">
        <v>1</v>
      </c>
    </row>
    <row r="299" spans="1:22" x14ac:dyDescent="0.25">
      <c r="A299" s="4" t="s">
        <v>362</v>
      </c>
      <c r="B299" s="5">
        <v>78</v>
      </c>
      <c r="C299" s="4" t="s">
        <v>23</v>
      </c>
      <c r="D299" s="4" t="s">
        <v>70</v>
      </c>
      <c r="E299" s="4" t="s">
        <v>95</v>
      </c>
      <c r="F299" s="4" t="s">
        <v>30</v>
      </c>
      <c r="G299" s="6">
        <v>25700</v>
      </c>
      <c r="H299" s="5">
        <v>16</v>
      </c>
      <c r="I299" s="7">
        <v>40209</v>
      </c>
      <c r="J299" s="4" t="s">
        <v>39</v>
      </c>
      <c r="K299" s="5">
        <v>3</v>
      </c>
      <c r="L299" s="6">
        <v>2570.0700000000002</v>
      </c>
      <c r="M299" s="6">
        <v>41498.18</v>
      </c>
      <c r="N299" s="5">
        <v>21</v>
      </c>
      <c r="O299" s="6">
        <v>42.27</v>
      </c>
      <c r="P299" s="5">
        <v>4</v>
      </c>
      <c r="Q299" s="6">
        <v>3500</v>
      </c>
      <c r="R299" s="6">
        <v>903.7</v>
      </c>
      <c r="S299" s="6">
        <v>0</v>
      </c>
      <c r="T299" s="6">
        <v>0</v>
      </c>
      <c r="U299" s="5">
        <v>702</v>
      </c>
      <c r="V299" s="5">
        <v>0</v>
      </c>
    </row>
    <row r="300" spans="1:22" x14ac:dyDescent="0.25">
      <c r="A300" s="4" t="s">
        <v>363</v>
      </c>
      <c r="B300" s="5">
        <v>38</v>
      </c>
      <c r="C300" s="4" t="s">
        <v>23</v>
      </c>
      <c r="D300" s="4" t="s">
        <v>41</v>
      </c>
      <c r="E300" s="4" t="s">
        <v>45</v>
      </c>
      <c r="F300" s="4" t="s">
        <v>26</v>
      </c>
      <c r="G300" s="6">
        <v>18200</v>
      </c>
      <c r="H300" s="5">
        <v>9</v>
      </c>
      <c r="I300" s="7">
        <v>42974</v>
      </c>
      <c r="J300" s="4" t="s">
        <v>49</v>
      </c>
      <c r="K300" s="5">
        <v>1</v>
      </c>
      <c r="L300" s="6">
        <v>9609.23</v>
      </c>
      <c r="M300" s="6">
        <v>15643.98</v>
      </c>
      <c r="N300" s="5">
        <v>19</v>
      </c>
      <c r="O300" s="6">
        <v>46.59</v>
      </c>
      <c r="P300" s="5">
        <v>4</v>
      </c>
      <c r="Q300" s="6">
        <v>4000</v>
      </c>
      <c r="R300" s="6">
        <v>449.22</v>
      </c>
      <c r="S300" s="6">
        <v>0</v>
      </c>
      <c r="T300" s="6">
        <v>0</v>
      </c>
      <c r="U300" s="5">
        <v>571</v>
      </c>
      <c r="V300" s="5">
        <v>1</v>
      </c>
    </row>
    <row r="301" spans="1:22" x14ac:dyDescent="0.25">
      <c r="A301" s="4" t="s">
        <v>364</v>
      </c>
      <c r="B301" s="5">
        <v>27</v>
      </c>
      <c r="C301" s="4" t="s">
        <v>23</v>
      </c>
      <c r="D301" s="4" t="s">
        <v>37</v>
      </c>
      <c r="E301" s="4" t="s">
        <v>67</v>
      </c>
      <c r="F301" s="4" t="s">
        <v>30</v>
      </c>
      <c r="G301" s="6">
        <v>4300</v>
      </c>
      <c r="H301" s="5">
        <v>5</v>
      </c>
      <c r="I301" s="7">
        <v>44204</v>
      </c>
      <c r="J301" s="4" t="s">
        <v>27</v>
      </c>
      <c r="K301" s="5">
        <v>2</v>
      </c>
      <c r="L301" s="6">
        <v>210.76</v>
      </c>
      <c r="M301" s="6">
        <v>806.12</v>
      </c>
      <c r="N301" s="5">
        <v>16</v>
      </c>
      <c r="O301" s="6">
        <v>59.41</v>
      </c>
      <c r="P301" s="5">
        <v>4</v>
      </c>
      <c r="Q301" s="6">
        <v>1000</v>
      </c>
      <c r="R301" s="6">
        <v>44.81</v>
      </c>
      <c r="S301" s="6">
        <v>0</v>
      </c>
      <c r="T301" s="6">
        <v>0</v>
      </c>
      <c r="U301" s="5">
        <v>507</v>
      </c>
      <c r="V301" s="5">
        <v>1</v>
      </c>
    </row>
    <row r="302" spans="1:22" x14ac:dyDescent="0.25">
      <c r="A302" s="4" t="s">
        <v>365</v>
      </c>
      <c r="B302" s="5">
        <v>58</v>
      </c>
      <c r="C302" s="4" t="s">
        <v>33</v>
      </c>
      <c r="D302" s="4" t="s">
        <v>59</v>
      </c>
      <c r="E302" s="4" t="s">
        <v>25</v>
      </c>
      <c r="F302" s="4" t="s">
        <v>30</v>
      </c>
      <c r="G302" s="6">
        <v>32200</v>
      </c>
      <c r="H302" s="5">
        <v>0</v>
      </c>
      <c r="I302" s="7">
        <v>46827</v>
      </c>
      <c r="J302" s="4" t="s">
        <v>39</v>
      </c>
      <c r="K302" s="5">
        <v>3</v>
      </c>
      <c r="L302" s="6">
        <v>839.22</v>
      </c>
      <c r="M302" s="6">
        <v>0</v>
      </c>
      <c r="N302" s="5">
        <v>19</v>
      </c>
      <c r="O302" s="6">
        <v>39.950000000000003</v>
      </c>
      <c r="P302" s="5">
        <v>1</v>
      </c>
      <c r="Q302" s="6">
        <v>4000</v>
      </c>
      <c r="R302" s="6">
        <v>1903.97</v>
      </c>
      <c r="S302" s="6">
        <v>0</v>
      </c>
      <c r="T302" s="6">
        <v>0</v>
      </c>
      <c r="U302" s="5">
        <v>553</v>
      </c>
      <c r="V302" s="5">
        <v>3</v>
      </c>
    </row>
    <row r="303" spans="1:22" x14ac:dyDescent="0.25">
      <c r="A303" s="4" t="s">
        <v>366</v>
      </c>
      <c r="B303" s="5">
        <v>26</v>
      </c>
      <c r="C303" s="4" t="s">
        <v>33</v>
      </c>
      <c r="D303" s="4" t="s">
        <v>34</v>
      </c>
      <c r="E303" s="4" t="s">
        <v>63</v>
      </c>
      <c r="F303" s="4" t="s">
        <v>26</v>
      </c>
      <c r="G303" s="6">
        <v>21200</v>
      </c>
      <c r="H303" s="5">
        <v>4</v>
      </c>
      <c r="I303" s="7">
        <v>44513</v>
      </c>
      <c r="J303" s="4" t="s">
        <v>27</v>
      </c>
      <c r="K303" s="5">
        <v>2</v>
      </c>
      <c r="L303" s="6">
        <v>1061.3900000000001</v>
      </c>
      <c r="M303" s="6">
        <v>0</v>
      </c>
      <c r="N303" s="5">
        <v>27</v>
      </c>
      <c r="O303" s="6">
        <v>30.76</v>
      </c>
      <c r="P303" s="5">
        <v>3</v>
      </c>
      <c r="Q303" s="6">
        <v>4000</v>
      </c>
      <c r="R303" s="6">
        <v>820.85</v>
      </c>
      <c r="S303" s="6">
        <v>95000</v>
      </c>
      <c r="T303" s="6">
        <v>477</v>
      </c>
      <c r="U303" s="5">
        <v>602</v>
      </c>
      <c r="V303" s="5">
        <v>0</v>
      </c>
    </row>
    <row r="304" spans="1:22" x14ac:dyDescent="0.25">
      <c r="A304" s="4" t="s">
        <v>367</v>
      </c>
      <c r="B304" s="5">
        <v>53</v>
      </c>
      <c r="C304" s="4" t="s">
        <v>33</v>
      </c>
      <c r="D304" s="4" t="s">
        <v>34</v>
      </c>
      <c r="E304" s="4" t="s">
        <v>35</v>
      </c>
      <c r="F304" s="4" t="s">
        <v>26</v>
      </c>
      <c r="G304" s="6">
        <v>62900</v>
      </c>
      <c r="H304" s="5">
        <v>10</v>
      </c>
      <c r="I304" s="7">
        <v>42269</v>
      </c>
      <c r="J304" s="4" t="s">
        <v>31</v>
      </c>
      <c r="K304" s="5">
        <v>2</v>
      </c>
      <c r="L304" s="6">
        <v>4428.4399999999996</v>
      </c>
      <c r="M304" s="6">
        <v>109253.08</v>
      </c>
      <c r="N304" s="5">
        <v>33</v>
      </c>
      <c r="O304" s="6">
        <v>73.95</v>
      </c>
      <c r="P304" s="5">
        <v>3</v>
      </c>
      <c r="Q304" s="6">
        <v>10000</v>
      </c>
      <c r="R304" s="6">
        <v>4252.18</v>
      </c>
      <c r="S304" s="6">
        <v>0</v>
      </c>
      <c r="T304" s="6">
        <v>0</v>
      </c>
      <c r="U304" s="5">
        <v>686</v>
      </c>
      <c r="V304" s="5">
        <v>0</v>
      </c>
    </row>
    <row r="305" spans="1:22" x14ac:dyDescent="0.25">
      <c r="A305" s="4" t="s">
        <v>368</v>
      </c>
      <c r="B305" s="5">
        <v>69</v>
      </c>
      <c r="C305" s="4" t="s">
        <v>23</v>
      </c>
      <c r="D305" s="4" t="s">
        <v>34</v>
      </c>
      <c r="E305" s="4" t="s">
        <v>95</v>
      </c>
      <c r="F305" s="4" t="s">
        <v>30</v>
      </c>
      <c r="G305" s="6">
        <v>23000</v>
      </c>
      <c r="H305" s="5">
        <v>3</v>
      </c>
      <c r="I305" s="7">
        <v>44820</v>
      </c>
      <c r="J305" s="4" t="s">
        <v>39</v>
      </c>
      <c r="K305" s="5">
        <v>2</v>
      </c>
      <c r="L305" s="6">
        <v>3782.25</v>
      </c>
      <c r="M305" s="6">
        <v>3986.55</v>
      </c>
      <c r="N305" s="5">
        <v>13</v>
      </c>
      <c r="O305" s="6">
        <v>55.28</v>
      </c>
      <c r="P305" s="5">
        <v>7</v>
      </c>
      <c r="Q305" s="6">
        <v>0</v>
      </c>
      <c r="R305" s="6">
        <v>0</v>
      </c>
      <c r="S305" s="6">
        <v>0</v>
      </c>
      <c r="T305" s="6">
        <v>0</v>
      </c>
      <c r="U305" s="5">
        <v>640</v>
      </c>
      <c r="V305" s="5">
        <v>0</v>
      </c>
    </row>
    <row r="306" spans="1:22" x14ac:dyDescent="0.25">
      <c r="A306" s="4" t="s">
        <v>369</v>
      </c>
      <c r="B306" s="5">
        <v>32</v>
      </c>
      <c r="C306" s="4" t="s">
        <v>33</v>
      </c>
      <c r="D306" s="4" t="s">
        <v>44</v>
      </c>
      <c r="E306" s="4" t="s">
        <v>42</v>
      </c>
      <c r="F306" s="4" t="s">
        <v>30</v>
      </c>
      <c r="G306" s="6">
        <v>46700</v>
      </c>
      <c r="H306" s="5">
        <v>1</v>
      </c>
      <c r="I306" s="7">
        <v>45557</v>
      </c>
      <c r="J306" s="4" t="s">
        <v>27</v>
      </c>
      <c r="K306" s="5">
        <v>2</v>
      </c>
      <c r="L306" s="6">
        <v>1360.91</v>
      </c>
      <c r="M306" s="6">
        <v>0</v>
      </c>
      <c r="N306" s="5">
        <v>32</v>
      </c>
      <c r="O306" s="6">
        <v>104.63</v>
      </c>
      <c r="P306" s="5">
        <v>3</v>
      </c>
      <c r="Q306" s="6">
        <v>5500</v>
      </c>
      <c r="R306" s="6">
        <v>2949.52</v>
      </c>
      <c r="S306" s="6">
        <v>0</v>
      </c>
      <c r="T306" s="6">
        <v>0</v>
      </c>
      <c r="U306" s="5">
        <v>672</v>
      </c>
      <c r="V306" s="5">
        <v>0</v>
      </c>
    </row>
    <row r="307" spans="1:22" x14ac:dyDescent="0.25">
      <c r="A307" s="4" t="s">
        <v>370</v>
      </c>
      <c r="B307" s="5">
        <v>51</v>
      </c>
      <c r="C307" s="4" t="s">
        <v>23</v>
      </c>
      <c r="D307" s="4" t="s">
        <v>108</v>
      </c>
      <c r="E307" s="4" t="s">
        <v>67</v>
      </c>
      <c r="F307" s="4" t="s">
        <v>30</v>
      </c>
      <c r="G307" s="6">
        <v>2700</v>
      </c>
      <c r="H307" s="5">
        <v>13</v>
      </c>
      <c r="I307" s="7">
        <v>41224</v>
      </c>
      <c r="J307" s="4" t="s">
        <v>31</v>
      </c>
      <c r="K307" s="5">
        <v>1</v>
      </c>
      <c r="L307" s="6">
        <v>513.02</v>
      </c>
      <c r="M307" s="6">
        <v>2160.27</v>
      </c>
      <c r="N307" s="5">
        <v>25</v>
      </c>
      <c r="O307" s="6">
        <v>46.78</v>
      </c>
      <c r="P307" s="5">
        <v>0</v>
      </c>
      <c r="Q307" s="6">
        <v>500</v>
      </c>
      <c r="R307" s="6">
        <v>219.95</v>
      </c>
      <c r="S307" s="6">
        <v>15000</v>
      </c>
      <c r="T307" s="6">
        <v>108</v>
      </c>
      <c r="U307" s="5">
        <v>471</v>
      </c>
      <c r="V307" s="5">
        <v>0</v>
      </c>
    </row>
    <row r="308" spans="1:22" x14ac:dyDescent="0.25">
      <c r="A308" s="4" t="s">
        <v>371</v>
      </c>
      <c r="B308" s="5">
        <v>25</v>
      </c>
      <c r="C308" s="4" t="s">
        <v>33</v>
      </c>
      <c r="D308" s="4" t="s">
        <v>34</v>
      </c>
      <c r="E308" s="4" t="s">
        <v>67</v>
      </c>
      <c r="F308" s="4" t="s">
        <v>26</v>
      </c>
      <c r="G308" s="6">
        <v>3700</v>
      </c>
      <c r="H308" s="5">
        <v>1</v>
      </c>
      <c r="I308" s="7">
        <v>45551</v>
      </c>
      <c r="J308" s="4" t="s">
        <v>49</v>
      </c>
      <c r="K308" s="5">
        <v>2</v>
      </c>
      <c r="L308" s="6">
        <v>838.99</v>
      </c>
      <c r="M308" s="6">
        <v>0</v>
      </c>
      <c r="N308" s="5">
        <v>11</v>
      </c>
      <c r="O308" s="6">
        <v>43.65</v>
      </c>
      <c r="P308" s="5">
        <v>6</v>
      </c>
      <c r="Q308" s="6">
        <v>1000</v>
      </c>
      <c r="R308" s="6">
        <v>213.81</v>
      </c>
      <c r="S308" s="6">
        <v>0</v>
      </c>
      <c r="T308" s="6">
        <v>0</v>
      </c>
      <c r="U308" s="5">
        <v>467</v>
      </c>
      <c r="V308" s="5">
        <v>0</v>
      </c>
    </row>
    <row r="309" spans="1:22" x14ac:dyDescent="0.25">
      <c r="A309" s="4" t="s">
        <v>372</v>
      </c>
      <c r="B309" s="5">
        <v>53</v>
      </c>
      <c r="C309" s="4" t="s">
        <v>23</v>
      </c>
      <c r="D309" s="4" t="s">
        <v>34</v>
      </c>
      <c r="E309" s="4" t="s">
        <v>35</v>
      </c>
      <c r="F309" s="4" t="s">
        <v>30</v>
      </c>
      <c r="G309" s="6">
        <v>35000</v>
      </c>
      <c r="H309" s="5">
        <v>7</v>
      </c>
      <c r="I309" s="7">
        <v>43407</v>
      </c>
      <c r="J309" s="4" t="s">
        <v>27</v>
      </c>
      <c r="K309" s="5">
        <v>2</v>
      </c>
      <c r="L309" s="6">
        <v>3978.59</v>
      </c>
      <c r="M309" s="6">
        <v>20387.14</v>
      </c>
      <c r="N309" s="5">
        <v>36</v>
      </c>
      <c r="O309" s="6">
        <v>30.33</v>
      </c>
      <c r="P309" s="5">
        <v>5</v>
      </c>
      <c r="Q309" s="6">
        <v>0</v>
      </c>
      <c r="R309" s="6">
        <v>0</v>
      </c>
      <c r="S309" s="6">
        <v>0</v>
      </c>
      <c r="T309" s="6">
        <v>0</v>
      </c>
      <c r="U309" s="5">
        <v>681</v>
      </c>
      <c r="V309" s="5">
        <v>0</v>
      </c>
    </row>
    <row r="310" spans="1:22" x14ac:dyDescent="0.25">
      <c r="A310" s="4" t="s">
        <v>373</v>
      </c>
      <c r="B310" s="5">
        <v>37</v>
      </c>
      <c r="C310" s="4" t="s">
        <v>33</v>
      </c>
      <c r="D310" s="4" t="s">
        <v>134</v>
      </c>
      <c r="E310" s="4" t="s">
        <v>25</v>
      </c>
      <c r="F310" s="4" t="s">
        <v>30</v>
      </c>
      <c r="G310" s="6">
        <v>22000</v>
      </c>
      <c r="H310" s="5">
        <v>11</v>
      </c>
      <c r="I310" s="7">
        <v>41985</v>
      </c>
      <c r="J310" s="4" t="s">
        <v>49</v>
      </c>
      <c r="K310" s="5">
        <v>1</v>
      </c>
      <c r="L310" s="6">
        <v>9505.06</v>
      </c>
      <c r="M310" s="6">
        <v>11691.15</v>
      </c>
      <c r="N310" s="5">
        <v>20</v>
      </c>
      <c r="O310" s="6">
        <v>24.52</v>
      </c>
      <c r="P310" s="5">
        <v>2</v>
      </c>
      <c r="Q310" s="6">
        <v>4500</v>
      </c>
      <c r="R310" s="6">
        <v>890.45</v>
      </c>
      <c r="S310" s="6">
        <v>34000</v>
      </c>
      <c r="T310" s="6">
        <v>249</v>
      </c>
      <c r="U310" s="5">
        <v>653</v>
      </c>
      <c r="V310" s="5">
        <v>0</v>
      </c>
    </row>
    <row r="311" spans="1:22" x14ac:dyDescent="0.25">
      <c r="A311" s="4" t="s">
        <v>374</v>
      </c>
      <c r="B311" s="5">
        <v>85</v>
      </c>
      <c r="C311" s="4" t="s">
        <v>23</v>
      </c>
      <c r="D311" s="4" t="s">
        <v>59</v>
      </c>
      <c r="E311" s="4" t="s">
        <v>95</v>
      </c>
      <c r="F311" s="4" t="s">
        <v>38</v>
      </c>
      <c r="G311" s="6">
        <v>23400</v>
      </c>
      <c r="H311" s="5">
        <v>28</v>
      </c>
      <c r="I311" s="7">
        <v>35829</v>
      </c>
      <c r="J311" s="4" t="s">
        <v>31</v>
      </c>
      <c r="K311" s="5">
        <v>2</v>
      </c>
      <c r="L311" s="6">
        <v>3366.04</v>
      </c>
      <c r="M311" s="6">
        <v>34551.18</v>
      </c>
      <c r="N311" s="5">
        <v>31</v>
      </c>
      <c r="O311" s="6">
        <v>98.64</v>
      </c>
      <c r="P311" s="5">
        <v>2</v>
      </c>
      <c r="Q311" s="6">
        <v>0</v>
      </c>
      <c r="R311" s="6">
        <v>0</v>
      </c>
      <c r="S311" s="6">
        <v>0</v>
      </c>
      <c r="T311" s="6">
        <v>0</v>
      </c>
      <c r="U311" s="5">
        <v>674</v>
      </c>
      <c r="V311" s="5">
        <v>1</v>
      </c>
    </row>
    <row r="312" spans="1:22" x14ac:dyDescent="0.25">
      <c r="A312" s="4" t="s">
        <v>375</v>
      </c>
      <c r="B312" s="5">
        <v>58</v>
      </c>
      <c r="C312" s="4" t="s">
        <v>23</v>
      </c>
      <c r="D312" s="4" t="s">
        <v>37</v>
      </c>
      <c r="E312" s="4" t="s">
        <v>25</v>
      </c>
      <c r="F312" s="4" t="s">
        <v>30</v>
      </c>
      <c r="G312" s="6">
        <v>17300</v>
      </c>
      <c r="H312" s="5">
        <v>30</v>
      </c>
      <c r="I312" s="7">
        <v>35293</v>
      </c>
      <c r="J312" s="4" t="s">
        <v>27</v>
      </c>
      <c r="K312" s="5">
        <v>4</v>
      </c>
      <c r="L312" s="6">
        <v>2171.0100000000002</v>
      </c>
      <c r="M312" s="6">
        <v>0</v>
      </c>
      <c r="N312" s="5">
        <v>22</v>
      </c>
      <c r="O312" s="6">
        <v>39.32</v>
      </c>
      <c r="P312" s="5">
        <v>3</v>
      </c>
      <c r="Q312" s="6">
        <v>2000</v>
      </c>
      <c r="R312" s="6">
        <v>968.22</v>
      </c>
      <c r="S312" s="6">
        <v>57000</v>
      </c>
      <c r="T312" s="6">
        <v>340</v>
      </c>
      <c r="U312" s="5">
        <v>709</v>
      </c>
      <c r="V312" s="5">
        <v>0</v>
      </c>
    </row>
    <row r="313" spans="1:22" x14ac:dyDescent="0.25">
      <c r="A313" s="4" t="s">
        <v>376</v>
      </c>
      <c r="B313" s="5">
        <v>54</v>
      </c>
      <c r="C313" s="4" t="s">
        <v>23</v>
      </c>
      <c r="D313" s="4" t="s">
        <v>98</v>
      </c>
      <c r="E313" s="4" t="s">
        <v>45</v>
      </c>
      <c r="F313" s="4" t="s">
        <v>30</v>
      </c>
      <c r="G313" s="6">
        <v>16000</v>
      </c>
      <c r="H313" s="5">
        <v>21</v>
      </c>
      <c r="I313" s="7">
        <v>38369</v>
      </c>
      <c r="J313" s="4" t="s">
        <v>39</v>
      </c>
      <c r="K313" s="5">
        <v>2</v>
      </c>
      <c r="L313" s="6">
        <v>1134.5999999999999</v>
      </c>
      <c r="M313" s="6">
        <v>780000</v>
      </c>
      <c r="N313" s="5">
        <v>21</v>
      </c>
      <c r="O313" s="6">
        <v>61.58</v>
      </c>
      <c r="P313" s="5">
        <v>9</v>
      </c>
      <c r="Q313" s="6">
        <v>3000</v>
      </c>
      <c r="R313" s="6">
        <v>1500.23</v>
      </c>
      <c r="S313" s="6">
        <v>0</v>
      </c>
      <c r="T313" s="6">
        <v>0</v>
      </c>
      <c r="U313" s="5">
        <v>565</v>
      </c>
      <c r="V313" s="5">
        <v>1</v>
      </c>
    </row>
    <row r="314" spans="1:22" x14ac:dyDescent="0.25">
      <c r="A314" s="4" t="s">
        <v>377</v>
      </c>
      <c r="B314" s="5">
        <v>46</v>
      </c>
      <c r="C314" s="4" t="s">
        <v>33</v>
      </c>
      <c r="D314" s="4" t="s">
        <v>37</v>
      </c>
      <c r="E314" s="4" t="s">
        <v>25</v>
      </c>
      <c r="F314" s="4" t="s">
        <v>30</v>
      </c>
      <c r="G314" s="6">
        <v>60600</v>
      </c>
      <c r="H314" s="5">
        <v>15</v>
      </c>
      <c r="I314" s="7">
        <v>40536</v>
      </c>
      <c r="J314" s="4" t="s">
        <v>49</v>
      </c>
      <c r="K314" s="5">
        <v>1</v>
      </c>
      <c r="L314" s="6">
        <v>3793.98</v>
      </c>
      <c r="M314" s="6">
        <v>117598.05</v>
      </c>
      <c r="N314" s="5">
        <v>30</v>
      </c>
      <c r="O314" s="6">
        <v>52.19</v>
      </c>
      <c r="P314" s="5">
        <v>1</v>
      </c>
      <c r="Q314" s="6">
        <v>14500</v>
      </c>
      <c r="R314" s="6">
        <v>7981.64</v>
      </c>
      <c r="S314" s="6">
        <v>0</v>
      </c>
      <c r="T314" s="6">
        <v>0</v>
      </c>
      <c r="U314" s="5">
        <v>746</v>
      </c>
      <c r="V314" s="5">
        <v>0</v>
      </c>
    </row>
    <row r="315" spans="1:22" x14ac:dyDescent="0.25">
      <c r="A315" s="4" t="s">
        <v>378</v>
      </c>
      <c r="B315" s="5">
        <v>39</v>
      </c>
      <c r="C315" s="4" t="s">
        <v>33</v>
      </c>
      <c r="D315" s="4" t="s">
        <v>37</v>
      </c>
      <c r="E315" s="4" t="s">
        <v>35</v>
      </c>
      <c r="F315" s="4" t="s">
        <v>30</v>
      </c>
      <c r="G315" s="6">
        <v>-999</v>
      </c>
      <c r="H315" s="5">
        <v>4</v>
      </c>
      <c r="I315" s="7">
        <v>44463</v>
      </c>
      <c r="J315" s="4" t="s">
        <v>39</v>
      </c>
      <c r="K315" s="5">
        <v>2</v>
      </c>
      <c r="L315" s="6">
        <v>6541.6</v>
      </c>
      <c r="M315" s="6">
        <v>15542.47</v>
      </c>
      <c r="N315" s="5">
        <v>23</v>
      </c>
      <c r="O315" s="6">
        <v>93.04</v>
      </c>
      <c r="P315" s="5">
        <v>5</v>
      </c>
      <c r="Q315" s="6">
        <v>0</v>
      </c>
      <c r="R315" s="6">
        <v>0</v>
      </c>
      <c r="S315" s="6">
        <v>0</v>
      </c>
      <c r="T315" s="6">
        <v>0</v>
      </c>
      <c r="U315" s="5">
        <v>617</v>
      </c>
      <c r="V315" s="5">
        <v>0</v>
      </c>
    </row>
    <row r="316" spans="1:22" x14ac:dyDescent="0.25">
      <c r="A316" s="4" t="s">
        <v>379</v>
      </c>
      <c r="B316" s="5">
        <v>29</v>
      </c>
      <c r="C316" s="4" t="s">
        <v>23</v>
      </c>
      <c r="D316" s="4" t="s">
        <v>37</v>
      </c>
      <c r="E316" s="4" t="s">
        <v>25</v>
      </c>
      <c r="F316" s="4" t="s">
        <v>30</v>
      </c>
      <c r="G316" s="6">
        <v>25000</v>
      </c>
      <c r="H316" s="5">
        <v>6</v>
      </c>
      <c r="I316" s="7">
        <v>43993</v>
      </c>
      <c r="J316" s="4" t="s">
        <v>31</v>
      </c>
      <c r="K316" s="5">
        <v>1</v>
      </c>
      <c r="L316" s="6">
        <v>2490.4899999999998</v>
      </c>
      <c r="M316" s="6">
        <v>0</v>
      </c>
      <c r="N316" s="5">
        <v>26</v>
      </c>
      <c r="O316" s="6">
        <v>31.57</v>
      </c>
      <c r="P316" s="5">
        <v>1</v>
      </c>
      <c r="Q316" s="6">
        <v>5000</v>
      </c>
      <c r="R316" s="6">
        <v>2057.16</v>
      </c>
      <c r="S316" s="6">
        <v>0</v>
      </c>
      <c r="T316" s="6">
        <v>0</v>
      </c>
      <c r="U316" s="5">
        <v>566</v>
      </c>
      <c r="V316" s="5">
        <v>1</v>
      </c>
    </row>
    <row r="317" spans="1:22" x14ac:dyDescent="0.25">
      <c r="A317" s="4" t="s">
        <v>380</v>
      </c>
      <c r="B317" s="5">
        <v>38</v>
      </c>
      <c r="C317" s="4" t="s">
        <v>33</v>
      </c>
      <c r="D317" s="4" t="s">
        <v>57</v>
      </c>
      <c r="E317" s="4" t="s">
        <v>35</v>
      </c>
      <c r="F317" s="4" t="s">
        <v>30</v>
      </c>
      <c r="G317" s="6">
        <v>44200</v>
      </c>
      <c r="H317" s="5">
        <v>12</v>
      </c>
      <c r="I317" s="7">
        <v>41559</v>
      </c>
      <c r="J317" s="4" t="s">
        <v>27</v>
      </c>
      <c r="K317" s="5">
        <v>3</v>
      </c>
      <c r="L317" s="6">
        <v>3330.03</v>
      </c>
      <c r="M317" s="6">
        <v>47966.74</v>
      </c>
      <c r="N317" s="5">
        <v>28</v>
      </c>
      <c r="O317" s="6">
        <v>62.05</v>
      </c>
      <c r="P317" s="5">
        <v>1</v>
      </c>
      <c r="Q317" s="6">
        <v>9500</v>
      </c>
      <c r="R317" s="6">
        <v>1901.11</v>
      </c>
      <c r="S317" s="6">
        <v>0</v>
      </c>
      <c r="T317" s="6">
        <v>0</v>
      </c>
      <c r="U317" s="5">
        <v>620</v>
      </c>
      <c r="V317" s="5">
        <v>0</v>
      </c>
    </row>
    <row r="318" spans="1:22" x14ac:dyDescent="0.25">
      <c r="A318" s="4" t="s">
        <v>381</v>
      </c>
      <c r="B318" s="5">
        <v>46</v>
      </c>
      <c r="C318" s="4" t="s">
        <v>23</v>
      </c>
      <c r="D318" s="4" t="s">
        <v>98</v>
      </c>
      <c r="E318" s="4" t="s">
        <v>90</v>
      </c>
      <c r="F318" s="4" t="s">
        <v>30</v>
      </c>
      <c r="G318" s="6">
        <v>70800</v>
      </c>
      <c r="H318" s="5">
        <v>6</v>
      </c>
      <c r="I318" s="7">
        <v>43844</v>
      </c>
      <c r="J318" s="4" t="s">
        <v>27</v>
      </c>
      <c r="K318" s="5">
        <v>2</v>
      </c>
      <c r="L318" s="6">
        <v>6320.94</v>
      </c>
      <c r="M318" s="6">
        <v>0</v>
      </c>
      <c r="N318" s="5">
        <v>39</v>
      </c>
      <c r="O318" s="6">
        <v>63.84</v>
      </c>
      <c r="P318" s="5">
        <v>3</v>
      </c>
      <c r="Q318" s="6">
        <v>0</v>
      </c>
      <c r="R318" s="6">
        <v>0</v>
      </c>
      <c r="S318" s="6">
        <v>0</v>
      </c>
      <c r="T318" s="6">
        <v>0</v>
      </c>
      <c r="U318" s="5">
        <v>713</v>
      </c>
      <c r="V318" s="5">
        <v>0</v>
      </c>
    </row>
    <row r="319" spans="1:22" x14ac:dyDescent="0.25">
      <c r="A319" s="4" t="s">
        <v>382</v>
      </c>
      <c r="B319" s="5">
        <v>28</v>
      </c>
      <c r="C319" s="4" t="s">
        <v>33</v>
      </c>
      <c r="D319" s="4" t="s">
        <v>29</v>
      </c>
      <c r="E319" s="4" t="s">
        <v>54</v>
      </c>
      <c r="F319" s="4" t="s">
        <v>26</v>
      </c>
      <c r="G319" s="6">
        <v>21100</v>
      </c>
      <c r="H319" s="5">
        <v>6</v>
      </c>
      <c r="I319" s="7">
        <v>44012</v>
      </c>
      <c r="J319" s="4" t="s">
        <v>27</v>
      </c>
      <c r="K319" s="5">
        <v>1</v>
      </c>
      <c r="L319" s="6">
        <v>2342.5</v>
      </c>
      <c r="M319" s="6">
        <v>20472.939999999999</v>
      </c>
      <c r="N319" s="5">
        <v>32</v>
      </c>
      <c r="O319" s="6">
        <v>38.57</v>
      </c>
      <c r="P319" s="5">
        <v>2</v>
      </c>
      <c r="Q319" s="6">
        <v>5000</v>
      </c>
      <c r="R319" s="6">
        <v>2371.42</v>
      </c>
      <c r="S319" s="6">
        <v>0</v>
      </c>
      <c r="T319" s="6">
        <v>0</v>
      </c>
      <c r="U319" s="5">
        <v>605</v>
      </c>
      <c r="V319" s="5">
        <v>0</v>
      </c>
    </row>
    <row r="320" spans="1:22" x14ac:dyDescent="0.25">
      <c r="A320" s="4" t="s">
        <v>383</v>
      </c>
      <c r="B320" s="5">
        <v>64</v>
      </c>
      <c r="C320" s="4" t="s">
        <v>33</v>
      </c>
      <c r="D320" s="4" t="s">
        <v>24</v>
      </c>
      <c r="E320" s="4" t="s">
        <v>35</v>
      </c>
      <c r="F320" s="4" t="s">
        <v>26</v>
      </c>
      <c r="G320" s="6">
        <v>103800</v>
      </c>
      <c r="H320" s="5">
        <v>12</v>
      </c>
      <c r="I320" s="7">
        <v>41834</v>
      </c>
      <c r="J320" s="4" t="s">
        <v>27</v>
      </c>
      <c r="K320" s="5">
        <v>3</v>
      </c>
      <c r="L320" s="6">
        <v>2689.46</v>
      </c>
      <c r="M320" s="6">
        <v>52925.5</v>
      </c>
      <c r="N320" s="5">
        <v>60</v>
      </c>
      <c r="O320" s="6">
        <v>121.86</v>
      </c>
      <c r="P320" s="5">
        <v>3</v>
      </c>
      <c r="Q320" s="6">
        <v>15000</v>
      </c>
      <c r="R320" s="6">
        <v>1969.47</v>
      </c>
      <c r="S320" s="6">
        <v>0</v>
      </c>
      <c r="T320" s="6">
        <v>0</v>
      </c>
      <c r="U320" s="5">
        <v>674</v>
      </c>
      <c r="V320" s="5">
        <v>0</v>
      </c>
    </row>
    <row r="321" spans="1:22" x14ac:dyDescent="0.25">
      <c r="A321" s="4" t="s">
        <v>384</v>
      </c>
      <c r="B321" s="5">
        <v>54</v>
      </c>
      <c r="C321" s="4" t="s">
        <v>33</v>
      </c>
      <c r="D321" s="4" t="s">
        <v>75</v>
      </c>
      <c r="E321" s="4" t="s">
        <v>67</v>
      </c>
      <c r="F321" s="4" t="s">
        <v>30</v>
      </c>
      <c r="G321" s="6">
        <v>4100</v>
      </c>
      <c r="H321" s="5">
        <v>22</v>
      </c>
      <c r="I321" s="7">
        <v>38030</v>
      </c>
      <c r="J321" s="4" t="s">
        <v>31</v>
      </c>
      <c r="K321" s="5">
        <v>4</v>
      </c>
      <c r="L321" s="6">
        <v>174.49</v>
      </c>
      <c r="M321" s="6">
        <v>5382.48</v>
      </c>
      <c r="N321" s="5">
        <v>28</v>
      </c>
      <c r="O321" s="6">
        <v>57.76</v>
      </c>
      <c r="P321" s="5">
        <v>2</v>
      </c>
      <c r="Q321" s="6">
        <v>1000</v>
      </c>
      <c r="R321" s="6">
        <v>195.48</v>
      </c>
      <c r="S321" s="6">
        <v>0</v>
      </c>
      <c r="T321" s="6">
        <v>0</v>
      </c>
      <c r="U321" s="5">
        <v>572</v>
      </c>
      <c r="V321" s="5">
        <v>0</v>
      </c>
    </row>
    <row r="322" spans="1:22" x14ac:dyDescent="0.25">
      <c r="A322" s="4" t="s">
        <v>385</v>
      </c>
      <c r="B322" s="5">
        <v>47</v>
      </c>
      <c r="C322" s="4" t="s">
        <v>23</v>
      </c>
      <c r="D322" s="4" t="s">
        <v>24</v>
      </c>
      <c r="E322" s="4" t="s">
        <v>45</v>
      </c>
      <c r="F322" s="4" t="s">
        <v>26</v>
      </c>
      <c r="G322" s="6">
        <v>28600</v>
      </c>
      <c r="H322" s="5">
        <v>10</v>
      </c>
      <c r="I322" s="7">
        <v>42586</v>
      </c>
      <c r="J322" s="4" t="s">
        <v>27</v>
      </c>
      <c r="K322" s="5">
        <v>2</v>
      </c>
      <c r="L322" s="6">
        <v>1365.62</v>
      </c>
      <c r="M322" s="6">
        <v>28514.2</v>
      </c>
      <c r="N322" s="5">
        <v>29</v>
      </c>
      <c r="O322" s="6">
        <v>36.46</v>
      </c>
      <c r="P322" s="5">
        <v>5</v>
      </c>
      <c r="Q322" s="6">
        <v>6000</v>
      </c>
      <c r="R322" s="6">
        <v>823.18</v>
      </c>
      <c r="S322" s="6">
        <v>0</v>
      </c>
      <c r="T322" s="6">
        <v>0</v>
      </c>
      <c r="U322" s="5">
        <v>599</v>
      </c>
      <c r="V322" s="5">
        <v>0</v>
      </c>
    </row>
    <row r="323" spans="1:22" x14ac:dyDescent="0.25">
      <c r="A323" s="4" t="s">
        <v>386</v>
      </c>
      <c r="B323" s="5">
        <v>66</v>
      </c>
      <c r="C323" s="4" t="s">
        <v>23</v>
      </c>
      <c r="D323" s="4" t="s">
        <v>59</v>
      </c>
      <c r="E323" s="4" t="s">
        <v>95</v>
      </c>
      <c r="F323" s="4" t="s">
        <v>30</v>
      </c>
      <c r="G323" s="6">
        <v>23300</v>
      </c>
      <c r="H323" s="5">
        <v>17</v>
      </c>
      <c r="I323" s="7">
        <v>39956</v>
      </c>
      <c r="J323" s="4" t="s">
        <v>39</v>
      </c>
      <c r="K323" s="5">
        <v>3</v>
      </c>
      <c r="L323" s="6">
        <v>2849.39</v>
      </c>
      <c r="M323" s="6">
        <v>36637.46</v>
      </c>
      <c r="N323" s="5">
        <v>19</v>
      </c>
      <c r="O323" s="6">
        <v>38.49</v>
      </c>
      <c r="P323" s="5">
        <v>3</v>
      </c>
      <c r="Q323" s="6">
        <v>5000</v>
      </c>
      <c r="R323" s="6">
        <v>1605.53</v>
      </c>
      <c r="S323" s="6">
        <v>0</v>
      </c>
      <c r="T323" s="6">
        <v>0</v>
      </c>
      <c r="U323" s="5">
        <v>626</v>
      </c>
      <c r="V323" s="5">
        <v>0</v>
      </c>
    </row>
    <row r="324" spans="1:22" x14ac:dyDescent="0.25">
      <c r="A324" s="4" t="s">
        <v>387</v>
      </c>
      <c r="B324" s="5">
        <v>40</v>
      </c>
      <c r="C324" s="4" t="s">
        <v>23</v>
      </c>
      <c r="D324" s="4" t="s">
        <v>59</v>
      </c>
      <c r="E324" s="4" t="s">
        <v>388</v>
      </c>
      <c r="F324" s="4" t="s">
        <v>26</v>
      </c>
      <c r="G324" s="6">
        <v>20500</v>
      </c>
      <c r="H324" s="5">
        <v>7</v>
      </c>
      <c r="I324" s="7">
        <v>43364</v>
      </c>
      <c r="J324" s="4" t="s">
        <v>49</v>
      </c>
      <c r="K324" s="5">
        <v>2</v>
      </c>
      <c r="L324" s="6">
        <v>1855.98</v>
      </c>
      <c r="M324" s="6">
        <v>14511.02</v>
      </c>
      <c r="N324" s="5">
        <v>20</v>
      </c>
      <c r="O324" s="6">
        <v>38.68</v>
      </c>
      <c r="P324" s="5">
        <v>1</v>
      </c>
      <c r="Q324" s="6">
        <v>4500</v>
      </c>
      <c r="R324" s="6">
        <v>313.38</v>
      </c>
      <c r="S324" s="6">
        <v>0</v>
      </c>
      <c r="T324" s="6">
        <v>0</v>
      </c>
      <c r="U324" s="5">
        <v>675</v>
      </c>
      <c r="V324" s="5">
        <v>0</v>
      </c>
    </row>
    <row r="325" spans="1:22" x14ac:dyDescent="0.25">
      <c r="A325" s="4" t="s">
        <v>389</v>
      </c>
      <c r="B325" s="5">
        <v>58</v>
      </c>
      <c r="C325" s="4" t="s">
        <v>33</v>
      </c>
      <c r="D325" s="4" t="s">
        <v>41</v>
      </c>
      <c r="E325" s="4" t="s">
        <v>45</v>
      </c>
      <c r="F325" s="4" t="s">
        <v>48</v>
      </c>
      <c r="G325" s="6">
        <v>17500</v>
      </c>
      <c r="H325" s="5">
        <v>35</v>
      </c>
      <c r="I325" s="7">
        <v>33450</v>
      </c>
      <c r="J325" s="4" t="s">
        <v>39</v>
      </c>
      <c r="K325" s="5">
        <v>4</v>
      </c>
      <c r="L325" s="6">
        <v>7234.5</v>
      </c>
      <c r="M325" s="6">
        <v>0</v>
      </c>
      <c r="N325" s="5">
        <v>19</v>
      </c>
      <c r="O325" s="6">
        <v>28</v>
      </c>
      <c r="P325" s="5">
        <v>5</v>
      </c>
      <c r="Q325" s="6">
        <v>2000</v>
      </c>
      <c r="R325" s="6">
        <v>680.11</v>
      </c>
      <c r="S325" s="6">
        <v>0</v>
      </c>
      <c r="T325" s="6">
        <v>0</v>
      </c>
      <c r="U325" s="5">
        <v>783</v>
      </c>
      <c r="V325" s="5">
        <v>0</v>
      </c>
    </row>
    <row r="326" spans="1:22" x14ac:dyDescent="0.25">
      <c r="A326" s="4" t="s">
        <v>390</v>
      </c>
      <c r="B326" s="5">
        <v>51</v>
      </c>
      <c r="C326" s="4" t="s">
        <v>33</v>
      </c>
      <c r="D326" s="4" t="s">
        <v>62</v>
      </c>
      <c r="E326" s="4" t="s">
        <v>45</v>
      </c>
      <c r="F326" s="4" t="s">
        <v>30</v>
      </c>
      <c r="G326" s="6">
        <v>17400</v>
      </c>
      <c r="H326" s="5">
        <v>28</v>
      </c>
      <c r="I326" s="7">
        <v>35693</v>
      </c>
      <c r="J326" s="4" t="s">
        <v>27</v>
      </c>
      <c r="K326" s="5">
        <v>3</v>
      </c>
      <c r="L326" s="6">
        <v>1271.02</v>
      </c>
      <c r="M326" s="6">
        <v>0</v>
      </c>
      <c r="N326" s="5">
        <v>21</v>
      </c>
      <c r="O326" s="6">
        <v>61.46</v>
      </c>
      <c r="P326" s="5">
        <v>3</v>
      </c>
      <c r="Q326" s="6">
        <v>2000</v>
      </c>
      <c r="R326" s="6">
        <v>827.17</v>
      </c>
      <c r="S326" s="6">
        <v>0</v>
      </c>
      <c r="T326" s="6">
        <v>0</v>
      </c>
      <c r="U326" s="5">
        <v>682</v>
      </c>
      <c r="V326" s="5">
        <v>0</v>
      </c>
    </row>
    <row r="327" spans="1:22" x14ac:dyDescent="0.25">
      <c r="A327" s="4" t="s">
        <v>391</v>
      </c>
      <c r="B327" s="5">
        <v>51</v>
      </c>
      <c r="C327" s="4" t="s">
        <v>23</v>
      </c>
      <c r="D327" s="4" t="s">
        <v>70</v>
      </c>
      <c r="E327" s="4" t="s">
        <v>63</v>
      </c>
      <c r="F327" s="4" t="s">
        <v>30</v>
      </c>
      <c r="G327" s="6"/>
      <c r="H327" s="5">
        <v>15</v>
      </c>
      <c r="I327" s="7">
        <v>40599</v>
      </c>
      <c r="J327" s="4" t="s">
        <v>31</v>
      </c>
      <c r="K327" s="5">
        <v>6</v>
      </c>
      <c r="L327" s="6">
        <v>2011.14</v>
      </c>
      <c r="M327" s="6">
        <v>12379.47</v>
      </c>
      <c r="N327" s="5">
        <v>32</v>
      </c>
      <c r="O327" s="6">
        <v>73.22</v>
      </c>
      <c r="P327" s="5">
        <v>1</v>
      </c>
      <c r="Q327" s="6">
        <v>5000</v>
      </c>
      <c r="R327" s="6">
        <v>646.39</v>
      </c>
      <c r="S327" s="6">
        <v>100000</v>
      </c>
      <c r="T327" s="6">
        <v>601</v>
      </c>
      <c r="U327" s="5">
        <v>660</v>
      </c>
      <c r="V327" s="5">
        <v>0</v>
      </c>
    </row>
    <row r="328" spans="1:22" x14ac:dyDescent="0.25">
      <c r="A328" s="4" t="s">
        <v>392</v>
      </c>
      <c r="B328" s="5">
        <v>61</v>
      </c>
      <c r="C328" s="4" t="s">
        <v>23</v>
      </c>
      <c r="D328" s="4" t="s">
        <v>24</v>
      </c>
      <c r="E328" s="4" t="s">
        <v>25</v>
      </c>
      <c r="F328" s="4" t="s">
        <v>48</v>
      </c>
      <c r="G328" s="6">
        <v>58600</v>
      </c>
      <c r="H328" s="5">
        <v>31</v>
      </c>
      <c r="I328" s="7">
        <v>34929</v>
      </c>
      <c r="J328" s="4" t="s">
        <v>27</v>
      </c>
      <c r="K328" s="5">
        <v>2</v>
      </c>
      <c r="L328" s="6">
        <v>3993.46</v>
      </c>
      <c r="M328" s="6">
        <v>99658.82</v>
      </c>
      <c r="N328" s="5">
        <v>43</v>
      </c>
      <c r="O328" s="6">
        <v>86.75</v>
      </c>
      <c r="P328" s="5">
        <v>3</v>
      </c>
      <c r="Q328" s="6">
        <v>0</v>
      </c>
      <c r="R328" s="6">
        <v>0</v>
      </c>
      <c r="S328" s="6">
        <v>247000</v>
      </c>
      <c r="T328" s="6">
        <v>1674</v>
      </c>
      <c r="U328" s="5">
        <v>654</v>
      </c>
      <c r="V328" s="5">
        <v>0</v>
      </c>
    </row>
    <row r="329" spans="1:22" x14ac:dyDescent="0.25">
      <c r="A329" s="4" t="s">
        <v>393</v>
      </c>
      <c r="B329" s="5">
        <v>34</v>
      </c>
      <c r="C329" s="4" t="s">
        <v>33</v>
      </c>
      <c r="D329" s="4" t="s">
        <v>34</v>
      </c>
      <c r="E329" s="4" t="s">
        <v>25</v>
      </c>
      <c r="F329" s="4" t="s">
        <v>30</v>
      </c>
      <c r="G329" s="6">
        <v>27300</v>
      </c>
      <c r="H329" s="5">
        <v>7</v>
      </c>
      <c r="I329" s="7">
        <v>43566</v>
      </c>
      <c r="J329" s="4" t="s">
        <v>31</v>
      </c>
      <c r="K329" s="5">
        <v>3</v>
      </c>
      <c r="L329" s="6">
        <v>-885.13</v>
      </c>
      <c r="M329" s="6">
        <v>12276.86</v>
      </c>
      <c r="N329" s="5">
        <v>17</v>
      </c>
      <c r="O329" s="6">
        <v>51.08</v>
      </c>
      <c r="P329" s="5">
        <v>0</v>
      </c>
      <c r="Q329" s="6">
        <v>5500</v>
      </c>
      <c r="R329" s="6">
        <v>1032.22</v>
      </c>
      <c r="S329" s="6">
        <v>120000</v>
      </c>
      <c r="T329" s="6">
        <v>775</v>
      </c>
      <c r="U329" s="5">
        <v>625</v>
      </c>
      <c r="V329" s="5">
        <v>0</v>
      </c>
    </row>
    <row r="330" spans="1:22" x14ac:dyDescent="0.25">
      <c r="A330" s="4" t="s">
        <v>394</v>
      </c>
      <c r="B330" s="5">
        <v>50</v>
      </c>
      <c r="C330" s="4" t="s">
        <v>33</v>
      </c>
      <c r="D330" s="4" t="s">
        <v>57</v>
      </c>
      <c r="E330" s="4" t="s">
        <v>25</v>
      </c>
      <c r="F330" s="4" t="s">
        <v>30</v>
      </c>
      <c r="G330" s="6">
        <v>29000</v>
      </c>
      <c r="H330" s="5">
        <v>13</v>
      </c>
      <c r="I330" s="7">
        <v>41412</v>
      </c>
      <c r="J330" s="4" t="s">
        <v>27</v>
      </c>
      <c r="K330" s="5">
        <v>2</v>
      </c>
      <c r="L330" s="6">
        <v>-1057.82</v>
      </c>
      <c r="M330" s="6">
        <v>14123.96</v>
      </c>
      <c r="N330" s="5">
        <v>30</v>
      </c>
      <c r="O330" s="6">
        <v>50.26</v>
      </c>
      <c r="P330" s="5">
        <v>6</v>
      </c>
      <c r="Q330" s="6">
        <v>5000</v>
      </c>
      <c r="R330" s="6">
        <v>974.87</v>
      </c>
      <c r="S330" s="6">
        <v>0</v>
      </c>
      <c r="T330" s="6">
        <v>0</v>
      </c>
      <c r="U330" s="5">
        <v>659</v>
      </c>
      <c r="V330" s="5">
        <v>0</v>
      </c>
    </row>
    <row r="331" spans="1:22" x14ac:dyDescent="0.25">
      <c r="A331" s="4" t="s">
        <v>395</v>
      </c>
      <c r="B331" s="5">
        <v>41</v>
      </c>
      <c r="C331" s="4" t="s">
        <v>33</v>
      </c>
      <c r="D331" s="4" t="s">
        <v>41</v>
      </c>
      <c r="E331" s="4" t="s">
        <v>45</v>
      </c>
      <c r="F331" s="4" t="s">
        <v>30</v>
      </c>
      <c r="G331" s="6">
        <v>31500</v>
      </c>
      <c r="H331" s="5">
        <v>2</v>
      </c>
      <c r="I331" s="7">
        <v>45494</v>
      </c>
      <c r="J331" s="4" t="s">
        <v>27</v>
      </c>
      <c r="K331" s="5">
        <v>1</v>
      </c>
      <c r="L331" s="6">
        <v>3410.51</v>
      </c>
      <c r="M331" s="6">
        <v>0</v>
      </c>
      <c r="N331" s="5">
        <v>27</v>
      </c>
      <c r="O331" s="6">
        <v>50.32</v>
      </c>
      <c r="P331" s="5">
        <v>2</v>
      </c>
      <c r="Q331" s="6">
        <v>4000</v>
      </c>
      <c r="R331" s="6">
        <v>696.38</v>
      </c>
      <c r="S331" s="6">
        <v>0</v>
      </c>
      <c r="T331" s="6">
        <v>0</v>
      </c>
      <c r="U331" s="5">
        <v>638</v>
      </c>
      <c r="V331" s="5">
        <v>1</v>
      </c>
    </row>
    <row r="332" spans="1:22" x14ac:dyDescent="0.25">
      <c r="A332" s="4" t="s">
        <v>396</v>
      </c>
      <c r="B332" s="5">
        <v>39</v>
      </c>
      <c r="C332" s="4" t="s">
        <v>33</v>
      </c>
      <c r="D332" s="4" t="s">
        <v>37</v>
      </c>
      <c r="E332" s="4" t="s">
        <v>45</v>
      </c>
      <c r="F332" s="4" t="s">
        <v>30</v>
      </c>
      <c r="G332" s="6">
        <v>34900</v>
      </c>
      <c r="H332" s="5">
        <v>10</v>
      </c>
      <c r="I332" s="7">
        <v>42435</v>
      </c>
      <c r="J332" s="4" t="s">
        <v>31</v>
      </c>
      <c r="K332" s="5">
        <v>3</v>
      </c>
      <c r="L332" s="6">
        <v>1353.63</v>
      </c>
      <c r="M332" s="6">
        <v>35048.42</v>
      </c>
      <c r="N332" s="5">
        <v>25</v>
      </c>
      <c r="O332" s="6">
        <v>32.549999999999997</v>
      </c>
      <c r="P332" s="5">
        <v>1</v>
      </c>
      <c r="Q332" s="6">
        <v>3500</v>
      </c>
      <c r="R332" s="6">
        <v>258.68</v>
      </c>
      <c r="S332" s="6">
        <v>0</v>
      </c>
      <c r="T332" s="6">
        <v>0</v>
      </c>
      <c r="U332" s="5">
        <v>619</v>
      </c>
      <c r="V332" s="5">
        <v>1</v>
      </c>
    </row>
    <row r="333" spans="1:22" x14ac:dyDescent="0.25">
      <c r="A333" s="4" t="s">
        <v>397</v>
      </c>
      <c r="B333" s="5">
        <v>50</v>
      </c>
      <c r="C333" s="4" t="s">
        <v>33</v>
      </c>
      <c r="D333" s="4" t="s">
        <v>51</v>
      </c>
      <c r="E333" s="4" t="s">
        <v>25</v>
      </c>
      <c r="F333" s="4" t="s">
        <v>30</v>
      </c>
      <c r="G333" s="6">
        <v>29100</v>
      </c>
      <c r="H333" s="5">
        <v>20</v>
      </c>
      <c r="I333" s="7">
        <v>38968</v>
      </c>
      <c r="J333" s="4" t="s">
        <v>31</v>
      </c>
      <c r="K333" s="5">
        <v>4</v>
      </c>
      <c r="L333" s="6">
        <v>2893.47</v>
      </c>
      <c r="M333" s="6">
        <v>0</v>
      </c>
      <c r="N333" s="5">
        <v>25</v>
      </c>
      <c r="O333" s="6">
        <v>30.21</v>
      </c>
      <c r="P333" s="5">
        <v>1</v>
      </c>
      <c r="Q333" s="6">
        <v>4000</v>
      </c>
      <c r="R333" s="6">
        <v>138.62</v>
      </c>
      <c r="S333" s="6">
        <v>0</v>
      </c>
      <c r="T333" s="6">
        <v>0</v>
      </c>
      <c r="U333" s="5">
        <v>687</v>
      </c>
      <c r="V333" s="5">
        <v>0</v>
      </c>
    </row>
    <row r="334" spans="1:22" x14ac:dyDescent="0.25">
      <c r="A334" s="4" t="s">
        <v>398</v>
      </c>
      <c r="B334" s="5">
        <v>47</v>
      </c>
      <c r="C334" s="4" t="s">
        <v>23</v>
      </c>
      <c r="D334" s="4" t="s">
        <v>59</v>
      </c>
      <c r="E334" s="4" t="s">
        <v>54</v>
      </c>
      <c r="F334" s="4" t="s">
        <v>30</v>
      </c>
      <c r="G334" s="6">
        <v>50800</v>
      </c>
      <c r="H334" s="5">
        <v>4</v>
      </c>
      <c r="I334" s="7">
        <v>44459</v>
      </c>
      <c r="J334" s="4" t="s">
        <v>49</v>
      </c>
      <c r="K334" s="5">
        <v>1</v>
      </c>
      <c r="L334" s="6">
        <v>6637.83</v>
      </c>
      <c r="M334" s="6">
        <v>11964.55</v>
      </c>
      <c r="N334" s="5">
        <v>29</v>
      </c>
      <c r="O334" s="6">
        <v>46.42</v>
      </c>
      <c r="P334" s="5">
        <v>4</v>
      </c>
      <c r="Q334" s="6">
        <v>12000</v>
      </c>
      <c r="R334" s="6">
        <v>339.45</v>
      </c>
      <c r="S334" s="6">
        <v>0</v>
      </c>
      <c r="T334" s="6">
        <v>0</v>
      </c>
      <c r="U334" s="5">
        <v>649</v>
      </c>
      <c r="V334" s="5">
        <v>1</v>
      </c>
    </row>
    <row r="335" spans="1:22" x14ac:dyDescent="0.25">
      <c r="A335" s="4" t="s">
        <v>399</v>
      </c>
      <c r="B335" s="5">
        <v>31</v>
      </c>
      <c r="C335" s="4" t="s">
        <v>23</v>
      </c>
      <c r="D335" s="4" t="s">
        <v>29</v>
      </c>
      <c r="E335" s="4" t="s">
        <v>90</v>
      </c>
      <c r="F335" s="4" t="s">
        <v>26</v>
      </c>
      <c r="G335" s="6">
        <v>94000</v>
      </c>
      <c r="H335" s="5">
        <v>5</v>
      </c>
      <c r="I335" s="7">
        <v>44095</v>
      </c>
      <c r="J335" s="4" t="s">
        <v>31</v>
      </c>
      <c r="K335" s="5">
        <v>1</v>
      </c>
      <c r="L335" s="6">
        <v>8052.1</v>
      </c>
      <c r="M335" s="6">
        <v>23930.35</v>
      </c>
      <c r="N335" s="5">
        <v>54</v>
      </c>
      <c r="O335" s="6">
        <v>43.37</v>
      </c>
      <c r="P335" s="5">
        <v>0</v>
      </c>
      <c r="Q335" s="6">
        <v>0</v>
      </c>
      <c r="R335" s="6">
        <v>0</v>
      </c>
      <c r="S335" s="6">
        <v>0</v>
      </c>
      <c r="T335" s="6">
        <v>0</v>
      </c>
      <c r="U335" s="5">
        <v>704</v>
      </c>
      <c r="V335" s="5">
        <v>0</v>
      </c>
    </row>
    <row r="336" spans="1:22" x14ac:dyDescent="0.25">
      <c r="A336" s="4" t="s">
        <v>400</v>
      </c>
      <c r="B336" s="5">
        <v>55</v>
      </c>
      <c r="C336" s="4" t="s">
        <v>33</v>
      </c>
      <c r="D336" s="4" t="s">
        <v>70</v>
      </c>
      <c r="E336" s="4" t="s">
        <v>45</v>
      </c>
      <c r="F336" s="4" t="s">
        <v>26</v>
      </c>
      <c r="G336" s="6">
        <v>26100</v>
      </c>
      <c r="H336" s="5">
        <v>19</v>
      </c>
      <c r="I336" s="7">
        <v>39006</v>
      </c>
      <c r="J336" s="4" t="s">
        <v>39</v>
      </c>
      <c r="K336" s="5">
        <v>5</v>
      </c>
      <c r="L336" s="6">
        <v>1379</v>
      </c>
      <c r="M336" s="6">
        <v>9492.3799999999992</v>
      </c>
      <c r="N336" s="5">
        <v>17</v>
      </c>
      <c r="O336" s="6">
        <v>84.92</v>
      </c>
      <c r="P336" s="5">
        <v>4</v>
      </c>
      <c r="Q336" s="6">
        <v>3000</v>
      </c>
      <c r="R336" s="6">
        <v>1352.34</v>
      </c>
      <c r="S336" s="6">
        <v>0</v>
      </c>
      <c r="T336" s="6">
        <v>0</v>
      </c>
      <c r="U336" s="5">
        <v>635</v>
      </c>
      <c r="V336" s="5">
        <v>0</v>
      </c>
    </row>
    <row r="337" spans="1:22" x14ac:dyDescent="0.25">
      <c r="A337" s="4" t="s">
        <v>401</v>
      </c>
      <c r="B337" s="5">
        <v>49</v>
      </c>
      <c r="C337" s="4" t="s">
        <v>23</v>
      </c>
      <c r="D337" s="4" t="s">
        <v>59</v>
      </c>
      <c r="E337" s="4" t="s">
        <v>45</v>
      </c>
      <c r="F337" s="4" t="s">
        <v>48</v>
      </c>
      <c r="G337" s="6">
        <v>25500</v>
      </c>
      <c r="H337" s="5">
        <v>11</v>
      </c>
      <c r="I337" s="7">
        <v>42240</v>
      </c>
      <c r="J337" s="4" t="s">
        <v>27</v>
      </c>
      <c r="K337" s="5">
        <v>3</v>
      </c>
      <c r="L337" s="6">
        <v>1825.41</v>
      </c>
      <c r="M337" s="6">
        <v>13391.17</v>
      </c>
      <c r="N337" s="5">
        <v>28</v>
      </c>
      <c r="O337" s="6">
        <v>79.260000000000005</v>
      </c>
      <c r="P337" s="5">
        <v>5</v>
      </c>
      <c r="Q337" s="6">
        <v>2500</v>
      </c>
      <c r="R337" s="6">
        <v>742.45</v>
      </c>
      <c r="S337" s="6">
        <v>64000</v>
      </c>
      <c r="T337" s="6">
        <v>472</v>
      </c>
      <c r="U337" s="5">
        <v>583</v>
      </c>
      <c r="V337" s="5">
        <v>0</v>
      </c>
    </row>
    <row r="338" spans="1:22" x14ac:dyDescent="0.25">
      <c r="A338" s="4" t="s">
        <v>402</v>
      </c>
      <c r="B338" s="5">
        <v>57</v>
      </c>
      <c r="C338" s="4" t="s">
        <v>23</v>
      </c>
      <c r="D338" s="4" t="s">
        <v>34</v>
      </c>
      <c r="E338" s="4" t="s">
        <v>35</v>
      </c>
      <c r="F338" s="4" t="s">
        <v>30</v>
      </c>
      <c r="G338" s="6">
        <v>73500</v>
      </c>
      <c r="H338" s="5">
        <v>13</v>
      </c>
      <c r="I338" s="7">
        <v>41493</v>
      </c>
      <c r="J338" s="4" t="s">
        <v>39</v>
      </c>
      <c r="K338" s="5">
        <v>2</v>
      </c>
      <c r="L338" s="6">
        <v>3647.27</v>
      </c>
      <c r="M338" s="6">
        <v>55919.85</v>
      </c>
      <c r="N338" s="5">
        <v>41</v>
      </c>
      <c r="O338" s="6">
        <v>69.64</v>
      </c>
      <c r="P338" s="5">
        <v>3</v>
      </c>
      <c r="Q338" s="6">
        <v>15000</v>
      </c>
      <c r="R338" s="6">
        <v>4683.93</v>
      </c>
      <c r="S338" s="6">
        <v>0</v>
      </c>
      <c r="T338" s="6">
        <v>0</v>
      </c>
      <c r="U338" s="5">
        <v>642</v>
      </c>
      <c r="V338" s="5">
        <v>1</v>
      </c>
    </row>
    <row r="339" spans="1:22" x14ac:dyDescent="0.25">
      <c r="A339" s="4" t="s">
        <v>403</v>
      </c>
      <c r="B339" s="5">
        <v>26</v>
      </c>
      <c r="C339" s="4" t="s">
        <v>33</v>
      </c>
      <c r="D339" s="4" t="s">
        <v>24</v>
      </c>
      <c r="E339" s="4" t="s">
        <v>67</v>
      </c>
      <c r="F339" s="4" t="s">
        <v>26</v>
      </c>
      <c r="G339" s="6">
        <v>8800</v>
      </c>
      <c r="H339" s="5">
        <v>0</v>
      </c>
      <c r="I339" s="7">
        <v>45978</v>
      </c>
      <c r="J339" s="4" t="s">
        <v>31</v>
      </c>
      <c r="K339" s="5">
        <v>1</v>
      </c>
      <c r="L339" s="6">
        <v>554.04</v>
      </c>
      <c r="M339" s="6">
        <v>0</v>
      </c>
      <c r="N339" s="5">
        <v>48</v>
      </c>
      <c r="O339" s="6">
        <v>199</v>
      </c>
      <c r="P339" s="5">
        <v>0</v>
      </c>
      <c r="Q339" s="6">
        <v>0</v>
      </c>
      <c r="R339" s="6">
        <v>0</v>
      </c>
      <c r="S339" s="6">
        <v>0</v>
      </c>
      <c r="T339" s="6">
        <v>0</v>
      </c>
      <c r="U339" s="5">
        <v>657</v>
      </c>
      <c r="V339" s="5">
        <v>0</v>
      </c>
    </row>
    <row r="340" spans="1:22" x14ac:dyDescent="0.25">
      <c r="A340" s="4" t="s">
        <v>404</v>
      </c>
      <c r="B340" s="5">
        <v>40</v>
      </c>
      <c r="C340" s="4" t="s">
        <v>33</v>
      </c>
      <c r="D340" s="4" t="s">
        <v>24</v>
      </c>
      <c r="E340" s="4" t="s">
        <v>25</v>
      </c>
      <c r="F340" s="4" t="s">
        <v>30</v>
      </c>
      <c r="G340" s="6">
        <v>36600</v>
      </c>
      <c r="H340" s="5">
        <v>11</v>
      </c>
      <c r="I340" s="7">
        <v>42007</v>
      </c>
      <c r="J340" s="4" t="s">
        <v>39</v>
      </c>
      <c r="K340" s="5">
        <v>3</v>
      </c>
      <c r="L340" s="6">
        <v>2618.0300000000002</v>
      </c>
      <c r="M340" s="6">
        <v>53609.34</v>
      </c>
      <c r="N340" s="5">
        <v>24</v>
      </c>
      <c r="O340" s="6">
        <v>115.22</v>
      </c>
      <c r="P340" s="5">
        <v>4</v>
      </c>
      <c r="Q340" s="6">
        <v>0</v>
      </c>
      <c r="R340" s="6">
        <v>0</v>
      </c>
      <c r="S340" s="6">
        <v>0</v>
      </c>
      <c r="T340" s="6">
        <v>0</v>
      </c>
      <c r="U340" s="5">
        <v>672</v>
      </c>
      <c r="V340" s="5">
        <v>2</v>
      </c>
    </row>
    <row r="341" spans="1:22" x14ac:dyDescent="0.25">
      <c r="A341" s="4" t="s">
        <v>405</v>
      </c>
      <c r="B341" s="5">
        <v>63</v>
      </c>
      <c r="C341" s="4" t="s">
        <v>33</v>
      </c>
      <c r="D341" s="4" t="s">
        <v>37</v>
      </c>
      <c r="E341" s="4" t="s">
        <v>35</v>
      </c>
      <c r="F341" s="4" t="s">
        <v>30</v>
      </c>
      <c r="G341" s="6">
        <v>64600</v>
      </c>
      <c r="H341" s="5">
        <v>14</v>
      </c>
      <c r="I341" s="7">
        <v>41006</v>
      </c>
      <c r="J341" s="4" t="s">
        <v>39</v>
      </c>
      <c r="K341" s="5">
        <v>1</v>
      </c>
      <c r="L341" s="6">
        <v>1806.34</v>
      </c>
      <c r="M341" s="6">
        <v>81913.38</v>
      </c>
      <c r="N341" s="5">
        <v>41</v>
      </c>
      <c r="O341" s="6">
        <v>78.510000000000005</v>
      </c>
      <c r="P341" s="5">
        <v>8</v>
      </c>
      <c r="Q341" s="6">
        <v>8000</v>
      </c>
      <c r="R341" s="6">
        <v>6244.9</v>
      </c>
      <c r="S341" s="6">
        <v>0</v>
      </c>
      <c r="T341" s="6">
        <v>0</v>
      </c>
      <c r="U341" s="5">
        <v>705</v>
      </c>
      <c r="V341" s="5">
        <v>1</v>
      </c>
    </row>
    <row r="342" spans="1:22" x14ac:dyDescent="0.25">
      <c r="A342" s="4" t="s">
        <v>406</v>
      </c>
      <c r="B342" s="5">
        <v>40</v>
      </c>
      <c r="C342" s="4" t="s">
        <v>23</v>
      </c>
      <c r="D342" s="4" t="s">
        <v>98</v>
      </c>
      <c r="E342" s="4" t="s">
        <v>25</v>
      </c>
      <c r="F342" s="4" t="s">
        <v>30</v>
      </c>
      <c r="G342" s="6">
        <v>19000</v>
      </c>
      <c r="H342" s="5">
        <v>15</v>
      </c>
      <c r="I342" s="7">
        <v>40669</v>
      </c>
      <c r="J342" s="4" t="s">
        <v>27</v>
      </c>
      <c r="K342" s="5">
        <v>2</v>
      </c>
      <c r="L342" s="6">
        <v>2491.4299999999998</v>
      </c>
      <c r="M342" s="6">
        <v>23794.69</v>
      </c>
      <c r="N342" s="5">
        <v>24</v>
      </c>
      <c r="O342" s="6">
        <v>36.51</v>
      </c>
      <c r="P342" s="5">
        <v>3</v>
      </c>
      <c r="Q342" s="6">
        <v>4000</v>
      </c>
      <c r="R342" s="6">
        <v>1007.13</v>
      </c>
      <c r="S342" s="6">
        <v>0</v>
      </c>
      <c r="T342" s="6">
        <v>0</v>
      </c>
      <c r="U342" s="5">
        <v>610</v>
      </c>
      <c r="V342" s="5">
        <v>0</v>
      </c>
    </row>
    <row r="343" spans="1:22" x14ac:dyDescent="0.25">
      <c r="A343" s="4" t="s">
        <v>407</v>
      </c>
      <c r="B343" s="5">
        <v>61</v>
      </c>
      <c r="C343" s="4" t="s">
        <v>23</v>
      </c>
      <c r="D343" s="4" t="s">
        <v>29</v>
      </c>
      <c r="E343" s="4" t="s">
        <v>45</v>
      </c>
      <c r="F343" s="4" t="s">
        <v>48</v>
      </c>
      <c r="G343" s="6">
        <v>27800</v>
      </c>
      <c r="H343" s="5">
        <v>9</v>
      </c>
      <c r="I343" s="7">
        <v>42695</v>
      </c>
      <c r="J343" s="4" t="s">
        <v>27</v>
      </c>
      <c r="K343" s="5">
        <v>2</v>
      </c>
      <c r="L343" s="6">
        <v>950.7</v>
      </c>
      <c r="M343" s="6">
        <v>16276.35</v>
      </c>
      <c r="N343" s="5">
        <v>34</v>
      </c>
      <c r="O343" s="6">
        <v>33.32</v>
      </c>
      <c r="P343" s="5">
        <v>0</v>
      </c>
      <c r="Q343" s="6">
        <v>6000</v>
      </c>
      <c r="R343" s="6">
        <v>1400.62</v>
      </c>
      <c r="S343" s="6">
        <v>0</v>
      </c>
      <c r="T343" s="6">
        <v>0</v>
      </c>
      <c r="U343" s="5">
        <v>647</v>
      </c>
      <c r="V343" s="5">
        <v>0</v>
      </c>
    </row>
    <row r="344" spans="1:22" x14ac:dyDescent="0.25">
      <c r="A344" s="4" t="s">
        <v>408</v>
      </c>
      <c r="B344" s="5">
        <v>18</v>
      </c>
      <c r="C344" s="4" t="s">
        <v>33</v>
      </c>
      <c r="D344" s="4" t="s">
        <v>34</v>
      </c>
      <c r="E344" s="4" t="s">
        <v>117</v>
      </c>
      <c r="F344" s="4" t="s">
        <v>30</v>
      </c>
      <c r="G344" s="6">
        <v>5800</v>
      </c>
      <c r="H344" s="5">
        <v>0</v>
      </c>
      <c r="I344" s="7">
        <v>46074</v>
      </c>
      <c r="J344" s="4" t="s">
        <v>31</v>
      </c>
      <c r="K344" s="5">
        <v>3</v>
      </c>
      <c r="L344" s="6">
        <v>4162.47</v>
      </c>
      <c r="M344" s="6">
        <v>0</v>
      </c>
      <c r="N344" s="5">
        <v>25</v>
      </c>
      <c r="O344" s="6">
        <v>14.58</v>
      </c>
      <c r="P344" s="5">
        <v>1</v>
      </c>
      <c r="Q344" s="6">
        <v>0</v>
      </c>
      <c r="R344" s="6">
        <v>0</v>
      </c>
      <c r="S344" s="6">
        <v>0</v>
      </c>
      <c r="T344" s="6">
        <v>0</v>
      </c>
      <c r="U344" s="5">
        <v>492</v>
      </c>
      <c r="V344" s="5">
        <v>0</v>
      </c>
    </row>
    <row r="345" spans="1:22" x14ac:dyDescent="0.25">
      <c r="A345" s="4" t="s">
        <v>409</v>
      </c>
      <c r="B345" s="5">
        <v>28</v>
      </c>
      <c r="C345" s="4" t="s">
        <v>23</v>
      </c>
      <c r="D345" s="4" t="s">
        <v>410</v>
      </c>
      <c r="E345" s="4" t="s">
        <v>35</v>
      </c>
      <c r="F345" s="4" t="s">
        <v>30</v>
      </c>
      <c r="G345" s="6">
        <v>46500</v>
      </c>
      <c r="H345" s="5">
        <v>9</v>
      </c>
      <c r="I345" s="7">
        <v>42984</v>
      </c>
      <c r="J345" s="4" t="s">
        <v>31</v>
      </c>
      <c r="K345" s="5">
        <v>1</v>
      </c>
      <c r="L345" s="6">
        <v>8122.03</v>
      </c>
      <c r="M345" s="6">
        <v>65603.429999999993</v>
      </c>
      <c r="N345" s="5">
        <v>40</v>
      </c>
      <c r="O345" s="6">
        <v>86.4</v>
      </c>
      <c r="P345" s="5">
        <v>3</v>
      </c>
      <c r="Q345" s="6">
        <v>9500</v>
      </c>
      <c r="R345" s="6">
        <v>1902.92</v>
      </c>
      <c r="S345" s="6">
        <v>151000</v>
      </c>
      <c r="T345" s="6">
        <v>804</v>
      </c>
      <c r="U345" s="5">
        <v>661</v>
      </c>
      <c r="V345" s="5">
        <v>0</v>
      </c>
    </row>
    <row r="346" spans="1:22" x14ac:dyDescent="0.25">
      <c r="A346" s="4" t="s">
        <v>411</v>
      </c>
      <c r="B346" s="5">
        <v>44</v>
      </c>
      <c r="C346" s="4" t="s">
        <v>23</v>
      </c>
      <c r="D346" s="4" t="s">
        <v>62</v>
      </c>
      <c r="E346" s="4" t="s">
        <v>45</v>
      </c>
      <c r="F346" s="4" t="s">
        <v>30</v>
      </c>
      <c r="G346" s="6">
        <v>26300</v>
      </c>
      <c r="H346" s="5">
        <v>9</v>
      </c>
      <c r="I346" s="7">
        <v>42897</v>
      </c>
      <c r="J346" s="4" t="s">
        <v>39</v>
      </c>
      <c r="K346" s="5">
        <v>2</v>
      </c>
      <c r="L346" s="6">
        <v>871.58</v>
      </c>
      <c r="M346" s="6">
        <v>0</v>
      </c>
      <c r="N346" s="5">
        <v>15</v>
      </c>
      <c r="O346" s="6">
        <v>60.29</v>
      </c>
      <c r="P346" s="5">
        <v>2</v>
      </c>
      <c r="Q346" s="6">
        <v>4500</v>
      </c>
      <c r="R346" s="6">
        <v>1527.12</v>
      </c>
      <c r="S346" s="6">
        <v>0</v>
      </c>
      <c r="T346" s="6">
        <v>0</v>
      </c>
      <c r="U346" s="5">
        <v>634</v>
      </c>
      <c r="V346" s="5">
        <v>1</v>
      </c>
    </row>
    <row r="347" spans="1:22" x14ac:dyDescent="0.25">
      <c r="A347" s="4" t="s">
        <v>412</v>
      </c>
      <c r="B347" s="5">
        <v>37</v>
      </c>
      <c r="C347" s="4" t="s">
        <v>23</v>
      </c>
      <c r="D347" s="4" t="s">
        <v>57</v>
      </c>
      <c r="E347" s="4" t="s">
        <v>25</v>
      </c>
      <c r="F347" s="4" t="s">
        <v>30</v>
      </c>
      <c r="G347" s="6">
        <v>34300</v>
      </c>
      <c r="H347" s="5">
        <v>5</v>
      </c>
      <c r="I347" s="7">
        <v>44318</v>
      </c>
      <c r="J347" s="4" t="s">
        <v>27</v>
      </c>
      <c r="K347" s="5">
        <v>3</v>
      </c>
      <c r="L347" s="6">
        <v>4597.58</v>
      </c>
      <c r="M347" s="6">
        <v>17110.68</v>
      </c>
      <c r="N347" s="5">
        <v>32</v>
      </c>
      <c r="O347" s="6">
        <v>36.54</v>
      </c>
      <c r="P347" s="5">
        <v>8</v>
      </c>
      <c r="Q347" s="6">
        <v>0</v>
      </c>
      <c r="R347" s="6">
        <v>0</v>
      </c>
      <c r="S347" s="6">
        <v>78000</v>
      </c>
      <c r="T347" s="6">
        <v>391</v>
      </c>
      <c r="U347" s="5">
        <v>604</v>
      </c>
      <c r="V347" s="5">
        <v>0</v>
      </c>
    </row>
    <row r="348" spans="1:22" x14ac:dyDescent="0.25">
      <c r="A348" s="4" t="s">
        <v>413</v>
      </c>
      <c r="B348" s="5">
        <v>31</v>
      </c>
      <c r="C348" s="4" t="s">
        <v>33</v>
      </c>
      <c r="D348" s="4" t="s">
        <v>37</v>
      </c>
      <c r="E348" s="4" t="s">
        <v>90</v>
      </c>
      <c r="F348" s="4" t="s">
        <v>30</v>
      </c>
      <c r="G348" s="6">
        <v>88900</v>
      </c>
      <c r="H348" s="5">
        <v>7</v>
      </c>
      <c r="I348" s="7">
        <v>43467</v>
      </c>
      <c r="J348" s="4" t="s">
        <v>39</v>
      </c>
      <c r="K348" s="5">
        <v>1</v>
      </c>
      <c r="L348" s="6">
        <v>5338.37</v>
      </c>
      <c r="M348" s="6">
        <v>63490.13</v>
      </c>
      <c r="N348" s="5">
        <v>34</v>
      </c>
      <c r="O348" s="6">
        <v>120.91</v>
      </c>
      <c r="P348" s="5">
        <v>6</v>
      </c>
      <c r="Q348" s="6">
        <v>15000</v>
      </c>
      <c r="R348" s="6">
        <v>2084.46</v>
      </c>
      <c r="S348" s="6">
        <v>259000</v>
      </c>
      <c r="T348" s="6">
        <v>1200</v>
      </c>
      <c r="U348" s="5">
        <v>675</v>
      </c>
      <c r="V348" s="5">
        <v>0</v>
      </c>
    </row>
    <row r="349" spans="1:22" x14ac:dyDescent="0.25">
      <c r="A349" s="4" t="s">
        <v>414</v>
      </c>
      <c r="B349" s="5">
        <v>30</v>
      </c>
      <c r="C349" s="4" t="s">
        <v>33</v>
      </c>
      <c r="D349" s="4" t="s">
        <v>29</v>
      </c>
      <c r="E349" s="4" t="s">
        <v>45</v>
      </c>
      <c r="F349" s="4" t="s">
        <v>30</v>
      </c>
      <c r="G349" s="6">
        <v>26900</v>
      </c>
      <c r="H349" s="5">
        <v>3</v>
      </c>
      <c r="I349" s="7">
        <v>45074</v>
      </c>
      <c r="J349" s="4" t="s">
        <v>31</v>
      </c>
      <c r="K349" s="5">
        <v>2</v>
      </c>
      <c r="L349" s="6">
        <v>970.85</v>
      </c>
      <c r="M349" s="6">
        <v>0</v>
      </c>
      <c r="N349" s="5">
        <v>19</v>
      </c>
      <c r="O349" s="6">
        <v>53.4</v>
      </c>
      <c r="P349" s="5">
        <v>1</v>
      </c>
      <c r="Q349" s="6">
        <v>6000</v>
      </c>
      <c r="R349" s="6">
        <v>936.11</v>
      </c>
      <c r="S349" s="6">
        <v>0</v>
      </c>
      <c r="T349" s="6">
        <v>0</v>
      </c>
      <c r="U349" s="5">
        <v>566</v>
      </c>
      <c r="V349" s="5">
        <v>0</v>
      </c>
    </row>
    <row r="350" spans="1:22" x14ac:dyDescent="0.25">
      <c r="A350" s="4" t="s">
        <v>415</v>
      </c>
      <c r="B350" s="5">
        <v>44</v>
      </c>
      <c r="C350" s="4" t="s">
        <v>33</v>
      </c>
      <c r="D350" s="4" t="s">
        <v>29</v>
      </c>
      <c r="E350" s="4" t="s">
        <v>54</v>
      </c>
      <c r="F350" s="4" t="s">
        <v>30</v>
      </c>
      <c r="G350" s="6">
        <v>40200</v>
      </c>
      <c r="H350" s="5">
        <v>7</v>
      </c>
      <c r="I350" s="7">
        <v>43393</v>
      </c>
      <c r="J350" s="4" t="s">
        <v>27</v>
      </c>
      <c r="K350" s="5">
        <v>4</v>
      </c>
      <c r="L350" s="6">
        <v>3401.59</v>
      </c>
      <c r="M350" s="6">
        <v>46842.84</v>
      </c>
      <c r="N350" s="5">
        <v>32</v>
      </c>
      <c r="O350" s="6">
        <v>73.55</v>
      </c>
      <c r="P350" s="5">
        <v>5</v>
      </c>
      <c r="Q350" s="6">
        <v>7000</v>
      </c>
      <c r="R350" s="6">
        <v>1058.49</v>
      </c>
      <c r="S350" s="6">
        <v>72000</v>
      </c>
      <c r="T350" s="6">
        <v>395</v>
      </c>
      <c r="U350" s="5">
        <v>682</v>
      </c>
      <c r="V350" s="5">
        <v>0</v>
      </c>
    </row>
    <row r="351" spans="1:22" x14ac:dyDescent="0.25">
      <c r="A351" s="4" t="s">
        <v>416</v>
      </c>
      <c r="B351" s="5">
        <v>26</v>
      </c>
      <c r="C351" s="4" t="s">
        <v>23</v>
      </c>
      <c r="D351" s="4" t="s">
        <v>59</v>
      </c>
      <c r="E351" s="4" t="s">
        <v>35</v>
      </c>
      <c r="F351" s="4" t="s">
        <v>26</v>
      </c>
      <c r="G351" s="6">
        <v>42900</v>
      </c>
      <c r="H351" s="5">
        <v>4</v>
      </c>
      <c r="I351" s="7">
        <v>44800</v>
      </c>
      <c r="J351" s="4" t="s">
        <v>31</v>
      </c>
      <c r="K351" s="5">
        <v>1</v>
      </c>
      <c r="L351" s="6">
        <v>1967.21</v>
      </c>
      <c r="M351" s="6">
        <v>4366.63</v>
      </c>
      <c r="N351" s="5">
        <v>44</v>
      </c>
      <c r="O351" s="6">
        <v>53.49</v>
      </c>
      <c r="P351" s="5">
        <v>2</v>
      </c>
      <c r="Q351" s="6">
        <v>5500</v>
      </c>
      <c r="R351" s="6">
        <v>1899.1</v>
      </c>
      <c r="S351" s="6">
        <v>0</v>
      </c>
      <c r="T351" s="6">
        <v>0</v>
      </c>
      <c r="U351" s="5">
        <v>638</v>
      </c>
      <c r="V351" s="5">
        <v>0</v>
      </c>
    </row>
    <row r="352" spans="1:22" x14ac:dyDescent="0.25">
      <c r="A352" s="4" t="s">
        <v>417</v>
      </c>
      <c r="B352" s="5">
        <v>41</v>
      </c>
      <c r="C352" s="4" t="s">
        <v>23</v>
      </c>
      <c r="D352" s="4" t="s">
        <v>24</v>
      </c>
      <c r="E352" s="4" t="s">
        <v>42</v>
      </c>
      <c r="F352" s="4" t="s">
        <v>26</v>
      </c>
      <c r="G352" s="6">
        <v>52400</v>
      </c>
      <c r="H352" s="5">
        <v>3</v>
      </c>
      <c r="I352" s="7">
        <v>44971</v>
      </c>
      <c r="J352" s="4" t="s">
        <v>27</v>
      </c>
      <c r="K352" s="5">
        <v>3</v>
      </c>
      <c r="L352" s="6">
        <v>14063.33</v>
      </c>
      <c r="M352" s="6">
        <v>20562.419999999998</v>
      </c>
      <c r="N352" s="5">
        <v>44</v>
      </c>
      <c r="O352" s="6">
        <v>117.35</v>
      </c>
      <c r="P352" s="5">
        <v>6</v>
      </c>
      <c r="Q352" s="6">
        <v>0</v>
      </c>
      <c r="R352" s="6">
        <v>0</v>
      </c>
      <c r="S352" s="6">
        <v>0</v>
      </c>
      <c r="T352" s="6">
        <v>0</v>
      </c>
      <c r="U352" s="5">
        <v>560</v>
      </c>
      <c r="V352" s="5">
        <v>1</v>
      </c>
    </row>
    <row r="353" spans="1:22" x14ac:dyDescent="0.25">
      <c r="A353" s="4" t="s">
        <v>418</v>
      </c>
      <c r="B353" s="5">
        <v>64</v>
      </c>
      <c r="C353" s="4" t="s">
        <v>23</v>
      </c>
      <c r="D353" s="4" t="s">
        <v>75</v>
      </c>
      <c r="E353" s="4" t="s">
        <v>45</v>
      </c>
      <c r="F353" s="4" t="s">
        <v>30</v>
      </c>
      <c r="G353" s="6">
        <v>23200</v>
      </c>
      <c r="H353" s="5">
        <v>15</v>
      </c>
      <c r="I353" s="7">
        <v>40758</v>
      </c>
      <c r="J353" s="4" t="s">
        <v>39</v>
      </c>
      <c r="K353" s="5">
        <v>5</v>
      </c>
      <c r="L353" s="6">
        <v>4681.28</v>
      </c>
      <c r="M353" s="6">
        <v>0</v>
      </c>
      <c r="N353" s="5">
        <v>14</v>
      </c>
      <c r="O353" s="6">
        <v>38.71</v>
      </c>
      <c r="P353" s="5">
        <v>4</v>
      </c>
      <c r="Q353" s="6">
        <v>3500</v>
      </c>
      <c r="R353" s="6">
        <v>731.63</v>
      </c>
      <c r="S353" s="6">
        <v>0</v>
      </c>
      <c r="T353" s="6">
        <v>0</v>
      </c>
      <c r="U353" s="5">
        <v>684</v>
      </c>
      <c r="V353" s="5">
        <v>0</v>
      </c>
    </row>
    <row r="354" spans="1:22" x14ac:dyDescent="0.25">
      <c r="A354" s="4" t="s">
        <v>419</v>
      </c>
      <c r="B354" s="5">
        <v>40</v>
      </c>
      <c r="C354" s="4" t="s">
        <v>23</v>
      </c>
      <c r="D354" s="4" t="s">
        <v>34</v>
      </c>
      <c r="E354" s="4" t="s">
        <v>25</v>
      </c>
      <c r="F354" s="4" t="s">
        <v>48</v>
      </c>
      <c r="G354" s="6">
        <v>56300</v>
      </c>
      <c r="H354" s="5">
        <v>9</v>
      </c>
      <c r="I354" s="7">
        <v>42900</v>
      </c>
      <c r="J354" s="4" t="s">
        <v>27</v>
      </c>
      <c r="K354" s="5">
        <v>1</v>
      </c>
      <c r="L354" s="6">
        <v>8152.36</v>
      </c>
      <c r="M354" s="6">
        <v>16851.330000000002</v>
      </c>
      <c r="N354" s="5">
        <v>46</v>
      </c>
      <c r="O354" s="6">
        <v>143</v>
      </c>
      <c r="P354" s="5">
        <v>2</v>
      </c>
      <c r="Q354" s="6">
        <v>7000</v>
      </c>
      <c r="R354" s="6">
        <v>2239.6</v>
      </c>
      <c r="S354" s="6">
        <v>281000</v>
      </c>
      <c r="T354" s="6">
        <v>1787</v>
      </c>
      <c r="U354" s="5">
        <v>628</v>
      </c>
      <c r="V354" s="5">
        <v>0</v>
      </c>
    </row>
    <row r="355" spans="1:22" x14ac:dyDescent="0.25">
      <c r="A355" s="4" t="s">
        <v>420</v>
      </c>
      <c r="B355" s="5">
        <v>54</v>
      </c>
      <c r="C355" s="4" t="s">
        <v>23</v>
      </c>
      <c r="D355" s="4" t="s">
        <v>34</v>
      </c>
      <c r="E355" s="4" t="s">
        <v>45</v>
      </c>
      <c r="F355" s="4" t="s">
        <v>30</v>
      </c>
      <c r="G355" s="6">
        <v>19300</v>
      </c>
      <c r="H355" s="5">
        <v>15</v>
      </c>
      <c r="I355" s="7">
        <v>40677</v>
      </c>
      <c r="J355" s="4" t="s">
        <v>31</v>
      </c>
      <c r="K355" s="5">
        <v>3</v>
      </c>
      <c r="L355" s="6">
        <v>1474.08</v>
      </c>
      <c r="M355" s="6">
        <v>0</v>
      </c>
      <c r="N355" s="5">
        <v>12</v>
      </c>
      <c r="O355" s="6">
        <v>32.299999999999997</v>
      </c>
      <c r="P355" s="5">
        <v>1</v>
      </c>
      <c r="Q355" s="6">
        <v>0</v>
      </c>
      <c r="R355" s="6">
        <v>0</v>
      </c>
      <c r="S355" s="6">
        <v>0</v>
      </c>
      <c r="T355" s="6">
        <v>0</v>
      </c>
      <c r="U355" s="5">
        <v>632</v>
      </c>
      <c r="V355" s="5">
        <v>0</v>
      </c>
    </row>
    <row r="356" spans="1:22" x14ac:dyDescent="0.25">
      <c r="A356" s="4" t="s">
        <v>421</v>
      </c>
      <c r="B356" s="5">
        <v>42</v>
      </c>
      <c r="C356" s="4" t="s">
        <v>33</v>
      </c>
      <c r="D356" s="4" t="s">
        <v>29</v>
      </c>
      <c r="E356" s="4" t="s">
        <v>54</v>
      </c>
      <c r="F356" s="4" t="s">
        <v>30</v>
      </c>
      <c r="G356" s="6">
        <v>20200</v>
      </c>
      <c r="H356" s="5">
        <v>7</v>
      </c>
      <c r="I356" s="7">
        <v>43520</v>
      </c>
      <c r="J356" s="4" t="s">
        <v>27</v>
      </c>
      <c r="K356" s="5">
        <v>1</v>
      </c>
      <c r="L356" s="6">
        <v>1202.3900000000001</v>
      </c>
      <c r="M356" s="6">
        <v>0</v>
      </c>
      <c r="N356" s="5">
        <v>27</v>
      </c>
      <c r="O356" s="6">
        <v>58.79</v>
      </c>
      <c r="P356" s="5">
        <v>6</v>
      </c>
      <c r="Q356" s="6">
        <v>4000</v>
      </c>
      <c r="R356" s="6">
        <v>1826.38</v>
      </c>
      <c r="S356" s="6">
        <v>0</v>
      </c>
      <c r="T356" s="6">
        <v>0</v>
      </c>
      <c r="U356" s="5">
        <v>639</v>
      </c>
      <c r="V356" s="5">
        <v>1</v>
      </c>
    </row>
    <row r="357" spans="1:22" x14ac:dyDescent="0.25">
      <c r="A357" s="4" t="s">
        <v>422</v>
      </c>
      <c r="B357" s="5">
        <v>48</v>
      </c>
      <c r="C357" s="4" t="s">
        <v>23</v>
      </c>
      <c r="D357" s="4" t="s">
        <v>29</v>
      </c>
      <c r="E357" s="4" t="s">
        <v>42</v>
      </c>
      <c r="F357" s="4" t="s">
        <v>30</v>
      </c>
      <c r="G357" s="6">
        <v>60000</v>
      </c>
      <c r="H357" s="5">
        <v>10</v>
      </c>
      <c r="I357" s="7">
        <v>42486</v>
      </c>
      <c r="J357" s="4" t="s">
        <v>27</v>
      </c>
      <c r="K357" s="5">
        <v>1</v>
      </c>
      <c r="L357" s="6">
        <v>6008.46</v>
      </c>
      <c r="M357" s="6">
        <v>0</v>
      </c>
      <c r="N357" s="5">
        <v>26</v>
      </c>
      <c r="O357" s="6">
        <v>73.83</v>
      </c>
      <c r="P357" s="5">
        <v>2</v>
      </c>
      <c r="Q357" s="6">
        <v>12000</v>
      </c>
      <c r="R357" s="6">
        <v>2065.5100000000002</v>
      </c>
      <c r="S357" s="6">
        <v>168000</v>
      </c>
      <c r="T357" s="6">
        <v>1102</v>
      </c>
      <c r="U357" s="5">
        <v>570</v>
      </c>
      <c r="V357" s="5">
        <v>0</v>
      </c>
    </row>
    <row r="358" spans="1:22" x14ac:dyDescent="0.25">
      <c r="A358" s="4" t="s">
        <v>423</v>
      </c>
      <c r="B358" s="5">
        <v>23</v>
      </c>
      <c r="C358" s="4" t="s">
        <v>23</v>
      </c>
      <c r="D358" s="4" t="s">
        <v>24</v>
      </c>
      <c r="E358" s="4" t="s">
        <v>45</v>
      </c>
      <c r="F358" s="4" t="s">
        <v>26</v>
      </c>
      <c r="G358" s="6">
        <v>9600</v>
      </c>
      <c r="H358" s="5">
        <v>0</v>
      </c>
      <c r="I358" s="7">
        <v>45978</v>
      </c>
      <c r="J358" s="4" t="s">
        <v>31</v>
      </c>
      <c r="K358" s="5">
        <v>1</v>
      </c>
      <c r="L358" s="6">
        <v>443.16</v>
      </c>
      <c r="M358" s="6">
        <v>0</v>
      </c>
      <c r="N358" s="5">
        <v>48</v>
      </c>
      <c r="O358" s="6">
        <v>199</v>
      </c>
      <c r="P358" s="5">
        <v>0</v>
      </c>
      <c r="Q358" s="6">
        <v>0</v>
      </c>
      <c r="R358" s="6">
        <v>0</v>
      </c>
      <c r="S358" s="6">
        <v>0</v>
      </c>
      <c r="T358" s="6">
        <v>0</v>
      </c>
      <c r="U358" s="5">
        <v>632</v>
      </c>
      <c r="V358" s="5">
        <v>0</v>
      </c>
    </row>
    <row r="359" spans="1:22" x14ac:dyDescent="0.25">
      <c r="A359" s="4" t="s">
        <v>424</v>
      </c>
      <c r="B359" s="5">
        <v>32</v>
      </c>
      <c r="C359" s="4" t="s">
        <v>23</v>
      </c>
      <c r="D359" s="4" t="s">
        <v>41</v>
      </c>
      <c r="E359" s="4" t="s">
        <v>42</v>
      </c>
      <c r="F359" s="4" t="s">
        <v>30</v>
      </c>
      <c r="G359" s="6">
        <v>37300</v>
      </c>
      <c r="H359" s="5">
        <v>4</v>
      </c>
      <c r="I359" s="7">
        <v>44634</v>
      </c>
      <c r="J359" s="4" t="s">
        <v>27</v>
      </c>
      <c r="K359" s="5">
        <v>1</v>
      </c>
      <c r="L359" s="6">
        <v>1511.53</v>
      </c>
      <c r="M359" s="6">
        <v>5581.55</v>
      </c>
      <c r="N359" s="5">
        <v>29</v>
      </c>
      <c r="O359" s="6">
        <v>99.77</v>
      </c>
      <c r="P359" s="5">
        <v>3</v>
      </c>
      <c r="Q359" s="6">
        <v>0</v>
      </c>
      <c r="R359" s="6">
        <v>0</v>
      </c>
      <c r="S359" s="6">
        <v>0</v>
      </c>
      <c r="T359" s="6">
        <v>0</v>
      </c>
      <c r="U359" s="5">
        <v>671</v>
      </c>
      <c r="V359" s="5">
        <v>0</v>
      </c>
    </row>
    <row r="360" spans="1:22" x14ac:dyDescent="0.25">
      <c r="A360" s="4" t="s">
        <v>425</v>
      </c>
      <c r="B360" s="5">
        <v>45</v>
      </c>
      <c r="C360" s="4" t="s">
        <v>33</v>
      </c>
      <c r="D360" s="4" t="s">
        <v>59</v>
      </c>
      <c r="E360" s="4" t="s">
        <v>25</v>
      </c>
      <c r="F360" s="4" t="s">
        <v>30</v>
      </c>
      <c r="G360" s="6">
        <v>27800</v>
      </c>
      <c r="H360" s="5">
        <v>7</v>
      </c>
      <c r="I360" s="7">
        <v>43420</v>
      </c>
      <c r="J360" s="4" t="s">
        <v>39</v>
      </c>
      <c r="K360" s="5">
        <v>3</v>
      </c>
      <c r="L360" s="6">
        <v>643.59</v>
      </c>
      <c r="M360" s="6">
        <v>38132.120000000003</v>
      </c>
      <c r="N360" s="5">
        <v>17</v>
      </c>
      <c r="O360" s="6">
        <v>79.03</v>
      </c>
      <c r="P360" s="5">
        <v>6</v>
      </c>
      <c r="Q360" s="6">
        <v>4000</v>
      </c>
      <c r="R360" s="6">
        <v>800.69</v>
      </c>
      <c r="S360" s="6">
        <v>65000</v>
      </c>
      <c r="T360" s="6">
        <v>311</v>
      </c>
      <c r="U360" s="5">
        <v>528</v>
      </c>
      <c r="V360" s="5">
        <v>1</v>
      </c>
    </row>
    <row r="361" spans="1:22" x14ac:dyDescent="0.25">
      <c r="A361" s="4" t="s">
        <v>426</v>
      </c>
      <c r="B361" s="5">
        <v>48</v>
      </c>
      <c r="C361" s="4" t="s">
        <v>33</v>
      </c>
      <c r="D361" s="4" t="s">
        <v>108</v>
      </c>
      <c r="E361" s="4" t="s">
        <v>25</v>
      </c>
      <c r="F361" s="4" t="s">
        <v>30</v>
      </c>
      <c r="G361" s="6">
        <v>22600</v>
      </c>
      <c r="H361" s="5">
        <v>21</v>
      </c>
      <c r="I361" s="7">
        <v>38248</v>
      </c>
      <c r="J361" s="4" t="s">
        <v>39</v>
      </c>
      <c r="K361" s="5">
        <v>3</v>
      </c>
      <c r="L361" s="6">
        <v>351.18</v>
      </c>
      <c r="M361" s="6">
        <v>24899.87</v>
      </c>
      <c r="N361" s="5">
        <v>20</v>
      </c>
      <c r="O361" s="6">
        <v>46.43</v>
      </c>
      <c r="P361" s="5">
        <v>4</v>
      </c>
      <c r="Q361" s="6">
        <v>0</v>
      </c>
      <c r="R361" s="6">
        <v>0</v>
      </c>
      <c r="S361" s="6">
        <v>0</v>
      </c>
      <c r="T361" s="6">
        <v>0</v>
      </c>
      <c r="U361" s="5">
        <v>649</v>
      </c>
      <c r="V361" s="5">
        <v>0</v>
      </c>
    </row>
    <row r="362" spans="1:22" x14ac:dyDescent="0.25">
      <c r="A362" s="4" t="s">
        <v>427</v>
      </c>
      <c r="B362" s="5">
        <v>51</v>
      </c>
      <c r="C362" s="4" t="s">
        <v>33</v>
      </c>
      <c r="D362" s="4" t="s">
        <v>34</v>
      </c>
      <c r="E362" s="4" t="s">
        <v>25</v>
      </c>
      <c r="F362" s="4" t="s">
        <v>30</v>
      </c>
      <c r="G362" s="6">
        <v>33300</v>
      </c>
      <c r="H362" s="5">
        <v>20</v>
      </c>
      <c r="I362" s="7">
        <v>38652</v>
      </c>
      <c r="J362" s="4" t="s">
        <v>39</v>
      </c>
      <c r="K362" s="5">
        <v>4</v>
      </c>
      <c r="L362" s="6">
        <v>2365.86</v>
      </c>
      <c r="M362" s="6">
        <v>52426.43</v>
      </c>
      <c r="N362" s="5">
        <v>33</v>
      </c>
      <c r="O362" s="6">
        <v>39.14</v>
      </c>
      <c r="P362" s="5">
        <v>6</v>
      </c>
      <c r="Q362" s="6">
        <v>0</v>
      </c>
      <c r="R362" s="6">
        <v>0</v>
      </c>
      <c r="S362" s="6">
        <v>0</v>
      </c>
      <c r="T362" s="6">
        <v>0</v>
      </c>
      <c r="U362" s="5">
        <v>746</v>
      </c>
      <c r="V362" s="5">
        <v>0</v>
      </c>
    </row>
    <row r="363" spans="1:22" x14ac:dyDescent="0.25">
      <c r="A363" s="4" t="s">
        <v>428</v>
      </c>
      <c r="B363" s="5">
        <v>57</v>
      </c>
      <c r="C363" s="4" t="s">
        <v>23</v>
      </c>
      <c r="D363" s="4" t="s">
        <v>57</v>
      </c>
      <c r="E363" s="4" t="s">
        <v>42</v>
      </c>
      <c r="F363" s="4" t="s">
        <v>26</v>
      </c>
      <c r="G363" s="6">
        <v>48800</v>
      </c>
      <c r="H363" s="5">
        <v>16</v>
      </c>
      <c r="I363" s="7">
        <v>40209</v>
      </c>
      <c r="J363" s="4" t="s">
        <v>27</v>
      </c>
      <c r="K363" s="5">
        <v>3</v>
      </c>
      <c r="L363" s="6">
        <v>9450.81</v>
      </c>
      <c r="M363" s="6">
        <v>56992.160000000003</v>
      </c>
      <c r="N363" s="5">
        <v>39</v>
      </c>
      <c r="O363" s="6">
        <v>43.13</v>
      </c>
      <c r="P363" s="5">
        <v>4</v>
      </c>
      <c r="Q363" s="6">
        <v>5500</v>
      </c>
      <c r="R363" s="6">
        <v>1676.34</v>
      </c>
      <c r="S363" s="6">
        <v>0</v>
      </c>
      <c r="T363" s="6">
        <v>0</v>
      </c>
      <c r="U363" s="5">
        <v>696</v>
      </c>
      <c r="V363" s="5">
        <v>0</v>
      </c>
    </row>
    <row r="364" spans="1:22" x14ac:dyDescent="0.25">
      <c r="A364" s="4" t="s">
        <v>429</v>
      </c>
      <c r="B364" s="5">
        <v>68</v>
      </c>
      <c r="C364" s="4" t="s">
        <v>23</v>
      </c>
      <c r="D364" s="4" t="s">
        <v>62</v>
      </c>
      <c r="E364" s="4" t="s">
        <v>95</v>
      </c>
      <c r="F364" s="4" t="s">
        <v>30</v>
      </c>
      <c r="G364" s="6">
        <v>16700</v>
      </c>
      <c r="H364" s="5">
        <v>11</v>
      </c>
      <c r="I364" s="7">
        <v>42159</v>
      </c>
      <c r="J364" s="4" t="s">
        <v>31</v>
      </c>
      <c r="K364" s="5">
        <v>3</v>
      </c>
      <c r="L364" s="6">
        <v>1434.61</v>
      </c>
      <c r="M364" s="6">
        <v>10592.82</v>
      </c>
      <c r="N364" s="5">
        <v>26</v>
      </c>
      <c r="O364" s="6">
        <v>22.39</v>
      </c>
      <c r="P364" s="5">
        <v>1</v>
      </c>
      <c r="Q364" s="6">
        <v>3500</v>
      </c>
      <c r="R364" s="6">
        <v>460.49</v>
      </c>
      <c r="S364" s="6">
        <v>0</v>
      </c>
      <c r="T364" s="6">
        <v>0</v>
      </c>
      <c r="U364" s="5">
        <v>604</v>
      </c>
      <c r="V364" s="5">
        <v>0</v>
      </c>
    </row>
    <row r="365" spans="1:22" x14ac:dyDescent="0.25">
      <c r="A365" s="4" t="s">
        <v>430</v>
      </c>
      <c r="B365" s="5">
        <v>46</v>
      </c>
      <c r="C365" s="4" t="s">
        <v>33</v>
      </c>
      <c r="D365" s="4" t="s">
        <v>34</v>
      </c>
      <c r="E365" s="4" t="s">
        <v>25</v>
      </c>
      <c r="F365" s="4" t="s">
        <v>30</v>
      </c>
      <c r="G365" s="6">
        <v>62300</v>
      </c>
      <c r="H365" s="5">
        <v>12</v>
      </c>
      <c r="I365" s="7">
        <v>41753</v>
      </c>
      <c r="J365" s="4" t="s">
        <v>31</v>
      </c>
      <c r="K365" s="5">
        <v>3</v>
      </c>
      <c r="L365" s="6">
        <v>11726.49</v>
      </c>
      <c r="M365" s="6">
        <v>57343.07</v>
      </c>
      <c r="N365" s="5">
        <v>37</v>
      </c>
      <c r="O365" s="6">
        <v>62.76</v>
      </c>
      <c r="P365" s="5">
        <v>1</v>
      </c>
      <c r="Q365" s="6">
        <v>0</v>
      </c>
      <c r="R365" s="6">
        <v>0</v>
      </c>
      <c r="S365" s="6">
        <v>0</v>
      </c>
      <c r="T365" s="6">
        <v>0</v>
      </c>
      <c r="U365" s="5">
        <v>694</v>
      </c>
      <c r="V365" s="5">
        <v>0</v>
      </c>
    </row>
    <row r="366" spans="1:22" x14ac:dyDescent="0.25">
      <c r="A366" s="4" t="s">
        <v>431</v>
      </c>
      <c r="B366" s="5">
        <v>53</v>
      </c>
      <c r="C366" s="4" t="s">
        <v>33</v>
      </c>
      <c r="D366" s="4" t="s">
        <v>108</v>
      </c>
      <c r="E366" s="4" t="s">
        <v>67</v>
      </c>
      <c r="F366" s="4" t="s">
        <v>30</v>
      </c>
      <c r="G366" s="6">
        <v>5100</v>
      </c>
      <c r="H366" s="5">
        <v>14</v>
      </c>
      <c r="I366" s="7">
        <v>40834</v>
      </c>
      <c r="J366" s="4" t="s">
        <v>27</v>
      </c>
      <c r="K366" s="5">
        <v>1</v>
      </c>
      <c r="L366" s="6">
        <v>424.15</v>
      </c>
      <c r="M366" s="6">
        <v>0</v>
      </c>
      <c r="N366" s="5">
        <v>18</v>
      </c>
      <c r="O366" s="6">
        <v>45.4</v>
      </c>
      <c r="P366" s="5">
        <v>5</v>
      </c>
      <c r="Q366" s="6">
        <v>500</v>
      </c>
      <c r="R366" s="6">
        <v>218.67</v>
      </c>
      <c r="S366" s="6">
        <v>0</v>
      </c>
      <c r="T366" s="6">
        <v>0</v>
      </c>
      <c r="U366" s="5">
        <v>588</v>
      </c>
      <c r="V366" s="5">
        <v>0</v>
      </c>
    </row>
    <row r="367" spans="1:22" x14ac:dyDescent="0.25">
      <c r="A367" s="4" t="s">
        <v>432</v>
      </c>
      <c r="B367" s="5">
        <v>52</v>
      </c>
      <c r="C367" s="4" t="s">
        <v>33</v>
      </c>
      <c r="D367" s="4" t="s">
        <v>57</v>
      </c>
      <c r="E367" s="4" t="s">
        <v>45</v>
      </c>
      <c r="F367" s="4" t="s">
        <v>30</v>
      </c>
      <c r="G367" s="6">
        <v>19600</v>
      </c>
      <c r="H367" s="5">
        <v>5</v>
      </c>
      <c r="I367" s="7">
        <v>44308</v>
      </c>
      <c r="J367" s="4" t="s">
        <v>27</v>
      </c>
      <c r="K367" s="5">
        <v>5</v>
      </c>
      <c r="L367" s="6">
        <v>2348.52</v>
      </c>
      <c r="M367" s="6">
        <v>4154.71</v>
      </c>
      <c r="N367" s="5">
        <v>31</v>
      </c>
      <c r="O367" s="6">
        <v>116.31</v>
      </c>
      <c r="P367" s="5">
        <v>1</v>
      </c>
      <c r="Q367" s="6">
        <v>4500</v>
      </c>
      <c r="R367" s="6">
        <v>905.83</v>
      </c>
      <c r="S367" s="6">
        <v>0</v>
      </c>
      <c r="T367" s="6">
        <v>0</v>
      </c>
      <c r="U367" s="5">
        <v>628</v>
      </c>
      <c r="V367" s="5">
        <v>0</v>
      </c>
    </row>
    <row r="368" spans="1:22" x14ac:dyDescent="0.25">
      <c r="A368" s="4" t="s">
        <v>433</v>
      </c>
      <c r="B368" s="5">
        <v>53</v>
      </c>
      <c r="C368" s="4" t="s">
        <v>33</v>
      </c>
      <c r="D368" s="4" t="s">
        <v>41</v>
      </c>
      <c r="E368" s="4" t="s">
        <v>35</v>
      </c>
      <c r="F368" s="4" t="s">
        <v>26</v>
      </c>
      <c r="G368" s="6">
        <v>36600</v>
      </c>
      <c r="H368" s="5">
        <v>16</v>
      </c>
      <c r="I368" s="7">
        <v>40343</v>
      </c>
      <c r="J368" s="4" t="s">
        <v>31</v>
      </c>
      <c r="K368" s="5">
        <v>2</v>
      </c>
      <c r="L368" s="6">
        <v>3134.07</v>
      </c>
      <c r="M368" s="6">
        <v>0</v>
      </c>
      <c r="N368" s="5">
        <v>31</v>
      </c>
      <c r="O368" s="6">
        <v>76.89</v>
      </c>
      <c r="P368" s="5">
        <v>5</v>
      </c>
      <c r="Q368" s="6">
        <v>8500</v>
      </c>
      <c r="R368" s="6">
        <v>2165.13</v>
      </c>
      <c r="S368" s="6">
        <v>124000</v>
      </c>
      <c r="T368" s="6">
        <v>742</v>
      </c>
      <c r="U368" s="5">
        <v>634</v>
      </c>
      <c r="V368" s="5">
        <v>0</v>
      </c>
    </row>
    <row r="369" spans="1:22" x14ac:dyDescent="0.25">
      <c r="A369" s="4" t="s">
        <v>434</v>
      </c>
      <c r="B369" s="5">
        <v>40</v>
      </c>
      <c r="C369" s="4" t="s">
        <v>33</v>
      </c>
      <c r="D369" s="4" t="s">
        <v>29</v>
      </c>
      <c r="E369" s="4" t="s">
        <v>63</v>
      </c>
      <c r="F369" s="4" t="s">
        <v>48</v>
      </c>
      <c r="G369" s="6">
        <v>28900</v>
      </c>
      <c r="H369" s="5">
        <v>15</v>
      </c>
      <c r="I369" s="7">
        <v>40577</v>
      </c>
      <c r="J369" s="4" t="s">
        <v>27</v>
      </c>
      <c r="K369" s="5">
        <v>1</v>
      </c>
      <c r="L369" s="6">
        <v>2951.06</v>
      </c>
      <c r="M369" s="6">
        <v>0</v>
      </c>
      <c r="N369" s="5">
        <v>23</v>
      </c>
      <c r="O369" s="6">
        <v>47.65</v>
      </c>
      <c r="P369" s="5">
        <v>4</v>
      </c>
      <c r="Q369" s="6">
        <v>6500</v>
      </c>
      <c r="R369" s="6">
        <v>2334.92</v>
      </c>
      <c r="S369" s="6">
        <v>0</v>
      </c>
      <c r="T369" s="6">
        <v>0</v>
      </c>
      <c r="U369" s="5">
        <v>613</v>
      </c>
      <c r="V369" s="5">
        <v>0</v>
      </c>
    </row>
    <row r="370" spans="1:22" x14ac:dyDescent="0.25">
      <c r="A370" s="4" t="s">
        <v>435</v>
      </c>
      <c r="B370" s="5">
        <v>31</v>
      </c>
      <c r="C370" s="4" t="s">
        <v>23</v>
      </c>
      <c r="D370" s="4" t="s">
        <v>436</v>
      </c>
      <c r="E370" s="4" t="s">
        <v>42</v>
      </c>
      <c r="F370" s="4" t="s">
        <v>30</v>
      </c>
      <c r="G370" s="6">
        <v>49400</v>
      </c>
      <c r="H370" s="5">
        <v>8</v>
      </c>
      <c r="I370" s="7">
        <v>43004</v>
      </c>
      <c r="J370" s="4" t="s">
        <v>31</v>
      </c>
      <c r="K370" s="5">
        <v>2</v>
      </c>
      <c r="L370" s="6">
        <v>2326.71</v>
      </c>
      <c r="M370" s="6">
        <v>34284.769999999997</v>
      </c>
      <c r="N370" s="5">
        <v>39</v>
      </c>
      <c r="O370" s="6">
        <v>59.97</v>
      </c>
      <c r="P370" s="5">
        <v>2</v>
      </c>
      <c r="Q370" s="6">
        <v>0</v>
      </c>
      <c r="R370" s="6">
        <v>0</v>
      </c>
      <c r="S370" s="6">
        <v>0</v>
      </c>
      <c r="T370" s="6">
        <v>0</v>
      </c>
      <c r="U370" s="5">
        <v>662</v>
      </c>
      <c r="V370" s="5">
        <v>0</v>
      </c>
    </row>
    <row r="371" spans="1:22" x14ac:dyDescent="0.25">
      <c r="A371" s="4" t="s">
        <v>437</v>
      </c>
      <c r="B371" s="5">
        <v>58</v>
      </c>
      <c r="C371" s="4" t="s">
        <v>23</v>
      </c>
      <c r="D371" s="4" t="s">
        <v>57</v>
      </c>
      <c r="E371" s="4" t="s">
        <v>54</v>
      </c>
      <c r="F371" s="4" t="s">
        <v>30</v>
      </c>
      <c r="G371" s="6">
        <v>27500</v>
      </c>
      <c r="H371" s="5">
        <v>4</v>
      </c>
      <c r="I371" s="7">
        <v>44469</v>
      </c>
      <c r="J371" s="4" t="s">
        <v>27</v>
      </c>
      <c r="K371" s="5">
        <v>1</v>
      </c>
      <c r="L371" s="6">
        <v>5809.98</v>
      </c>
      <c r="M371" s="6">
        <v>8531.27</v>
      </c>
      <c r="N371" s="5">
        <v>31</v>
      </c>
      <c r="O371" s="6">
        <v>33.06</v>
      </c>
      <c r="P371" s="5">
        <v>5</v>
      </c>
      <c r="Q371" s="6">
        <v>0</v>
      </c>
      <c r="R371" s="6">
        <v>0</v>
      </c>
      <c r="S371" s="6">
        <v>60000</v>
      </c>
      <c r="T371" s="6">
        <v>351</v>
      </c>
      <c r="U371" s="5">
        <v>582</v>
      </c>
      <c r="V371" s="5">
        <v>1</v>
      </c>
    </row>
    <row r="372" spans="1:22" x14ac:dyDescent="0.25">
      <c r="A372" s="4" t="s">
        <v>438</v>
      </c>
      <c r="B372" s="5">
        <v>42</v>
      </c>
      <c r="C372" s="4" t="s">
        <v>33</v>
      </c>
      <c r="D372" s="4" t="s">
        <v>29</v>
      </c>
      <c r="E372" s="4" t="s">
        <v>25</v>
      </c>
      <c r="F372" s="4" t="s">
        <v>30</v>
      </c>
      <c r="G372" s="6">
        <v>25900</v>
      </c>
      <c r="H372" s="5">
        <v>3</v>
      </c>
      <c r="I372" s="7">
        <v>44900</v>
      </c>
      <c r="J372" s="4" t="s">
        <v>27</v>
      </c>
      <c r="K372" s="5">
        <v>1</v>
      </c>
      <c r="L372" s="6">
        <v>4701.71</v>
      </c>
      <c r="M372" s="6">
        <v>8506.9</v>
      </c>
      <c r="N372" s="5">
        <v>31</v>
      </c>
      <c r="O372" s="6">
        <v>52.27</v>
      </c>
      <c r="P372" s="5">
        <v>1</v>
      </c>
      <c r="Q372" s="6">
        <v>0</v>
      </c>
      <c r="R372" s="6">
        <v>0</v>
      </c>
      <c r="S372" s="6">
        <v>0</v>
      </c>
      <c r="T372" s="6">
        <v>0</v>
      </c>
      <c r="U372" s="5">
        <v>579</v>
      </c>
      <c r="V372" s="5">
        <v>0</v>
      </c>
    </row>
    <row r="373" spans="1:22" x14ac:dyDescent="0.25">
      <c r="A373" s="4" t="s">
        <v>439</v>
      </c>
      <c r="B373" s="5">
        <v>34</v>
      </c>
      <c r="C373" s="4" t="s">
        <v>33</v>
      </c>
      <c r="D373" s="4" t="s">
        <v>29</v>
      </c>
      <c r="E373" s="4" t="s">
        <v>25</v>
      </c>
      <c r="F373" s="4" t="s">
        <v>26</v>
      </c>
      <c r="G373" s="6">
        <v>55200</v>
      </c>
      <c r="H373" s="5">
        <v>2</v>
      </c>
      <c r="I373" s="7">
        <v>45325</v>
      </c>
      <c r="J373" s="4" t="s">
        <v>31</v>
      </c>
      <c r="K373" s="5">
        <v>1</v>
      </c>
      <c r="L373" s="6">
        <v>8826.56</v>
      </c>
      <c r="M373" s="6">
        <v>5331.01</v>
      </c>
      <c r="N373" s="5">
        <v>32</v>
      </c>
      <c r="O373" s="6">
        <v>123.56</v>
      </c>
      <c r="P373" s="5">
        <v>2</v>
      </c>
      <c r="Q373" s="6">
        <v>6500</v>
      </c>
      <c r="R373" s="6">
        <v>1835.4</v>
      </c>
      <c r="S373" s="6">
        <v>104000</v>
      </c>
      <c r="T373" s="6">
        <v>581</v>
      </c>
      <c r="U373" s="5">
        <v>655</v>
      </c>
      <c r="V373" s="5">
        <v>0</v>
      </c>
    </row>
    <row r="374" spans="1:22" x14ac:dyDescent="0.25">
      <c r="A374" s="4" t="s">
        <v>440</v>
      </c>
      <c r="B374" s="5">
        <v>48</v>
      </c>
      <c r="C374" s="4" t="s">
        <v>23</v>
      </c>
      <c r="D374" s="4" t="s">
        <v>24</v>
      </c>
      <c r="E374" s="4" t="s">
        <v>45</v>
      </c>
      <c r="F374" s="4" t="s">
        <v>30</v>
      </c>
      <c r="G374" s="6">
        <v>13900</v>
      </c>
      <c r="H374" s="5">
        <v>6</v>
      </c>
      <c r="I374" s="7">
        <v>43846</v>
      </c>
      <c r="J374" s="4" t="s">
        <v>49</v>
      </c>
      <c r="K374" s="5">
        <v>2</v>
      </c>
      <c r="L374" s="6">
        <v>713.98</v>
      </c>
      <c r="M374" s="6">
        <v>8852.92</v>
      </c>
      <c r="N374" s="5">
        <v>15</v>
      </c>
      <c r="O374" s="6">
        <v>43.35</v>
      </c>
      <c r="P374" s="5">
        <v>4</v>
      </c>
      <c r="Q374" s="6">
        <v>0</v>
      </c>
      <c r="R374" s="6">
        <v>0</v>
      </c>
      <c r="S374" s="6">
        <v>0</v>
      </c>
      <c r="T374" s="6">
        <v>0</v>
      </c>
      <c r="U374" s="5">
        <v>522</v>
      </c>
      <c r="V374" s="5">
        <v>0</v>
      </c>
    </row>
    <row r="375" spans="1:22" x14ac:dyDescent="0.25">
      <c r="A375" s="4" t="s">
        <v>441</v>
      </c>
      <c r="B375" s="5">
        <v>45</v>
      </c>
      <c r="C375" s="4" t="s">
        <v>23</v>
      </c>
      <c r="D375" s="4" t="s">
        <v>41</v>
      </c>
      <c r="E375" s="4" t="s">
        <v>54</v>
      </c>
      <c r="F375" s="4" t="s">
        <v>30</v>
      </c>
      <c r="G375" s="6">
        <v>29700</v>
      </c>
      <c r="H375" s="5">
        <v>2</v>
      </c>
      <c r="I375" s="7">
        <v>45357</v>
      </c>
      <c r="J375" s="4" t="s">
        <v>31</v>
      </c>
      <c r="K375" s="5">
        <v>1</v>
      </c>
      <c r="L375" s="6">
        <v>2171.6</v>
      </c>
      <c r="M375" s="6">
        <v>0</v>
      </c>
      <c r="N375" s="5">
        <v>32</v>
      </c>
      <c r="O375" s="6">
        <v>21.72</v>
      </c>
      <c r="P375" s="5">
        <v>4</v>
      </c>
      <c r="Q375" s="6">
        <v>4500</v>
      </c>
      <c r="R375" s="6">
        <v>1028.3599999999999</v>
      </c>
      <c r="S375" s="6">
        <v>76000</v>
      </c>
      <c r="T375" s="6">
        <v>565</v>
      </c>
      <c r="U375" s="5">
        <v>695</v>
      </c>
      <c r="V375" s="5">
        <v>0</v>
      </c>
    </row>
    <row r="376" spans="1:22" x14ac:dyDescent="0.25">
      <c r="A376" s="4" t="s">
        <v>442</v>
      </c>
      <c r="B376" s="5">
        <v>61</v>
      </c>
      <c r="C376" s="4" t="s">
        <v>23</v>
      </c>
      <c r="D376" s="4" t="s">
        <v>98</v>
      </c>
      <c r="E376" s="4" t="s">
        <v>63</v>
      </c>
      <c r="F376" s="4" t="s">
        <v>38</v>
      </c>
      <c r="G376" s="6">
        <v>-999</v>
      </c>
      <c r="H376" s="5">
        <v>16</v>
      </c>
      <c r="I376" s="7">
        <v>40124</v>
      </c>
      <c r="J376" s="4" t="s">
        <v>27</v>
      </c>
      <c r="K376" s="5">
        <v>3</v>
      </c>
      <c r="L376" s="6">
        <v>5420.79</v>
      </c>
      <c r="M376" s="6">
        <v>42825.2</v>
      </c>
      <c r="N376" s="5">
        <v>37</v>
      </c>
      <c r="O376" s="6">
        <v>59.94</v>
      </c>
      <c r="P376" s="5">
        <v>1</v>
      </c>
      <c r="Q376" s="6">
        <v>9500</v>
      </c>
      <c r="R376" s="6">
        <v>5264.4</v>
      </c>
      <c r="S376" s="6">
        <v>0</v>
      </c>
      <c r="T376" s="6">
        <v>0</v>
      </c>
      <c r="U376" s="5">
        <v>681</v>
      </c>
      <c r="V376" s="5">
        <v>0</v>
      </c>
    </row>
    <row r="377" spans="1:22" x14ac:dyDescent="0.25">
      <c r="A377" s="4" t="s">
        <v>443</v>
      </c>
      <c r="B377" s="5">
        <v>64</v>
      </c>
      <c r="C377" s="4" t="s">
        <v>23</v>
      </c>
      <c r="D377" s="4" t="s">
        <v>34</v>
      </c>
      <c r="E377" s="4" t="s">
        <v>25</v>
      </c>
      <c r="F377" s="4" t="s">
        <v>38</v>
      </c>
      <c r="G377" s="6">
        <v>44900</v>
      </c>
      <c r="H377" s="5">
        <v>10</v>
      </c>
      <c r="I377" s="7">
        <v>42478</v>
      </c>
      <c r="J377" s="4" t="s">
        <v>39</v>
      </c>
      <c r="K377" s="5">
        <v>2</v>
      </c>
      <c r="L377" s="6">
        <v>2925.16</v>
      </c>
      <c r="M377" s="6">
        <v>23459.8</v>
      </c>
      <c r="N377" s="5">
        <v>23</v>
      </c>
      <c r="O377" s="6">
        <v>72</v>
      </c>
      <c r="P377" s="5">
        <v>3</v>
      </c>
      <c r="Q377" s="6">
        <v>0</v>
      </c>
      <c r="R377" s="6">
        <v>0</v>
      </c>
      <c r="S377" s="6">
        <v>0</v>
      </c>
      <c r="T377" s="6">
        <v>0</v>
      </c>
      <c r="U377" s="5">
        <v>662</v>
      </c>
      <c r="V377" s="5">
        <v>1</v>
      </c>
    </row>
    <row r="378" spans="1:22" x14ac:dyDescent="0.25">
      <c r="A378" s="4" t="s">
        <v>444</v>
      </c>
      <c r="B378" s="5">
        <v>72</v>
      </c>
      <c r="C378" s="4" t="s">
        <v>33</v>
      </c>
      <c r="D378" s="4" t="s">
        <v>57</v>
      </c>
      <c r="E378" s="4" t="s">
        <v>95</v>
      </c>
      <c r="F378" s="4" t="s">
        <v>26</v>
      </c>
      <c r="G378" s="6">
        <v>18800</v>
      </c>
      <c r="H378" s="5">
        <v>24</v>
      </c>
      <c r="I378" s="7">
        <v>37269</v>
      </c>
      <c r="J378" s="4" t="s">
        <v>39</v>
      </c>
      <c r="K378" s="5">
        <v>3</v>
      </c>
      <c r="L378" s="6">
        <v>975.88</v>
      </c>
      <c r="M378" s="6">
        <v>33622.449999999997</v>
      </c>
      <c r="N378" s="5">
        <v>23</v>
      </c>
      <c r="O378" s="6">
        <v>67.349999999999994</v>
      </c>
      <c r="P378" s="5">
        <v>8</v>
      </c>
      <c r="Q378" s="6">
        <v>0</v>
      </c>
      <c r="R378" s="6">
        <v>0</v>
      </c>
      <c r="S378" s="6">
        <v>0</v>
      </c>
      <c r="T378" s="6">
        <v>0</v>
      </c>
      <c r="U378" s="5">
        <v>599</v>
      </c>
      <c r="V378" s="5">
        <v>0</v>
      </c>
    </row>
    <row r="379" spans="1:22" x14ac:dyDescent="0.25">
      <c r="A379" s="4" t="s">
        <v>445</v>
      </c>
      <c r="B379" s="5">
        <v>63</v>
      </c>
      <c r="C379" s="4" t="s">
        <v>23</v>
      </c>
      <c r="D379" s="4" t="s">
        <v>134</v>
      </c>
      <c r="E379" s="4" t="s">
        <v>63</v>
      </c>
      <c r="F379" s="4" t="s">
        <v>30</v>
      </c>
      <c r="G379" s="6">
        <v>31900</v>
      </c>
      <c r="H379" s="5">
        <v>28</v>
      </c>
      <c r="I379" s="7">
        <v>36016</v>
      </c>
      <c r="J379" s="4" t="s">
        <v>49</v>
      </c>
      <c r="K379" s="5">
        <v>6</v>
      </c>
      <c r="L379" s="6">
        <v>2894.83</v>
      </c>
      <c r="M379" s="6">
        <v>0</v>
      </c>
      <c r="N379" s="5">
        <v>20</v>
      </c>
      <c r="O379" s="6">
        <v>78.38</v>
      </c>
      <c r="P379" s="5">
        <v>1</v>
      </c>
      <c r="Q379" s="6">
        <v>0</v>
      </c>
      <c r="R379" s="6">
        <v>0</v>
      </c>
      <c r="S379" s="6">
        <v>0</v>
      </c>
      <c r="T379" s="6">
        <v>0</v>
      </c>
      <c r="U379" s="5">
        <v>693</v>
      </c>
      <c r="V379" s="5">
        <v>0</v>
      </c>
    </row>
    <row r="380" spans="1:22" x14ac:dyDescent="0.25">
      <c r="A380" s="4" t="s">
        <v>446</v>
      </c>
      <c r="B380" s="5">
        <v>38</v>
      </c>
      <c r="C380" s="4" t="s">
        <v>23</v>
      </c>
      <c r="D380" s="4" t="s">
        <v>436</v>
      </c>
      <c r="E380" s="4" t="s">
        <v>35</v>
      </c>
      <c r="F380" s="4" t="s">
        <v>48</v>
      </c>
      <c r="G380" s="6">
        <v>42500</v>
      </c>
      <c r="H380" s="5">
        <v>6</v>
      </c>
      <c r="I380" s="7">
        <v>43763</v>
      </c>
      <c r="J380" s="4" t="s">
        <v>39</v>
      </c>
      <c r="K380" s="5">
        <v>4</v>
      </c>
      <c r="L380" s="6">
        <v>10462.25</v>
      </c>
      <c r="M380" s="6">
        <v>13567.5</v>
      </c>
      <c r="N380" s="5">
        <v>30</v>
      </c>
      <c r="O380" s="6">
        <v>50.16</v>
      </c>
      <c r="P380" s="5">
        <v>6</v>
      </c>
      <c r="Q380" s="6">
        <v>10000</v>
      </c>
      <c r="R380" s="6">
        <v>3429.71</v>
      </c>
      <c r="S380" s="6">
        <v>0</v>
      </c>
      <c r="T380" s="6">
        <v>0</v>
      </c>
      <c r="U380" s="5">
        <v>650</v>
      </c>
      <c r="V380" s="5">
        <v>0</v>
      </c>
    </row>
    <row r="381" spans="1:22" x14ac:dyDescent="0.25">
      <c r="A381" s="4" t="s">
        <v>447</v>
      </c>
      <c r="B381" s="5">
        <v>64</v>
      </c>
      <c r="C381" s="4" t="s">
        <v>33</v>
      </c>
      <c r="D381" s="4" t="s">
        <v>51</v>
      </c>
      <c r="E381" s="4" t="s">
        <v>63</v>
      </c>
      <c r="F381" s="4" t="s">
        <v>30</v>
      </c>
      <c r="G381" s="6">
        <v>41500</v>
      </c>
      <c r="H381" s="5">
        <v>11</v>
      </c>
      <c r="I381" s="7">
        <v>41992</v>
      </c>
      <c r="J381" s="4" t="s">
        <v>39</v>
      </c>
      <c r="K381" s="5">
        <v>3</v>
      </c>
      <c r="L381" s="6">
        <v>3410.68</v>
      </c>
      <c r="M381" s="6">
        <v>38129.160000000003</v>
      </c>
      <c r="N381" s="5">
        <v>21</v>
      </c>
      <c r="O381" s="6">
        <v>36.78</v>
      </c>
      <c r="P381" s="5">
        <v>4</v>
      </c>
      <c r="Q381" s="6">
        <v>4500</v>
      </c>
      <c r="R381" s="6">
        <v>1141.44</v>
      </c>
      <c r="S381" s="6">
        <v>0</v>
      </c>
      <c r="T381" s="6">
        <v>0</v>
      </c>
      <c r="U381" s="5">
        <v>649</v>
      </c>
      <c r="V381" s="5">
        <v>0</v>
      </c>
    </row>
    <row r="382" spans="1:22" x14ac:dyDescent="0.25">
      <c r="A382" s="4" t="s">
        <v>448</v>
      </c>
      <c r="B382" s="5">
        <v>57</v>
      </c>
      <c r="C382" s="4" t="s">
        <v>23</v>
      </c>
      <c r="D382" s="4" t="s">
        <v>59</v>
      </c>
      <c r="E382" s="4" t="s">
        <v>45</v>
      </c>
      <c r="F382" s="4" t="s">
        <v>48</v>
      </c>
      <c r="G382" s="6">
        <v>30000</v>
      </c>
      <c r="H382" s="5">
        <v>4</v>
      </c>
      <c r="I382" s="7">
        <v>44739</v>
      </c>
      <c r="J382" s="4" t="s">
        <v>27</v>
      </c>
      <c r="K382" s="5">
        <v>1</v>
      </c>
      <c r="L382" s="6">
        <v>1510.64</v>
      </c>
      <c r="M382" s="6">
        <v>13243.28</v>
      </c>
      <c r="N382" s="5">
        <v>33</v>
      </c>
      <c r="O382" s="6">
        <v>66.44</v>
      </c>
      <c r="P382" s="5">
        <v>3</v>
      </c>
      <c r="Q382" s="6">
        <v>6000</v>
      </c>
      <c r="R382" s="6">
        <v>2021.49</v>
      </c>
      <c r="S382" s="6">
        <v>0</v>
      </c>
      <c r="T382" s="6">
        <v>0</v>
      </c>
      <c r="U382" s="5">
        <v>545</v>
      </c>
      <c r="V382" s="5">
        <v>0</v>
      </c>
    </row>
    <row r="383" spans="1:22" x14ac:dyDescent="0.25">
      <c r="A383" s="4" t="s">
        <v>449</v>
      </c>
      <c r="B383" s="5">
        <v>23</v>
      </c>
      <c r="C383" s="4" t="s">
        <v>23</v>
      </c>
      <c r="D383" s="4" t="s">
        <v>41</v>
      </c>
      <c r="E383" s="4" t="s">
        <v>25</v>
      </c>
      <c r="F383" s="4" t="s">
        <v>26</v>
      </c>
      <c r="G383" s="6">
        <v>16600</v>
      </c>
      <c r="H383" s="5">
        <v>1</v>
      </c>
      <c r="I383" s="7">
        <v>45649</v>
      </c>
      <c r="J383" s="4" t="s">
        <v>39</v>
      </c>
      <c r="K383" s="5">
        <v>1</v>
      </c>
      <c r="L383" s="6">
        <v>-843.67</v>
      </c>
      <c r="M383" s="6">
        <v>5791.98</v>
      </c>
      <c r="N383" s="5">
        <v>14</v>
      </c>
      <c r="O383" s="6">
        <v>24.06</v>
      </c>
      <c r="P383" s="5">
        <v>7</v>
      </c>
      <c r="Q383" s="6">
        <v>4000</v>
      </c>
      <c r="R383" s="6">
        <v>784.09</v>
      </c>
      <c r="S383" s="6">
        <v>0</v>
      </c>
      <c r="T383" s="6">
        <v>0</v>
      </c>
      <c r="U383" s="5">
        <v>609</v>
      </c>
      <c r="V383" s="5">
        <v>0</v>
      </c>
    </row>
    <row r="384" spans="1:22" x14ac:dyDescent="0.25">
      <c r="A384" s="4" t="s">
        <v>450</v>
      </c>
      <c r="B384" s="5">
        <v>55</v>
      </c>
      <c r="C384" s="4" t="s">
        <v>23</v>
      </c>
      <c r="D384" s="4" t="s">
        <v>24</v>
      </c>
      <c r="E384" s="4" t="s">
        <v>25</v>
      </c>
      <c r="F384" s="4" t="s">
        <v>38</v>
      </c>
      <c r="G384" s="6">
        <v>26100</v>
      </c>
      <c r="H384" s="5">
        <v>26</v>
      </c>
      <c r="I384" s="7">
        <v>36426</v>
      </c>
      <c r="J384" s="4" t="s">
        <v>39</v>
      </c>
      <c r="K384" s="5">
        <v>3</v>
      </c>
      <c r="L384" s="6">
        <v>2816.53</v>
      </c>
      <c r="M384" s="6">
        <v>33389.4</v>
      </c>
      <c r="N384" s="5">
        <v>20</v>
      </c>
      <c r="O384" s="6">
        <v>51.88</v>
      </c>
      <c r="P384" s="5">
        <v>3</v>
      </c>
      <c r="Q384" s="6">
        <v>4500</v>
      </c>
      <c r="R384" s="6">
        <v>877.53</v>
      </c>
      <c r="S384" s="6">
        <v>61000</v>
      </c>
      <c r="T384" s="6">
        <v>285</v>
      </c>
      <c r="U384" s="5">
        <v>660</v>
      </c>
      <c r="V384" s="5">
        <v>0</v>
      </c>
    </row>
    <row r="385" spans="1:22" x14ac:dyDescent="0.25">
      <c r="A385" s="4" t="s">
        <v>451</v>
      </c>
      <c r="B385" s="5">
        <v>60</v>
      </c>
      <c r="C385" s="4" t="s">
        <v>33</v>
      </c>
      <c r="D385" s="4" t="s">
        <v>72</v>
      </c>
      <c r="E385" s="4" t="s">
        <v>54</v>
      </c>
      <c r="F385" s="4" t="s">
        <v>26</v>
      </c>
      <c r="G385" s="6">
        <v>41700</v>
      </c>
      <c r="H385" s="5">
        <v>9</v>
      </c>
      <c r="I385" s="7">
        <v>42775</v>
      </c>
      <c r="J385" s="4" t="s">
        <v>27</v>
      </c>
      <c r="K385" s="5">
        <v>4</v>
      </c>
      <c r="L385" s="6">
        <v>2986.62</v>
      </c>
      <c r="M385" s="6">
        <v>17984.13</v>
      </c>
      <c r="N385" s="5">
        <v>29</v>
      </c>
      <c r="O385" s="6">
        <v>31.67</v>
      </c>
      <c r="P385" s="5">
        <v>0</v>
      </c>
      <c r="Q385" s="6">
        <v>9500</v>
      </c>
      <c r="R385" s="6">
        <v>2628.28</v>
      </c>
      <c r="S385" s="6">
        <v>0</v>
      </c>
      <c r="T385" s="6">
        <v>0</v>
      </c>
      <c r="U385" s="5">
        <v>538</v>
      </c>
      <c r="V385" s="5">
        <v>0</v>
      </c>
    </row>
    <row r="386" spans="1:22" x14ac:dyDescent="0.25">
      <c r="A386" s="4" t="s">
        <v>452</v>
      </c>
      <c r="B386" s="5">
        <v>43</v>
      </c>
      <c r="C386" s="4" t="s">
        <v>23</v>
      </c>
      <c r="D386" s="4" t="s">
        <v>57</v>
      </c>
      <c r="E386" s="4" t="s">
        <v>54</v>
      </c>
      <c r="F386" s="4" t="s">
        <v>26</v>
      </c>
      <c r="G386" s="6">
        <v>39400</v>
      </c>
      <c r="H386" s="5">
        <v>23</v>
      </c>
      <c r="I386" s="7">
        <v>37693</v>
      </c>
      <c r="J386" s="4" t="s">
        <v>27</v>
      </c>
      <c r="K386" s="5">
        <v>4</v>
      </c>
      <c r="L386" s="6">
        <v>-454.18</v>
      </c>
      <c r="M386" s="6">
        <v>46526.97</v>
      </c>
      <c r="N386" s="5">
        <v>26</v>
      </c>
      <c r="O386" s="6">
        <v>43.8</v>
      </c>
      <c r="P386" s="5">
        <v>4</v>
      </c>
      <c r="Q386" s="6">
        <v>8000</v>
      </c>
      <c r="R386" s="6">
        <v>1154.3399999999999</v>
      </c>
      <c r="S386" s="6">
        <v>0</v>
      </c>
      <c r="T386" s="6">
        <v>0</v>
      </c>
      <c r="U386" s="5">
        <v>696</v>
      </c>
      <c r="V386" s="5">
        <v>1</v>
      </c>
    </row>
    <row r="387" spans="1:22" x14ac:dyDescent="0.25">
      <c r="A387" s="4" t="s">
        <v>453</v>
      </c>
      <c r="B387" s="5">
        <v>25</v>
      </c>
      <c r="C387" s="4" t="s">
        <v>33</v>
      </c>
      <c r="D387" s="4" t="s">
        <v>59</v>
      </c>
      <c r="E387" s="4" t="s">
        <v>35</v>
      </c>
      <c r="F387" s="4" t="s">
        <v>26</v>
      </c>
      <c r="G387" s="6">
        <v>38700</v>
      </c>
      <c r="H387" s="5">
        <v>4</v>
      </c>
      <c r="I387" s="7">
        <v>44602</v>
      </c>
      <c r="J387" s="4" t="s">
        <v>31</v>
      </c>
      <c r="K387" s="5">
        <v>1</v>
      </c>
      <c r="L387" s="6">
        <v>2019.46</v>
      </c>
      <c r="M387" s="6">
        <v>9592.07</v>
      </c>
      <c r="N387" s="5">
        <v>27</v>
      </c>
      <c r="O387" s="6">
        <v>50.83</v>
      </c>
      <c r="P387" s="5">
        <v>1</v>
      </c>
      <c r="Q387" s="6">
        <v>0</v>
      </c>
      <c r="R387" s="6">
        <v>0</v>
      </c>
      <c r="S387" s="6">
        <v>0</v>
      </c>
      <c r="T387" s="6">
        <v>0</v>
      </c>
      <c r="U387" s="5">
        <v>619</v>
      </c>
      <c r="V387" s="5">
        <v>0</v>
      </c>
    </row>
    <row r="388" spans="1:22" x14ac:dyDescent="0.25">
      <c r="A388" s="4" t="s">
        <v>454</v>
      </c>
      <c r="B388" s="5">
        <v>48</v>
      </c>
      <c r="C388" s="4" t="s">
        <v>33</v>
      </c>
      <c r="D388" s="4" t="s">
        <v>59</v>
      </c>
      <c r="E388" s="4" t="s">
        <v>25</v>
      </c>
      <c r="F388" s="4" t="s">
        <v>30</v>
      </c>
      <c r="G388" s="6">
        <v>26800</v>
      </c>
      <c r="H388" s="5">
        <v>9</v>
      </c>
      <c r="I388" s="7">
        <v>42634</v>
      </c>
      <c r="J388" s="4" t="s">
        <v>31</v>
      </c>
      <c r="K388" s="5">
        <v>4</v>
      </c>
      <c r="L388" s="6">
        <v>3601.94</v>
      </c>
      <c r="M388" s="6">
        <v>23180.36</v>
      </c>
      <c r="N388" s="5">
        <v>23</v>
      </c>
      <c r="O388" s="6">
        <v>58.06</v>
      </c>
      <c r="P388" s="5">
        <v>6</v>
      </c>
      <c r="Q388" s="6">
        <v>0</v>
      </c>
      <c r="R388" s="6">
        <v>0</v>
      </c>
      <c r="S388" s="6">
        <v>0</v>
      </c>
      <c r="T388" s="6">
        <v>0</v>
      </c>
      <c r="U388" s="5">
        <v>726</v>
      </c>
      <c r="V388" s="5">
        <v>0</v>
      </c>
    </row>
    <row r="389" spans="1:22" x14ac:dyDescent="0.25">
      <c r="A389" s="4" t="s">
        <v>455</v>
      </c>
      <c r="B389" s="5">
        <v>44</v>
      </c>
      <c r="C389" s="4" t="s">
        <v>23</v>
      </c>
      <c r="D389" s="4" t="s">
        <v>75</v>
      </c>
      <c r="E389" s="4" t="s">
        <v>90</v>
      </c>
      <c r="F389" s="4" t="s">
        <v>30</v>
      </c>
      <c r="G389" s="6">
        <v>77600</v>
      </c>
      <c r="H389" s="5">
        <v>18</v>
      </c>
      <c r="I389" s="7">
        <v>39461</v>
      </c>
      <c r="J389" s="4" t="s">
        <v>27</v>
      </c>
      <c r="K389" s="5">
        <v>5</v>
      </c>
      <c r="L389" s="6">
        <v>4480.99</v>
      </c>
      <c r="M389" s="6">
        <v>63957.09</v>
      </c>
      <c r="N389" s="5">
        <v>50</v>
      </c>
      <c r="O389" s="6">
        <v>106.86</v>
      </c>
      <c r="P389" s="5">
        <v>6</v>
      </c>
      <c r="Q389" s="6">
        <v>12000</v>
      </c>
      <c r="R389" s="6">
        <v>3796.59</v>
      </c>
      <c r="S389" s="6">
        <v>0</v>
      </c>
      <c r="T389" s="6">
        <v>0</v>
      </c>
      <c r="U389" s="5">
        <v>633</v>
      </c>
      <c r="V389" s="5">
        <v>0</v>
      </c>
    </row>
    <row r="390" spans="1:22" x14ac:dyDescent="0.25">
      <c r="A390" s="4" t="s">
        <v>456</v>
      </c>
      <c r="B390" s="5">
        <v>25</v>
      </c>
      <c r="C390" s="4" t="s">
        <v>33</v>
      </c>
      <c r="D390" s="4" t="s">
        <v>57</v>
      </c>
      <c r="E390" s="4" t="s">
        <v>25</v>
      </c>
      <c r="F390" s="4" t="s">
        <v>26</v>
      </c>
      <c r="G390" s="6">
        <v>14800</v>
      </c>
      <c r="H390" s="5">
        <v>0</v>
      </c>
      <c r="I390" s="7">
        <v>46102</v>
      </c>
      <c r="J390" s="4" t="s">
        <v>31</v>
      </c>
      <c r="K390" s="5">
        <v>1</v>
      </c>
      <c r="L390" s="6">
        <v>2774.54</v>
      </c>
      <c r="M390" s="6">
        <v>2298.61</v>
      </c>
      <c r="N390" s="5">
        <v>26</v>
      </c>
      <c r="O390" s="6">
        <v>41.27</v>
      </c>
      <c r="P390" s="5">
        <v>2</v>
      </c>
      <c r="Q390" s="6">
        <v>3500</v>
      </c>
      <c r="R390" s="6">
        <v>264.18</v>
      </c>
      <c r="S390" s="6">
        <v>0</v>
      </c>
      <c r="T390" s="6">
        <v>0</v>
      </c>
      <c r="U390" s="5">
        <v>543</v>
      </c>
      <c r="V390" s="5">
        <v>0</v>
      </c>
    </row>
    <row r="391" spans="1:22" x14ac:dyDescent="0.25">
      <c r="A391" s="4" t="s">
        <v>457</v>
      </c>
      <c r="B391" s="5">
        <v>43</v>
      </c>
      <c r="C391" s="4" t="s">
        <v>33</v>
      </c>
      <c r="D391" s="4" t="s">
        <v>98</v>
      </c>
      <c r="E391" s="4" t="s">
        <v>45</v>
      </c>
      <c r="F391" s="4" t="s">
        <v>30</v>
      </c>
      <c r="G391" s="6">
        <v>24100</v>
      </c>
      <c r="H391" s="5">
        <v>14</v>
      </c>
      <c r="I391" s="7">
        <v>41128</v>
      </c>
      <c r="J391" s="4" t="s">
        <v>39</v>
      </c>
      <c r="K391" s="5">
        <v>3</v>
      </c>
      <c r="L391" s="6">
        <v>5663.03</v>
      </c>
      <c r="M391" s="6">
        <v>0</v>
      </c>
      <c r="N391" s="5">
        <v>19</v>
      </c>
      <c r="O391" s="6">
        <v>30.39</v>
      </c>
      <c r="P391" s="5">
        <v>2</v>
      </c>
      <c r="Q391" s="6">
        <v>4500</v>
      </c>
      <c r="R391" s="6">
        <v>711.04</v>
      </c>
      <c r="S391" s="6">
        <v>53000</v>
      </c>
      <c r="T391" s="6">
        <v>309</v>
      </c>
      <c r="U391" s="5">
        <v>624</v>
      </c>
      <c r="V391" s="5">
        <v>0</v>
      </c>
    </row>
    <row r="392" spans="1:22" x14ac:dyDescent="0.25">
      <c r="A392" s="4" t="s">
        <v>458</v>
      </c>
      <c r="B392" s="5">
        <v>51</v>
      </c>
      <c r="C392" s="4" t="s">
        <v>23</v>
      </c>
      <c r="D392" s="4" t="s">
        <v>72</v>
      </c>
      <c r="E392" s="4" t="s">
        <v>25</v>
      </c>
      <c r="F392" s="4" t="s">
        <v>30</v>
      </c>
      <c r="G392" s="6">
        <v>31200</v>
      </c>
      <c r="H392" s="5">
        <v>9</v>
      </c>
      <c r="I392" s="7">
        <v>42733</v>
      </c>
      <c r="J392" s="4" t="s">
        <v>31</v>
      </c>
      <c r="K392" s="5">
        <v>4</v>
      </c>
      <c r="L392" s="6">
        <v>1784.58</v>
      </c>
      <c r="M392" s="6">
        <v>16290.41</v>
      </c>
      <c r="N392" s="5">
        <v>29</v>
      </c>
      <c r="O392" s="6">
        <v>76.37</v>
      </c>
      <c r="P392" s="5">
        <v>0</v>
      </c>
      <c r="Q392" s="6">
        <v>7500</v>
      </c>
      <c r="R392" s="6">
        <v>2508.4499999999998</v>
      </c>
      <c r="S392" s="6">
        <v>134000</v>
      </c>
      <c r="T392" s="6">
        <v>797</v>
      </c>
      <c r="U392" s="5">
        <v>686</v>
      </c>
      <c r="V392" s="5">
        <v>0</v>
      </c>
    </row>
    <row r="393" spans="1:22" x14ac:dyDescent="0.25">
      <c r="A393" s="4" t="s">
        <v>459</v>
      </c>
      <c r="B393" s="5">
        <v>70</v>
      </c>
      <c r="C393" s="4" t="s">
        <v>33</v>
      </c>
      <c r="D393" s="4" t="s">
        <v>29</v>
      </c>
      <c r="E393" s="4" t="s">
        <v>95</v>
      </c>
      <c r="F393" s="4" t="s">
        <v>48</v>
      </c>
      <c r="G393" s="6">
        <v>28700</v>
      </c>
      <c r="H393" s="5">
        <v>18</v>
      </c>
      <c r="I393" s="7">
        <v>39364</v>
      </c>
      <c r="J393" s="4" t="s">
        <v>39</v>
      </c>
      <c r="K393" s="5">
        <v>4</v>
      </c>
      <c r="L393" s="6">
        <v>4768.17</v>
      </c>
      <c r="M393" s="6">
        <v>25714.53</v>
      </c>
      <c r="N393" s="5">
        <v>21</v>
      </c>
      <c r="O393" s="6">
        <v>44.56</v>
      </c>
      <c r="P393" s="5">
        <v>0</v>
      </c>
      <c r="Q393" s="6">
        <v>0</v>
      </c>
      <c r="R393" s="6">
        <v>0</v>
      </c>
      <c r="S393" s="6">
        <v>0</v>
      </c>
      <c r="T393" s="6">
        <v>0</v>
      </c>
      <c r="U393" s="5">
        <v>679</v>
      </c>
      <c r="V393" s="5">
        <v>0</v>
      </c>
    </row>
    <row r="394" spans="1:22" x14ac:dyDescent="0.25">
      <c r="A394" s="4" t="s">
        <v>460</v>
      </c>
      <c r="B394" s="5">
        <v>37</v>
      </c>
      <c r="C394" s="4" t="s">
        <v>23</v>
      </c>
      <c r="D394" s="4" t="s">
        <v>57</v>
      </c>
      <c r="E394" s="4" t="s">
        <v>54</v>
      </c>
      <c r="F394" s="4" t="s">
        <v>26</v>
      </c>
      <c r="G394" s="6">
        <v>39900</v>
      </c>
      <c r="H394" s="5">
        <v>10</v>
      </c>
      <c r="I394" s="7">
        <v>42384</v>
      </c>
      <c r="J394" s="4" t="s">
        <v>31</v>
      </c>
      <c r="K394" s="5">
        <v>3</v>
      </c>
      <c r="L394" s="6">
        <v>1855.28</v>
      </c>
      <c r="M394" s="6">
        <v>18330.740000000002</v>
      </c>
      <c r="N394" s="5">
        <v>41</v>
      </c>
      <c r="O394" s="6">
        <v>55.45</v>
      </c>
      <c r="P394" s="5">
        <v>4</v>
      </c>
      <c r="Q394" s="6">
        <v>9000</v>
      </c>
      <c r="R394" s="6">
        <v>1722.04</v>
      </c>
      <c r="S394" s="6">
        <v>159000</v>
      </c>
      <c r="T394" s="6">
        <v>1124</v>
      </c>
      <c r="U394" s="5">
        <v>613</v>
      </c>
      <c r="V394" s="5">
        <v>0</v>
      </c>
    </row>
    <row r="395" spans="1:22" x14ac:dyDescent="0.25">
      <c r="A395" s="4" t="s">
        <v>461</v>
      </c>
      <c r="B395" s="5">
        <v>32</v>
      </c>
      <c r="C395" s="4" t="s">
        <v>23</v>
      </c>
      <c r="D395" s="4" t="s">
        <v>98</v>
      </c>
      <c r="E395" s="4" t="s">
        <v>25</v>
      </c>
      <c r="F395" s="4" t="s">
        <v>26</v>
      </c>
      <c r="G395" s="6">
        <v>25200</v>
      </c>
      <c r="H395" s="5">
        <v>0</v>
      </c>
      <c r="I395" s="7">
        <v>46224</v>
      </c>
      <c r="J395" s="4" t="s">
        <v>49</v>
      </c>
      <c r="K395" s="5">
        <v>2</v>
      </c>
      <c r="L395" s="6">
        <v>-2167.2600000000002</v>
      </c>
      <c r="M395" s="6">
        <v>6948.16</v>
      </c>
      <c r="N395" s="5">
        <v>32</v>
      </c>
      <c r="O395" s="6">
        <v>39.35</v>
      </c>
      <c r="P395" s="5">
        <v>2</v>
      </c>
      <c r="Q395" s="6">
        <v>3500</v>
      </c>
      <c r="R395" s="6">
        <v>1309.94</v>
      </c>
      <c r="S395" s="6">
        <v>105000</v>
      </c>
      <c r="T395" s="6">
        <v>776</v>
      </c>
      <c r="U395" s="5">
        <v>548</v>
      </c>
      <c r="V395" s="5">
        <v>0</v>
      </c>
    </row>
    <row r="396" spans="1:22" x14ac:dyDescent="0.25">
      <c r="A396" s="4" t="s">
        <v>462</v>
      </c>
      <c r="B396" s="5">
        <v>37</v>
      </c>
      <c r="C396" s="4" t="s">
        <v>23</v>
      </c>
      <c r="D396" s="4" t="s">
        <v>29</v>
      </c>
      <c r="E396" s="4" t="s">
        <v>42</v>
      </c>
      <c r="F396" s="4" t="s">
        <v>26</v>
      </c>
      <c r="G396" s="6">
        <v>70200</v>
      </c>
      <c r="H396" s="5">
        <v>10</v>
      </c>
      <c r="I396" s="7">
        <v>42496</v>
      </c>
      <c r="J396" s="4" t="s">
        <v>31</v>
      </c>
      <c r="K396" s="5">
        <v>3</v>
      </c>
      <c r="L396" s="6">
        <v>3609.98</v>
      </c>
      <c r="M396" s="6">
        <v>59050.400000000001</v>
      </c>
      <c r="N396" s="5">
        <v>52</v>
      </c>
      <c r="O396" s="6">
        <v>62.52</v>
      </c>
      <c r="P396" s="5">
        <v>0</v>
      </c>
      <c r="Q396" s="6">
        <v>0</v>
      </c>
      <c r="R396" s="6">
        <v>0</v>
      </c>
      <c r="S396" s="6">
        <v>0</v>
      </c>
      <c r="T396" s="6">
        <v>0</v>
      </c>
      <c r="U396" s="5">
        <v>716</v>
      </c>
      <c r="V396" s="5">
        <v>0</v>
      </c>
    </row>
    <row r="397" spans="1:22" x14ac:dyDescent="0.25">
      <c r="A397" s="4" t="s">
        <v>463</v>
      </c>
      <c r="B397" s="5">
        <v>46</v>
      </c>
      <c r="C397" s="4" t="s">
        <v>23</v>
      </c>
      <c r="D397" s="4" t="s">
        <v>51</v>
      </c>
      <c r="E397" s="4" t="s">
        <v>90</v>
      </c>
      <c r="F397" s="4" t="s">
        <v>30</v>
      </c>
      <c r="G397" s="6">
        <v>104100</v>
      </c>
      <c r="H397" s="5">
        <v>5</v>
      </c>
      <c r="I397" s="7">
        <v>44405</v>
      </c>
      <c r="J397" s="4" t="s">
        <v>27</v>
      </c>
      <c r="K397" s="5">
        <v>4</v>
      </c>
      <c r="L397" s="6">
        <v>9066.01</v>
      </c>
      <c r="M397" s="6">
        <v>30160.84</v>
      </c>
      <c r="N397" s="5">
        <v>59</v>
      </c>
      <c r="O397" s="6">
        <v>62.35</v>
      </c>
      <c r="P397" s="5">
        <v>2</v>
      </c>
      <c r="Q397" s="6">
        <v>0</v>
      </c>
      <c r="R397" s="6">
        <v>0</v>
      </c>
      <c r="S397" s="6">
        <v>0</v>
      </c>
      <c r="T397" s="6">
        <v>0</v>
      </c>
      <c r="U397" s="5">
        <v>665</v>
      </c>
      <c r="V397" s="5">
        <v>0</v>
      </c>
    </row>
    <row r="398" spans="1:22" x14ac:dyDescent="0.25">
      <c r="A398" s="4" t="s">
        <v>464</v>
      </c>
      <c r="B398" s="5">
        <v>47</v>
      </c>
      <c r="C398" s="4" t="s">
        <v>23</v>
      </c>
      <c r="D398" s="4" t="s">
        <v>34</v>
      </c>
      <c r="E398" s="4" t="s">
        <v>42</v>
      </c>
      <c r="F398" s="4" t="s">
        <v>30</v>
      </c>
      <c r="G398" s="6">
        <v>72800</v>
      </c>
      <c r="H398" s="5">
        <v>13</v>
      </c>
      <c r="I398" s="7">
        <v>41337</v>
      </c>
      <c r="J398" s="4" t="s">
        <v>31</v>
      </c>
      <c r="K398" s="5">
        <v>2</v>
      </c>
      <c r="L398" s="6">
        <v>5728.74</v>
      </c>
      <c r="M398" s="6">
        <v>61656.6</v>
      </c>
      <c r="N398" s="5">
        <v>53</v>
      </c>
      <c r="O398" s="6">
        <v>65.37</v>
      </c>
      <c r="P398" s="5">
        <v>2</v>
      </c>
      <c r="Q398" s="6">
        <v>7500</v>
      </c>
      <c r="R398" s="6">
        <v>610.59</v>
      </c>
      <c r="S398" s="6">
        <v>0</v>
      </c>
      <c r="T398" s="6">
        <v>0</v>
      </c>
      <c r="U398" s="5">
        <v>772</v>
      </c>
      <c r="V398" s="5">
        <v>0</v>
      </c>
    </row>
    <row r="399" spans="1:22" x14ac:dyDescent="0.25">
      <c r="A399" s="4" t="s">
        <v>465</v>
      </c>
      <c r="B399" s="5">
        <v>45</v>
      </c>
      <c r="C399" s="4" t="s">
        <v>33</v>
      </c>
      <c r="D399" s="4" t="s">
        <v>34</v>
      </c>
      <c r="E399" s="4" t="s">
        <v>54</v>
      </c>
      <c r="F399" s="4" t="s">
        <v>30</v>
      </c>
      <c r="G399" s="6">
        <v>19000</v>
      </c>
      <c r="H399" s="5">
        <v>9</v>
      </c>
      <c r="I399" s="7">
        <v>42782</v>
      </c>
      <c r="J399" s="4" t="s">
        <v>31</v>
      </c>
      <c r="K399" s="5">
        <v>2</v>
      </c>
      <c r="L399" s="6">
        <v>1163.1400000000001</v>
      </c>
      <c r="M399" s="6">
        <v>13436.64</v>
      </c>
      <c r="N399" s="5">
        <v>31</v>
      </c>
      <c r="O399" s="6">
        <v>48.29</v>
      </c>
      <c r="P399" s="5">
        <v>1</v>
      </c>
      <c r="Q399" s="6">
        <v>2000</v>
      </c>
      <c r="R399" s="6">
        <v>1169.96</v>
      </c>
      <c r="S399" s="6">
        <v>0</v>
      </c>
      <c r="T399" s="6">
        <v>0</v>
      </c>
      <c r="U399" s="5">
        <v>568</v>
      </c>
      <c r="V399" s="5">
        <v>0</v>
      </c>
    </row>
    <row r="400" spans="1:22" x14ac:dyDescent="0.25">
      <c r="A400" s="4" t="s">
        <v>466</v>
      </c>
      <c r="B400" s="5">
        <v>42</v>
      </c>
      <c r="C400" s="4" t="s">
        <v>33</v>
      </c>
      <c r="D400" s="4" t="s">
        <v>72</v>
      </c>
      <c r="E400" s="4" t="s">
        <v>25</v>
      </c>
      <c r="F400" s="4" t="s">
        <v>26</v>
      </c>
      <c r="G400" s="6">
        <v>27600</v>
      </c>
      <c r="H400" s="5">
        <v>0</v>
      </c>
      <c r="I400" s="7">
        <v>46147</v>
      </c>
      <c r="J400" s="4" t="s">
        <v>27</v>
      </c>
      <c r="K400" s="5">
        <v>2</v>
      </c>
      <c r="L400" s="6">
        <v>1755.33</v>
      </c>
      <c r="M400" s="6">
        <v>0</v>
      </c>
      <c r="N400" s="5">
        <v>28</v>
      </c>
      <c r="O400" s="6">
        <v>135.51</v>
      </c>
      <c r="P400" s="5">
        <v>2</v>
      </c>
      <c r="Q400" s="6">
        <v>4000</v>
      </c>
      <c r="R400" s="6">
        <v>504.97</v>
      </c>
      <c r="S400" s="6">
        <v>48000</v>
      </c>
      <c r="T400" s="6">
        <v>262</v>
      </c>
      <c r="U400" s="5">
        <v>610</v>
      </c>
      <c r="V400" s="5">
        <v>1</v>
      </c>
    </row>
    <row r="401" spans="1:22" x14ac:dyDescent="0.25">
      <c r="A401" s="4" t="s">
        <v>467</v>
      </c>
      <c r="B401" s="5">
        <v>39</v>
      </c>
      <c r="C401" s="4" t="s">
        <v>33</v>
      </c>
      <c r="D401" s="4" t="s">
        <v>108</v>
      </c>
      <c r="E401" s="4" t="s">
        <v>45</v>
      </c>
      <c r="F401" s="4" t="s">
        <v>30</v>
      </c>
      <c r="G401" s="6">
        <v>20900</v>
      </c>
      <c r="H401" s="5">
        <v>7</v>
      </c>
      <c r="I401" s="7">
        <v>43421</v>
      </c>
      <c r="J401" s="4" t="s">
        <v>39</v>
      </c>
      <c r="K401" s="5">
        <v>1</v>
      </c>
      <c r="L401" s="6">
        <v>844.71</v>
      </c>
      <c r="M401" s="6">
        <v>22338.65</v>
      </c>
      <c r="N401" s="5">
        <v>14</v>
      </c>
      <c r="O401" s="6">
        <v>35.44</v>
      </c>
      <c r="P401" s="5">
        <v>8</v>
      </c>
      <c r="Q401" s="6">
        <v>0</v>
      </c>
      <c r="R401" s="6">
        <v>0</v>
      </c>
      <c r="S401" s="6">
        <v>92000</v>
      </c>
      <c r="T401" s="6">
        <v>649</v>
      </c>
      <c r="U401" s="5">
        <v>640</v>
      </c>
      <c r="V401" s="5">
        <v>0</v>
      </c>
    </row>
    <row r="402" spans="1:22" x14ac:dyDescent="0.25">
      <c r="A402" s="4" t="s">
        <v>468</v>
      </c>
      <c r="B402" s="5">
        <v>21</v>
      </c>
      <c r="C402" s="4" t="s">
        <v>33</v>
      </c>
      <c r="D402" s="4" t="s">
        <v>41</v>
      </c>
      <c r="E402" s="4" t="s">
        <v>25</v>
      </c>
      <c r="F402" s="4" t="s">
        <v>26</v>
      </c>
      <c r="G402" s="6">
        <v>46800</v>
      </c>
      <c r="H402" s="5">
        <v>0</v>
      </c>
      <c r="I402" s="7">
        <v>46186</v>
      </c>
      <c r="J402" s="4" t="s">
        <v>31</v>
      </c>
      <c r="K402" s="5">
        <v>1</v>
      </c>
      <c r="L402" s="6">
        <v>7559.19</v>
      </c>
      <c r="M402" s="6">
        <v>7403.44</v>
      </c>
      <c r="N402" s="5">
        <v>23</v>
      </c>
      <c r="O402" s="6">
        <v>60.26</v>
      </c>
      <c r="P402" s="5">
        <v>2</v>
      </c>
      <c r="Q402" s="6">
        <v>5500</v>
      </c>
      <c r="R402" s="6">
        <v>1312.1</v>
      </c>
      <c r="S402" s="6">
        <v>0</v>
      </c>
      <c r="T402" s="6">
        <v>0</v>
      </c>
      <c r="U402" s="5">
        <v>612</v>
      </c>
      <c r="V402" s="5">
        <v>0</v>
      </c>
    </row>
    <row r="403" spans="1:22" x14ac:dyDescent="0.25">
      <c r="A403" s="4" t="s">
        <v>469</v>
      </c>
      <c r="B403" s="5">
        <v>53</v>
      </c>
      <c r="C403" s="4" t="s">
        <v>33</v>
      </c>
      <c r="D403" s="4" t="s">
        <v>29</v>
      </c>
      <c r="E403" s="4" t="s">
        <v>45</v>
      </c>
      <c r="F403" s="4" t="s">
        <v>30</v>
      </c>
      <c r="G403" s="6">
        <v>31200</v>
      </c>
      <c r="H403" s="5">
        <v>3</v>
      </c>
      <c r="I403" s="7">
        <v>44999</v>
      </c>
      <c r="J403" s="4" t="s">
        <v>31</v>
      </c>
      <c r="K403" s="5">
        <v>1</v>
      </c>
      <c r="L403" s="6">
        <v>1981.86</v>
      </c>
      <c r="M403" s="6">
        <v>29027.97</v>
      </c>
      <c r="N403" s="5">
        <v>37</v>
      </c>
      <c r="O403" s="6">
        <v>55.2</v>
      </c>
      <c r="P403" s="5">
        <v>0</v>
      </c>
      <c r="Q403" s="6">
        <v>4000</v>
      </c>
      <c r="R403" s="6">
        <v>1034.24</v>
      </c>
      <c r="S403" s="6">
        <v>101000</v>
      </c>
      <c r="T403" s="6">
        <v>707</v>
      </c>
      <c r="U403" s="5">
        <v>631</v>
      </c>
      <c r="V403" s="5">
        <v>0</v>
      </c>
    </row>
    <row r="404" spans="1:22" x14ac:dyDescent="0.25">
      <c r="A404" s="4" t="s">
        <v>470</v>
      </c>
      <c r="B404" s="5">
        <v>62</v>
      </c>
      <c r="C404" s="4" t="s">
        <v>23</v>
      </c>
      <c r="D404" s="4" t="s">
        <v>34</v>
      </c>
      <c r="E404" s="4" t="s">
        <v>90</v>
      </c>
      <c r="F404" s="4" t="s">
        <v>38</v>
      </c>
      <c r="G404" s="6">
        <v>134800</v>
      </c>
      <c r="H404" s="5">
        <v>3</v>
      </c>
      <c r="I404" s="7">
        <v>45105</v>
      </c>
      <c r="J404" s="4" t="s">
        <v>31</v>
      </c>
      <c r="K404" s="5">
        <v>2</v>
      </c>
      <c r="L404" s="6">
        <v>8730.35</v>
      </c>
      <c r="M404" s="6">
        <v>47440.33</v>
      </c>
      <c r="N404" s="5">
        <v>61</v>
      </c>
      <c r="O404" s="6">
        <v>130.30000000000001</v>
      </c>
      <c r="P404" s="5">
        <v>3</v>
      </c>
      <c r="Q404" s="6">
        <v>0</v>
      </c>
      <c r="R404" s="6">
        <v>0</v>
      </c>
      <c r="S404" s="6">
        <v>0</v>
      </c>
      <c r="T404" s="6">
        <v>0</v>
      </c>
      <c r="U404" s="5">
        <v>690</v>
      </c>
      <c r="V404" s="5">
        <v>0</v>
      </c>
    </row>
    <row r="405" spans="1:22" x14ac:dyDescent="0.25">
      <c r="A405" s="4" t="s">
        <v>471</v>
      </c>
      <c r="B405" s="5">
        <v>21</v>
      </c>
      <c r="C405" s="4" t="s">
        <v>33</v>
      </c>
      <c r="D405" s="4" t="s">
        <v>34</v>
      </c>
      <c r="E405" s="4" t="s">
        <v>25</v>
      </c>
      <c r="F405" s="4" t="s">
        <v>30</v>
      </c>
      <c r="G405" s="6">
        <v>36000</v>
      </c>
      <c r="H405" s="5">
        <v>2</v>
      </c>
      <c r="I405" s="7">
        <v>45247</v>
      </c>
      <c r="J405" s="4" t="s">
        <v>31</v>
      </c>
      <c r="K405" s="5">
        <v>4</v>
      </c>
      <c r="L405" s="6">
        <v>1683.19</v>
      </c>
      <c r="M405" s="6">
        <v>0</v>
      </c>
      <c r="N405" s="5">
        <v>38</v>
      </c>
      <c r="O405" s="6">
        <v>77.31</v>
      </c>
      <c r="P405" s="5">
        <v>2</v>
      </c>
      <c r="Q405" s="6">
        <v>4000</v>
      </c>
      <c r="R405" s="6">
        <v>915.48</v>
      </c>
      <c r="S405" s="6">
        <v>0</v>
      </c>
      <c r="T405" s="6">
        <v>0</v>
      </c>
      <c r="U405" s="5">
        <v>647</v>
      </c>
      <c r="V405" s="5">
        <v>0</v>
      </c>
    </row>
    <row r="406" spans="1:22" x14ac:dyDescent="0.25">
      <c r="A406" s="4" t="s">
        <v>472</v>
      </c>
      <c r="B406" s="5">
        <v>23</v>
      </c>
      <c r="C406" s="4" t="s">
        <v>23</v>
      </c>
      <c r="D406" s="4" t="s">
        <v>57</v>
      </c>
      <c r="E406" s="4" t="s">
        <v>117</v>
      </c>
      <c r="F406" s="4" t="s">
        <v>26</v>
      </c>
      <c r="G406" s="6">
        <v>6900</v>
      </c>
      <c r="H406" s="5">
        <v>4</v>
      </c>
      <c r="I406" s="7">
        <v>44570</v>
      </c>
      <c r="J406" s="4" t="s">
        <v>49</v>
      </c>
      <c r="K406" s="5">
        <v>2</v>
      </c>
      <c r="L406" s="6">
        <v>952.22</v>
      </c>
      <c r="M406" s="6">
        <v>2733.75</v>
      </c>
      <c r="N406" s="5">
        <v>9</v>
      </c>
      <c r="O406" s="6">
        <v>44.54</v>
      </c>
      <c r="P406" s="5">
        <v>3</v>
      </c>
      <c r="Q406" s="6">
        <v>0</v>
      </c>
      <c r="R406" s="6">
        <v>0</v>
      </c>
      <c r="S406" s="6">
        <v>0</v>
      </c>
      <c r="T406" s="6">
        <v>0</v>
      </c>
      <c r="U406" s="5">
        <v>501</v>
      </c>
      <c r="V406" s="5">
        <v>0</v>
      </c>
    </row>
    <row r="407" spans="1:22" x14ac:dyDescent="0.25">
      <c r="A407" s="4" t="s">
        <v>473</v>
      </c>
      <c r="B407" s="5">
        <v>18</v>
      </c>
      <c r="C407" s="4" t="s">
        <v>23</v>
      </c>
      <c r="D407" s="4" t="s">
        <v>474</v>
      </c>
      <c r="E407" s="4" t="s">
        <v>117</v>
      </c>
      <c r="F407" s="4" t="s">
        <v>26</v>
      </c>
      <c r="G407" s="6">
        <v>7900</v>
      </c>
      <c r="H407" s="5">
        <v>0</v>
      </c>
      <c r="I407" s="7">
        <v>46107</v>
      </c>
      <c r="J407" s="4" t="s">
        <v>49</v>
      </c>
      <c r="K407" s="5">
        <v>4</v>
      </c>
      <c r="L407" s="6">
        <v>248.11</v>
      </c>
      <c r="M407" s="6">
        <v>1747.78</v>
      </c>
      <c r="N407" s="5">
        <v>18</v>
      </c>
      <c r="O407" s="6">
        <v>51.9</v>
      </c>
      <c r="P407" s="5">
        <v>3</v>
      </c>
      <c r="Q407" s="6">
        <v>1000</v>
      </c>
      <c r="R407" s="6">
        <v>64.209999999999994</v>
      </c>
      <c r="S407" s="6">
        <v>0</v>
      </c>
      <c r="T407" s="6">
        <v>0</v>
      </c>
      <c r="U407" s="5">
        <v>448</v>
      </c>
      <c r="V407" s="5">
        <v>1</v>
      </c>
    </row>
    <row r="408" spans="1:22" x14ac:dyDescent="0.25">
      <c r="A408" s="4" t="s">
        <v>475</v>
      </c>
      <c r="B408" s="5">
        <v>65</v>
      </c>
      <c r="C408" s="4" t="s">
        <v>33</v>
      </c>
      <c r="D408" s="4" t="s">
        <v>57</v>
      </c>
      <c r="E408" s="4" t="s">
        <v>54</v>
      </c>
      <c r="F408" s="4" t="s">
        <v>30</v>
      </c>
      <c r="G408" s="6">
        <v>13700</v>
      </c>
      <c r="H408" s="5">
        <v>3</v>
      </c>
      <c r="I408" s="7">
        <v>44939</v>
      </c>
      <c r="J408" s="4" t="s">
        <v>39</v>
      </c>
      <c r="K408" s="5">
        <v>1</v>
      </c>
      <c r="L408" s="6">
        <v>1491.81</v>
      </c>
      <c r="M408" s="6">
        <v>1045.45</v>
      </c>
      <c r="N408" s="5">
        <v>26</v>
      </c>
      <c r="O408" s="6">
        <v>39.869999999999997</v>
      </c>
      <c r="P408" s="5">
        <v>6</v>
      </c>
      <c r="Q408" s="6">
        <v>3000</v>
      </c>
      <c r="R408" s="6">
        <v>744.36</v>
      </c>
      <c r="S408" s="6">
        <v>0</v>
      </c>
      <c r="T408" s="6">
        <v>0</v>
      </c>
      <c r="U408" s="5">
        <v>612</v>
      </c>
      <c r="V408" s="5">
        <v>0</v>
      </c>
    </row>
    <row r="409" spans="1:22" x14ac:dyDescent="0.25">
      <c r="A409" s="4" t="s">
        <v>476</v>
      </c>
      <c r="B409" s="5">
        <v>70</v>
      </c>
      <c r="C409" s="4" t="s">
        <v>23</v>
      </c>
      <c r="D409" s="4" t="s">
        <v>44</v>
      </c>
      <c r="E409" s="4" t="s">
        <v>95</v>
      </c>
      <c r="F409" s="4" t="s">
        <v>30</v>
      </c>
      <c r="G409" s="6">
        <v>37000</v>
      </c>
      <c r="H409" s="5">
        <v>15</v>
      </c>
      <c r="I409" s="7">
        <v>40587</v>
      </c>
      <c r="J409" s="4" t="s">
        <v>27</v>
      </c>
      <c r="K409" s="5">
        <v>3</v>
      </c>
      <c r="L409" s="6">
        <v>4344.78</v>
      </c>
      <c r="M409" s="6">
        <v>55741.41</v>
      </c>
      <c r="N409" s="5">
        <v>26</v>
      </c>
      <c r="O409" s="6">
        <v>37.68</v>
      </c>
      <c r="P409" s="5">
        <v>5</v>
      </c>
      <c r="Q409" s="6">
        <v>0</v>
      </c>
      <c r="R409" s="6">
        <v>0</v>
      </c>
      <c r="S409" s="6">
        <v>0</v>
      </c>
      <c r="T409" s="6">
        <v>0</v>
      </c>
      <c r="U409" s="5">
        <v>703</v>
      </c>
      <c r="V409" s="5">
        <v>0</v>
      </c>
    </row>
    <row r="410" spans="1:22" x14ac:dyDescent="0.25">
      <c r="A410" s="4" t="s">
        <v>477</v>
      </c>
      <c r="B410" s="5">
        <v>30</v>
      </c>
      <c r="C410" s="4" t="s">
        <v>23</v>
      </c>
      <c r="D410" s="4" t="s">
        <v>37</v>
      </c>
      <c r="E410" s="4" t="s">
        <v>25</v>
      </c>
      <c r="F410" s="4" t="s">
        <v>48</v>
      </c>
      <c r="G410" s="6">
        <v>34100</v>
      </c>
      <c r="H410" s="5">
        <v>1</v>
      </c>
      <c r="I410" s="7">
        <v>45608</v>
      </c>
      <c r="J410" s="4" t="s">
        <v>39</v>
      </c>
      <c r="K410" s="5">
        <v>1</v>
      </c>
      <c r="L410" s="6">
        <v>7722.43</v>
      </c>
      <c r="M410" s="6">
        <v>13402.1</v>
      </c>
      <c r="N410" s="5">
        <v>25</v>
      </c>
      <c r="O410" s="6">
        <v>38.71</v>
      </c>
      <c r="P410" s="5">
        <v>4</v>
      </c>
      <c r="Q410" s="6">
        <v>0</v>
      </c>
      <c r="R410" s="6">
        <v>0</v>
      </c>
      <c r="S410" s="6">
        <v>0</v>
      </c>
      <c r="T410" s="6">
        <v>0</v>
      </c>
      <c r="U410" s="5">
        <v>584</v>
      </c>
      <c r="V410" s="5">
        <v>1</v>
      </c>
    </row>
    <row r="411" spans="1:22" x14ac:dyDescent="0.25">
      <c r="A411" s="4" t="s">
        <v>478</v>
      </c>
      <c r="B411" s="5">
        <v>67</v>
      </c>
      <c r="C411" s="4" t="s">
        <v>33</v>
      </c>
      <c r="D411" s="4" t="s">
        <v>37</v>
      </c>
      <c r="E411" s="4" t="s">
        <v>95</v>
      </c>
      <c r="F411" s="4" t="s">
        <v>30</v>
      </c>
      <c r="G411" s="6">
        <v>30000</v>
      </c>
      <c r="H411" s="5">
        <v>14</v>
      </c>
      <c r="I411" s="7">
        <v>41076</v>
      </c>
      <c r="J411" s="4" t="s">
        <v>39</v>
      </c>
      <c r="K411" s="5">
        <v>2</v>
      </c>
      <c r="L411" s="6">
        <v>1236.31</v>
      </c>
      <c r="M411" s="6">
        <v>21598.13</v>
      </c>
      <c r="N411" s="5">
        <v>18</v>
      </c>
      <c r="O411" s="6">
        <v>112.78</v>
      </c>
      <c r="P411" s="5">
        <v>5</v>
      </c>
      <c r="Q411" s="6">
        <v>5000</v>
      </c>
      <c r="R411" s="6">
        <v>1261.8399999999999</v>
      </c>
      <c r="S411" s="6">
        <v>0</v>
      </c>
      <c r="T411" s="6">
        <v>0</v>
      </c>
      <c r="U411" s="5">
        <v>690</v>
      </c>
      <c r="V411" s="5">
        <v>0</v>
      </c>
    </row>
    <row r="412" spans="1:22" x14ac:dyDescent="0.25">
      <c r="A412" s="4" t="s">
        <v>479</v>
      </c>
      <c r="B412" s="5">
        <v>43</v>
      </c>
      <c r="C412" s="4" t="s">
        <v>33</v>
      </c>
      <c r="D412" s="4" t="s">
        <v>34</v>
      </c>
      <c r="E412" s="4" t="s">
        <v>90</v>
      </c>
      <c r="F412" s="4" t="s">
        <v>26</v>
      </c>
      <c r="G412" s="6">
        <v>820000</v>
      </c>
      <c r="H412" s="5">
        <v>3</v>
      </c>
      <c r="I412" s="7">
        <v>45123</v>
      </c>
      <c r="J412" s="4" t="s">
        <v>39</v>
      </c>
      <c r="K412" s="5">
        <v>1</v>
      </c>
      <c r="L412" s="6">
        <v>82000</v>
      </c>
      <c r="M412" s="6">
        <v>1429000</v>
      </c>
      <c r="N412" s="5">
        <v>42</v>
      </c>
      <c r="O412" s="6">
        <v>64.900000000000006</v>
      </c>
      <c r="P412" s="5">
        <v>4</v>
      </c>
      <c r="Q412" s="6">
        <v>15000</v>
      </c>
      <c r="R412" s="6">
        <v>5489.35</v>
      </c>
      <c r="S412" s="6">
        <v>224000</v>
      </c>
      <c r="T412" s="6">
        <v>1446</v>
      </c>
      <c r="U412" s="5">
        <v>801</v>
      </c>
      <c r="V412" s="5">
        <v>1</v>
      </c>
    </row>
    <row r="413" spans="1:22" x14ac:dyDescent="0.25">
      <c r="A413" s="4" t="s">
        <v>480</v>
      </c>
      <c r="B413" s="5">
        <v>18</v>
      </c>
      <c r="C413" s="4" t="s">
        <v>23</v>
      </c>
      <c r="D413" s="4" t="s">
        <v>24</v>
      </c>
      <c r="E413" s="4" t="s">
        <v>117</v>
      </c>
      <c r="F413" s="4" t="s">
        <v>26</v>
      </c>
      <c r="G413" s="6">
        <v>6100</v>
      </c>
      <c r="H413" s="5">
        <v>0</v>
      </c>
      <c r="I413" s="7">
        <v>46025</v>
      </c>
      <c r="J413" s="4" t="s">
        <v>31</v>
      </c>
      <c r="K413" s="5">
        <v>1</v>
      </c>
      <c r="L413" s="6">
        <v>772.56</v>
      </c>
      <c r="M413" s="6">
        <v>766.42</v>
      </c>
      <c r="N413" s="5">
        <v>22</v>
      </c>
      <c r="O413" s="6">
        <v>37.450000000000003</v>
      </c>
      <c r="P413" s="5">
        <v>1</v>
      </c>
      <c r="Q413" s="6">
        <v>1500</v>
      </c>
      <c r="R413" s="6">
        <v>183.41</v>
      </c>
      <c r="S413" s="6">
        <v>0</v>
      </c>
      <c r="T413" s="6">
        <v>0</v>
      </c>
      <c r="U413" s="5">
        <v>506</v>
      </c>
      <c r="V413" s="5">
        <v>1</v>
      </c>
    </row>
    <row r="414" spans="1:22" x14ac:dyDescent="0.25">
      <c r="A414" s="4" t="s">
        <v>481</v>
      </c>
      <c r="B414" s="5">
        <v>42</v>
      </c>
      <c r="C414" s="4" t="s">
        <v>23</v>
      </c>
      <c r="D414" s="4" t="s">
        <v>37</v>
      </c>
      <c r="E414" s="4" t="s">
        <v>45</v>
      </c>
      <c r="F414" s="4" t="s">
        <v>30</v>
      </c>
      <c r="G414" s="6">
        <v>33500</v>
      </c>
      <c r="H414" s="5">
        <v>14</v>
      </c>
      <c r="I414" s="7">
        <v>41070</v>
      </c>
      <c r="J414" s="4" t="s">
        <v>39</v>
      </c>
      <c r="K414" s="5">
        <v>2</v>
      </c>
      <c r="L414" s="6">
        <v>7936.49</v>
      </c>
      <c r="M414" s="6">
        <v>0</v>
      </c>
      <c r="N414" s="5">
        <v>19</v>
      </c>
      <c r="O414" s="6">
        <v>46.03</v>
      </c>
      <c r="P414" s="5">
        <v>7</v>
      </c>
      <c r="Q414" s="6">
        <v>7000</v>
      </c>
      <c r="R414" s="6">
        <v>499.37</v>
      </c>
      <c r="S414" s="6">
        <v>79000</v>
      </c>
      <c r="T414" s="6">
        <v>557</v>
      </c>
      <c r="U414" s="5">
        <v>637</v>
      </c>
      <c r="V414" s="5">
        <v>0</v>
      </c>
    </row>
    <row r="415" spans="1:22" x14ac:dyDescent="0.25">
      <c r="A415" s="4" t="s">
        <v>482</v>
      </c>
      <c r="B415" s="5">
        <v>56</v>
      </c>
      <c r="C415" s="4" t="s">
        <v>33</v>
      </c>
      <c r="D415" s="4" t="s">
        <v>34</v>
      </c>
      <c r="E415" s="4" t="s">
        <v>63</v>
      </c>
      <c r="F415" s="4" t="s">
        <v>26</v>
      </c>
      <c r="G415" s="6">
        <v>50600</v>
      </c>
      <c r="H415" s="5">
        <v>24</v>
      </c>
      <c r="I415" s="7">
        <v>37362</v>
      </c>
      <c r="J415" s="4" t="s">
        <v>27</v>
      </c>
      <c r="K415" s="5">
        <v>3</v>
      </c>
      <c r="L415" s="6">
        <v>3159.42</v>
      </c>
      <c r="M415" s="6">
        <v>105973.4</v>
      </c>
      <c r="N415" s="5">
        <v>28</v>
      </c>
      <c r="O415" s="6">
        <v>135.99</v>
      </c>
      <c r="P415" s="5">
        <v>4</v>
      </c>
      <c r="Q415" s="6">
        <v>0</v>
      </c>
      <c r="R415" s="6">
        <v>0</v>
      </c>
      <c r="S415" s="6">
        <v>169000</v>
      </c>
      <c r="T415" s="6">
        <v>865</v>
      </c>
      <c r="U415" s="5">
        <v>712</v>
      </c>
      <c r="V415" s="5">
        <v>0</v>
      </c>
    </row>
    <row r="416" spans="1:22" x14ac:dyDescent="0.25">
      <c r="A416" s="4" t="s">
        <v>483</v>
      </c>
      <c r="B416" s="5">
        <v>84</v>
      </c>
      <c r="C416" s="4" t="s">
        <v>33</v>
      </c>
      <c r="D416" s="4" t="s">
        <v>51</v>
      </c>
      <c r="E416" s="4" t="s">
        <v>35</v>
      </c>
      <c r="F416" s="4" t="s">
        <v>38</v>
      </c>
      <c r="G416" s="6">
        <v>56300</v>
      </c>
      <c r="H416" s="5">
        <v>26</v>
      </c>
      <c r="I416" s="7">
        <v>36601</v>
      </c>
      <c r="J416" s="4" t="s">
        <v>27</v>
      </c>
      <c r="K416" s="5">
        <v>2</v>
      </c>
      <c r="L416" s="6">
        <v>1979.04</v>
      </c>
      <c r="M416" s="6">
        <v>0</v>
      </c>
      <c r="N416" s="5">
        <v>31</v>
      </c>
      <c r="O416" s="6">
        <v>59.51</v>
      </c>
      <c r="P416" s="5">
        <v>1</v>
      </c>
      <c r="Q416" s="6">
        <v>7000</v>
      </c>
      <c r="R416" s="6">
        <v>887.22</v>
      </c>
      <c r="S416" s="6">
        <v>0</v>
      </c>
      <c r="T416" s="6">
        <v>0</v>
      </c>
      <c r="U416" s="5">
        <v>680</v>
      </c>
      <c r="V416" s="5">
        <v>0</v>
      </c>
    </row>
    <row r="417" spans="1:22" x14ac:dyDescent="0.25">
      <c r="A417" s="4" t="s">
        <v>484</v>
      </c>
      <c r="B417" s="5">
        <v>51</v>
      </c>
      <c r="C417" s="4" t="s">
        <v>23</v>
      </c>
      <c r="D417" s="4" t="s">
        <v>59</v>
      </c>
      <c r="E417" s="4" t="s">
        <v>25</v>
      </c>
      <c r="F417" s="4" t="s">
        <v>48</v>
      </c>
      <c r="G417" s="6">
        <v>55200</v>
      </c>
      <c r="H417" s="5">
        <v>14</v>
      </c>
      <c r="I417" s="7">
        <v>41093</v>
      </c>
      <c r="J417" s="4" t="s">
        <v>49</v>
      </c>
      <c r="K417" s="5">
        <v>4</v>
      </c>
      <c r="L417" s="6">
        <v>9103.4500000000007</v>
      </c>
      <c r="M417" s="6">
        <v>59212.75</v>
      </c>
      <c r="N417" s="5">
        <v>28</v>
      </c>
      <c r="O417" s="6">
        <v>62.01</v>
      </c>
      <c r="P417" s="5">
        <v>2</v>
      </c>
      <c r="Q417" s="6">
        <v>0</v>
      </c>
      <c r="R417" s="6">
        <v>0</v>
      </c>
      <c r="S417" s="6">
        <v>233000</v>
      </c>
      <c r="T417" s="6">
        <v>1294</v>
      </c>
      <c r="U417" s="5">
        <v>731</v>
      </c>
      <c r="V417" s="5">
        <v>0</v>
      </c>
    </row>
    <row r="418" spans="1:22" x14ac:dyDescent="0.25">
      <c r="A418" s="4" t="s">
        <v>485</v>
      </c>
      <c r="B418" s="5">
        <v>18</v>
      </c>
      <c r="C418" s="4" t="s">
        <v>23</v>
      </c>
      <c r="D418" s="4" t="s">
        <v>29</v>
      </c>
      <c r="E418" s="4" t="s">
        <v>67</v>
      </c>
      <c r="F418" s="4" t="s">
        <v>30</v>
      </c>
      <c r="G418" s="6">
        <v>4600</v>
      </c>
      <c r="H418" s="5">
        <v>0</v>
      </c>
      <c r="I418" s="7">
        <v>46062</v>
      </c>
      <c r="J418" s="4" t="s">
        <v>27</v>
      </c>
      <c r="K418" s="5">
        <v>2</v>
      </c>
      <c r="L418" s="6">
        <v>188.81</v>
      </c>
      <c r="M418" s="6">
        <v>586.64</v>
      </c>
      <c r="N418" s="5">
        <v>17</v>
      </c>
      <c r="O418" s="6">
        <v>25.96</v>
      </c>
      <c r="P418" s="5">
        <v>6</v>
      </c>
      <c r="Q418" s="6">
        <v>0</v>
      </c>
      <c r="R418" s="6">
        <v>0</v>
      </c>
      <c r="S418" s="6">
        <v>0</v>
      </c>
      <c r="T418" s="6">
        <v>0</v>
      </c>
      <c r="U418" s="5">
        <v>505</v>
      </c>
      <c r="V418" s="5">
        <v>0</v>
      </c>
    </row>
    <row r="419" spans="1:22" x14ac:dyDescent="0.25">
      <c r="A419" s="4" t="s">
        <v>486</v>
      </c>
      <c r="B419" s="5">
        <v>21</v>
      </c>
      <c r="C419" s="4" t="s">
        <v>33</v>
      </c>
      <c r="D419" s="4" t="s">
        <v>34</v>
      </c>
      <c r="E419" s="4" t="s">
        <v>117</v>
      </c>
      <c r="F419" s="4" t="s">
        <v>26</v>
      </c>
      <c r="G419" s="6">
        <v>5200</v>
      </c>
      <c r="H419" s="5">
        <v>2</v>
      </c>
      <c r="I419" s="7">
        <v>45227</v>
      </c>
      <c r="J419" s="4" t="s">
        <v>31</v>
      </c>
      <c r="K419" s="5">
        <v>2</v>
      </c>
      <c r="L419" s="6">
        <v>510.41</v>
      </c>
      <c r="M419" s="6">
        <v>2084.66</v>
      </c>
      <c r="N419" s="5">
        <v>23</v>
      </c>
      <c r="O419" s="6">
        <v>28.65</v>
      </c>
      <c r="P419" s="5">
        <v>1</v>
      </c>
      <c r="Q419" s="6">
        <v>500</v>
      </c>
      <c r="R419" s="6">
        <v>116.48</v>
      </c>
      <c r="S419" s="6">
        <v>0</v>
      </c>
      <c r="T419" s="6">
        <v>0</v>
      </c>
      <c r="U419" s="5">
        <v>570</v>
      </c>
      <c r="V419" s="5">
        <v>0</v>
      </c>
    </row>
    <row r="420" spans="1:22" x14ac:dyDescent="0.25">
      <c r="A420" s="4" t="s">
        <v>487</v>
      </c>
      <c r="B420" s="5">
        <v>44</v>
      </c>
      <c r="C420" s="4" t="s">
        <v>23</v>
      </c>
      <c r="D420" s="4" t="s">
        <v>34</v>
      </c>
      <c r="E420" s="4" t="s">
        <v>63</v>
      </c>
      <c r="F420" s="4" t="s">
        <v>26</v>
      </c>
      <c r="G420" s="6">
        <v>28400</v>
      </c>
      <c r="H420" s="5">
        <v>9</v>
      </c>
      <c r="I420" s="7">
        <v>42987</v>
      </c>
      <c r="J420" s="4" t="s">
        <v>31</v>
      </c>
      <c r="K420" s="5">
        <v>3</v>
      </c>
      <c r="L420" s="6">
        <v>1881.23</v>
      </c>
      <c r="M420" s="6">
        <v>17210.900000000001</v>
      </c>
      <c r="N420" s="5">
        <v>24</v>
      </c>
      <c r="O420" s="6">
        <v>41.07</v>
      </c>
      <c r="P420" s="5">
        <v>1</v>
      </c>
      <c r="Q420" s="6">
        <v>6500</v>
      </c>
      <c r="R420" s="6">
        <v>2946.05</v>
      </c>
      <c r="S420" s="6">
        <v>0</v>
      </c>
      <c r="T420" s="6">
        <v>0</v>
      </c>
      <c r="U420" s="5">
        <v>576</v>
      </c>
      <c r="V420" s="5">
        <v>0</v>
      </c>
    </row>
    <row r="421" spans="1:22" x14ac:dyDescent="0.25">
      <c r="A421" s="4" t="s">
        <v>488</v>
      </c>
      <c r="B421" s="5">
        <v>18</v>
      </c>
      <c r="C421" s="4" t="s">
        <v>23</v>
      </c>
      <c r="D421" s="4" t="s">
        <v>134</v>
      </c>
      <c r="E421" s="4" t="s">
        <v>117</v>
      </c>
      <c r="F421" s="4" t="s">
        <v>30</v>
      </c>
      <c r="G421" s="6">
        <v>4700</v>
      </c>
      <c r="H421" s="5">
        <v>0</v>
      </c>
      <c r="I421" s="7">
        <v>46263</v>
      </c>
      <c r="J421" s="4" t="s">
        <v>27</v>
      </c>
      <c r="K421" s="5">
        <v>1</v>
      </c>
      <c r="L421" s="6">
        <v>805.25</v>
      </c>
      <c r="M421" s="6">
        <v>0</v>
      </c>
      <c r="N421" s="5">
        <v>19</v>
      </c>
      <c r="O421" s="6">
        <v>44.82</v>
      </c>
      <c r="P421" s="5">
        <v>1</v>
      </c>
      <c r="Q421" s="6">
        <v>1000</v>
      </c>
      <c r="R421" s="6">
        <v>234.42</v>
      </c>
      <c r="S421" s="6">
        <v>0</v>
      </c>
      <c r="T421" s="6">
        <v>0</v>
      </c>
      <c r="U421" s="5">
        <v>585</v>
      </c>
      <c r="V421" s="5">
        <v>0</v>
      </c>
    </row>
    <row r="422" spans="1:22" x14ac:dyDescent="0.25">
      <c r="A422" s="4" t="s">
        <v>215</v>
      </c>
      <c r="B422" s="5">
        <v>53</v>
      </c>
      <c r="C422" s="4" t="s">
        <v>33</v>
      </c>
      <c r="D422" s="4" t="s">
        <v>98</v>
      </c>
      <c r="E422" s="4" t="s">
        <v>45</v>
      </c>
      <c r="F422" s="4" t="s">
        <v>30</v>
      </c>
      <c r="G422" s="6">
        <v>21300</v>
      </c>
      <c r="H422" s="5">
        <v>22</v>
      </c>
      <c r="I422" s="7">
        <v>38139</v>
      </c>
      <c r="J422" s="4" t="s">
        <v>31</v>
      </c>
      <c r="K422" s="5">
        <v>2</v>
      </c>
      <c r="L422" s="6">
        <v>838.69</v>
      </c>
      <c r="M422" s="6">
        <v>71450.94</v>
      </c>
      <c r="N422" s="5">
        <v>35</v>
      </c>
      <c r="O422" s="6">
        <v>38.9</v>
      </c>
      <c r="P422" s="5">
        <v>2</v>
      </c>
      <c r="Q422" s="6">
        <v>4500</v>
      </c>
      <c r="R422" s="6">
        <v>438.96</v>
      </c>
      <c r="S422" s="6">
        <v>0</v>
      </c>
      <c r="T422" s="6">
        <v>0</v>
      </c>
      <c r="U422" s="5">
        <v>600</v>
      </c>
      <c r="V422" s="5">
        <v>0</v>
      </c>
    </row>
    <row r="423" spans="1:22" x14ac:dyDescent="0.25">
      <c r="A423" s="4" t="s">
        <v>489</v>
      </c>
      <c r="B423" s="5">
        <v>35</v>
      </c>
      <c r="C423" s="4" t="s">
        <v>23</v>
      </c>
      <c r="D423" s="4" t="s">
        <v>34</v>
      </c>
      <c r="E423" s="4" t="s">
        <v>25</v>
      </c>
      <c r="F423" s="4" t="s">
        <v>30</v>
      </c>
      <c r="G423" s="6">
        <v>23800</v>
      </c>
      <c r="H423" s="5">
        <v>7</v>
      </c>
      <c r="I423" s="7">
        <v>43583</v>
      </c>
      <c r="J423" s="4" t="s">
        <v>31</v>
      </c>
      <c r="K423" s="5">
        <v>1</v>
      </c>
      <c r="L423" s="6">
        <v>4457.76</v>
      </c>
      <c r="M423" s="6">
        <v>18950.13</v>
      </c>
      <c r="N423" s="5">
        <v>30</v>
      </c>
      <c r="O423" s="6">
        <v>74.510000000000005</v>
      </c>
      <c r="P423" s="5">
        <v>4</v>
      </c>
      <c r="Q423" s="6">
        <v>5500</v>
      </c>
      <c r="R423" s="6">
        <v>2180.44</v>
      </c>
      <c r="S423" s="6">
        <v>0</v>
      </c>
      <c r="T423" s="6">
        <v>0</v>
      </c>
      <c r="U423" s="5">
        <v>655</v>
      </c>
      <c r="V423" s="5">
        <v>0</v>
      </c>
    </row>
    <row r="424" spans="1:22" x14ac:dyDescent="0.25">
      <c r="A424" s="4" t="s">
        <v>490</v>
      </c>
      <c r="B424" s="5">
        <v>54</v>
      </c>
      <c r="C424" s="4" t="s">
        <v>23</v>
      </c>
      <c r="D424" s="4" t="s">
        <v>34</v>
      </c>
      <c r="E424" s="4" t="s">
        <v>90</v>
      </c>
      <c r="F424" s="4" t="s">
        <v>30</v>
      </c>
      <c r="G424" s="6">
        <v>88700</v>
      </c>
      <c r="H424" s="5">
        <v>15</v>
      </c>
      <c r="I424" s="7">
        <v>40729</v>
      </c>
      <c r="J424" s="4" t="s">
        <v>27</v>
      </c>
      <c r="K424" s="5">
        <v>4</v>
      </c>
      <c r="L424" s="6">
        <v>22623.78</v>
      </c>
      <c r="M424" s="6">
        <v>132387.57999999999</v>
      </c>
      <c r="N424" s="5">
        <v>50</v>
      </c>
      <c r="O424" s="6">
        <v>66.91</v>
      </c>
      <c r="P424" s="5">
        <v>2</v>
      </c>
      <c r="Q424" s="6">
        <v>0</v>
      </c>
      <c r="R424" s="6">
        <v>0</v>
      </c>
      <c r="S424" s="6">
        <v>0</v>
      </c>
      <c r="T424" s="6">
        <v>0</v>
      </c>
      <c r="U424" s="5">
        <v>685</v>
      </c>
      <c r="V424" s="5">
        <v>0</v>
      </c>
    </row>
    <row r="425" spans="1:22" x14ac:dyDescent="0.25">
      <c r="A425" s="4" t="s">
        <v>491</v>
      </c>
      <c r="B425" s="5">
        <v>68</v>
      </c>
      <c r="C425" s="4" t="s">
        <v>23</v>
      </c>
      <c r="D425" s="4" t="s">
        <v>34</v>
      </c>
      <c r="E425" s="4" t="s">
        <v>95</v>
      </c>
      <c r="F425" s="4" t="s">
        <v>30</v>
      </c>
      <c r="G425" s="6">
        <v>28600</v>
      </c>
      <c r="H425" s="5">
        <v>19</v>
      </c>
      <c r="I425" s="7">
        <v>39047</v>
      </c>
      <c r="J425" s="4" t="s">
        <v>49</v>
      </c>
      <c r="K425" s="5">
        <v>3</v>
      </c>
      <c r="L425" s="6">
        <v>5953.52</v>
      </c>
      <c r="M425" s="6">
        <v>67990.880000000005</v>
      </c>
      <c r="N425" s="5">
        <v>18</v>
      </c>
      <c r="O425" s="6">
        <v>51.5</v>
      </c>
      <c r="P425" s="5">
        <v>1</v>
      </c>
      <c r="Q425" s="6">
        <v>5000</v>
      </c>
      <c r="R425" s="6">
        <v>821.02</v>
      </c>
      <c r="S425" s="6">
        <v>0</v>
      </c>
      <c r="T425" s="6">
        <v>0</v>
      </c>
      <c r="U425" s="5">
        <v>667</v>
      </c>
      <c r="V425" s="5">
        <v>0</v>
      </c>
    </row>
    <row r="426" spans="1:22" x14ac:dyDescent="0.25">
      <c r="A426" s="4" t="s">
        <v>492</v>
      </c>
      <c r="B426" s="5">
        <v>47</v>
      </c>
      <c r="C426" s="4" t="s">
        <v>23</v>
      </c>
      <c r="D426" s="4" t="s">
        <v>24</v>
      </c>
      <c r="E426" s="4" t="s">
        <v>45</v>
      </c>
      <c r="F426" s="4" t="s">
        <v>26</v>
      </c>
      <c r="G426" s="6">
        <v>44300</v>
      </c>
      <c r="H426" s="5">
        <v>5</v>
      </c>
      <c r="I426" s="7">
        <v>44369</v>
      </c>
      <c r="J426" s="4" t="s">
        <v>31</v>
      </c>
      <c r="K426" s="5">
        <v>3</v>
      </c>
      <c r="L426" s="6">
        <v>-740.64</v>
      </c>
      <c r="M426" s="6">
        <v>21204.29</v>
      </c>
      <c r="N426" s="5">
        <v>37</v>
      </c>
      <c r="O426" s="6">
        <v>81.709999999999994</v>
      </c>
      <c r="P426" s="5">
        <v>2</v>
      </c>
      <c r="Q426" s="6">
        <v>6000</v>
      </c>
      <c r="R426" s="6">
        <v>2175.4899999999998</v>
      </c>
      <c r="S426" s="6">
        <v>0</v>
      </c>
      <c r="T426" s="6">
        <v>0</v>
      </c>
      <c r="U426" s="5">
        <v>704</v>
      </c>
      <c r="V426" s="5">
        <v>0</v>
      </c>
    </row>
    <row r="427" spans="1:22" x14ac:dyDescent="0.25">
      <c r="A427" s="4" t="s">
        <v>493</v>
      </c>
      <c r="B427" s="5">
        <v>56</v>
      </c>
      <c r="C427" s="4" t="s">
        <v>33</v>
      </c>
      <c r="D427" s="4" t="s">
        <v>37</v>
      </c>
      <c r="E427" s="4" t="s">
        <v>25</v>
      </c>
      <c r="F427" s="4" t="s">
        <v>30</v>
      </c>
      <c r="G427" s="6">
        <v>25900</v>
      </c>
      <c r="H427" s="5">
        <v>8</v>
      </c>
      <c r="I427" s="7">
        <v>43280</v>
      </c>
      <c r="J427" s="4" t="s">
        <v>27</v>
      </c>
      <c r="K427" s="5">
        <v>3</v>
      </c>
      <c r="L427" s="6">
        <v>1161.8</v>
      </c>
      <c r="M427" s="6">
        <v>17257.25</v>
      </c>
      <c r="N427" s="5">
        <v>23</v>
      </c>
      <c r="O427" s="6">
        <v>31.6</v>
      </c>
      <c r="P427" s="5">
        <v>3</v>
      </c>
      <c r="Q427" s="6">
        <v>6500</v>
      </c>
      <c r="R427" s="6">
        <v>2663.72</v>
      </c>
      <c r="S427" s="6">
        <v>111000</v>
      </c>
      <c r="T427" s="6">
        <v>645</v>
      </c>
      <c r="U427" s="5">
        <v>624</v>
      </c>
      <c r="V427" s="5">
        <v>1</v>
      </c>
    </row>
    <row r="428" spans="1:22" x14ac:dyDescent="0.25">
      <c r="A428" s="4" t="s">
        <v>494</v>
      </c>
      <c r="B428" s="5">
        <v>59</v>
      </c>
      <c r="C428" s="4" t="s">
        <v>23</v>
      </c>
      <c r="D428" s="4" t="s">
        <v>34</v>
      </c>
      <c r="E428" s="4" t="s">
        <v>45</v>
      </c>
      <c r="F428" s="4" t="s">
        <v>30</v>
      </c>
      <c r="G428" s="6">
        <v>47000</v>
      </c>
      <c r="H428" s="5">
        <v>23</v>
      </c>
      <c r="I428" s="7">
        <v>37654</v>
      </c>
      <c r="J428" s="4" t="s">
        <v>39</v>
      </c>
      <c r="K428" s="5">
        <v>1</v>
      </c>
      <c r="L428" s="6">
        <v>8535.7999999999993</v>
      </c>
      <c r="M428" s="6">
        <v>54342.33</v>
      </c>
      <c r="N428" s="5">
        <v>19</v>
      </c>
      <c r="O428" s="6">
        <v>63.94</v>
      </c>
      <c r="P428" s="5">
        <v>5</v>
      </c>
      <c r="Q428" s="6">
        <v>7000</v>
      </c>
      <c r="R428" s="6">
        <v>1142.77</v>
      </c>
      <c r="S428" s="6">
        <v>93000</v>
      </c>
      <c r="T428" s="6">
        <v>444</v>
      </c>
      <c r="U428" s="5">
        <v>672</v>
      </c>
      <c r="V428" s="5">
        <v>0</v>
      </c>
    </row>
    <row r="429" spans="1:22" x14ac:dyDescent="0.25">
      <c r="A429" s="4" t="s">
        <v>495</v>
      </c>
      <c r="B429" s="5">
        <v>69</v>
      </c>
      <c r="C429" s="4" t="s">
        <v>23</v>
      </c>
      <c r="D429" s="4" t="s">
        <v>34</v>
      </c>
      <c r="E429" s="4" t="s">
        <v>95</v>
      </c>
      <c r="F429" s="4" t="s">
        <v>38</v>
      </c>
      <c r="G429" s="6">
        <v>32300</v>
      </c>
      <c r="H429" s="5">
        <v>15</v>
      </c>
      <c r="I429" s="7">
        <v>40656</v>
      </c>
      <c r="J429" s="4" t="s">
        <v>39</v>
      </c>
      <c r="K429" s="5">
        <v>2</v>
      </c>
      <c r="L429" s="6">
        <v>3679.48</v>
      </c>
      <c r="M429" s="6">
        <v>25056.5</v>
      </c>
      <c r="N429" s="5">
        <v>20</v>
      </c>
      <c r="O429" s="6">
        <v>30.78</v>
      </c>
      <c r="P429" s="5">
        <v>5</v>
      </c>
      <c r="Q429" s="6">
        <v>7500</v>
      </c>
      <c r="R429" s="6">
        <v>5531.78</v>
      </c>
      <c r="S429" s="6">
        <v>0</v>
      </c>
      <c r="T429" s="6">
        <v>0</v>
      </c>
      <c r="U429" s="5">
        <v>685</v>
      </c>
      <c r="V429" s="5">
        <v>0</v>
      </c>
    </row>
    <row r="430" spans="1:22" x14ac:dyDescent="0.25">
      <c r="A430" s="4" t="s">
        <v>496</v>
      </c>
      <c r="B430" s="5">
        <v>59</v>
      </c>
      <c r="C430" s="4" t="s">
        <v>33</v>
      </c>
      <c r="D430" s="4" t="s">
        <v>98</v>
      </c>
      <c r="E430" s="4" t="s">
        <v>67</v>
      </c>
      <c r="F430" s="4" t="s">
        <v>48</v>
      </c>
      <c r="G430" s="6">
        <v>3800</v>
      </c>
      <c r="H430" s="5">
        <v>18</v>
      </c>
      <c r="I430" s="7">
        <v>39431</v>
      </c>
      <c r="J430" s="4" t="s">
        <v>27</v>
      </c>
      <c r="K430" s="5">
        <v>3</v>
      </c>
      <c r="L430" s="6">
        <v>87.17</v>
      </c>
      <c r="M430" s="6">
        <v>0</v>
      </c>
      <c r="N430" s="5">
        <v>27</v>
      </c>
      <c r="O430" s="6">
        <v>29.4</v>
      </c>
      <c r="P430" s="5">
        <v>1</v>
      </c>
      <c r="Q430" s="6">
        <v>1000</v>
      </c>
      <c r="R430" s="6">
        <v>721.84</v>
      </c>
      <c r="S430" s="6">
        <v>0</v>
      </c>
      <c r="T430" s="6">
        <v>0</v>
      </c>
      <c r="U430" s="5">
        <v>500</v>
      </c>
      <c r="V430" s="5">
        <v>2</v>
      </c>
    </row>
    <row r="431" spans="1:22" x14ac:dyDescent="0.25">
      <c r="A431" s="4" t="s">
        <v>497</v>
      </c>
      <c r="B431" s="5">
        <v>52</v>
      </c>
      <c r="C431" s="4" t="s">
        <v>33</v>
      </c>
      <c r="D431" s="4" t="s">
        <v>24</v>
      </c>
      <c r="E431" s="4" t="s">
        <v>45</v>
      </c>
      <c r="F431" s="4" t="s">
        <v>30</v>
      </c>
      <c r="G431" s="6">
        <v>16600</v>
      </c>
      <c r="H431" s="5">
        <v>14</v>
      </c>
      <c r="I431" s="7">
        <v>40994</v>
      </c>
      <c r="J431" s="4" t="s">
        <v>39</v>
      </c>
      <c r="K431" s="5">
        <v>3</v>
      </c>
      <c r="L431" s="6">
        <v>1391.08</v>
      </c>
      <c r="M431" s="6">
        <v>14032.31</v>
      </c>
      <c r="N431" s="5">
        <v>21</v>
      </c>
      <c r="O431" s="6">
        <v>24.36</v>
      </c>
      <c r="P431" s="5">
        <v>7</v>
      </c>
      <c r="Q431" s="6">
        <v>3000</v>
      </c>
      <c r="R431" s="6">
        <v>590.27</v>
      </c>
      <c r="S431" s="6">
        <v>0</v>
      </c>
      <c r="T431" s="6">
        <v>0</v>
      </c>
      <c r="U431" s="5">
        <v>568</v>
      </c>
      <c r="V431" s="5">
        <v>2</v>
      </c>
    </row>
    <row r="432" spans="1:22" x14ac:dyDescent="0.25">
      <c r="A432" s="4" t="s">
        <v>498</v>
      </c>
      <c r="B432" s="5">
        <v>40</v>
      </c>
      <c r="C432" s="4" t="s">
        <v>23</v>
      </c>
      <c r="D432" s="4" t="s">
        <v>34</v>
      </c>
      <c r="E432" s="4" t="s">
        <v>54</v>
      </c>
      <c r="F432" s="4" t="s">
        <v>26</v>
      </c>
      <c r="G432" s="6">
        <v>30800</v>
      </c>
      <c r="H432" s="5">
        <v>7</v>
      </c>
      <c r="I432" s="7">
        <v>43688</v>
      </c>
      <c r="J432" s="4" t="s">
        <v>27</v>
      </c>
      <c r="K432" s="5">
        <v>2</v>
      </c>
      <c r="L432" s="6">
        <v>6564.49</v>
      </c>
      <c r="M432" s="6">
        <v>24564.880000000001</v>
      </c>
      <c r="N432" s="5">
        <v>27</v>
      </c>
      <c r="O432" s="6">
        <v>76.05</v>
      </c>
      <c r="P432" s="5">
        <v>2</v>
      </c>
      <c r="Q432" s="6">
        <v>4000</v>
      </c>
      <c r="R432" s="6">
        <v>1998.91</v>
      </c>
      <c r="S432" s="6">
        <v>152000</v>
      </c>
      <c r="T432" s="6">
        <v>790</v>
      </c>
      <c r="U432" s="5">
        <v>651</v>
      </c>
      <c r="V432" s="5">
        <v>0</v>
      </c>
    </row>
    <row r="433" spans="1:22" x14ac:dyDescent="0.25">
      <c r="A433" s="4" t="s">
        <v>499</v>
      </c>
      <c r="B433" s="5">
        <v>42</v>
      </c>
      <c r="C433" s="4" t="s">
        <v>23</v>
      </c>
      <c r="D433" s="4" t="s">
        <v>29</v>
      </c>
      <c r="E433" s="4" t="s">
        <v>25</v>
      </c>
      <c r="F433" s="4" t="s">
        <v>30</v>
      </c>
      <c r="G433" s="6">
        <v>32000000</v>
      </c>
      <c r="H433" s="5">
        <v>1</v>
      </c>
      <c r="I433" s="7">
        <v>45845</v>
      </c>
      <c r="J433" s="4" t="s">
        <v>27</v>
      </c>
      <c r="K433" s="5">
        <v>1</v>
      </c>
      <c r="L433" s="6">
        <v>1554.58</v>
      </c>
      <c r="M433" s="6">
        <v>6763.79</v>
      </c>
      <c r="N433" s="5">
        <v>35</v>
      </c>
      <c r="O433" s="6">
        <v>50.21</v>
      </c>
      <c r="P433" s="5">
        <v>1</v>
      </c>
      <c r="Q433" s="6">
        <v>7000</v>
      </c>
      <c r="R433" s="6">
        <v>1179.81</v>
      </c>
      <c r="S433" s="6">
        <v>0</v>
      </c>
      <c r="T433" s="6">
        <v>0</v>
      </c>
      <c r="U433" s="5">
        <v>594</v>
      </c>
      <c r="V433" s="5">
        <v>0</v>
      </c>
    </row>
    <row r="434" spans="1:22" x14ac:dyDescent="0.25">
      <c r="A434" s="4" t="s">
        <v>500</v>
      </c>
      <c r="B434" s="5">
        <v>70</v>
      </c>
      <c r="C434" s="4" t="s">
        <v>33</v>
      </c>
      <c r="D434" s="4" t="s">
        <v>62</v>
      </c>
      <c r="E434" s="4" t="s">
        <v>95</v>
      </c>
      <c r="F434" s="4" t="s">
        <v>30</v>
      </c>
      <c r="G434" s="6">
        <v>14300</v>
      </c>
      <c r="H434" s="5">
        <v>33</v>
      </c>
      <c r="I434" s="7">
        <v>33914</v>
      </c>
      <c r="J434" s="4" t="s">
        <v>31</v>
      </c>
      <c r="K434" s="5">
        <v>4</v>
      </c>
      <c r="L434" s="6">
        <v>762.68</v>
      </c>
      <c r="M434" s="6">
        <v>0</v>
      </c>
      <c r="N434" s="5">
        <v>21</v>
      </c>
      <c r="O434" s="6">
        <v>57.59</v>
      </c>
      <c r="P434" s="5">
        <v>1</v>
      </c>
      <c r="Q434" s="6">
        <v>2500</v>
      </c>
      <c r="R434" s="6">
        <v>769.82</v>
      </c>
      <c r="S434" s="6">
        <v>0</v>
      </c>
      <c r="T434" s="6">
        <v>0</v>
      </c>
      <c r="U434" s="5">
        <v>614</v>
      </c>
      <c r="V434" s="5">
        <v>0</v>
      </c>
    </row>
    <row r="435" spans="1:22" x14ac:dyDescent="0.25">
      <c r="A435" s="4" t="s">
        <v>501</v>
      </c>
      <c r="B435" s="5">
        <v>20</v>
      </c>
      <c r="C435" s="4" t="s">
        <v>23</v>
      </c>
      <c r="D435" s="4" t="s">
        <v>29</v>
      </c>
      <c r="E435" s="4" t="s">
        <v>117</v>
      </c>
      <c r="F435" s="4" t="s">
        <v>26</v>
      </c>
      <c r="G435" s="6">
        <v>4400</v>
      </c>
      <c r="H435" s="5">
        <v>0</v>
      </c>
      <c r="I435" s="7">
        <v>46273</v>
      </c>
      <c r="J435" s="4" t="s">
        <v>39</v>
      </c>
      <c r="K435" s="5">
        <v>1</v>
      </c>
      <c r="L435" s="6">
        <v>332.15</v>
      </c>
      <c r="M435" s="6">
        <v>351.64</v>
      </c>
      <c r="N435" s="5">
        <v>17</v>
      </c>
      <c r="O435" s="6">
        <v>41.21</v>
      </c>
      <c r="P435" s="5">
        <v>5</v>
      </c>
      <c r="Q435" s="6">
        <v>500</v>
      </c>
      <c r="R435" s="6">
        <v>57.93</v>
      </c>
      <c r="S435" s="6">
        <v>0</v>
      </c>
      <c r="T435" s="6">
        <v>0</v>
      </c>
      <c r="U435" s="5">
        <v>648</v>
      </c>
      <c r="V435" s="5">
        <v>0</v>
      </c>
    </row>
    <row r="436" spans="1:22" x14ac:dyDescent="0.25">
      <c r="A436" s="4" t="s">
        <v>502</v>
      </c>
      <c r="B436" s="5">
        <v>82</v>
      </c>
      <c r="C436" s="4" t="s">
        <v>33</v>
      </c>
      <c r="D436" s="4" t="s">
        <v>37</v>
      </c>
      <c r="E436" s="4" t="s">
        <v>95</v>
      </c>
      <c r="F436" s="4" t="s">
        <v>38</v>
      </c>
      <c r="G436" s="6">
        <v>22000</v>
      </c>
      <c r="H436" s="5">
        <v>23</v>
      </c>
      <c r="I436" s="7">
        <v>37642</v>
      </c>
      <c r="J436" s="4" t="s">
        <v>39</v>
      </c>
      <c r="K436" s="5">
        <v>2</v>
      </c>
      <c r="L436" s="6">
        <v>3615.22</v>
      </c>
      <c r="M436" s="6">
        <v>0</v>
      </c>
      <c r="N436" s="5">
        <v>20</v>
      </c>
      <c r="O436" s="6">
        <v>71.61</v>
      </c>
      <c r="P436" s="5">
        <v>6</v>
      </c>
      <c r="Q436" s="6">
        <v>0</v>
      </c>
      <c r="R436" s="6">
        <v>0</v>
      </c>
      <c r="S436" s="6">
        <v>0</v>
      </c>
      <c r="T436" s="6">
        <v>0</v>
      </c>
      <c r="U436" s="5">
        <v>646</v>
      </c>
      <c r="V436" s="5">
        <v>0</v>
      </c>
    </row>
    <row r="437" spans="1:22" x14ac:dyDescent="0.25">
      <c r="A437" s="4" t="s">
        <v>503</v>
      </c>
      <c r="B437" s="5">
        <v>28</v>
      </c>
      <c r="C437" s="4" t="s">
        <v>33</v>
      </c>
      <c r="D437" s="4" t="s">
        <v>37</v>
      </c>
      <c r="E437" s="4" t="s">
        <v>45</v>
      </c>
      <c r="F437" s="4" t="s">
        <v>48</v>
      </c>
      <c r="G437" s="6">
        <v>28000</v>
      </c>
      <c r="H437" s="5">
        <v>2</v>
      </c>
      <c r="I437" s="7">
        <v>45315</v>
      </c>
      <c r="J437" s="4" t="s">
        <v>31</v>
      </c>
      <c r="K437" s="5">
        <v>1</v>
      </c>
      <c r="L437" s="6">
        <v>716.16</v>
      </c>
      <c r="M437" s="6">
        <v>7352</v>
      </c>
      <c r="N437" s="5">
        <v>24</v>
      </c>
      <c r="O437" s="6">
        <v>62.86</v>
      </c>
      <c r="P437" s="5">
        <v>2</v>
      </c>
      <c r="Q437" s="6">
        <v>0</v>
      </c>
      <c r="R437" s="6">
        <v>0</v>
      </c>
      <c r="S437" s="6">
        <v>0</v>
      </c>
      <c r="T437" s="6">
        <v>0</v>
      </c>
      <c r="U437" s="5">
        <v>628</v>
      </c>
      <c r="V437" s="5">
        <v>0</v>
      </c>
    </row>
    <row r="438" spans="1:22" x14ac:dyDescent="0.25">
      <c r="A438" s="4" t="s">
        <v>504</v>
      </c>
      <c r="B438" s="5">
        <v>30</v>
      </c>
      <c r="C438" s="4" t="s">
        <v>505</v>
      </c>
      <c r="D438" s="4" t="s">
        <v>34</v>
      </c>
      <c r="E438" s="4" t="s">
        <v>35</v>
      </c>
      <c r="F438" s="4" t="s">
        <v>30</v>
      </c>
      <c r="G438" s="6">
        <v>39200</v>
      </c>
      <c r="H438" s="5">
        <v>2</v>
      </c>
      <c r="I438" s="7">
        <v>45200</v>
      </c>
      <c r="J438" s="4" t="s">
        <v>31</v>
      </c>
      <c r="K438" s="5">
        <v>2</v>
      </c>
      <c r="L438" s="6">
        <v>4395.5200000000004</v>
      </c>
      <c r="M438" s="6">
        <v>8338.81</v>
      </c>
      <c r="N438" s="5">
        <v>32</v>
      </c>
      <c r="O438" s="6">
        <v>56.64</v>
      </c>
      <c r="P438" s="5">
        <v>2</v>
      </c>
      <c r="Q438" s="6">
        <v>0</v>
      </c>
      <c r="R438" s="6">
        <v>0</v>
      </c>
      <c r="S438" s="6">
        <v>158000</v>
      </c>
      <c r="T438" s="6">
        <v>732</v>
      </c>
      <c r="U438" s="5">
        <v>624</v>
      </c>
      <c r="V438" s="5">
        <v>0</v>
      </c>
    </row>
    <row r="439" spans="1:22" x14ac:dyDescent="0.25">
      <c r="A439" s="4" t="s">
        <v>506</v>
      </c>
      <c r="B439" s="5">
        <v>57</v>
      </c>
      <c r="C439" s="4" t="s">
        <v>33</v>
      </c>
      <c r="D439" s="4" t="s">
        <v>57</v>
      </c>
      <c r="E439" s="4" t="s">
        <v>25</v>
      </c>
      <c r="F439" s="4" t="s">
        <v>30</v>
      </c>
      <c r="G439" s="6">
        <v>48600</v>
      </c>
      <c r="H439" s="5">
        <v>13</v>
      </c>
      <c r="I439" s="7">
        <v>41441</v>
      </c>
      <c r="J439" s="4" t="s">
        <v>27</v>
      </c>
      <c r="K439" s="5">
        <v>2</v>
      </c>
      <c r="L439" s="6">
        <v>4143.3599999999997</v>
      </c>
      <c r="M439" s="6">
        <v>95580.1</v>
      </c>
      <c r="N439" s="5">
        <v>31</v>
      </c>
      <c r="O439" s="6">
        <v>79.72</v>
      </c>
      <c r="P439" s="5">
        <v>4</v>
      </c>
      <c r="Q439" s="6">
        <v>7000</v>
      </c>
      <c r="R439" s="6">
        <v>2018.98</v>
      </c>
      <c r="S439" s="6">
        <v>0</v>
      </c>
      <c r="T439" s="6">
        <v>0</v>
      </c>
      <c r="U439" s="5">
        <v>728</v>
      </c>
      <c r="V439" s="5">
        <v>0</v>
      </c>
    </row>
    <row r="440" spans="1:22" x14ac:dyDescent="0.25">
      <c r="A440" s="4" t="s">
        <v>507</v>
      </c>
      <c r="B440" s="5">
        <v>43</v>
      </c>
      <c r="C440" s="4" t="s">
        <v>33</v>
      </c>
      <c r="D440" s="4" t="s">
        <v>57</v>
      </c>
      <c r="E440" s="4" t="s">
        <v>45</v>
      </c>
      <c r="F440" s="4" t="s">
        <v>30</v>
      </c>
      <c r="G440" s="6">
        <v>34300</v>
      </c>
      <c r="H440" s="5">
        <v>0</v>
      </c>
      <c r="I440" s="7">
        <v>45942</v>
      </c>
      <c r="J440" s="4" t="s">
        <v>39</v>
      </c>
      <c r="K440" s="5">
        <v>1</v>
      </c>
      <c r="L440" s="6">
        <v>1397.36</v>
      </c>
      <c r="M440" s="6">
        <v>3463.16</v>
      </c>
      <c r="N440" s="5">
        <v>28</v>
      </c>
      <c r="O440" s="6">
        <v>59.53</v>
      </c>
      <c r="P440" s="5">
        <v>3</v>
      </c>
      <c r="Q440" s="6">
        <v>4500</v>
      </c>
      <c r="R440" s="6">
        <v>2798.77</v>
      </c>
      <c r="S440" s="6">
        <v>0</v>
      </c>
      <c r="T440" s="6">
        <v>0</v>
      </c>
      <c r="U440" s="5">
        <v>559</v>
      </c>
      <c r="V440" s="5">
        <v>1</v>
      </c>
    </row>
    <row r="441" spans="1:22" x14ac:dyDescent="0.25">
      <c r="A441" s="4" t="s">
        <v>508</v>
      </c>
      <c r="B441" s="5">
        <v>35</v>
      </c>
      <c r="C441" s="4" t="s">
        <v>23</v>
      </c>
      <c r="D441" s="4" t="s">
        <v>24</v>
      </c>
      <c r="E441" s="4" t="s">
        <v>90</v>
      </c>
      <c r="F441" s="4" t="s">
        <v>30</v>
      </c>
      <c r="G441" s="6">
        <v>113500</v>
      </c>
      <c r="H441" s="5">
        <v>4</v>
      </c>
      <c r="I441" s="7">
        <v>44580</v>
      </c>
      <c r="J441" s="4" t="s">
        <v>27</v>
      </c>
      <c r="K441" s="5">
        <v>1</v>
      </c>
      <c r="L441" s="6">
        <v>-2033.35</v>
      </c>
      <c r="M441" s="6">
        <v>57801.87</v>
      </c>
      <c r="N441" s="5">
        <v>40</v>
      </c>
      <c r="O441" s="6">
        <v>91.34</v>
      </c>
      <c r="P441" s="5">
        <v>5</v>
      </c>
      <c r="Q441" s="6">
        <v>0</v>
      </c>
      <c r="R441" s="6">
        <v>0</v>
      </c>
      <c r="S441" s="6">
        <v>0</v>
      </c>
      <c r="T441" s="6">
        <v>0</v>
      </c>
      <c r="U441" s="5">
        <v>675</v>
      </c>
      <c r="V441" s="5">
        <v>0</v>
      </c>
    </row>
    <row r="442" spans="1:22" x14ac:dyDescent="0.25">
      <c r="A442" s="4" t="s">
        <v>509</v>
      </c>
      <c r="B442" s="5">
        <v>53</v>
      </c>
      <c r="C442" s="4" t="s">
        <v>23</v>
      </c>
      <c r="D442" s="4" t="s">
        <v>98</v>
      </c>
      <c r="E442" s="4" t="s">
        <v>35</v>
      </c>
      <c r="F442" s="4" t="s">
        <v>38</v>
      </c>
      <c r="G442" s="6">
        <v>41400</v>
      </c>
      <c r="H442" s="5">
        <v>17</v>
      </c>
      <c r="I442" s="7">
        <v>39949</v>
      </c>
      <c r="J442" s="4" t="s">
        <v>39</v>
      </c>
      <c r="K442" s="5">
        <v>3</v>
      </c>
      <c r="L442" s="6">
        <v>1535.36</v>
      </c>
      <c r="M442" s="6">
        <v>0</v>
      </c>
      <c r="N442" s="5">
        <v>24</v>
      </c>
      <c r="O442" s="6">
        <v>56.05</v>
      </c>
      <c r="P442" s="5">
        <v>6</v>
      </c>
      <c r="Q442" s="6">
        <v>6500</v>
      </c>
      <c r="R442" s="6">
        <v>3683.05</v>
      </c>
      <c r="S442" s="6">
        <v>181000</v>
      </c>
      <c r="T442" s="6">
        <v>1091</v>
      </c>
      <c r="U442" s="5">
        <v>645</v>
      </c>
      <c r="V442" s="5">
        <v>0</v>
      </c>
    </row>
    <row r="443" spans="1:22" x14ac:dyDescent="0.25">
      <c r="A443" s="4" t="s">
        <v>510</v>
      </c>
      <c r="B443" s="5">
        <v>34</v>
      </c>
      <c r="C443" s="4" t="s">
        <v>33</v>
      </c>
      <c r="D443" s="4" t="s">
        <v>37</v>
      </c>
      <c r="E443" s="4" t="s">
        <v>25</v>
      </c>
      <c r="F443" s="4" t="s">
        <v>26</v>
      </c>
      <c r="G443" s="6">
        <v>21600</v>
      </c>
      <c r="H443" s="5">
        <v>9</v>
      </c>
      <c r="I443" s="7">
        <v>42966</v>
      </c>
      <c r="J443" s="4" t="s">
        <v>31</v>
      </c>
      <c r="K443" s="5">
        <v>2</v>
      </c>
      <c r="L443" s="6">
        <v>7201.17</v>
      </c>
      <c r="M443" s="6">
        <v>15902.35</v>
      </c>
      <c r="N443" s="5">
        <v>24</v>
      </c>
      <c r="O443" s="6">
        <v>49.43</v>
      </c>
      <c r="P443" s="5">
        <v>1</v>
      </c>
      <c r="Q443" s="6">
        <v>0</v>
      </c>
      <c r="R443" s="6">
        <v>0</v>
      </c>
      <c r="S443" s="6">
        <v>55000</v>
      </c>
      <c r="T443" s="6">
        <v>306</v>
      </c>
      <c r="U443" s="5">
        <v>582</v>
      </c>
      <c r="V443" s="5">
        <v>0</v>
      </c>
    </row>
    <row r="444" spans="1:22" x14ac:dyDescent="0.25">
      <c r="A444" s="4" t="s">
        <v>511</v>
      </c>
      <c r="B444" s="5">
        <v>36</v>
      </c>
      <c r="C444" s="4" t="s">
        <v>23</v>
      </c>
      <c r="D444" s="4" t="s">
        <v>59</v>
      </c>
      <c r="E444" s="4" t="s">
        <v>25</v>
      </c>
      <c r="F444" s="4" t="s">
        <v>30</v>
      </c>
      <c r="G444" s="6">
        <v>12500</v>
      </c>
      <c r="H444" s="5">
        <v>5</v>
      </c>
      <c r="I444" s="7">
        <v>44417</v>
      </c>
      <c r="J444" s="4" t="s">
        <v>27</v>
      </c>
      <c r="K444" s="5">
        <v>1</v>
      </c>
      <c r="L444" s="6">
        <v>1421</v>
      </c>
      <c r="M444" s="6">
        <v>640000</v>
      </c>
      <c r="N444" s="5">
        <v>29</v>
      </c>
      <c r="O444" s="6">
        <v>67.099999999999994</v>
      </c>
      <c r="P444" s="5">
        <v>2</v>
      </c>
      <c r="Q444" s="6">
        <v>2000</v>
      </c>
      <c r="R444" s="6">
        <v>669.97</v>
      </c>
      <c r="S444" s="6">
        <v>0</v>
      </c>
      <c r="T444" s="6">
        <v>0</v>
      </c>
      <c r="U444" s="5">
        <v>552</v>
      </c>
      <c r="V444" s="5">
        <v>0</v>
      </c>
    </row>
    <row r="445" spans="1:22" x14ac:dyDescent="0.25">
      <c r="A445" s="4" t="s">
        <v>512</v>
      </c>
      <c r="B445" s="5">
        <v>45</v>
      </c>
      <c r="C445" s="4" t="s">
        <v>33</v>
      </c>
      <c r="D445" s="4" t="s">
        <v>98</v>
      </c>
      <c r="E445" s="4" t="s">
        <v>54</v>
      </c>
      <c r="F445" s="4" t="s">
        <v>48</v>
      </c>
      <c r="G445" s="6">
        <v>28600</v>
      </c>
      <c r="H445" s="5">
        <v>3</v>
      </c>
      <c r="I445" s="7">
        <v>44922</v>
      </c>
      <c r="J445" s="4" t="s">
        <v>513</v>
      </c>
      <c r="K445" s="5">
        <v>2</v>
      </c>
      <c r="L445" s="6">
        <v>1771.53</v>
      </c>
      <c r="M445" s="6">
        <v>8894</v>
      </c>
      <c r="N445" s="5">
        <v>32</v>
      </c>
      <c r="O445" s="6">
        <v>45.87</v>
      </c>
      <c r="P445" s="5">
        <v>6</v>
      </c>
      <c r="Q445" s="6">
        <v>4500</v>
      </c>
      <c r="R445" s="6">
        <v>1070.3699999999999</v>
      </c>
      <c r="S445" s="6">
        <v>65000</v>
      </c>
      <c r="T445" s="6">
        <v>377</v>
      </c>
      <c r="U445" s="5">
        <v>704</v>
      </c>
      <c r="V445" s="5">
        <v>0</v>
      </c>
    </row>
    <row r="446" spans="1:22" x14ac:dyDescent="0.25">
      <c r="A446" s="4" t="s">
        <v>514</v>
      </c>
      <c r="B446" s="5">
        <v>30</v>
      </c>
      <c r="C446" s="4" t="s">
        <v>33</v>
      </c>
      <c r="D446" s="4" t="s">
        <v>29</v>
      </c>
      <c r="E446" s="4" t="s">
        <v>67</v>
      </c>
      <c r="F446" s="4" t="s">
        <v>30</v>
      </c>
      <c r="G446" s="6">
        <v>6400</v>
      </c>
      <c r="H446" s="5">
        <v>7</v>
      </c>
      <c r="I446" s="7">
        <v>43546</v>
      </c>
      <c r="J446" s="4" t="s">
        <v>31</v>
      </c>
      <c r="K446" s="5">
        <v>1</v>
      </c>
      <c r="L446" s="6">
        <v>946.93</v>
      </c>
      <c r="M446" s="6">
        <v>0</v>
      </c>
      <c r="N446" s="5">
        <v>17</v>
      </c>
      <c r="O446" s="6">
        <v>31.69</v>
      </c>
      <c r="P446" s="5">
        <v>2</v>
      </c>
      <c r="Q446" s="6">
        <v>1500</v>
      </c>
      <c r="R446" s="6">
        <v>73.489999999999995</v>
      </c>
      <c r="S446" s="6">
        <v>0</v>
      </c>
      <c r="T446" s="6">
        <v>0</v>
      </c>
      <c r="U446" s="5">
        <v>576</v>
      </c>
      <c r="V446" s="5">
        <v>1</v>
      </c>
    </row>
    <row r="447" spans="1:22" x14ac:dyDescent="0.25">
      <c r="A447" s="4" t="s">
        <v>515</v>
      </c>
      <c r="B447" s="5">
        <v>55</v>
      </c>
      <c r="C447" s="4" t="s">
        <v>33</v>
      </c>
      <c r="D447" s="4" t="s">
        <v>72</v>
      </c>
      <c r="E447" s="4" t="s">
        <v>54</v>
      </c>
      <c r="F447" s="4" t="s">
        <v>30</v>
      </c>
      <c r="G447" s="6">
        <v>43600</v>
      </c>
      <c r="H447" s="5">
        <v>15</v>
      </c>
      <c r="I447" s="7">
        <v>40477</v>
      </c>
      <c r="J447" s="4" t="s">
        <v>39</v>
      </c>
      <c r="K447" s="5">
        <v>2</v>
      </c>
      <c r="L447" s="6">
        <v>1645.46</v>
      </c>
      <c r="M447" s="6">
        <v>0</v>
      </c>
      <c r="N447" s="5">
        <v>19</v>
      </c>
      <c r="O447" s="6">
        <v>61.3</v>
      </c>
      <c r="P447" s="5">
        <v>4</v>
      </c>
      <c r="Q447" s="6">
        <v>8000</v>
      </c>
      <c r="R447" s="6">
        <v>3614.41</v>
      </c>
      <c r="S447" s="6">
        <v>112000</v>
      </c>
      <c r="T447" s="6">
        <v>729</v>
      </c>
      <c r="U447" s="5">
        <v>628</v>
      </c>
      <c r="V447" s="5">
        <v>2</v>
      </c>
    </row>
    <row r="448" spans="1:22" x14ac:dyDescent="0.25">
      <c r="A448" s="4" t="s">
        <v>516</v>
      </c>
      <c r="B448" s="5">
        <v>45</v>
      </c>
      <c r="C448" s="4" t="s">
        <v>23</v>
      </c>
      <c r="D448" s="4" t="s">
        <v>37</v>
      </c>
      <c r="E448" s="4" t="s">
        <v>25</v>
      </c>
      <c r="F448" s="4" t="s">
        <v>38</v>
      </c>
      <c r="G448" s="6">
        <v>39600</v>
      </c>
      <c r="H448" s="5">
        <v>9</v>
      </c>
      <c r="I448" s="7">
        <v>42980</v>
      </c>
      <c r="J448" s="4" t="s">
        <v>31</v>
      </c>
      <c r="K448" s="5">
        <v>1</v>
      </c>
      <c r="L448" s="6">
        <v>1631.16</v>
      </c>
      <c r="M448" s="6">
        <v>27681.85</v>
      </c>
      <c r="N448" s="5">
        <v>37</v>
      </c>
      <c r="O448" s="6">
        <v>48.75</v>
      </c>
      <c r="P448" s="5">
        <v>1</v>
      </c>
      <c r="Q448" s="6">
        <v>7500</v>
      </c>
      <c r="R448" s="6">
        <v>487.74</v>
      </c>
      <c r="S448" s="6">
        <v>93000</v>
      </c>
      <c r="T448" s="6">
        <v>630</v>
      </c>
      <c r="U448" s="5">
        <v>712</v>
      </c>
      <c r="V448" s="5">
        <v>0</v>
      </c>
    </row>
    <row r="449" spans="1:22" x14ac:dyDescent="0.25">
      <c r="A449" s="4" t="s">
        <v>517</v>
      </c>
      <c r="B449" s="5">
        <v>47</v>
      </c>
      <c r="C449" s="4" t="s">
        <v>33</v>
      </c>
      <c r="D449" s="4" t="s">
        <v>29</v>
      </c>
      <c r="E449" s="4" t="s">
        <v>35</v>
      </c>
      <c r="F449" s="4" t="s">
        <v>30</v>
      </c>
      <c r="G449" s="6">
        <v>59500</v>
      </c>
      <c r="H449" s="5">
        <v>12</v>
      </c>
      <c r="I449" s="7">
        <v>41558</v>
      </c>
      <c r="J449" s="4" t="s">
        <v>39</v>
      </c>
      <c r="K449" s="5">
        <v>4</v>
      </c>
      <c r="L449" s="6">
        <v>11042.04</v>
      </c>
      <c r="M449" s="6">
        <v>0</v>
      </c>
      <c r="N449" s="5">
        <v>31</v>
      </c>
      <c r="O449" s="6">
        <v>60.43</v>
      </c>
      <c r="P449" s="5">
        <v>2</v>
      </c>
      <c r="Q449" s="6">
        <v>6500</v>
      </c>
      <c r="R449" s="6">
        <v>324.72000000000003</v>
      </c>
      <c r="S449" s="6">
        <v>286000</v>
      </c>
      <c r="T449" s="6">
        <v>1630</v>
      </c>
      <c r="U449" s="5">
        <v>619</v>
      </c>
      <c r="V449" s="5">
        <v>0</v>
      </c>
    </row>
    <row r="450" spans="1:22" x14ac:dyDescent="0.25">
      <c r="A450" s="4" t="s">
        <v>518</v>
      </c>
      <c r="B450" s="5">
        <v>58</v>
      </c>
      <c r="C450" s="4" t="s">
        <v>23</v>
      </c>
      <c r="D450" s="4" t="s">
        <v>34</v>
      </c>
      <c r="E450" s="4" t="s">
        <v>67</v>
      </c>
      <c r="F450" s="4" t="s">
        <v>30</v>
      </c>
      <c r="G450" s="6">
        <v>5100</v>
      </c>
      <c r="H450" s="5">
        <v>3</v>
      </c>
      <c r="I450" s="7">
        <v>44891</v>
      </c>
      <c r="J450" s="4" t="s">
        <v>49</v>
      </c>
      <c r="K450" s="5">
        <v>3</v>
      </c>
      <c r="L450" s="6">
        <v>-290.86</v>
      </c>
      <c r="M450" s="6">
        <v>0</v>
      </c>
      <c r="N450" s="5">
        <v>10</v>
      </c>
      <c r="O450" s="6">
        <v>24.41</v>
      </c>
      <c r="P450" s="5">
        <v>3</v>
      </c>
      <c r="Q450" s="6">
        <v>1000</v>
      </c>
      <c r="R450" s="6">
        <v>321.52999999999997</v>
      </c>
      <c r="S450" s="6">
        <v>20000</v>
      </c>
      <c r="T450" s="6">
        <v>108</v>
      </c>
      <c r="U450" s="5">
        <v>600</v>
      </c>
      <c r="V450" s="5">
        <v>0</v>
      </c>
    </row>
    <row r="451" spans="1:22" x14ac:dyDescent="0.25">
      <c r="A451" s="4" t="s">
        <v>519</v>
      </c>
      <c r="B451" s="5">
        <v>66</v>
      </c>
      <c r="C451" s="4" t="s">
        <v>33</v>
      </c>
      <c r="D451" s="4" t="s">
        <v>44</v>
      </c>
      <c r="E451" s="4" t="s">
        <v>95</v>
      </c>
      <c r="F451" s="4" t="s">
        <v>30</v>
      </c>
      <c r="G451" s="6">
        <v>14000</v>
      </c>
      <c r="H451" s="5">
        <v>31</v>
      </c>
      <c r="I451" s="7">
        <v>34672</v>
      </c>
      <c r="J451" s="4" t="s">
        <v>39</v>
      </c>
      <c r="K451" s="5">
        <v>5</v>
      </c>
      <c r="L451" s="6">
        <v>-247.53</v>
      </c>
      <c r="M451" s="6">
        <v>29790.74</v>
      </c>
      <c r="N451" s="5">
        <v>19</v>
      </c>
      <c r="O451" s="6">
        <v>71.47</v>
      </c>
      <c r="P451" s="5">
        <v>3</v>
      </c>
      <c r="Q451" s="6">
        <v>3000</v>
      </c>
      <c r="R451" s="6">
        <v>1252.43</v>
      </c>
      <c r="S451" s="6">
        <v>0</v>
      </c>
      <c r="T451" s="6">
        <v>0</v>
      </c>
      <c r="U451" s="5">
        <v>590</v>
      </c>
      <c r="V451" s="5">
        <v>0</v>
      </c>
    </row>
    <row r="452" spans="1:22" x14ac:dyDescent="0.25">
      <c r="A452" s="4" t="s">
        <v>520</v>
      </c>
      <c r="B452" s="5">
        <v>60</v>
      </c>
      <c r="C452" s="4" t="s">
        <v>23</v>
      </c>
      <c r="D452" s="4" t="s">
        <v>34</v>
      </c>
      <c r="E452" s="4" t="s">
        <v>25</v>
      </c>
      <c r="F452" s="4" t="s">
        <v>30</v>
      </c>
      <c r="G452" s="6">
        <v>37700</v>
      </c>
      <c r="H452" s="5">
        <v>25</v>
      </c>
      <c r="I452" s="7">
        <v>36871</v>
      </c>
      <c r="J452" s="4" t="s">
        <v>27</v>
      </c>
      <c r="K452" s="5">
        <v>2</v>
      </c>
      <c r="L452" s="6">
        <v>6642.6</v>
      </c>
      <c r="M452" s="6">
        <v>0</v>
      </c>
      <c r="N452" s="5">
        <v>38</v>
      </c>
      <c r="O452" s="6">
        <v>41.79</v>
      </c>
      <c r="P452" s="5">
        <v>4</v>
      </c>
      <c r="Q452" s="6">
        <v>0</v>
      </c>
      <c r="R452" s="6">
        <v>0</v>
      </c>
      <c r="S452" s="6">
        <v>0</v>
      </c>
      <c r="T452" s="6">
        <v>0</v>
      </c>
      <c r="U452" s="5">
        <v>736</v>
      </c>
      <c r="V452" s="5">
        <v>0</v>
      </c>
    </row>
    <row r="453" spans="1:22" x14ac:dyDescent="0.25">
      <c r="A453" s="4" t="s">
        <v>521</v>
      </c>
      <c r="B453" s="5">
        <v>55</v>
      </c>
      <c r="C453" s="4" t="s">
        <v>23</v>
      </c>
      <c r="D453" s="4" t="s">
        <v>34</v>
      </c>
      <c r="E453" s="4" t="s">
        <v>25</v>
      </c>
      <c r="F453" s="4" t="s">
        <v>30</v>
      </c>
      <c r="G453" s="6">
        <v>39600</v>
      </c>
      <c r="H453" s="5">
        <v>8</v>
      </c>
      <c r="I453" s="7">
        <v>43182</v>
      </c>
      <c r="J453" s="4" t="s">
        <v>39</v>
      </c>
      <c r="K453" s="5">
        <v>1</v>
      </c>
      <c r="L453" s="6">
        <v>2044.82</v>
      </c>
      <c r="M453" s="6">
        <v>32303.57</v>
      </c>
      <c r="N453" s="5">
        <v>22</v>
      </c>
      <c r="O453" s="6">
        <v>70.47</v>
      </c>
      <c r="P453" s="5">
        <v>4</v>
      </c>
      <c r="Q453" s="6">
        <v>0</v>
      </c>
      <c r="R453" s="6">
        <v>0</v>
      </c>
      <c r="S453" s="6">
        <v>88000</v>
      </c>
      <c r="T453" s="6">
        <v>639</v>
      </c>
      <c r="U453" s="5">
        <v>709</v>
      </c>
      <c r="V453" s="5">
        <v>0</v>
      </c>
    </row>
    <row r="454" spans="1:22" x14ac:dyDescent="0.25">
      <c r="A454" s="4" t="s">
        <v>522</v>
      </c>
      <c r="B454" s="5">
        <v>26</v>
      </c>
      <c r="C454" s="4" t="s">
        <v>23</v>
      </c>
      <c r="D454" s="4" t="s">
        <v>59</v>
      </c>
      <c r="E454" s="4" t="s">
        <v>45</v>
      </c>
      <c r="F454" s="4" t="s">
        <v>26</v>
      </c>
      <c r="G454" s="6">
        <v>12400</v>
      </c>
      <c r="H454" s="5">
        <v>4</v>
      </c>
      <c r="I454" s="7">
        <v>44461</v>
      </c>
      <c r="J454" s="4" t="s">
        <v>27</v>
      </c>
      <c r="K454" s="5">
        <v>1</v>
      </c>
      <c r="L454" s="6">
        <v>878.92</v>
      </c>
      <c r="M454" s="6">
        <v>4217.84</v>
      </c>
      <c r="N454" s="5">
        <v>12</v>
      </c>
      <c r="O454" s="6">
        <v>30.36</v>
      </c>
      <c r="P454" s="5">
        <v>5</v>
      </c>
      <c r="Q454" s="6">
        <v>0</v>
      </c>
      <c r="R454" s="6">
        <v>0</v>
      </c>
      <c r="S454" s="6">
        <v>0</v>
      </c>
      <c r="T454" s="6">
        <v>0</v>
      </c>
      <c r="U454" s="5">
        <v>560</v>
      </c>
      <c r="V454" s="5">
        <v>0</v>
      </c>
    </row>
    <row r="455" spans="1:22" x14ac:dyDescent="0.25">
      <c r="A455" s="4" t="s">
        <v>523</v>
      </c>
      <c r="B455" s="5">
        <v>-3</v>
      </c>
      <c r="C455" s="4" t="s">
        <v>33</v>
      </c>
      <c r="D455" s="4" t="s">
        <v>75</v>
      </c>
      <c r="E455" s="4" t="s">
        <v>67</v>
      </c>
      <c r="F455" s="4" t="s">
        <v>26</v>
      </c>
      <c r="G455" s="6">
        <v>4300</v>
      </c>
      <c r="H455" s="5">
        <v>9</v>
      </c>
      <c r="I455" s="7">
        <v>42818</v>
      </c>
      <c r="J455" s="4" t="s">
        <v>27</v>
      </c>
      <c r="K455" s="5">
        <v>2</v>
      </c>
      <c r="L455" s="6">
        <v>205.03</v>
      </c>
      <c r="M455" s="6">
        <v>1860.06</v>
      </c>
      <c r="N455" s="5">
        <v>13</v>
      </c>
      <c r="O455" s="6">
        <v>24.68</v>
      </c>
      <c r="P455" s="5">
        <v>6</v>
      </c>
      <c r="Q455" s="6">
        <v>0</v>
      </c>
      <c r="R455" s="6">
        <v>0</v>
      </c>
      <c r="S455" s="6">
        <v>0</v>
      </c>
      <c r="T455" s="6">
        <v>0</v>
      </c>
      <c r="U455" s="5">
        <v>595</v>
      </c>
      <c r="V455" s="5">
        <v>0</v>
      </c>
    </row>
    <row r="456" spans="1:22" x14ac:dyDescent="0.25">
      <c r="A456" s="4" t="s">
        <v>524</v>
      </c>
      <c r="B456" s="5">
        <v>40</v>
      </c>
      <c r="C456" s="4" t="s">
        <v>33</v>
      </c>
      <c r="D456" s="4" t="s">
        <v>41</v>
      </c>
      <c r="E456" s="4" t="s">
        <v>45</v>
      </c>
      <c r="F456" s="4" t="s">
        <v>30</v>
      </c>
      <c r="G456" s="6">
        <v>12400</v>
      </c>
      <c r="H456" s="5">
        <v>11</v>
      </c>
      <c r="I456" s="7">
        <v>42062</v>
      </c>
      <c r="J456" s="4" t="s">
        <v>39</v>
      </c>
      <c r="K456" s="5">
        <v>2</v>
      </c>
      <c r="L456" s="6">
        <v>999.64</v>
      </c>
      <c r="M456" s="6">
        <v>16435.72</v>
      </c>
      <c r="N456" s="5">
        <v>17</v>
      </c>
      <c r="O456" s="6">
        <v>35.6</v>
      </c>
      <c r="P456" s="5">
        <v>5</v>
      </c>
      <c r="Q456" s="6">
        <v>3000</v>
      </c>
      <c r="R456" s="6">
        <v>1000.15</v>
      </c>
      <c r="S456" s="6">
        <v>0</v>
      </c>
      <c r="T456" s="6">
        <v>0</v>
      </c>
      <c r="U456" s="5">
        <v>594</v>
      </c>
      <c r="V456" s="5">
        <v>0</v>
      </c>
    </row>
    <row r="457" spans="1:22" x14ac:dyDescent="0.25">
      <c r="A457" s="4" t="s">
        <v>525</v>
      </c>
      <c r="B457" s="5">
        <v>32</v>
      </c>
      <c r="C457" s="4" t="s">
        <v>23</v>
      </c>
      <c r="D457" s="4" t="s">
        <v>59</v>
      </c>
      <c r="E457" s="4" t="s">
        <v>25</v>
      </c>
      <c r="F457" s="4" t="s">
        <v>26</v>
      </c>
      <c r="G457" s="6">
        <v>26600</v>
      </c>
      <c r="H457" s="5">
        <v>3</v>
      </c>
      <c r="I457" s="7">
        <v>44993</v>
      </c>
      <c r="J457" s="4" t="s">
        <v>49</v>
      </c>
      <c r="K457" s="5">
        <v>3</v>
      </c>
      <c r="L457" s="6">
        <v>3704.13</v>
      </c>
      <c r="M457" s="6">
        <v>2759.63</v>
      </c>
      <c r="N457" s="5">
        <v>18</v>
      </c>
      <c r="O457" s="6">
        <v>56.99</v>
      </c>
      <c r="P457" s="5">
        <v>6</v>
      </c>
      <c r="Q457" s="6">
        <v>6500</v>
      </c>
      <c r="R457" s="6">
        <v>1644.91</v>
      </c>
      <c r="S457" s="6">
        <v>0</v>
      </c>
      <c r="T457" s="6">
        <v>0</v>
      </c>
      <c r="U457" s="5">
        <v>700</v>
      </c>
      <c r="V457" s="5">
        <v>0</v>
      </c>
    </row>
    <row r="458" spans="1:22" x14ac:dyDescent="0.25">
      <c r="A458" s="4" t="s">
        <v>526</v>
      </c>
      <c r="B458" s="5">
        <v>64</v>
      </c>
      <c r="C458" s="4" t="s">
        <v>33</v>
      </c>
      <c r="D458" s="4" t="s">
        <v>206</v>
      </c>
      <c r="E458" s="4" t="s">
        <v>42</v>
      </c>
      <c r="F458" s="4" t="s">
        <v>26</v>
      </c>
      <c r="G458" s="6">
        <v>71100</v>
      </c>
      <c r="H458" s="5">
        <v>7</v>
      </c>
      <c r="I458" s="7">
        <v>43618</v>
      </c>
      <c r="J458" s="4" t="s">
        <v>39</v>
      </c>
      <c r="K458" s="5">
        <v>3</v>
      </c>
      <c r="L458" s="6">
        <v>845.91</v>
      </c>
      <c r="M458" s="6">
        <v>38766.839999999997</v>
      </c>
      <c r="N458" s="5">
        <v>33</v>
      </c>
      <c r="O458" s="6">
        <v>87.3</v>
      </c>
      <c r="P458" s="5">
        <v>7</v>
      </c>
      <c r="Q458" s="6">
        <v>9500</v>
      </c>
      <c r="R458" s="6">
        <v>4792.4799999999996</v>
      </c>
      <c r="S458" s="6">
        <v>0</v>
      </c>
      <c r="T458" s="6">
        <v>0</v>
      </c>
      <c r="U458" s="5">
        <v>630</v>
      </c>
      <c r="V458" s="5">
        <v>1</v>
      </c>
    </row>
    <row r="459" spans="1:22" x14ac:dyDescent="0.25">
      <c r="A459" s="4" t="s">
        <v>527</v>
      </c>
      <c r="B459" s="5">
        <v>57</v>
      </c>
      <c r="C459" s="4" t="s">
        <v>23</v>
      </c>
      <c r="D459" s="4" t="s">
        <v>57</v>
      </c>
      <c r="E459" s="4" t="s">
        <v>25</v>
      </c>
      <c r="F459" s="4" t="s">
        <v>26</v>
      </c>
      <c r="G459" s="6">
        <v>34700</v>
      </c>
      <c r="H459" s="5">
        <v>15</v>
      </c>
      <c r="I459" s="7">
        <v>40606</v>
      </c>
      <c r="J459" s="4" t="s">
        <v>27</v>
      </c>
      <c r="K459" s="5">
        <v>2</v>
      </c>
      <c r="L459" s="6">
        <v>2388.21</v>
      </c>
      <c r="M459" s="6">
        <v>0</v>
      </c>
      <c r="N459" s="5">
        <v>40</v>
      </c>
      <c r="O459" s="6">
        <v>52.89</v>
      </c>
      <c r="P459" s="5">
        <v>2</v>
      </c>
      <c r="Q459" s="6">
        <v>6000</v>
      </c>
      <c r="R459" s="6">
        <v>2578.9499999999998</v>
      </c>
      <c r="S459" s="6">
        <v>0</v>
      </c>
      <c r="T459" s="6">
        <v>0</v>
      </c>
      <c r="U459" s="5">
        <v>569</v>
      </c>
      <c r="V459" s="5">
        <v>0</v>
      </c>
    </row>
    <row r="460" spans="1:22" x14ac:dyDescent="0.25">
      <c r="A460" s="4" t="s">
        <v>528</v>
      </c>
      <c r="B460" s="5">
        <v>58</v>
      </c>
      <c r="C460" s="4" t="s">
        <v>23</v>
      </c>
      <c r="D460" s="4" t="s">
        <v>59</v>
      </c>
      <c r="E460" s="4" t="s">
        <v>35</v>
      </c>
      <c r="F460" s="4" t="s">
        <v>30</v>
      </c>
      <c r="G460" s="6">
        <v>80300</v>
      </c>
      <c r="H460" s="5">
        <v>11</v>
      </c>
      <c r="I460" s="7">
        <v>42089</v>
      </c>
      <c r="J460" s="4" t="s">
        <v>39</v>
      </c>
      <c r="K460" s="5">
        <v>2</v>
      </c>
      <c r="L460" s="6">
        <v>3046.75</v>
      </c>
      <c r="M460" s="6">
        <v>29632.97</v>
      </c>
      <c r="N460" s="5">
        <v>34</v>
      </c>
      <c r="O460" s="6">
        <v>108.59</v>
      </c>
      <c r="P460" s="5">
        <v>7</v>
      </c>
      <c r="Q460" s="6">
        <v>13500</v>
      </c>
      <c r="R460" s="6">
        <v>9898.44</v>
      </c>
      <c r="S460" s="6">
        <v>335000</v>
      </c>
      <c r="T460" s="6">
        <v>2119</v>
      </c>
      <c r="U460" s="5">
        <v>659</v>
      </c>
      <c r="V460" s="5">
        <v>0</v>
      </c>
    </row>
    <row r="461" spans="1:22" x14ac:dyDescent="0.25">
      <c r="A461" s="4" t="s">
        <v>529</v>
      </c>
      <c r="B461" s="5">
        <v>41</v>
      </c>
      <c r="C461" s="4" t="s">
        <v>33</v>
      </c>
      <c r="D461" s="4" t="s">
        <v>59</v>
      </c>
      <c r="E461" s="4" t="s">
        <v>45</v>
      </c>
      <c r="F461" s="4" t="s">
        <v>30</v>
      </c>
      <c r="G461" s="6">
        <v>15300</v>
      </c>
      <c r="H461" s="5">
        <v>15</v>
      </c>
      <c r="I461" s="7">
        <v>40487</v>
      </c>
      <c r="J461" s="4" t="s">
        <v>39</v>
      </c>
      <c r="K461" s="5">
        <v>4</v>
      </c>
      <c r="L461" s="6">
        <v>500.21</v>
      </c>
      <c r="M461" s="6">
        <v>28381.919999999998</v>
      </c>
      <c r="N461" s="5">
        <v>25</v>
      </c>
      <c r="O461" s="6">
        <v>55.6</v>
      </c>
      <c r="P461" s="5">
        <v>3</v>
      </c>
      <c r="Q461" s="6">
        <v>3500</v>
      </c>
      <c r="R461" s="6">
        <v>879.29</v>
      </c>
      <c r="S461" s="6">
        <v>0</v>
      </c>
      <c r="T461" s="6">
        <v>0</v>
      </c>
      <c r="U461" s="5">
        <v>603</v>
      </c>
      <c r="V461" s="5">
        <v>0</v>
      </c>
    </row>
    <row r="462" spans="1:22" x14ac:dyDescent="0.25">
      <c r="A462" s="4" t="s">
        <v>530</v>
      </c>
      <c r="B462" s="5">
        <v>35</v>
      </c>
      <c r="C462" s="4" t="s">
        <v>23</v>
      </c>
      <c r="D462" s="4" t="s">
        <v>98</v>
      </c>
      <c r="E462" s="4" t="s">
        <v>54</v>
      </c>
      <c r="F462" s="4" t="s">
        <v>26</v>
      </c>
      <c r="G462" s="6">
        <v>23900</v>
      </c>
      <c r="H462" s="5">
        <v>2</v>
      </c>
      <c r="I462" s="7">
        <v>45477</v>
      </c>
      <c r="J462" s="4" t="s">
        <v>39</v>
      </c>
      <c r="K462" s="5">
        <v>1</v>
      </c>
      <c r="L462" s="6">
        <v>2028.99</v>
      </c>
      <c r="M462" s="6">
        <v>0</v>
      </c>
      <c r="N462" s="5">
        <v>15</v>
      </c>
      <c r="O462" s="6">
        <v>56.58</v>
      </c>
      <c r="P462" s="5">
        <v>9</v>
      </c>
      <c r="Q462" s="6">
        <v>0</v>
      </c>
      <c r="R462" s="6">
        <v>0</v>
      </c>
      <c r="S462" s="6">
        <v>47000</v>
      </c>
      <c r="T462" s="6">
        <v>289</v>
      </c>
      <c r="U462" s="5">
        <v>625</v>
      </c>
      <c r="V462" s="5">
        <v>0</v>
      </c>
    </row>
    <row r="463" spans="1:22" x14ac:dyDescent="0.25">
      <c r="A463" s="4" t="s">
        <v>324</v>
      </c>
      <c r="B463" s="5">
        <v>39</v>
      </c>
      <c r="C463" s="4" t="s">
        <v>23</v>
      </c>
      <c r="D463" s="4" t="s">
        <v>29</v>
      </c>
      <c r="E463" s="4" t="s">
        <v>35</v>
      </c>
      <c r="F463" s="4" t="s">
        <v>26</v>
      </c>
      <c r="G463" s="6">
        <v>50200</v>
      </c>
      <c r="H463" s="5">
        <v>13</v>
      </c>
      <c r="I463" s="7">
        <v>41210</v>
      </c>
      <c r="J463" s="4" t="s">
        <v>31</v>
      </c>
      <c r="K463" s="5">
        <v>4</v>
      </c>
      <c r="L463" s="6">
        <v>6122.18</v>
      </c>
      <c r="M463" s="6">
        <v>43625.16</v>
      </c>
      <c r="N463" s="5">
        <v>36</v>
      </c>
      <c r="O463" s="6">
        <v>96.38</v>
      </c>
      <c r="P463" s="5">
        <v>5</v>
      </c>
      <c r="Q463" s="6">
        <v>0</v>
      </c>
      <c r="R463" s="6">
        <v>0</v>
      </c>
      <c r="S463" s="6">
        <v>120000</v>
      </c>
      <c r="T463" s="6">
        <v>674</v>
      </c>
      <c r="U463" s="5">
        <v>677</v>
      </c>
      <c r="V463" s="5">
        <v>0</v>
      </c>
    </row>
    <row r="464" spans="1:22" x14ac:dyDescent="0.25">
      <c r="A464" s="4" t="s">
        <v>531</v>
      </c>
      <c r="B464" s="5">
        <v>62</v>
      </c>
      <c r="C464" s="4" t="s">
        <v>23</v>
      </c>
      <c r="D464" s="4" t="s">
        <v>98</v>
      </c>
      <c r="E464" s="4" t="s">
        <v>35</v>
      </c>
      <c r="F464" s="4" t="s">
        <v>38</v>
      </c>
      <c r="G464" s="6">
        <v>45400</v>
      </c>
      <c r="H464" s="5">
        <v>1</v>
      </c>
      <c r="I464" s="7">
        <v>45634</v>
      </c>
      <c r="J464" s="4" t="s">
        <v>39</v>
      </c>
      <c r="K464" s="5">
        <v>2</v>
      </c>
      <c r="L464" s="6">
        <v>2431</v>
      </c>
      <c r="M464" s="6">
        <v>9818.73</v>
      </c>
      <c r="N464" s="5">
        <v>15</v>
      </c>
      <c r="O464" s="6">
        <v>47.86</v>
      </c>
      <c r="P464" s="5">
        <v>7</v>
      </c>
      <c r="Q464" s="6">
        <v>11000</v>
      </c>
      <c r="R464" s="6">
        <v>6992.63</v>
      </c>
      <c r="S464" s="6">
        <v>0</v>
      </c>
      <c r="T464" s="6">
        <v>0</v>
      </c>
      <c r="U464" s="5">
        <v>640</v>
      </c>
      <c r="V464" s="5">
        <v>0</v>
      </c>
    </row>
    <row r="465" spans="1:22" x14ac:dyDescent="0.25">
      <c r="A465" s="4" t="s">
        <v>532</v>
      </c>
      <c r="B465" s="5">
        <v>41</v>
      </c>
      <c r="C465" s="4" t="s">
        <v>23</v>
      </c>
      <c r="D465" s="4" t="s">
        <v>51</v>
      </c>
      <c r="E465" s="4" t="s">
        <v>25</v>
      </c>
      <c r="F465" s="4" t="s">
        <v>30</v>
      </c>
      <c r="G465" s="6">
        <v>31500</v>
      </c>
      <c r="H465" s="5">
        <v>13</v>
      </c>
      <c r="I465" s="7">
        <v>41429</v>
      </c>
      <c r="J465" s="4" t="s">
        <v>31</v>
      </c>
      <c r="K465" s="5">
        <v>3</v>
      </c>
      <c r="L465" s="6">
        <v>3969.03</v>
      </c>
      <c r="M465" s="6">
        <v>14767.33</v>
      </c>
      <c r="N465" s="5">
        <v>26</v>
      </c>
      <c r="O465" s="6">
        <v>74.56</v>
      </c>
      <c r="P465" s="5">
        <v>0</v>
      </c>
      <c r="Q465" s="6">
        <v>7000</v>
      </c>
      <c r="R465" s="6">
        <v>2656.68</v>
      </c>
      <c r="S465" s="6">
        <v>0</v>
      </c>
      <c r="T465" s="6">
        <v>0</v>
      </c>
      <c r="U465" s="5">
        <v>622</v>
      </c>
      <c r="V465" s="5">
        <v>0</v>
      </c>
    </row>
    <row r="466" spans="1:22" x14ac:dyDescent="0.25">
      <c r="A466" s="4" t="s">
        <v>533</v>
      </c>
      <c r="B466" s="5">
        <v>49</v>
      </c>
      <c r="C466" s="4" t="s">
        <v>23</v>
      </c>
      <c r="D466" s="4" t="s">
        <v>24</v>
      </c>
      <c r="E466" s="4" t="s">
        <v>45</v>
      </c>
      <c r="F466" s="4" t="s">
        <v>30</v>
      </c>
      <c r="G466" s="6">
        <v>21400</v>
      </c>
      <c r="H466" s="5">
        <v>12</v>
      </c>
      <c r="I466" s="7">
        <v>41676</v>
      </c>
      <c r="J466" s="4" t="s">
        <v>31</v>
      </c>
      <c r="K466" s="5">
        <v>2</v>
      </c>
      <c r="L466" s="6">
        <v>1680.32</v>
      </c>
      <c r="M466" s="6">
        <v>49388.959999999999</v>
      </c>
      <c r="N466" s="5">
        <v>37</v>
      </c>
      <c r="O466" s="6">
        <v>35.590000000000003</v>
      </c>
      <c r="P466" s="5">
        <v>2</v>
      </c>
      <c r="Q466" s="6">
        <v>3500</v>
      </c>
      <c r="R466" s="6">
        <v>1770.36</v>
      </c>
      <c r="S466" s="6">
        <v>49000</v>
      </c>
      <c r="T466" s="6">
        <v>320</v>
      </c>
      <c r="U466" s="5">
        <v>630</v>
      </c>
      <c r="V466" s="5">
        <v>0</v>
      </c>
    </row>
    <row r="467" spans="1:22" x14ac:dyDescent="0.25">
      <c r="A467" s="4" t="s">
        <v>534</v>
      </c>
      <c r="B467" s="5">
        <v>69</v>
      </c>
      <c r="C467" s="4" t="s">
        <v>33</v>
      </c>
      <c r="D467" s="4" t="s">
        <v>57</v>
      </c>
      <c r="E467" s="4" t="s">
        <v>95</v>
      </c>
      <c r="F467" s="4" t="s">
        <v>30</v>
      </c>
      <c r="G467" s="6">
        <v>18300</v>
      </c>
      <c r="H467" s="5">
        <v>22</v>
      </c>
      <c r="I467" s="7">
        <v>38007</v>
      </c>
      <c r="J467" s="4" t="s">
        <v>49</v>
      </c>
      <c r="K467" s="5">
        <v>2</v>
      </c>
      <c r="L467" s="6">
        <v>3602.28</v>
      </c>
      <c r="M467" s="6">
        <v>20306.54</v>
      </c>
      <c r="N467" s="5">
        <v>15</v>
      </c>
      <c r="O467" s="6">
        <v>57.49</v>
      </c>
      <c r="P467" s="5">
        <v>2</v>
      </c>
      <c r="Q467" s="6">
        <v>4000</v>
      </c>
      <c r="R467" s="6">
        <v>302.10000000000002</v>
      </c>
      <c r="S467" s="6">
        <v>0</v>
      </c>
      <c r="T467" s="6">
        <v>0</v>
      </c>
      <c r="U467" s="5">
        <v>603</v>
      </c>
      <c r="V467" s="5">
        <v>0</v>
      </c>
    </row>
    <row r="468" spans="1:22" x14ac:dyDescent="0.25">
      <c r="A468" s="4" t="s">
        <v>535</v>
      </c>
      <c r="B468" s="5">
        <v>33</v>
      </c>
      <c r="C468" s="4" t="s">
        <v>33</v>
      </c>
      <c r="D468" s="4" t="s">
        <v>70</v>
      </c>
      <c r="E468" s="4" t="s">
        <v>42</v>
      </c>
      <c r="F468" s="4" t="s">
        <v>48</v>
      </c>
      <c r="G468" s="6">
        <v>59500</v>
      </c>
      <c r="H468" s="5">
        <v>4</v>
      </c>
      <c r="I468" s="7">
        <v>44705</v>
      </c>
      <c r="J468" s="4" t="s">
        <v>27</v>
      </c>
      <c r="K468" s="5">
        <v>2</v>
      </c>
      <c r="L468" s="6">
        <v>6653.93</v>
      </c>
      <c r="M468" s="6">
        <v>0</v>
      </c>
      <c r="N468" s="5">
        <v>43</v>
      </c>
      <c r="O468" s="6">
        <v>111.29</v>
      </c>
      <c r="P468" s="5">
        <v>5</v>
      </c>
      <c r="Q468" s="6">
        <v>10500</v>
      </c>
      <c r="R468" s="6">
        <v>755.54</v>
      </c>
      <c r="S468" s="6">
        <v>0</v>
      </c>
      <c r="T468" s="6">
        <v>0</v>
      </c>
      <c r="U468" s="5">
        <v>658</v>
      </c>
      <c r="V468" s="5">
        <v>0</v>
      </c>
    </row>
    <row r="469" spans="1:22" x14ac:dyDescent="0.25">
      <c r="A469" s="4" t="s">
        <v>536</v>
      </c>
      <c r="B469" s="5">
        <v>36</v>
      </c>
      <c r="C469" s="4" t="s">
        <v>33</v>
      </c>
      <c r="D469" s="4" t="s">
        <v>128</v>
      </c>
      <c r="E469" s="4" t="s">
        <v>63</v>
      </c>
      <c r="F469" s="4" t="s">
        <v>30</v>
      </c>
      <c r="G469" s="6">
        <v>27800</v>
      </c>
      <c r="H469" s="5">
        <v>4</v>
      </c>
      <c r="I469" s="7">
        <v>44588</v>
      </c>
      <c r="J469" s="4" t="s">
        <v>49</v>
      </c>
      <c r="K469" s="5">
        <v>1</v>
      </c>
      <c r="L469" s="6">
        <v>6119.74</v>
      </c>
      <c r="M469" s="6">
        <v>10643.73</v>
      </c>
      <c r="N469" s="5">
        <v>25</v>
      </c>
      <c r="O469" s="6">
        <v>45.18</v>
      </c>
      <c r="P469" s="5">
        <v>1</v>
      </c>
      <c r="Q469" s="6">
        <v>4000</v>
      </c>
      <c r="R469" s="6">
        <v>994.92</v>
      </c>
      <c r="S469" s="6">
        <v>58000</v>
      </c>
      <c r="T469" s="6">
        <v>283</v>
      </c>
      <c r="U469" s="5">
        <v>644</v>
      </c>
      <c r="V469" s="5">
        <v>0</v>
      </c>
    </row>
    <row r="470" spans="1:22" x14ac:dyDescent="0.25">
      <c r="A470" s="4" t="s">
        <v>537</v>
      </c>
      <c r="B470" s="5">
        <v>20</v>
      </c>
      <c r="C470" s="4" t="s">
        <v>23</v>
      </c>
      <c r="D470" s="4" t="s">
        <v>41</v>
      </c>
      <c r="E470" s="4" t="s">
        <v>117</v>
      </c>
      <c r="F470" s="4" t="s">
        <v>26</v>
      </c>
      <c r="G470" s="6">
        <v>5400</v>
      </c>
      <c r="H470" s="5">
        <v>0</v>
      </c>
      <c r="I470" s="7">
        <v>46012</v>
      </c>
      <c r="J470" s="4" t="s">
        <v>31</v>
      </c>
      <c r="K470" s="5">
        <v>2</v>
      </c>
      <c r="L470" s="6">
        <v>875.59</v>
      </c>
      <c r="M470" s="6">
        <v>1333.84</v>
      </c>
      <c r="N470" s="5">
        <v>19</v>
      </c>
      <c r="O470" s="6">
        <v>32.81</v>
      </c>
      <c r="P470" s="5">
        <v>3</v>
      </c>
      <c r="Q470" s="6">
        <v>1000</v>
      </c>
      <c r="R470" s="6">
        <v>193.14</v>
      </c>
      <c r="S470" s="6">
        <v>0</v>
      </c>
      <c r="T470" s="6">
        <v>0</v>
      </c>
      <c r="U470" s="5">
        <v>347</v>
      </c>
      <c r="V470" s="5">
        <v>14</v>
      </c>
    </row>
    <row r="471" spans="1:22" x14ac:dyDescent="0.25">
      <c r="A471" s="4" t="s">
        <v>538</v>
      </c>
      <c r="B471" s="5">
        <v>61</v>
      </c>
      <c r="C471" s="4" t="s">
        <v>33</v>
      </c>
      <c r="D471" s="4" t="s">
        <v>70</v>
      </c>
      <c r="E471" s="4" t="s">
        <v>25</v>
      </c>
      <c r="F471" s="4" t="s">
        <v>30</v>
      </c>
      <c r="G471" s="6">
        <v>31700</v>
      </c>
      <c r="H471" s="5">
        <v>32</v>
      </c>
      <c r="I471" s="7">
        <v>34547</v>
      </c>
      <c r="J471" s="4" t="s">
        <v>39</v>
      </c>
      <c r="K471" s="5">
        <v>2</v>
      </c>
      <c r="L471" s="6">
        <v>2620.14</v>
      </c>
      <c r="M471" s="6">
        <v>0</v>
      </c>
      <c r="N471" s="5">
        <v>26</v>
      </c>
      <c r="O471" s="6">
        <v>52.88</v>
      </c>
      <c r="P471" s="5">
        <v>6</v>
      </c>
      <c r="Q471" s="6">
        <v>4000</v>
      </c>
      <c r="R471" s="6">
        <v>716.42</v>
      </c>
      <c r="S471" s="6">
        <v>0</v>
      </c>
      <c r="T471" s="6">
        <v>0</v>
      </c>
      <c r="U471" s="5">
        <v>609</v>
      </c>
      <c r="V471" s="5">
        <v>0</v>
      </c>
    </row>
    <row r="472" spans="1:22" x14ac:dyDescent="0.25">
      <c r="A472" s="4" t="s">
        <v>539</v>
      </c>
      <c r="B472" s="5">
        <v>62</v>
      </c>
      <c r="C472" s="4" t="s">
        <v>23</v>
      </c>
      <c r="D472" s="4" t="s">
        <v>98</v>
      </c>
      <c r="E472" s="4" t="s">
        <v>25</v>
      </c>
      <c r="F472" s="4" t="s">
        <v>30</v>
      </c>
      <c r="G472" s="6">
        <v>38000</v>
      </c>
      <c r="H472" s="5">
        <v>7</v>
      </c>
      <c r="I472" s="7">
        <v>43659</v>
      </c>
      <c r="J472" s="4" t="s">
        <v>27</v>
      </c>
      <c r="K472" s="5">
        <v>4</v>
      </c>
      <c r="L472" s="6">
        <v>16216.68</v>
      </c>
      <c r="M472" s="6">
        <v>21717.46</v>
      </c>
      <c r="N472" s="5">
        <v>24</v>
      </c>
      <c r="O472" s="6">
        <v>49.44</v>
      </c>
      <c r="P472" s="5">
        <v>2</v>
      </c>
      <c r="Q472" s="6">
        <v>6500</v>
      </c>
      <c r="R472" s="6">
        <v>2021.98</v>
      </c>
      <c r="S472" s="6">
        <v>171000</v>
      </c>
      <c r="T472" s="6">
        <v>985</v>
      </c>
      <c r="U472" s="5">
        <v>645</v>
      </c>
      <c r="V472" s="5">
        <v>0</v>
      </c>
    </row>
    <row r="473" spans="1:22" x14ac:dyDescent="0.25">
      <c r="A473" s="4" t="s">
        <v>540</v>
      </c>
      <c r="B473" s="5">
        <v>51</v>
      </c>
      <c r="C473" s="4" t="s">
        <v>33</v>
      </c>
      <c r="D473" s="4" t="s">
        <v>24</v>
      </c>
      <c r="E473" s="4" t="s">
        <v>90</v>
      </c>
      <c r="F473" s="4" t="s">
        <v>30</v>
      </c>
      <c r="G473" s="6">
        <v>118200</v>
      </c>
      <c r="H473" s="5">
        <v>2</v>
      </c>
      <c r="I473" s="7">
        <v>45457</v>
      </c>
      <c r="J473" s="4" t="s">
        <v>27</v>
      </c>
      <c r="K473" s="5">
        <v>2</v>
      </c>
      <c r="L473" s="6">
        <v>-2164.0500000000002</v>
      </c>
      <c r="M473" s="6">
        <v>39201.019999999997</v>
      </c>
      <c r="N473" s="5">
        <v>61</v>
      </c>
      <c r="O473" s="6">
        <v>156.51</v>
      </c>
      <c r="P473" s="5">
        <v>1</v>
      </c>
      <c r="Q473" s="6">
        <v>15000</v>
      </c>
      <c r="R473" s="6">
        <v>4289.72</v>
      </c>
      <c r="S473" s="6">
        <v>400000</v>
      </c>
      <c r="T473" s="6">
        <v>2396</v>
      </c>
      <c r="U473" s="5">
        <v>605</v>
      </c>
      <c r="V473" s="5">
        <v>0</v>
      </c>
    </row>
    <row r="474" spans="1:22" x14ac:dyDescent="0.25">
      <c r="A474" s="4" t="s">
        <v>541</v>
      </c>
      <c r="B474" s="5">
        <v>73</v>
      </c>
      <c r="C474" s="4" t="s">
        <v>23</v>
      </c>
      <c r="D474" s="4" t="s">
        <v>57</v>
      </c>
      <c r="E474" s="4" t="s">
        <v>95</v>
      </c>
      <c r="F474" s="4" t="s">
        <v>30</v>
      </c>
      <c r="G474" s="6">
        <v>33300</v>
      </c>
      <c r="H474" s="5">
        <v>11</v>
      </c>
      <c r="I474" s="7">
        <v>42010</v>
      </c>
      <c r="J474" s="4" t="s">
        <v>49</v>
      </c>
      <c r="K474" s="5">
        <v>2</v>
      </c>
      <c r="L474" s="6">
        <v>5954.2</v>
      </c>
      <c r="M474" s="6">
        <v>17565.46</v>
      </c>
      <c r="N474" s="5">
        <v>26</v>
      </c>
      <c r="O474" s="6">
        <v>81.47</v>
      </c>
      <c r="P474" s="5">
        <v>5</v>
      </c>
      <c r="Q474" s="6">
        <v>3500</v>
      </c>
      <c r="R474" s="6">
        <v>188.16</v>
      </c>
      <c r="S474" s="6">
        <v>0</v>
      </c>
      <c r="T474" s="6">
        <v>0</v>
      </c>
      <c r="U474" s="5">
        <v>658</v>
      </c>
      <c r="V474" s="5">
        <v>0</v>
      </c>
    </row>
    <row r="475" spans="1:22" x14ac:dyDescent="0.25">
      <c r="A475" s="4" t="s">
        <v>542</v>
      </c>
      <c r="B475" s="5">
        <v>42</v>
      </c>
      <c r="C475" s="4" t="s">
        <v>33</v>
      </c>
      <c r="D475" s="4" t="s">
        <v>59</v>
      </c>
      <c r="E475" s="4" t="s">
        <v>35</v>
      </c>
      <c r="F475" s="4" t="s">
        <v>26</v>
      </c>
      <c r="G475" s="6">
        <v>55900</v>
      </c>
      <c r="H475" s="5">
        <v>7</v>
      </c>
      <c r="I475" s="7">
        <v>43671</v>
      </c>
      <c r="J475" s="4" t="s">
        <v>27</v>
      </c>
      <c r="K475" s="5">
        <v>2</v>
      </c>
      <c r="L475" s="6">
        <v>3374.41</v>
      </c>
      <c r="M475" s="6">
        <v>0</v>
      </c>
      <c r="N475" s="5">
        <v>46</v>
      </c>
      <c r="O475" s="6">
        <v>57.94</v>
      </c>
      <c r="P475" s="5">
        <v>3</v>
      </c>
      <c r="Q475" s="6">
        <v>9000</v>
      </c>
      <c r="R475" s="6">
        <v>5067.54</v>
      </c>
      <c r="S475" s="6">
        <v>0</v>
      </c>
      <c r="T475" s="6">
        <v>0</v>
      </c>
      <c r="U475" s="5">
        <v>611</v>
      </c>
      <c r="V475" s="5">
        <v>0</v>
      </c>
    </row>
    <row r="476" spans="1:22" x14ac:dyDescent="0.25">
      <c r="A476" s="4" t="s">
        <v>543</v>
      </c>
      <c r="B476" s="5">
        <v>25</v>
      </c>
      <c r="C476" s="4" t="s">
        <v>33</v>
      </c>
      <c r="D476" s="4" t="s">
        <v>57</v>
      </c>
      <c r="E476" s="4" t="s">
        <v>25</v>
      </c>
      <c r="F476" s="4" t="s">
        <v>26</v>
      </c>
      <c r="G476" s="6">
        <v>28900</v>
      </c>
      <c r="H476" s="5">
        <v>1</v>
      </c>
      <c r="I476" s="7">
        <v>45551</v>
      </c>
      <c r="J476" s="4" t="s">
        <v>31</v>
      </c>
      <c r="K476" s="5">
        <v>1</v>
      </c>
      <c r="L476" s="6">
        <v>7697.76</v>
      </c>
      <c r="M476" s="6">
        <v>3892.82</v>
      </c>
      <c r="N476" s="5">
        <v>36</v>
      </c>
      <c r="O476" s="6">
        <v>65.62</v>
      </c>
      <c r="P476" s="5">
        <v>4</v>
      </c>
      <c r="Q476" s="6">
        <v>0</v>
      </c>
      <c r="R476" s="6">
        <v>0</v>
      </c>
      <c r="S476" s="6">
        <v>0</v>
      </c>
      <c r="T476" s="6">
        <v>0</v>
      </c>
      <c r="U476" s="5">
        <v>564</v>
      </c>
      <c r="V476" s="5">
        <v>0</v>
      </c>
    </row>
    <row r="477" spans="1:22" x14ac:dyDescent="0.25">
      <c r="A477" s="4" t="s">
        <v>544</v>
      </c>
      <c r="B477" s="5">
        <v>47</v>
      </c>
      <c r="C477" s="4" t="s">
        <v>23</v>
      </c>
      <c r="D477" s="4" t="s">
        <v>29</v>
      </c>
      <c r="E477" s="4" t="s">
        <v>35</v>
      </c>
      <c r="F477" s="4" t="s">
        <v>30</v>
      </c>
      <c r="G477" s="6">
        <v>35600</v>
      </c>
      <c r="H477" s="5">
        <v>14</v>
      </c>
      <c r="I477" s="7">
        <v>40880</v>
      </c>
      <c r="J477" s="4" t="s">
        <v>31</v>
      </c>
      <c r="K477" s="5">
        <v>2</v>
      </c>
      <c r="L477" s="6">
        <v>1283.4000000000001</v>
      </c>
      <c r="M477" s="6">
        <v>0</v>
      </c>
      <c r="N477" s="5">
        <v>37</v>
      </c>
      <c r="O477" s="6">
        <v>63.02</v>
      </c>
      <c r="P477" s="5">
        <v>2</v>
      </c>
      <c r="Q477" s="6">
        <v>7500</v>
      </c>
      <c r="R477" s="6">
        <v>518.72</v>
      </c>
      <c r="S477" s="6">
        <v>0</v>
      </c>
      <c r="T477" s="6">
        <v>0</v>
      </c>
      <c r="U477" s="5">
        <v>646</v>
      </c>
      <c r="V477" s="5">
        <v>0</v>
      </c>
    </row>
    <row r="478" spans="1:22" x14ac:dyDescent="0.25">
      <c r="A478" s="4" t="s">
        <v>545</v>
      </c>
      <c r="B478" s="5">
        <v>53</v>
      </c>
      <c r="C478" s="4" t="s">
        <v>33</v>
      </c>
      <c r="D478" s="4" t="s">
        <v>59</v>
      </c>
      <c r="E478" s="4" t="s">
        <v>25</v>
      </c>
      <c r="F478" s="4" t="s">
        <v>38</v>
      </c>
      <c r="G478" s="6">
        <v>45600</v>
      </c>
      <c r="H478" s="5">
        <v>20</v>
      </c>
      <c r="I478" s="7">
        <v>38831</v>
      </c>
      <c r="J478" s="4" t="s">
        <v>546</v>
      </c>
      <c r="K478" s="5">
        <v>4</v>
      </c>
      <c r="L478" s="6">
        <v>1100.46</v>
      </c>
      <c r="M478" s="6">
        <v>0</v>
      </c>
      <c r="N478" s="5">
        <v>38</v>
      </c>
      <c r="O478" s="6">
        <v>110.47</v>
      </c>
      <c r="P478" s="5">
        <v>2</v>
      </c>
      <c r="Q478" s="6">
        <v>7500</v>
      </c>
      <c r="R478" s="6">
        <v>2791.74</v>
      </c>
      <c r="S478" s="6">
        <v>185000</v>
      </c>
      <c r="T478" s="6">
        <v>901</v>
      </c>
      <c r="U478" s="5">
        <v>619</v>
      </c>
      <c r="V478" s="5">
        <v>1</v>
      </c>
    </row>
    <row r="479" spans="1:22" x14ac:dyDescent="0.25">
      <c r="A479" s="4" t="s">
        <v>547</v>
      </c>
      <c r="B479" s="5">
        <v>20</v>
      </c>
      <c r="C479" s="4" t="s">
        <v>33</v>
      </c>
      <c r="D479" s="4" t="s">
        <v>59</v>
      </c>
      <c r="E479" s="4" t="s">
        <v>45</v>
      </c>
      <c r="F479" s="4" t="s">
        <v>26</v>
      </c>
      <c r="G479" s="6">
        <v>17300</v>
      </c>
      <c r="H479" s="5">
        <v>0</v>
      </c>
      <c r="I479" s="7">
        <v>46157</v>
      </c>
      <c r="J479" s="4" t="s">
        <v>31</v>
      </c>
      <c r="K479" s="5">
        <v>1</v>
      </c>
      <c r="L479" s="6">
        <v>586.89</v>
      </c>
      <c r="M479" s="6">
        <v>2768.47</v>
      </c>
      <c r="N479" s="5">
        <v>25</v>
      </c>
      <c r="O479" s="6">
        <v>24.67</v>
      </c>
      <c r="P479" s="5">
        <v>3</v>
      </c>
      <c r="Q479" s="6">
        <v>0</v>
      </c>
      <c r="R479" s="6">
        <v>0</v>
      </c>
      <c r="S479" s="6">
        <v>0</v>
      </c>
      <c r="T479" s="6">
        <v>0</v>
      </c>
      <c r="U479" s="5">
        <v>544</v>
      </c>
      <c r="V479" s="5">
        <v>1</v>
      </c>
    </row>
    <row r="480" spans="1:22" x14ac:dyDescent="0.25">
      <c r="A480" s="4" t="s">
        <v>548</v>
      </c>
      <c r="B480" s="5">
        <v>51</v>
      </c>
      <c r="C480" s="4" t="s">
        <v>23</v>
      </c>
      <c r="D480" s="4" t="s">
        <v>57</v>
      </c>
      <c r="E480" s="4" t="s">
        <v>35</v>
      </c>
      <c r="F480" s="4" t="s">
        <v>26</v>
      </c>
      <c r="G480" s="6">
        <v>44200</v>
      </c>
      <c r="H480" s="5">
        <v>16</v>
      </c>
      <c r="I480" s="7">
        <v>40083</v>
      </c>
      <c r="J480" s="4" t="s">
        <v>31</v>
      </c>
      <c r="K480" s="5">
        <v>2</v>
      </c>
      <c r="L480" s="6">
        <v>1300.8900000000001</v>
      </c>
      <c r="M480" s="6">
        <v>66203.91</v>
      </c>
      <c r="N480" s="5">
        <v>42</v>
      </c>
      <c r="O480" s="6">
        <v>74.53</v>
      </c>
      <c r="P480" s="5">
        <v>0</v>
      </c>
      <c r="Q480" s="6">
        <v>5000</v>
      </c>
      <c r="R480" s="6">
        <v>3343.58</v>
      </c>
      <c r="S480" s="6">
        <v>0</v>
      </c>
      <c r="T480" s="6">
        <v>0</v>
      </c>
      <c r="U480" s="5">
        <v>661</v>
      </c>
      <c r="V480" s="5">
        <v>0</v>
      </c>
    </row>
    <row r="481" spans="1:22" x14ac:dyDescent="0.25">
      <c r="A481" s="4" t="s">
        <v>549</v>
      </c>
      <c r="B481" s="5">
        <v>29</v>
      </c>
      <c r="C481" s="4" t="s">
        <v>23</v>
      </c>
      <c r="D481" s="4" t="s">
        <v>24</v>
      </c>
      <c r="E481" s="4" t="s">
        <v>35</v>
      </c>
      <c r="F481" s="4" t="s">
        <v>30</v>
      </c>
      <c r="G481" s="6">
        <v>39900</v>
      </c>
      <c r="H481" s="5">
        <v>5</v>
      </c>
      <c r="I481" s="7">
        <v>44364</v>
      </c>
      <c r="J481" s="4" t="s">
        <v>31</v>
      </c>
      <c r="K481" s="5">
        <v>1</v>
      </c>
      <c r="L481" s="6">
        <v>7332.05</v>
      </c>
      <c r="M481" s="6">
        <v>21602.69</v>
      </c>
      <c r="N481" s="5">
        <v>31</v>
      </c>
      <c r="O481" s="6">
        <v>42.75</v>
      </c>
      <c r="P481" s="5">
        <v>2</v>
      </c>
      <c r="Q481" s="6">
        <v>5500</v>
      </c>
      <c r="R481" s="6">
        <v>252.73</v>
      </c>
      <c r="S481" s="6">
        <v>0</v>
      </c>
      <c r="T481" s="6">
        <v>0</v>
      </c>
      <c r="U481" s="5">
        <v>572</v>
      </c>
      <c r="V481" s="5">
        <v>0</v>
      </c>
    </row>
    <row r="482" spans="1:22" x14ac:dyDescent="0.25">
      <c r="A482" s="4" t="s">
        <v>550</v>
      </c>
      <c r="B482" s="5">
        <v>49</v>
      </c>
      <c r="C482" s="4" t="s">
        <v>33</v>
      </c>
      <c r="D482" s="4" t="s">
        <v>57</v>
      </c>
      <c r="E482" s="4" t="s">
        <v>45</v>
      </c>
      <c r="F482" s="4" t="s">
        <v>30</v>
      </c>
      <c r="G482" s="6">
        <v>14300</v>
      </c>
      <c r="H482" s="5">
        <v>21</v>
      </c>
      <c r="I482" s="7">
        <v>38278</v>
      </c>
      <c r="J482" s="4" t="s">
        <v>31</v>
      </c>
      <c r="K482" s="5">
        <v>2</v>
      </c>
      <c r="L482" s="6">
        <v>1759.88</v>
      </c>
      <c r="M482" s="6">
        <v>0</v>
      </c>
      <c r="N482" s="5">
        <v>17</v>
      </c>
      <c r="O482" s="6">
        <v>83.88</v>
      </c>
      <c r="P482" s="5">
        <v>0</v>
      </c>
      <c r="Q482" s="6">
        <v>0</v>
      </c>
      <c r="R482" s="6">
        <v>0</v>
      </c>
      <c r="S482" s="6">
        <v>0</v>
      </c>
      <c r="T482" s="6">
        <v>0</v>
      </c>
      <c r="U482" s="5">
        <v>544</v>
      </c>
      <c r="V482" s="5">
        <v>0</v>
      </c>
    </row>
    <row r="483" spans="1:22" x14ac:dyDescent="0.25">
      <c r="A483" s="4" t="s">
        <v>551</v>
      </c>
      <c r="B483" s="5">
        <v>54</v>
      </c>
      <c r="C483" s="4" t="s">
        <v>33</v>
      </c>
      <c r="D483" s="4" t="s">
        <v>24</v>
      </c>
      <c r="E483" s="4" t="s">
        <v>35</v>
      </c>
      <c r="F483" s="4" t="s">
        <v>30</v>
      </c>
      <c r="G483" s="6">
        <v>71600</v>
      </c>
      <c r="H483" s="5">
        <v>32</v>
      </c>
      <c r="I483" s="7">
        <v>34326</v>
      </c>
      <c r="J483" s="4" t="s">
        <v>31</v>
      </c>
      <c r="K483" s="5">
        <v>4</v>
      </c>
      <c r="L483" s="6">
        <v>4839.22</v>
      </c>
      <c r="M483" s="6">
        <v>0</v>
      </c>
      <c r="N483" s="5">
        <v>44</v>
      </c>
      <c r="O483" s="6">
        <v>81.37</v>
      </c>
      <c r="P483" s="5">
        <v>2</v>
      </c>
      <c r="Q483" s="6">
        <v>15000</v>
      </c>
      <c r="R483" s="6">
        <v>2519.7600000000002</v>
      </c>
      <c r="S483" s="6">
        <v>0</v>
      </c>
      <c r="T483" s="6">
        <v>0</v>
      </c>
      <c r="U483" s="5">
        <v>671</v>
      </c>
      <c r="V483" s="5">
        <v>2</v>
      </c>
    </row>
    <row r="484" spans="1:22" x14ac:dyDescent="0.25">
      <c r="A484" s="4" t="s">
        <v>552</v>
      </c>
      <c r="B484" s="5">
        <v>46</v>
      </c>
      <c r="C484" s="4" t="s">
        <v>33</v>
      </c>
      <c r="D484" s="4" t="s">
        <v>108</v>
      </c>
      <c r="E484" s="4" t="s">
        <v>90</v>
      </c>
      <c r="F484" s="4" t="s">
        <v>26</v>
      </c>
      <c r="G484" s="6">
        <v>104100</v>
      </c>
      <c r="H484" s="5">
        <v>12</v>
      </c>
      <c r="I484" s="7">
        <v>41710</v>
      </c>
      <c r="J484" s="4" t="s">
        <v>39</v>
      </c>
      <c r="K484" s="5">
        <v>2</v>
      </c>
      <c r="L484" s="6">
        <v>3065.28</v>
      </c>
      <c r="M484" s="6">
        <v>109027.75</v>
      </c>
      <c r="N484" s="5">
        <v>39</v>
      </c>
      <c r="O484" s="6">
        <v>81.66</v>
      </c>
      <c r="P484" s="5">
        <v>2</v>
      </c>
      <c r="Q484" s="6">
        <v>11500</v>
      </c>
      <c r="R484" s="6">
        <v>2298.2800000000002</v>
      </c>
      <c r="S484" s="6">
        <v>327000</v>
      </c>
      <c r="T484" s="6">
        <v>2252</v>
      </c>
      <c r="U484" s="5">
        <v>638</v>
      </c>
      <c r="V484" s="5">
        <v>1</v>
      </c>
    </row>
    <row r="485" spans="1:22" x14ac:dyDescent="0.25">
      <c r="A485" s="4" t="s">
        <v>553</v>
      </c>
      <c r="B485" s="5">
        <v>27</v>
      </c>
      <c r="C485" s="4" t="s">
        <v>33</v>
      </c>
      <c r="D485" s="4" t="s">
        <v>24</v>
      </c>
      <c r="E485" s="4" t="s">
        <v>117</v>
      </c>
      <c r="F485" s="4" t="s">
        <v>26</v>
      </c>
      <c r="G485" s="6">
        <v>9100</v>
      </c>
      <c r="H485" s="5">
        <v>0</v>
      </c>
      <c r="I485" s="7">
        <v>45970</v>
      </c>
      <c r="J485" s="4" t="s">
        <v>31</v>
      </c>
      <c r="K485" s="5">
        <v>1</v>
      </c>
      <c r="L485" s="6">
        <v>589.51</v>
      </c>
      <c r="M485" s="6">
        <v>0</v>
      </c>
      <c r="N485" s="5">
        <v>48</v>
      </c>
      <c r="O485" s="6">
        <v>199</v>
      </c>
      <c r="P485" s="5">
        <v>0</v>
      </c>
      <c r="Q485" s="6">
        <v>0</v>
      </c>
      <c r="R485" s="6">
        <v>0</v>
      </c>
      <c r="S485" s="6">
        <v>0</v>
      </c>
      <c r="T485" s="6">
        <v>0</v>
      </c>
      <c r="U485" s="5">
        <v>614</v>
      </c>
      <c r="V485" s="5">
        <v>0</v>
      </c>
    </row>
    <row r="486" spans="1:22" x14ac:dyDescent="0.25">
      <c r="A486" s="4" t="s">
        <v>554</v>
      </c>
      <c r="B486" s="5">
        <v>18</v>
      </c>
      <c r="C486" s="4" t="s">
        <v>23</v>
      </c>
      <c r="D486" s="4" t="s">
        <v>72</v>
      </c>
      <c r="E486" s="4" t="s">
        <v>67</v>
      </c>
      <c r="F486" s="4" t="s">
        <v>26</v>
      </c>
      <c r="G486" s="6">
        <v>9100</v>
      </c>
      <c r="H486" s="5">
        <v>0</v>
      </c>
      <c r="I486" s="7">
        <v>46237</v>
      </c>
      <c r="J486" s="4" t="s">
        <v>31</v>
      </c>
      <c r="K486" s="5">
        <v>1</v>
      </c>
      <c r="L486" s="6">
        <v>266.56</v>
      </c>
      <c r="M486" s="6">
        <v>1785.28</v>
      </c>
      <c r="N486" s="5">
        <v>20</v>
      </c>
      <c r="O486" s="6">
        <v>40.79</v>
      </c>
      <c r="P486" s="5">
        <v>3</v>
      </c>
      <c r="Q486" s="6">
        <v>2000</v>
      </c>
      <c r="R486" s="6">
        <v>63.51</v>
      </c>
      <c r="S486" s="6">
        <v>0</v>
      </c>
      <c r="T486" s="6">
        <v>0</v>
      </c>
      <c r="U486" s="5">
        <v>572</v>
      </c>
      <c r="V486" s="5">
        <v>0</v>
      </c>
    </row>
    <row r="487" spans="1:22" x14ac:dyDescent="0.25">
      <c r="A487" s="4" t="s">
        <v>555</v>
      </c>
      <c r="B487" s="5">
        <v>69</v>
      </c>
      <c r="C487" s="4" t="s">
        <v>33</v>
      </c>
      <c r="D487" s="4" t="s">
        <v>436</v>
      </c>
      <c r="E487" s="4" t="s">
        <v>95</v>
      </c>
      <c r="F487" s="4" t="s">
        <v>26</v>
      </c>
      <c r="G487" s="6">
        <v>20100</v>
      </c>
      <c r="H487" s="5">
        <v>17</v>
      </c>
      <c r="I487" s="7">
        <v>39762</v>
      </c>
      <c r="J487" s="4" t="s">
        <v>39</v>
      </c>
      <c r="K487" s="5">
        <v>2</v>
      </c>
      <c r="L487" s="6">
        <v>2620.0100000000002</v>
      </c>
      <c r="M487" s="6">
        <v>0</v>
      </c>
      <c r="N487" s="5">
        <v>20</v>
      </c>
      <c r="O487" s="6">
        <v>47.59</v>
      </c>
      <c r="P487" s="5">
        <v>5</v>
      </c>
      <c r="Q487" s="6">
        <v>0</v>
      </c>
      <c r="R487" s="6">
        <v>0</v>
      </c>
      <c r="S487" s="6">
        <v>0</v>
      </c>
      <c r="T487" s="6">
        <v>0</v>
      </c>
      <c r="U487" s="5">
        <v>615</v>
      </c>
      <c r="V487" s="5">
        <v>0</v>
      </c>
    </row>
    <row r="488" spans="1:22" x14ac:dyDescent="0.25">
      <c r="A488" s="4" t="s">
        <v>556</v>
      </c>
      <c r="B488" s="5">
        <v>40</v>
      </c>
      <c r="C488" s="4" t="s">
        <v>23</v>
      </c>
      <c r="D488" s="4" t="s">
        <v>108</v>
      </c>
      <c r="E488" s="4" t="s">
        <v>67</v>
      </c>
      <c r="F488" s="4" t="s">
        <v>30</v>
      </c>
      <c r="G488" s="6">
        <v>3500</v>
      </c>
      <c r="H488" s="5">
        <v>6</v>
      </c>
      <c r="I488" s="7">
        <v>43780</v>
      </c>
      <c r="J488" s="4" t="s">
        <v>27</v>
      </c>
      <c r="K488" s="5">
        <v>1</v>
      </c>
      <c r="L488" s="6">
        <v>660.73</v>
      </c>
      <c r="M488" s="6">
        <v>2104.94</v>
      </c>
      <c r="N488" s="5">
        <v>22</v>
      </c>
      <c r="O488" s="6">
        <v>30.51</v>
      </c>
      <c r="P488" s="5">
        <v>5</v>
      </c>
      <c r="Q488" s="6">
        <v>0</v>
      </c>
      <c r="R488" s="6">
        <v>0</v>
      </c>
      <c r="S488" s="6">
        <v>0</v>
      </c>
      <c r="T488" s="6">
        <v>0</v>
      </c>
      <c r="U488" s="5">
        <v>603</v>
      </c>
      <c r="V488" s="5">
        <v>0</v>
      </c>
    </row>
    <row r="489" spans="1:22" x14ac:dyDescent="0.25">
      <c r="A489" s="4" t="s">
        <v>557</v>
      </c>
      <c r="B489" s="5">
        <v>33</v>
      </c>
      <c r="C489" s="4" t="s">
        <v>33</v>
      </c>
      <c r="D489" s="4" t="s">
        <v>41</v>
      </c>
      <c r="E489" s="4" t="s">
        <v>25</v>
      </c>
      <c r="F489" s="4" t="s">
        <v>30</v>
      </c>
      <c r="G489" s="6">
        <v>43600</v>
      </c>
      <c r="H489" s="5">
        <v>3</v>
      </c>
      <c r="I489" s="7">
        <v>44998</v>
      </c>
      <c r="J489" s="4" t="s">
        <v>31</v>
      </c>
      <c r="K489" s="5">
        <v>1</v>
      </c>
      <c r="L489" s="6">
        <v>5511.18</v>
      </c>
      <c r="M489" s="6">
        <v>12040.69</v>
      </c>
      <c r="N489" s="5">
        <v>39</v>
      </c>
      <c r="O489" s="6">
        <v>67.14</v>
      </c>
      <c r="P489" s="5">
        <v>2</v>
      </c>
      <c r="Q489" s="6">
        <v>10000</v>
      </c>
      <c r="R489" s="6">
        <v>4643.41</v>
      </c>
      <c r="S489" s="6">
        <v>0</v>
      </c>
      <c r="T489" s="6">
        <v>0</v>
      </c>
      <c r="U489" s="5">
        <v>687</v>
      </c>
      <c r="V489" s="5">
        <v>0</v>
      </c>
    </row>
    <row r="490" spans="1:22" x14ac:dyDescent="0.25">
      <c r="A490" s="4" t="s">
        <v>558</v>
      </c>
      <c r="B490" s="5">
        <v>50</v>
      </c>
      <c r="C490" s="4" t="s">
        <v>23</v>
      </c>
      <c r="D490" s="4" t="s">
        <v>128</v>
      </c>
      <c r="E490" s="4" t="s">
        <v>25</v>
      </c>
      <c r="F490" s="4" t="s">
        <v>30</v>
      </c>
      <c r="G490" s="6">
        <v>45400</v>
      </c>
      <c r="H490" s="5">
        <v>12</v>
      </c>
      <c r="I490" s="7">
        <v>41764</v>
      </c>
      <c r="J490" s="4" t="s">
        <v>31</v>
      </c>
      <c r="K490" s="5">
        <v>2</v>
      </c>
      <c r="L490" s="6">
        <v>6598.86</v>
      </c>
      <c r="M490" s="6">
        <v>41263.35</v>
      </c>
      <c r="N490" s="5">
        <v>29</v>
      </c>
      <c r="O490" s="6">
        <v>57.69</v>
      </c>
      <c r="P490" s="5">
        <v>3</v>
      </c>
      <c r="Q490" s="6">
        <v>0</v>
      </c>
      <c r="R490" s="6">
        <v>0</v>
      </c>
      <c r="S490" s="6">
        <v>0</v>
      </c>
      <c r="T490" s="6">
        <v>0</v>
      </c>
      <c r="U490" s="5">
        <v>663</v>
      </c>
      <c r="V490" s="5">
        <v>1</v>
      </c>
    </row>
    <row r="491" spans="1:22" x14ac:dyDescent="0.25">
      <c r="A491" s="4" t="s">
        <v>559</v>
      </c>
      <c r="B491" s="5">
        <v>44</v>
      </c>
      <c r="C491" s="4" t="s">
        <v>33</v>
      </c>
      <c r="D491" s="4" t="s">
        <v>34</v>
      </c>
      <c r="E491" s="4" t="s">
        <v>54</v>
      </c>
      <c r="F491" s="4" t="s">
        <v>48</v>
      </c>
      <c r="G491" s="6">
        <v>22800</v>
      </c>
      <c r="H491" s="5">
        <v>6</v>
      </c>
      <c r="I491" s="7">
        <v>43837</v>
      </c>
      <c r="J491" s="4" t="s">
        <v>27</v>
      </c>
      <c r="K491" s="5">
        <v>3</v>
      </c>
      <c r="L491" s="6">
        <v>912.95</v>
      </c>
      <c r="M491" s="6">
        <v>21076.32</v>
      </c>
      <c r="N491" s="5">
        <v>30</v>
      </c>
      <c r="O491" s="6">
        <v>61.87</v>
      </c>
      <c r="P491" s="5">
        <v>1</v>
      </c>
      <c r="Q491" s="6">
        <v>0</v>
      </c>
      <c r="R491" s="6">
        <v>0</v>
      </c>
      <c r="S491" s="6">
        <v>91000</v>
      </c>
      <c r="T491" s="6">
        <v>589</v>
      </c>
      <c r="U491" s="5">
        <v>588</v>
      </c>
      <c r="V491" s="5">
        <v>0</v>
      </c>
    </row>
    <row r="492" spans="1:22" x14ac:dyDescent="0.25">
      <c r="A492" s="4" t="s">
        <v>560</v>
      </c>
      <c r="B492" s="5">
        <v>58</v>
      </c>
      <c r="C492" s="4" t="s">
        <v>33</v>
      </c>
      <c r="D492" s="4" t="s">
        <v>24</v>
      </c>
      <c r="E492" s="4" t="s">
        <v>42</v>
      </c>
      <c r="F492" s="4" t="s">
        <v>30</v>
      </c>
      <c r="G492" s="6">
        <v>160300</v>
      </c>
      <c r="H492" s="5">
        <v>25</v>
      </c>
      <c r="I492" s="7">
        <v>36799</v>
      </c>
      <c r="J492" s="4" t="s">
        <v>49</v>
      </c>
      <c r="K492" s="5">
        <v>5</v>
      </c>
      <c r="L492" s="6">
        <v>6252.14</v>
      </c>
      <c r="M492" s="6">
        <v>379404.69</v>
      </c>
      <c r="N492" s="5">
        <v>71</v>
      </c>
      <c r="O492" s="6">
        <v>98.18</v>
      </c>
      <c r="P492" s="5">
        <v>0</v>
      </c>
      <c r="Q492" s="6">
        <v>15000</v>
      </c>
      <c r="R492" s="6">
        <v>3721.67</v>
      </c>
      <c r="S492" s="6">
        <v>0</v>
      </c>
      <c r="T492" s="6">
        <v>0</v>
      </c>
      <c r="U492" s="5">
        <v>726</v>
      </c>
      <c r="V492" s="5">
        <v>0</v>
      </c>
    </row>
    <row r="493" spans="1:22" x14ac:dyDescent="0.25">
      <c r="A493" s="4" t="s">
        <v>561</v>
      </c>
      <c r="B493" s="5">
        <v>46</v>
      </c>
      <c r="C493" s="4" t="s">
        <v>33</v>
      </c>
      <c r="D493" s="4" t="s">
        <v>72</v>
      </c>
      <c r="E493" s="4" t="s">
        <v>63</v>
      </c>
      <c r="F493" s="4" t="s">
        <v>30</v>
      </c>
      <c r="G493" s="6">
        <v>37500</v>
      </c>
      <c r="H493" s="5">
        <v>9</v>
      </c>
      <c r="I493" s="7">
        <v>42676</v>
      </c>
      <c r="J493" s="4" t="s">
        <v>27</v>
      </c>
      <c r="K493" s="5">
        <v>2</v>
      </c>
      <c r="L493" s="6">
        <v>4684.46</v>
      </c>
      <c r="M493" s="6">
        <v>17563.04</v>
      </c>
      <c r="N493" s="5">
        <v>33</v>
      </c>
      <c r="O493" s="6">
        <v>90.42</v>
      </c>
      <c r="P493" s="5">
        <v>3</v>
      </c>
      <c r="Q493" s="6">
        <v>6000</v>
      </c>
      <c r="R493" s="6">
        <v>2932.2</v>
      </c>
      <c r="S493" s="6">
        <v>116000</v>
      </c>
      <c r="T493" s="6">
        <v>817</v>
      </c>
      <c r="U493" s="5">
        <v>673</v>
      </c>
      <c r="V493" s="5">
        <v>0</v>
      </c>
    </row>
    <row r="494" spans="1:22" x14ac:dyDescent="0.25">
      <c r="A494" s="4" t="s">
        <v>562</v>
      </c>
      <c r="B494" s="5">
        <v>65</v>
      </c>
      <c r="C494" s="4" t="s">
        <v>23</v>
      </c>
      <c r="D494" s="4" t="s">
        <v>98</v>
      </c>
      <c r="E494" s="4" t="s">
        <v>45</v>
      </c>
      <c r="F494" s="4" t="s">
        <v>48</v>
      </c>
      <c r="G494" s="6">
        <v>27800</v>
      </c>
      <c r="H494" s="5">
        <v>12</v>
      </c>
      <c r="I494" s="7">
        <v>41789</v>
      </c>
      <c r="J494" s="4" t="s">
        <v>31</v>
      </c>
      <c r="K494" s="5">
        <v>3</v>
      </c>
      <c r="L494" s="6">
        <v>2442.8200000000002</v>
      </c>
      <c r="M494" s="6">
        <v>17470.46</v>
      </c>
      <c r="N494" s="5">
        <v>26</v>
      </c>
      <c r="O494" s="6">
        <v>47.39</v>
      </c>
      <c r="P494" s="5">
        <v>4</v>
      </c>
      <c r="Q494" s="6">
        <v>6000</v>
      </c>
      <c r="R494" s="6">
        <v>1623.15</v>
      </c>
      <c r="S494" s="6">
        <v>0</v>
      </c>
      <c r="T494" s="6">
        <v>0</v>
      </c>
      <c r="U494" s="5">
        <v>625</v>
      </c>
      <c r="V494" s="5">
        <v>1</v>
      </c>
    </row>
    <row r="495" spans="1:22" x14ac:dyDescent="0.25">
      <c r="A495" s="4" t="s">
        <v>563</v>
      </c>
      <c r="B495" s="5">
        <v>29</v>
      </c>
      <c r="C495" s="4" t="s">
        <v>23</v>
      </c>
      <c r="D495" s="4" t="s">
        <v>37</v>
      </c>
      <c r="E495" s="4" t="s">
        <v>63</v>
      </c>
      <c r="F495" s="4" t="s">
        <v>48</v>
      </c>
      <c r="G495" s="6">
        <v>21600</v>
      </c>
      <c r="H495" s="5">
        <v>9</v>
      </c>
      <c r="I495" s="7">
        <v>42945</v>
      </c>
      <c r="J495" s="4" t="s">
        <v>31</v>
      </c>
      <c r="K495" s="5">
        <v>2</v>
      </c>
      <c r="L495" s="6">
        <v>-2194.04</v>
      </c>
      <c r="M495" s="6">
        <v>7727.02</v>
      </c>
      <c r="N495" s="5">
        <v>25</v>
      </c>
      <c r="O495" s="6">
        <v>118.58</v>
      </c>
      <c r="P495" s="5">
        <v>2</v>
      </c>
      <c r="Q495" s="6">
        <v>0</v>
      </c>
      <c r="R495" s="6">
        <v>0</v>
      </c>
      <c r="S495" s="6">
        <v>91000</v>
      </c>
      <c r="T495" s="6">
        <v>620</v>
      </c>
      <c r="U495" s="5">
        <v>574</v>
      </c>
      <c r="V495" s="5">
        <v>0</v>
      </c>
    </row>
    <row r="496" spans="1:22" x14ac:dyDescent="0.25">
      <c r="A496" s="4" t="s">
        <v>564</v>
      </c>
      <c r="B496" s="5">
        <v>37</v>
      </c>
      <c r="C496" s="4" t="s">
        <v>33</v>
      </c>
      <c r="D496" s="4" t="s">
        <v>51</v>
      </c>
      <c r="E496" s="4" t="s">
        <v>25</v>
      </c>
      <c r="F496" s="4" t="s">
        <v>48</v>
      </c>
      <c r="G496" s="6">
        <v>46000</v>
      </c>
      <c r="H496" s="5">
        <v>1</v>
      </c>
      <c r="I496" s="7">
        <v>45904</v>
      </c>
      <c r="J496" s="4" t="s">
        <v>39</v>
      </c>
      <c r="K496" s="5">
        <v>1</v>
      </c>
      <c r="L496" s="6">
        <v>4708.6899999999996</v>
      </c>
      <c r="M496" s="6">
        <v>5627.5</v>
      </c>
      <c r="N496" s="5">
        <v>29</v>
      </c>
      <c r="O496" s="6">
        <v>38.54</v>
      </c>
      <c r="P496" s="5">
        <v>11</v>
      </c>
      <c r="Q496" s="6">
        <v>6500</v>
      </c>
      <c r="R496" s="6">
        <v>3245.03</v>
      </c>
      <c r="S496" s="6">
        <v>123000</v>
      </c>
      <c r="T496" s="6">
        <v>772</v>
      </c>
      <c r="U496" s="5">
        <v>523</v>
      </c>
      <c r="V496" s="5">
        <v>0</v>
      </c>
    </row>
    <row r="497" spans="1:22" x14ac:dyDescent="0.25">
      <c r="A497" s="4" t="s">
        <v>565</v>
      </c>
      <c r="B497" s="5">
        <v>18</v>
      </c>
      <c r="C497" s="4" t="s">
        <v>33</v>
      </c>
      <c r="D497" s="4" t="s">
        <v>72</v>
      </c>
      <c r="E497" s="4" t="s">
        <v>117</v>
      </c>
      <c r="F497" s="4" t="s">
        <v>26</v>
      </c>
      <c r="G497" s="6">
        <v>7700</v>
      </c>
      <c r="H497" s="5">
        <v>0</v>
      </c>
      <c r="I497" s="7">
        <v>46110</v>
      </c>
      <c r="J497" s="4" t="s">
        <v>27</v>
      </c>
      <c r="K497" s="5">
        <v>1</v>
      </c>
      <c r="L497" s="6">
        <v>1402.9</v>
      </c>
      <c r="M497" s="6">
        <v>802.09</v>
      </c>
      <c r="N497" s="5">
        <v>25</v>
      </c>
      <c r="O497" s="6">
        <v>58.18</v>
      </c>
      <c r="P497" s="5">
        <v>3</v>
      </c>
      <c r="Q497" s="6">
        <v>1500</v>
      </c>
      <c r="R497" s="6">
        <v>119.41</v>
      </c>
      <c r="S497" s="6">
        <v>0</v>
      </c>
      <c r="T497" s="6">
        <v>0</v>
      </c>
      <c r="U497" s="5">
        <v>544</v>
      </c>
      <c r="V497" s="5">
        <v>0</v>
      </c>
    </row>
    <row r="498" spans="1:22" x14ac:dyDescent="0.25">
      <c r="A498" s="4" t="s">
        <v>566</v>
      </c>
      <c r="B498" s="5">
        <v>38</v>
      </c>
      <c r="C498" s="4" t="s">
        <v>33</v>
      </c>
      <c r="D498" s="4" t="s">
        <v>75</v>
      </c>
      <c r="E498" s="4" t="s">
        <v>42</v>
      </c>
      <c r="F498" s="4" t="s">
        <v>48</v>
      </c>
      <c r="G498" s="6">
        <v>38300</v>
      </c>
      <c r="H498" s="5">
        <v>11</v>
      </c>
      <c r="I498" s="7">
        <v>42252</v>
      </c>
      <c r="J498" s="4" t="s">
        <v>27</v>
      </c>
      <c r="K498" s="5">
        <v>3</v>
      </c>
      <c r="L498" s="6">
        <v>3936.86</v>
      </c>
      <c r="M498" s="6">
        <v>25444.77</v>
      </c>
      <c r="N498" s="5">
        <v>39</v>
      </c>
      <c r="O498" s="6">
        <v>50.9</v>
      </c>
      <c r="P498" s="5">
        <v>3</v>
      </c>
      <c r="Q498" s="6">
        <v>8000</v>
      </c>
      <c r="R498" s="6">
        <v>2035.1</v>
      </c>
      <c r="S498" s="6">
        <v>0</v>
      </c>
      <c r="T498" s="6">
        <v>0</v>
      </c>
      <c r="U498" s="5">
        <v>559</v>
      </c>
      <c r="V498" s="5">
        <v>0</v>
      </c>
    </row>
    <row r="499" spans="1:22" x14ac:dyDescent="0.25">
      <c r="A499" s="4" t="s">
        <v>567</v>
      </c>
      <c r="B499" s="5">
        <v>66</v>
      </c>
      <c r="C499" s="4" t="s">
        <v>33</v>
      </c>
      <c r="D499" s="4" t="s">
        <v>59</v>
      </c>
      <c r="E499" s="4" t="s">
        <v>95</v>
      </c>
      <c r="F499" s="4" t="s">
        <v>30</v>
      </c>
      <c r="G499" s="6">
        <v>16700</v>
      </c>
      <c r="H499" s="5">
        <v>17</v>
      </c>
      <c r="I499" s="7">
        <v>39955</v>
      </c>
      <c r="J499" s="4" t="s">
        <v>39</v>
      </c>
      <c r="K499" s="5">
        <v>2</v>
      </c>
      <c r="L499" s="6">
        <v>1412.36</v>
      </c>
      <c r="M499" s="6">
        <v>39163.660000000003</v>
      </c>
      <c r="N499" s="5">
        <v>21</v>
      </c>
      <c r="O499" s="6">
        <v>40.33</v>
      </c>
      <c r="P499" s="5">
        <v>5</v>
      </c>
      <c r="Q499" s="6">
        <v>3000</v>
      </c>
      <c r="R499" s="6">
        <v>1210.8399999999999</v>
      </c>
      <c r="S499" s="6">
        <v>0</v>
      </c>
      <c r="T499" s="6">
        <v>0</v>
      </c>
      <c r="U499" s="5">
        <v>699</v>
      </c>
      <c r="V499" s="5">
        <v>0</v>
      </c>
    </row>
    <row r="500" spans="1:22" x14ac:dyDescent="0.25">
      <c r="A500" s="4" t="s">
        <v>568</v>
      </c>
      <c r="B500" s="5">
        <v>47</v>
      </c>
      <c r="C500" s="4" t="s">
        <v>23</v>
      </c>
      <c r="D500" s="4" t="s">
        <v>59</v>
      </c>
      <c r="E500" s="4" t="s">
        <v>25</v>
      </c>
      <c r="F500" s="4" t="s">
        <v>30</v>
      </c>
      <c r="G500" s="6">
        <v>46500</v>
      </c>
      <c r="H500" s="5">
        <v>10</v>
      </c>
      <c r="I500" s="7">
        <v>42580</v>
      </c>
      <c r="J500" s="4" t="s">
        <v>31</v>
      </c>
      <c r="K500" s="5">
        <v>3</v>
      </c>
      <c r="L500" s="6">
        <v>2943.72</v>
      </c>
      <c r="M500" s="6">
        <v>26761.9</v>
      </c>
      <c r="N500" s="5">
        <v>20</v>
      </c>
      <c r="O500" s="6">
        <v>66.790000000000006</v>
      </c>
      <c r="P500" s="5">
        <v>4</v>
      </c>
      <c r="Q500" s="6">
        <v>8000</v>
      </c>
      <c r="R500" s="6">
        <v>1441.01</v>
      </c>
      <c r="S500" s="6">
        <v>0</v>
      </c>
      <c r="T500" s="6">
        <v>0</v>
      </c>
      <c r="U500" s="5">
        <v>699</v>
      </c>
      <c r="V500" s="5">
        <v>0</v>
      </c>
    </row>
    <row r="501" spans="1:22" x14ac:dyDescent="0.25">
      <c r="A501" s="4" t="s">
        <v>569</v>
      </c>
      <c r="B501" s="5">
        <v>45</v>
      </c>
      <c r="C501" s="4" t="s">
        <v>33</v>
      </c>
      <c r="D501" s="4" t="s">
        <v>44</v>
      </c>
      <c r="E501" s="4" t="s">
        <v>54</v>
      </c>
      <c r="F501" s="4" t="s">
        <v>26</v>
      </c>
      <c r="G501" s="6">
        <v>30900</v>
      </c>
      <c r="H501" s="5">
        <v>9</v>
      </c>
      <c r="I501" s="7">
        <v>42852</v>
      </c>
      <c r="J501" s="4" t="s">
        <v>27</v>
      </c>
      <c r="K501" s="5">
        <v>4</v>
      </c>
      <c r="L501" s="6">
        <v>6605.08</v>
      </c>
      <c r="M501" s="6">
        <v>13903.36</v>
      </c>
      <c r="N501" s="5">
        <v>26</v>
      </c>
      <c r="O501" s="6">
        <v>61.6</v>
      </c>
      <c r="P501" s="5">
        <v>1</v>
      </c>
      <c r="Q501" s="6">
        <v>5000</v>
      </c>
      <c r="R501" s="6">
        <v>1127.54</v>
      </c>
      <c r="S501" s="6">
        <v>0</v>
      </c>
      <c r="T501" s="6">
        <v>0</v>
      </c>
      <c r="U501" s="5">
        <v>627</v>
      </c>
      <c r="V501" s="5">
        <v>0</v>
      </c>
    </row>
    <row r="502" spans="1:22" x14ac:dyDescent="0.25">
      <c r="A502" s="4" t="s">
        <v>570</v>
      </c>
      <c r="B502" s="5">
        <v>47</v>
      </c>
      <c r="C502" s="4" t="s">
        <v>23</v>
      </c>
      <c r="D502" s="4" t="s">
        <v>34</v>
      </c>
      <c r="E502" s="4" t="s">
        <v>90</v>
      </c>
      <c r="F502" s="4" t="s">
        <v>30</v>
      </c>
      <c r="G502" s="6">
        <v>72800</v>
      </c>
      <c r="H502" s="5">
        <v>7</v>
      </c>
      <c r="I502" s="7">
        <v>43688</v>
      </c>
      <c r="J502" s="4" t="s">
        <v>31</v>
      </c>
      <c r="K502" s="5">
        <v>2</v>
      </c>
      <c r="L502" s="6">
        <v>13940</v>
      </c>
      <c r="M502" s="6">
        <v>31191.69</v>
      </c>
      <c r="N502" s="5">
        <v>43</v>
      </c>
      <c r="O502" s="6">
        <v>97.45</v>
      </c>
      <c r="P502" s="5">
        <v>2</v>
      </c>
      <c r="Q502" s="6">
        <v>0</v>
      </c>
      <c r="R502" s="6">
        <v>0</v>
      </c>
      <c r="S502" s="6">
        <v>0</v>
      </c>
      <c r="T502" s="6">
        <v>0</v>
      </c>
      <c r="U502" s="5">
        <v>609</v>
      </c>
      <c r="V502" s="5">
        <v>0</v>
      </c>
    </row>
    <row r="503" spans="1:22" x14ac:dyDescent="0.25">
      <c r="A503" s="4" t="s">
        <v>571</v>
      </c>
      <c r="B503" s="5">
        <v>49</v>
      </c>
      <c r="C503" s="4" t="s">
        <v>33</v>
      </c>
      <c r="D503" s="4" t="s">
        <v>29</v>
      </c>
      <c r="E503" s="4" t="s">
        <v>45</v>
      </c>
      <c r="F503" s="4" t="s">
        <v>30</v>
      </c>
      <c r="G503" s="6">
        <v>17500</v>
      </c>
      <c r="H503" s="5">
        <v>8</v>
      </c>
      <c r="I503" s="7">
        <v>43225</v>
      </c>
      <c r="J503" s="4" t="s">
        <v>27</v>
      </c>
      <c r="K503" s="5">
        <v>4</v>
      </c>
      <c r="L503" s="6">
        <v>509.03</v>
      </c>
      <c r="M503" s="6">
        <v>3859.24</v>
      </c>
      <c r="N503" s="5">
        <v>16</v>
      </c>
      <c r="O503" s="6">
        <v>44.08</v>
      </c>
      <c r="P503" s="5">
        <v>2</v>
      </c>
      <c r="Q503" s="6">
        <v>3500</v>
      </c>
      <c r="R503" s="6">
        <v>2445.83</v>
      </c>
      <c r="S503" s="6">
        <v>72000</v>
      </c>
      <c r="T503" s="6">
        <v>448</v>
      </c>
      <c r="U503" s="5">
        <v>592</v>
      </c>
      <c r="V503" s="5">
        <v>0</v>
      </c>
    </row>
    <row r="504" spans="1:22" x14ac:dyDescent="0.25">
      <c r="A504" s="4" t="s">
        <v>572</v>
      </c>
      <c r="B504" s="5">
        <v>70</v>
      </c>
      <c r="C504" s="4" t="s">
        <v>33</v>
      </c>
      <c r="D504" s="4" t="s">
        <v>59</v>
      </c>
      <c r="E504" s="4" t="s">
        <v>95</v>
      </c>
      <c r="F504" s="4" t="s">
        <v>26</v>
      </c>
      <c r="G504" s="6">
        <v>31500</v>
      </c>
      <c r="H504" s="5">
        <v>16</v>
      </c>
      <c r="I504" s="7">
        <v>40349</v>
      </c>
      <c r="J504" s="4" t="s">
        <v>49</v>
      </c>
      <c r="K504" s="5">
        <v>2</v>
      </c>
      <c r="L504" s="6">
        <v>6115.92</v>
      </c>
      <c r="M504" s="6">
        <v>29741.06</v>
      </c>
      <c r="N504" s="5">
        <v>23</v>
      </c>
      <c r="O504" s="6">
        <v>45.68</v>
      </c>
      <c r="P504" s="5">
        <v>2</v>
      </c>
      <c r="Q504" s="6">
        <v>7000</v>
      </c>
      <c r="R504" s="6">
        <v>1431.54</v>
      </c>
      <c r="S504" s="6">
        <v>0</v>
      </c>
      <c r="T504" s="6">
        <v>0</v>
      </c>
      <c r="U504" s="5">
        <v>580</v>
      </c>
      <c r="V504" s="5">
        <v>1</v>
      </c>
    </row>
    <row r="505" spans="1:22" x14ac:dyDescent="0.25">
      <c r="A505" s="4" t="s">
        <v>573</v>
      </c>
      <c r="B505" s="5">
        <v>51</v>
      </c>
      <c r="C505" s="4" t="s">
        <v>23</v>
      </c>
      <c r="D505" s="4" t="s">
        <v>24</v>
      </c>
      <c r="E505" s="4" t="s">
        <v>35</v>
      </c>
      <c r="F505" s="4" t="s">
        <v>26</v>
      </c>
      <c r="G505" s="6">
        <v>38300</v>
      </c>
      <c r="H505" s="5">
        <v>24</v>
      </c>
      <c r="I505" s="7">
        <v>37231</v>
      </c>
      <c r="J505" s="4" t="s">
        <v>39</v>
      </c>
      <c r="K505" s="5">
        <v>4</v>
      </c>
      <c r="L505" s="6">
        <v>1290.26</v>
      </c>
      <c r="M505" s="6">
        <v>0</v>
      </c>
      <c r="N505" s="5">
        <v>28</v>
      </c>
      <c r="O505" s="6">
        <v>53.61</v>
      </c>
      <c r="P505" s="5">
        <v>8</v>
      </c>
      <c r="Q505" s="6">
        <v>9500</v>
      </c>
      <c r="R505" s="6">
        <v>1783.07</v>
      </c>
      <c r="S505" s="6">
        <v>127000</v>
      </c>
      <c r="T505" s="6">
        <v>641</v>
      </c>
      <c r="U505" s="5">
        <v>649</v>
      </c>
      <c r="V505" s="5">
        <v>0</v>
      </c>
    </row>
    <row r="506" spans="1:22" x14ac:dyDescent="0.25">
      <c r="A506" s="4" t="s">
        <v>574</v>
      </c>
      <c r="B506" s="5">
        <v>42</v>
      </c>
      <c r="C506" s="4" t="s">
        <v>23</v>
      </c>
      <c r="D506" s="4" t="s">
        <v>34</v>
      </c>
      <c r="E506" s="4" t="s">
        <v>45</v>
      </c>
      <c r="F506" s="4" t="s">
        <v>30</v>
      </c>
      <c r="G506" s="6">
        <v>22000</v>
      </c>
      <c r="H506" s="5">
        <v>5</v>
      </c>
      <c r="I506" s="7">
        <v>44354</v>
      </c>
      <c r="J506" s="4" t="s">
        <v>39</v>
      </c>
      <c r="K506" s="5">
        <v>3</v>
      </c>
      <c r="L506" s="6">
        <v>1488.83</v>
      </c>
      <c r="M506" s="6">
        <v>0</v>
      </c>
      <c r="N506" s="5">
        <v>21</v>
      </c>
      <c r="O506" s="6">
        <v>41.26</v>
      </c>
      <c r="P506" s="5">
        <v>3</v>
      </c>
      <c r="Q506" s="6">
        <v>2500</v>
      </c>
      <c r="R506" s="6">
        <v>301.5</v>
      </c>
      <c r="S506" s="6">
        <v>91000</v>
      </c>
      <c r="T506" s="6">
        <v>435</v>
      </c>
      <c r="U506" s="5">
        <v>660</v>
      </c>
      <c r="V506" s="5">
        <v>0</v>
      </c>
    </row>
    <row r="507" spans="1:22" x14ac:dyDescent="0.25">
      <c r="A507" s="4" t="s">
        <v>575</v>
      </c>
      <c r="B507" s="5">
        <v>26</v>
      </c>
      <c r="C507" s="4" t="s">
        <v>33</v>
      </c>
      <c r="D507" s="4" t="s">
        <v>98</v>
      </c>
      <c r="E507" s="4" t="s">
        <v>25</v>
      </c>
      <c r="F507" s="4" t="s">
        <v>26</v>
      </c>
      <c r="G507" s="6">
        <v>33700</v>
      </c>
      <c r="H507" s="5">
        <v>1</v>
      </c>
      <c r="I507" s="7">
        <v>45755</v>
      </c>
      <c r="J507" s="4" t="s">
        <v>31</v>
      </c>
      <c r="K507" s="5">
        <v>1</v>
      </c>
      <c r="L507" s="6">
        <v>1182.92</v>
      </c>
      <c r="M507" s="6">
        <v>0</v>
      </c>
      <c r="N507" s="5">
        <v>36</v>
      </c>
      <c r="O507" s="6">
        <v>58.1</v>
      </c>
      <c r="P507" s="5">
        <v>4</v>
      </c>
      <c r="Q507" s="6">
        <v>0</v>
      </c>
      <c r="R507" s="6">
        <v>0</v>
      </c>
      <c r="S507" s="6">
        <v>0</v>
      </c>
      <c r="T507" s="6">
        <v>0</v>
      </c>
      <c r="U507" s="5">
        <v>559</v>
      </c>
      <c r="V507" s="5">
        <v>0</v>
      </c>
    </row>
    <row r="508" spans="1:22" x14ac:dyDescent="0.25">
      <c r="A508" s="4" t="s">
        <v>576</v>
      </c>
      <c r="B508" s="5">
        <v>34</v>
      </c>
      <c r="C508" s="4" t="s">
        <v>23</v>
      </c>
      <c r="D508" s="4" t="s">
        <v>51</v>
      </c>
      <c r="E508" s="4" t="s">
        <v>25</v>
      </c>
      <c r="F508" s="4" t="s">
        <v>30</v>
      </c>
      <c r="G508" s="6">
        <v>28100</v>
      </c>
      <c r="H508" s="5">
        <v>14</v>
      </c>
      <c r="I508" s="7">
        <v>41164</v>
      </c>
      <c r="J508" s="4" t="s">
        <v>27</v>
      </c>
      <c r="K508" s="5">
        <v>3</v>
      </c>
      <c r="L508" s="6">
        <v>7088.5</v>
      </c>
      <c r="M508" s="6">
        <v>40352.370000000003</v>
      </c>
      <c r="N508" s="5">
        <v>30</v>
      </c>
      <c r="O508" s="6">
        <v>30.88</v>
      </c>
      <c r="P508" s="5">
        <v>5</v>
      </c>
      <c r="Q508" s="6">
        <v>5500</v>
      </c>
      <c r="R508" s="6">
        <v>2055.0100000000002</v>
      </c>
      <c r="S508" s="6">
        <v>47000</v>
      </c>
      <c r="T508" s="6">
        <v>227</v>
      </c>
      <c r="U508" s="5">
        <v>646</v>
      </c>
      <c r="V508" s="5">
        <v>0</v>
      </c>
    </row>
    <row r="509" spans="1:22" x14ac:dyDescent="0.25">
      <c r="A509" s="4" t="s">
        <v>577</v>
      </c>
      <c r="B509" s="5">
        <v>18</v>
      </c>
      <c r="C509" s="4" t="s">
        <v>23</v>
      </c>
      <c r="D509" s="4" t="s">
        <v>24</v>
      </c>
      <c r="E509" s="4" t="s">
        <v>117</v>
      </c>
      <c r="F509" s="4" t="s">
        <v>26</v>
      </c>
      <c r="G509" s="6">
        <v>5900</v>
      </c>
      <c r="H509" s="5">
        <v>0</v>
      </c>
      <c r="I509" s="7">
        <v>46028</v>
      </c>
      <c r="J509" s="4" t="s">
        <v>31</v>
      </c>
      <c r="K509" s="5">
        <v>1</v>
      </c>
      <c r="L509" s="6">
        <v>-1641.2</v>
      </c>
      <c r="M509" s="6">
        <v>0</v>
      </c>
      <c r="N509" s="5">
        <v>25</v>
      </c>
      <c r="O509" s="6">
        <v>30.08</v>
      </c>
      <c r="P509" s="5">
        <v>0</v>
      </c>
      <c r="Q509" s="6">
        <v>1000</v>
      </c>
      <c r="R509" s="6">
        <v>189.98</v>
      </c>
      <c r="S509" s="6">
        <v>0</v>
      </c>
      <c r="T509" s="6">
        <v>0</v>
      </c>
      <c r="U509" s="5">
        <v>512</v>
      </c>
      <c r="V509" s="5">
        <v>1</v>
      </c>
    </row>
    <row r="510" spans="1:22" x14ac:dyDescent="0.25">
      <c r="A510" s="4" t="s">
        <v>578</v>
      </c>
      <c r="B510" s="5">
        <v>42</v>
      </c>
      <c r="C510" s="4" t="s">
        <v>23</v>
      </c>
      <c r="D510" s="4" t="s">
        <v>29</v>
      </c>
      <c r="E510" s="4" t="s">
        <v>63</v>
      </c>
      <c r="F510" s="4" t="s">
        <v>26</v>
      </c>
      <c r="G510" s="6">
        <v>29500</v>
      </c>
      <c r="H510" s="5">
        <v>4</v>
      </c>
      <c r="I510" s="7">
        <v>44773</v>
      </c>
      <c r="J510" s="4" t="s">
        <v>31</v>
      </c>
      <c r="K510" s="5">
        <v>2</v>
      </c>
      <c r="L510" s="6">
        <v>5840.69</v>
      </c>
      <c r="M510" s="6">
        <v>0</v>
      </c>
      <c r="N510" s="5">
        <v>31</v>
      </c>
      <c r="O510" s="6">
        <v>83.9</v>
      </c>
      <c r="P510" s="5">
        <v>1</v>
      </c>
      <c r="Q510" s="6">
        <v>6500</v>
      </c>
      <c r="R510" s="6">
        <v>1103.73</v>
      </c>
      <c r="S510" s="6">
        <v>0</v>
      </c>
      <c r="T510" s="6">
        <v>0</v>
      </c>
      <c r="U510" s="5">
        <v>651</v>
      </c>
      <c r="V510" s="5">
        <v>0</v>
      </c>
    </row>
    <row r="511" spans="1:22" x14ac:dyDescent="0.25">
      <c r="A511" s="4" t="s">
        <v>579</v>
      </c>
      <c r="B511" s="5">
        <v>47</v>
      </c>
      <c r="C511" s="4" t="s">
        <v>33</v>
      </c>
      <c r="D511" s="4" t="s">
        <v>37</v>
      </c>
      <c r="E511" s="4" t="s">
        <v>25</v>
      </c>
      <c r="F511" s="4" t="s">
        <v>26</v>
      </c>
      <c r="G511" s="6">
        <v>27200</v>
      </c>
      <c r="H511" s="5">
        <v>21</v>
      </c>
      <c r="I511" s="7">
        <v>38319</v>
      </c>
      <c r="J511" s="4" t="s">
        <v>39</v>
      </c>
      <c r="K511" s="5">
        <v>3</v>
      </c>
      <c r="L511" s="6">
        <v>1895.12</v>
      </c>
      <c r="M511" s="6">
        <v>0</v>
      </c>
      <c r="N511" s="5">
        <v>28</v>
      </c>
      <c r="O511" s="6">
        <v>49.64</v>
      </c>
      <c r="P511" s="5">
        <v>2</v>
      </c>
      <c r="Q511" s="6">
        <v>6000</v>
      </c>
      <c r="R511" s="6">
        <v>1788.23</v>
      </c>
      <c r="S511" s="6">
        <v>0</v>
      </c>
      <c r="T511" s="6">
        <v>0</v>
      </c>
      <c r="U511" s="5">
        <v>644</v>
      </c>
      <c r="V511" s="5">
        <v>0</v>
      </c>
    </row>
    <row r="512" spans="1:22" x14ac:dyDescent="0.25">
      <c r="A512" s="4" t="s">
        <v>580</v>
      </c>
      <c r="B512" s="5">
        <v>44</v>
      </c>
      <c r="C512" s="4" t="s">
        <v>33</v>
      </c>
      <c r="D512" s="4" t="s">
        <v>34</v>
      </c>
      <c r="E512" s="4" t="s">
        <v>90</v>
      </c>
      <c r="F512" s="4" t="s">
        <v>48</v>
      </c>
      <c r="G512" s="6">
        <v>88800</v>
      </c>
      <c r="H512" s="5">
        <v>5</v>
      </c>
      <c r="I512" s="7">
        <v>44381</v>
      </c>
      <c r="J512" s="4" t="s">
        <v>31</v>
      </c>
      <c r="K512" s="5">
        <v>3</v>
      </c>
      <c r="L512" s="6">
        <v>7433.02</v>
      </c>
      <c r="M512" s="6"/>
      <c r="N512" s="5">
        <v>59</v>
      </c>
      <c r="O512" s="6">
        <v>44.22</v>
      </c>
      <c r="P512" s="5">
        <v>2</v>
      </c>
      <c r="Q512" s="6">
        <v>10500</v>
      </c>
      <c r="R512" s="6">
        <v>2460.4499999999998</v>
      </c>
      <c r="S512" s="6">
        <v>396000</v>
      </c>
      <c r="T512" s="6">
        <v>2449</v>
      </c>
      <c r="U512" s="5">
        <v>674</v>
      </c>
      <c r="V512" s="5">
        <v>1</v>
      </c>
    </row>
    <row r="513" spans="1:22" x14ac:dyDescent="0.25">
      <c r="A513" s="4" t="s">
        <v>581</v>
      </c>
      <c r="B513" s="5">
        <v>23</v>
      </c>
      <c r="C513" s="4" t="s">
        <v>23</v>
      </c>
      <c r="D513" s="4" t="s">
        <v>70</v>
      </c>
      <c r="E513" s="4" t="s">
        <v>95</v>
      </c>
      <c r="F513" s="4" t="s">
        <v>26</v>
      </c>
      <c r="G513" s="6">
        <v>4700</v>
      </c>
      <c r="H513" s="5">
        <v>2</v>
      </c>
      <c r="I513" s="7">
        <v>45523</v>
      </c>
      <c r="J513" s="4" t="s">
        <v>31</v>
      </c>
      <c r="K513" s="5">
        <v>1</v>
      </c>
      <c r="L513" s="6">
        <v>603.30999999999995</v>
      </c>
      <c r="M513" s="6">
        <v>2101.9499999999998</v>
      </c>
      <c r="N513" s="5">
        <v>30</v>
      </c>
      <c r="O513" s="6">
        <v>39.729999999999997</v>
      </c>
      <c r="P513" s="5">
        <v>1</v>
      </c>
      <c r="Q513" s="6">
        <v>0</v>
      </c>
      <c r="R513" s="6">
        <v>0</v>
      </c>
      <c r="S513" s="6">
        <v>0</v>
      </c>
      <c r="T513" s="6">
        <v>0</v>
      </c>
      <c r="U513" s="5">
        <v>512</v>
      </c>
      <c r="V513" s="5">
        <v>0</v>
      </c>
    </row>
    <row r="514" spans="1:22" x14ac:dyDescent="0.25">
      <c r="A514" s="4" t="s">
        <v>582</v>
      </c>
      <c r="B514" s="5">
        <v>33</v>
      </c>
      <c r="C514" s="4" t="s">
        <v>33</v>
      </c>
      <c r="D514" s="4" t="s">
        <v>44</v>
      </c>
      <c r="E514" s="4" t="s">
        <v>45</v>
      </c>
      <c r="F514" s="4" t="s">
        <v>30</v>
      </c>
      <c r="G514" s="6">
        <v>29700</v>
      </c>
      <c r="H514" s="5">
        <v>5</v>
      </c>
      <c r="I514" s="7">
        <v>44335</v>
      </c>
      <c r="J514" s="4" t="s">
        <v>31</v>
      </c>
      <c r="K514" s="5">
        <v>2</v>
      </c>
      <c r="L514" s="6">
        <v>3500.93</v>
      </c>
      <c r="M514" s="6">
        <v>19581.169999999998</v>
      </c>
      <c r="N514" s="5">
        <v>35</v>
      </c>
      <c r="O514" s="6">
        <v>49.09</v>
      </c>
      <c r="P514" s="5">
        <v>2</v>
      </c>
      <c r="Q514" s="6">
        <v>6000</v>
      </c>
      <c r="R514" s="6">
        <v>80.7</v>
      </c>
      <c r="S514" s="6">
        <v>0</v>
      </c>
      <c r="T514" s="6">
        <v>0</v>
      </c>
      <c r="U514" s="5">
        <v>616</v>
      </c>
      <c r="V514" s="5">
        <v>0</v>
      </c>
    </row>
    <row r="515" spans="1:22" x14ac:dyDescent="0.25">
      <c r="A515" s="4" t="s">
        <v>583</v>
      </c>
      <c r="B515" s="5">
        <v>44</v>
      </c>
      <c r="C515" s="4" t="s">
        <v>23</v>
      </c>
      <c r="D515" s="4" t="s">
        <v>44</v>
      </c>
      <c r="E515" s="4" t="s">
        <v>25</v>
      </c>
      <c r="F515" s="4" t="s">
        <v>26</v>
      </c>
      <c r="G515" s="6">
        <v>31800</v>
      </c>
      <c r="H515" s="5">
        <v>9</v>
      </c>
      <c r="I515" s="7">
        <v>42647</v>
      </c>
      <c r="J515" s="4" t="s">
        <v>27</v>
      </c>
      <c r="K515" s="5">
        <v>1</v>
      </c>
      <c r="L515" s="6">
        <v>1545.25</v>
      </c>
      <c r="M515" s="6">
        <v>0</v>
      </c>
      <c r="N515" s="5">
        <v>37</v>
      </c>
      <c r="O515" s="6">
        <v>45.03</v>
      </c>
      <c r="P515" s="5">
        <v>3</v>
      </c>
      <c r="Q515" s="6">
        <v>0</v>
      </c>
      <c r="R515" s="6">
        <v>0</v>
      </c>
      <c r="S515" s="6">
        <v>0</v>
      </c>
      <c r="T515" s="6">
        <v>0</v>
      </c>
      <c r="U515" s="5">
        <v>567</v>
      </c>
      <c r="V515" s="5">
        <v>1</v>
      </c>
    </row>
    <row r="516" spans="1:22" x14ac:dyDescent="0.25">
      <c r="A516" s="4" t="s">
        <v>584</v>
      </c>
      <c r="B516" s="5">
        <v>73</v>
      </c>
      <c r="C516" s="4" t="s">
        <v>33</v>
      </c>
      <c r="D516" s="4" t="s">
        <v>29</v>
      </c>
      <c r="E516" s="4" t="s">
        <v>95</v>
      </c>
      <c r="F516" s="4" t="s">
        <v>30</v>
      </c>
      <c r="G516" s="6">
        <v>28700</v>
      </c>
      <c r="H516" s="5">
        <v>5</v>
      </c>
      <c r="I516" s="7">
        <v>44162</v>
      </c>
      <c r="J516" s="4" t="s">
        <v>39</v>
      </c>
      <c r="K516" s="5">
        <v>3</v>
      </c>
      <c r="L516" s="6">
        <v>4140.01</v>
      </c>
      <c r="M516" s="6">
        <v>9548.4</v>
      </c>
      <c r="N516" s="5">
        <v>25</v>
      </c>
      <c r="O516" s="6">
        <v>84.65</v>
      </c>
      <c r="P516" s="5">
        <v>2</v>
      </c>
      <c r="Q516" s="6">
        <v>5500</v>
      </c>
      <c r="R516" s="6">
        <v>1330.93</v>
      </c>
      <c r="S516" s="6">
        <v>0</v>
      </c>
      <c r="T516" s="6">
        <v>0</v>
      </c>
      <c r="U516" s="5">
        <v>601</v>
      </c>
      <c r="V516" s="5">
        <v>0</v>
      </c>
    </row>
    <row r="517" spans="1:22" x14ac:dyDescent="0.25">
      <c r="A517" s="4" t="s">
        <v>585</v>
      </c>
      <c r="B517" s="5">
        <v>48</v>
      </c>
      <c r="C517" s="4" t="s">
        <v>33</v>
      </c>
      <c r="D517" s="4" t="s">
        <v>59</v>
      </c>
      <c r="E517" s="4" t="s">
        <v>25</v>
      </c>
      <c r="F517" s="4" t="s">
        <v>30</v>
      </c>
      <c r="G517" s="6">
        <v>19600</v>
      </c>
      <c r="H517" s="5">
        <v>28</v>
      </c>
      <c r="I517" s="7">
        <v>35906</v>
      </c>
      <c r="J517" s="4" t="s">
        <v>27</v>
      </c>
      <c r="K517" s="5">
        <v>5</v>
      </c>
      <c r="L517" s="6">
        <v>2265.44</v>
      </c>
      <c r="M517" s="6">
        <v>54829.29</v>
      </c>
      <c r="N517" s="5">
        <v>25</v>
      </c>
      <c r="O517" s="6">
        <v>43.09</v>
      </c>
      <c r="P517" s="5">
        <v>1</v>
      </c>
      <c r="Q517" s="6">
        <v>5000</v>
      </c>
      <c r="R517" s="6">
        <v>2230.35</v>
      </c>
      <c r="S517" s="6">
        <v>0</v>
      </c>
      <c r="T517" s="6">
        <v>0</v>
      </c>
      <c r="U517" s="5">
        <v>669</v>
      </c>
      <c r="V517" s="5">
        <v>0</v>
      </c>
    </row>
    <row r="518" spans="1:22" x14ac:dyDescent="0.25">
      <c r="A518" s="4" t="s">
        <v>586</v>
      </c>
      <c r="B518" s="5">
        <v>47</v>
      </c>
      <c r="C518" s="4" t="s">
        <v>33</v>
      </c>
      <c r="D518" s="4" t="s">
        <v>34</v>
      </c>
      <c r="E518" s="4" t="s">
        <v>25</v>
      </c>
      <c r="F518" s="4" t="s">
        <v>30</v>
      </c>
      <c r="G518" s="6">
        <v>33500</v>
      </c>
      <c r="H518" s="5">
        <v>5</v>
      </c>
      <c r="I518" s="7">
        <v>44408</v>
      </c>
      <c r="J518" s="4" t="s">
        <v>39</v>
      </c>
      <c r="K518" s="5">
        <v>1</v>
      </c>
      <c r="L518" s="6">
        <v>962.15</v>
      </c>
      <c r="M518" s="6">
        <v>19435.98</v>
      </c>
      <c r="N518" s="5">
        <v>14</v>
      </c>
      <c r="O518" s="6">
        <v>39.340000000000003</v>
      </c>
      <c r="P518" s="5">
        <v>6</v>
      </c>
      <c r="Q518" s="6">
        <v>5000</v>
      </c>
      <c r="R518" s="6">
        <v>160.09</v>
      </c>
      <c r="S518" s="6">
        <v>162000</v>
      </c>
      <c r="T518" s="6">
        <v>837</v>
      </c>
      <c r="U518" s="5">
        <v>620</v>
      </c>
      <c r="V518" s="5">
        <v>0</v>
      </c>
    </row>
    <row r="519" spans="1:22" x14ac:dyDescent="0.25">
      <c r="A519" s="4" t="s">
        <v>587</v>
      </c>
      <c r="B519" s="5">
        <v>47</v>
      </c>
      <c r="C519" s="4" t="s">
        <v>23</v>
      </c>
      <c r="D519" s="4" t="s">
        <v>51</v>
      </c>
      <c r="E519" s="4" t="s">
        <v>25</v>
      </c>
      <c r="F519" s="4" t="s">
        <v>30</v>
      </c>
      <c r="G519" s="6">
        <v>25200</v>
      </c>
      <c r="H519" s="5">
        <v>7</v>
      </c>
      <c r="I519" s="7">
        <v>43433</v>
      </c>
      <c r="J519" s="4" t="s">
        <v>27</v>
      </c>
      <c r="K519" s="5">
        <v>1</v>
      </c>
      <c r="L519" s="6">
        <v>3330.14</v>
      </c>
      <c r="M519" s="6">
        <v>0</v>
      </c>
      <c r="N519" s="5">
        <v>23</v>
      </c>
      <c r="O519" s="6">
        <v>27.86</v>
      </c>
      <c r="P519" s="5">
        <v>3</v>
      </c>
      <c r="Q519" s="6">
        <v>3500</v>
      </c>
      <c r="R519" s="6">
        <v>1275.8699999999999</v>
      </c>
      <c r="S519" s="6">
        <v>0</v>
      </c>
      <c r="T519" s="6">
        <v>0</v>
      </c>
      <c r="U519" s="5">
        <v>635</v>
      </c>
      <c r="V519" s="5">
        <v>0</v>
      </c>
    </row>
    <row r="520" spans="1:22" x14ac:dyDescent="0.25">
      <c r="A520" s="4" t="s">
        <v>588</v>
      </c>
      <c r="B520" s="5">
        <v>29</v>
      </c>
      <c r="C520" s="4" t="s">
        <v>33</v>
      </c>
      <c r="D520" s="4" t="s">
        <v>98</v>
      </c>
      <c r="E520" s="4" t="s">
        <v>45</v>
      </c>
      <c r="F520" s="4" t="s">
        <v>30</v>
      </c>
      <c r="G520" s="6">
        <v>19700</v>
      </c>
      <c r="H520" s="5">
        <v>7</v>
      </c>
      <c r="I520" s="7">
        <v>43507</v>
      </c>
      <c r="J520" s="4" t="s">
        <v>31</v>
      </c>
      <c r="K520" s="5">
        <v>1</v>
      </c>
      <c r="L520" s="6">
        <v>919.22</v>
      </c>
      <c r="M520" s="6">
        <v>17762.87</v>
      </c>
      <c r="N520" s="5">
        <v>19</v>
      </c>
      <c r="O520" s="6">
        <v>59.89</v>
      </c>
      <c r="P520" s="5">
        <v>1</v>
      </c>
      <c r="Q520" s="6">
        <v>0</v>
      </c>
      <c r="R520" s="6">
        <v>0</v>
      </c>
      <c r="S520" s="6">
        <v>0</v>
      </c>
      <c r="T520" s="6">
        <v>0</v>
      </c>
      <c r="U520" s="5">
        <v>1200</v>
      </c>
      <c r="V520" s="5">
        <v>2</v>
      </c>
    </row>
    <row r="521" spans="1:22" x14ac:dyDescent="0.25">
      <c r="A521" s="4" t="s">
        <v>589</v>
      </c>
      <c r="B521" s="5">
        <v>76</v>
      </c>
      <c r="C521" s="4" t="s">
        <v>23</v>
      </c>
      <c r="D521" s="4" t="s">
        <v>34</v>
      </c>
      <c r="E521" s="4" t="s">
        <v>95</v>
      </c>
      <c r="F521" s="4" t="s">
        <v>30</v>
      </c>
      <c r="G521" s="6">
        <v>16700</v>
      </c>
      <c r="H521" s="5">
        <v>17</v>
      </c>
      <c r="I521" s="7">
        <v>40061</v>
      </c>
      <c r="J521" s="4" t="s">
        <v>39</v>
      </c>
      <c r="K521" s="5">
        <v>2</v>
      </c>
      <c r="L521" s="6">
        <v>2929.26</v>
      </c>
      <c r="M521" s="6">
        <v>38268.370000000003</v>
      </c>
      <c r="N521" s="5">
        <v>16</v>
      </c>
      <c r="O521" s="6">
        <v>74.67</v>
      </c>
      <c r="P521" s="5">
        <v>2</v>
      </c>
      <c r="Q521" s="6">
        <v>0</v>
      </c>
      <c r="R521" s="6">
        <v>0</v>
      </c>
      <c r="S521" s="6">
        <v>0</v>
      </c>
      <c r="T521" s="6">
        <v>0</v>
      </c>
      <c r="U521" s="5">
        <v>623</v>
      </c>
      <c r="V521" s="5">
        <v>1</v>
      </c>
    </row>
    <row r="522" spans="1:22" x14ac:dyDescent="0.25">
      <c r="A522" s="4" t="s">
        <v>590</v>
      </c>
      <c r="B522" s="5">
        <v>37</v>
      </c>
      <c r="C522" s="4" t="s">
        <v>23</v>
      </c>
      <c r="D522" s="4" t="s">
        <v>51</v>
      </c>
      <c r="E522" s="4" t="s">
        <v>25</v>
      </c>
      <c r="F522" s="4" t="s">
        <v>30</v>
      </c>
      <c r="G522" s="6">
        <v>26000</v>
      </c>
      <c r="H522" s="5">
        <v>15</v>
      </c>
      <c r="I522" s="7">
        <v>40751</v>
      </c>
      <c r="J522" s="4" t="s">
        <v>31</v>
      </c>
      <c r="K522" s="5">
        <v>1</v>
      </c>
      <c r="L522" s="6">
        <v>2521.4499999999998</v>
      </c>
      <c r="M522" s="6">
        <v>0</v>
      </c>
      <c r="N522" s="5">
        <v>29</v>
      </c>
      <c r="O522" s="6">
        <v>48.34</v>
      </c>
      <c r="P522" s="5">
        <v>1</v>
      </c>
      <c r="Q522" s="6">
        <v>4500</v>
      </c>
      <c r="R522" s="6">
        <v>860.3</v>
      </c>
      <c r="S522" s="6">
        <v>124000</v>
      </c>
      <c r="T522" s="6">
        <v>855</v>
      </c>
      <c r="U522" s="5">
        <v>589</v>
      </c>
      <c r="V522" s="5">
        <v>1</v>
      </c>
    </row>
    <row r="523" spans="1:22" x14ac:dyDescent="0.25">
      <c r="A523" s="4" t="s">
        <v>591</v>
      </c>
      <c r="B523" s="5">
        <v>45</v>
      </c>
      <c r="C523" s="4" t="s">
        <v>33</v>
      </c>
      <c r="D523" s="4" t="s">
        <v>134</v>
      </c>
      <c r="E523" s="4" t="s">
        <v>35</v>
      </c>
      <c r="F523" s="4" t="s">
        <v>30</v>
      </c>
      <c r="G523" s="6">
        <v>69100</v>
      </c>
      <c r="H523" s="5">
        <v>6</v>
      </c>
      <c r="I523" s="7">
        <v>43841</v>
      </c>
      <c r="J523" s="4" t="s">
        <v>31</v>
      </c>
      <c r="K523" s="5">
        <v>1</v>
      </c>
      <c r="L523" s="6">
        <v>2880.7</v>
      </c>
      <c r="M523" s="6">
        <v>28560.07</v>
      </c>
      <c r="N523" s="5">
        <v>45</v>
      </c>
      <c r="O523" s="6">
        <v>46.56</v>
      </c>
      <c r="P523" s="5">
        <v>0</v>
      </c>
      <c r="Q523" s="6">
        <v>7500</v>
      </c>
      <c r="R523" s="6">
        <v>2264.39</v>
      </c>
      <c r="S523" s="6">
        <v>255000</v>
      </c>
      <c r="T523" s="6">
        <v>1657</v>
      </c>
      <c r="U523" s="5">
        <v>585</v>
      </c>
      <c r="V523" s="5">
        <v>0</v>
      </c>
    </row>
    <row r="524" spans="1:22" x14ac:dyDescent="0.25">
      <c r="A524" s="4" t="s">
        <v>592</v>
      </c>
      <c r="B524" s="5">
        <v>74</v>
      </c>
      <c r="C524" s="4" t="s">
        <v>23</v>
      </c>
      <c r="D524" s="4" t="s">
        <v>70</v>
      </c>
      <c r="E524" s="4" t="s">
        <v>95</v>
      </c>
      <c r="F524" s="4" t="s">
        <v>38</v>
      </c>
      <c r="G524" s="6">
        <v>16600</v>
      </c>
      <c r="H524" s="5">
        <v>17</v>
      </c>
      <c r="I524" s="7">
        <v>39811</v>
      </c>
      <c r="J524" s="4" t="s">
        <v>39</v>
      </c>
      <c r="K524" s="5">
        <v>3</v>
      </c>
      <c r="L524" s="6">
        <v>964.16</v>
      </c>
      <c r="M524" s="6">
        <v>0</v>
      </c>
      <c r="N524" s="5">
        <v>21</v>
      </c>
      <c r="O524" s="6">
        <v>46.93</v>
      </c>
      <c r="P524" s="5">
        <v>6</v>
      </c>
      <c r="Q524" s="6">
        <v>0</v>
      </c>
      <c r="R524" s="6">
        <v>0</v>
      </c>
      <c r="S524" s="6">
        <v>0</v>
      </c>
      <c r="T524" s="6">
        <v>0</v>
      </c>
      <c r="U524" s="5">
        <v>665</v>
      </c>
      <c r="V524" s="5">
        <v>0</v>
      </c>
    </row>
    <row r="525" spans="1:22" x14ac:dyDescent="0.25">
      <c r="A525" s="4" t="s">
        <v>593</v>
      </c>
      <c r="B525" s="5">
        <v>37</v>
      </c>
      <c r="C525" s="4" t="s">
        <v>33</v>
      </c>
      <c r="D525" s="4" t="s">
        <v>24</v>
      </c>
      <c r="E525" s="4" t="s">
        <v>25</v>
      </c>
      <c r="F525" s="4" t="s">
        <v>26</v>
      </c>
      <c r="G525" s="6">
        <v>30900</v>
      </c>
      <c r="H525" s="5">
        <v>8</v>
      </c>
      <c r="I525" s="7">
        <v>43028</v>
      </c>
      <c r="J525" s="4" t="s">
        <v>39</v>
      </c>
      <c r="K525" s="5">
        <v>1</v>
      </c>
      <c r="L525" s="6">
        <v>1106.7</v>
      </c>
      <c r="M525" s="6">
        <v>18603.87</v>
      </c>
      <c r="N525" s="5">
        <v>22</v>
      </c>
      <c r="O525" s="6">
        <v>44.07</v>
      </c>
      <c r="P525" s="5">
        <v>5</v>
      </c>
      <c r="Q525" s="6">
        <v>4000</v>
      </c>
      <c r="R525" s="6">
        <v>804.92</v>
      </c>
      <c r="S525" s="6">
        <v>0</v>
      </c>
      <c r="T525" s="6">
        <v>0</v>
      </c>
      <c r="U525" s="5">
        <v>646</v>
      </c>
      <c r="V525" s="5">
        <v>0</v>
      </c>
    </row>
    <row r="526" spans="1:22" x14ac:dyDescent="0.25">
      <c r="A526" s="4" t="s">
        <v>594</v>
      </c>
      <c r="B526" s="5">
        <v>31</v>
      </c>
      <c r="C526" s="4" t="s">
        <v>23</v>
      </c>
      <c r="D526" s="4" t="s">
        <v>29</v>
      </c>
      <c r="E526" s="4" t="s">
        <v>45</v>
      </c>
      <c r="F526" s="4" t="s">
        <v>30</v>
      </c>
      <c r="G526" s="6">
        <v>18600</v>
      </c>
      <c r="H526" s="5">
        <v>9</v>
      </c>
      <c r="I526" s="7">
        <v>42826</v>
      </c>
      <c r="J526" s="4" t="s">
        <v>31</v>
      </c>
      <c r="K526" s="5">
        <v>2</v>
      </c>
      <c r="L526" s="6">
        <v>2997.39</v>
      </c>
      <c r="M526" s="6">
        <v>18049.5</v>
      </c>
      <c r="N526" s="5">
        <v>22</v>
      </c>
      <c r="O526" s="6">
        <v>38.21</v>
      </c>
      <c r="P526" s="5">
        <v>3</v>
      </c>
      <c r="Q526" s="6">
        <v>2500</v>
      </c>
      <c r="R526" s="6">
        <v>1299.4100000000001</v>
      </c>
      <c r="S526" s="6">
        <v>0</v>
      </c>
      <c r="T526" s="6">
        <v>0</v>
      </c>
      <c r="U526" s="5">
        <v>625</v>
      </c>
      <c r="V526" s="5">
        <v>0</v>
      </c>
    </row>
    <row r="527" spans="1:22" x14ac:dyDescent="0.25">
      <c r="A527" s="4" t="s">
        <v>595</v>
      </c>
      <c r="B527" s="5">
        <v>31</v>
      </c>
      <c r="C527" s="4" t="s">
        <v>33</v>
      </c>
      <c r="D527" s="4" t="s">
        <v>134</v>
      </c>
      <c r="E527" s="4" t="s">
        <v>42</v>
      </c>
      <c r="F527" s="4" t="s">
        <v>30</v>
      </c>
      <c r="G527" s="6">
        <v>51000</v>
      </c>
      <c r="H527" s="5">
        <v>2</v>
      </c>
      <c r="I527" s="7">
        <v>45525</v>
      </c>
      <c r="J527" s="4" t="s">
        <v>31</v>
      </c>
      <c r="K527" s="5">
        <v>1</v>
      </c>
      <c r="L527" s="6">
        <v>11005.68</v>
      </c>
      <c r="M527" s="6">
        <v>9478.35</v>
      </c>
      <c r="N527" s="5">
        <v>37</v>
      </c>
      <c r="O527" s="6">
        <v>95.03</v>
      </c>
      <c r="P527" s="5">
        <v>2</v>
      </c>
      <c r="Q527" s="6">
        <v>8500</v>
      </c>
      <c r="R527" s="6">
        <v>636.02</v>
      </c>
      <c r="S527" s="6">
        <v>0</v>
      </c>
      <c r="T527" s="6">
        <v>0</v>
      </c>
      <c r="U527" s="5">
        <v>695</v>
      </c>
      <c r="V527" s="5">
        <v>1</v>
      </c>
    </row>
    <row r="528" spans="1:22" x14ac:dyDescent="0.25">
      <c r="A528" s="4" t="s">
        <v>596</v>
      </c>
      <c r="B528" s="5">
        <v>66</v>
      </c>
      <c r="C528" s="4" t="s">
        <v>23</v>
      </c>
      <c r="D528" s="4" t="s">
        <v>59</v>
      </c>
      <c r="E528" s="4" t="s">
        <v>95</v>
      </c>
      <c r="F528" s="4" t="s">
        <v>30</v>
      </c>
      <c r="G528" s="6">
        <v>16300</v>
      </c>
      <c r="H528" s="5">
        <v>7</v>
      </c>
      <c r="I528" s="7">
        <v>43357</v>
      </c>
      <c r="J528" s="4" t="s">
        <v>39</v>
      </c>
      <c r="K528" s="5">
        <v>1</v>
      </c>
      <c r="L528" s="6">
        <v>1250.19</v>
      </c>
      <c r="M528" s="6">
        <v>0</v>
      </c>
      <c r="N528" s="5">
        <v>13</v>
      </c>
      <c r="O528" s="6">
        <v>57.31</v>
      </c>
      <c r="P528" s="5">
        <v>5</v>
      </c>
      <c r="Q528" s="6">
        <v>0</v>
      </c>
      <c r="R528" s="6">
        <v>0</v>
      </c>
      <c r="S528" s="6">
        <v>0</v>
      </c>
      <c r="T528" s="6">
        <v>0</v>
      </c>
      <c r="U528" s="5">
        <v>560</v>
      </c>
      <c r="V528" s="5">
        <v>0</v>
      </c>
    </row>
    <row r="529" spans="1:22" x14ac:dyDescent="0.25">
      <c r="A529" s="4" t="s">
        <v>597</v>
      </c>
      <c r="B529" s="5">
        <v>36</v>
      </c>
      <c r="C529" s="4" t="s">
        <v>23</v>
      </c>
      <c r="D529" s="4" t="s">
        <v>59</v>
      </c>
      <c r="E529" s="4" t="s">
        <v>54</v>
      </c>
      <c r="F529" s="4" t="s">
        <v>26</v>
      </c>
      <c r="G529" s="6">
        <v>23000</v>
      </c>
      <c r="H529" s="5">
        <v>3</v>
      </c>
      <c r="I529" s="7">
        <v>44965</v>
      </c>
      <c r="J529" s="4" t="s">
        <v>31</v>
      </c>
      <c r="K529" s="5">
        <v>1</v>
      </c>
      <c r="L529" s="6">
        <v>2098.7199999999998</v>
      </c>
      <c r="M529" s="6">
        <v>6461.73</v>
      </c>
      <c r="N529" s="5">
        <v>20</v>
      </c>
      <c r="O529" s="6">
        <v>58.81</v>
      </c>
      <c r="P529" s="5">
        <v>5</v>
      </c>
      <c r="Q529" s="6">
        <v>4500</v>
      </c>
      <c r="R529" s="6">
        <v>465.07</v>
      </c>
      <c r="S529" s="6">
        <v>0</v>
      </c>
      <c r="T529" s="6">
        <v>0</v>
      </c>
      <c r="U529" s="5">
        <v>570</v>
      </c>
      <c r="V529" s="5">
        <v>1</v>
      </c>
    </row>
    <row r="530" spans="1:22" x14ac:dyDescent="0.25">
      <c r="A530" s="4" t="s">
        <v>598</v>
      </c>
      <c r="B530" s="5">
        <v>18</v>
      </c>
      <c r="C530" s="4" t="s">
        <v>33</v>
      </c>
      <c r="D530" s="4" t="s">
        <v>62</v>
      </c>
      <c r="E530" s="4" t="s">
        <v>25</v>
      </c>
      <c r="F530" s="4" t="s">
        <v>26</v>
      </c>
      <c r="G530" s="6">
        <v>35000</v>
      </c>
      <c r="H530" s="5">
        <v>0</v>
      </c>
      <c r="I530" s="7">
        <v>45956</v>
      </c>
      <c r="J530" s="4" t="s">
        <v>27</v>
      </c>
      <c r="K530" s="5">
        <v>1</v>
      </c>
      <c r="L530" s="6">
        <v>2079.56</v>
      </c>
      <c r="M530" s="6">
        <v>0</v>
      </c>
      <c r="N530" s="5">
        <v>34</v>
      </c>
      <c r="O530" s="6">
        <v>52.87</v>
      </c>
      <c r="P530" s="5">
        <v>1</v>
      </c>
      <c r="Q530" s="6">
        <v>0</v>
      </c>
      <c r="R530" s="6">
        <v>0</v>
      </c>
      <c r="S530" s="6">
        <v>0</v>
      </c>
      <c r="T530" s="6">
        <v>0</v>
      </c>
      <c r="U530" s="5">
        <v>666</v>
      </c>
      <c r="V530" s="5">
        <v>0</v>
      </c>
    </row>
    <row r="531" spans="1:22" x14ac:dyDescent="0.25">
      <c r="A531" s="4" t="s">
        <v>599</v>
      </c>
      <c r="B531" s="5">
        <v>42</v>
      </c>
      <c r="C531" s="4" t="s">
        <v>33</v>
      </c>
      <c r="D531" s="4" t="s">
        <v>41</v>
      </c>
      <c r="E531" s="4" t="s">
        <v>35</v>
      </c>
      <c r="F531" s="4" t="s">
        <v>30</v>
      </c>
      <c r="G531" s="6">
        <v>57000</v>
      </c>
      <c r="H531" s="5">
        <v>7</v>
      </c>
      <c r="I531" s="7">
        <v>43436</v>
      </c>
      <c r="J531" s="4" t="s">
        <v>31</v>
      </c>
      <c r="K531" s="5">
        <v>2</v>
      </c>
      <c r="L531" s="6">
        <v>5372.99</v>
      </c>
      <c r="M531" s="6">
        <v>31427.439999999999</v>
      </c>
      <c r="N531" s="5">
        <v>39</v>
      </c>
      <c r="O531" s="6">
        <v>148.80000000000001</v>
      </c>
      <c r="P531" s="5">
        <v>1</v>
      </c>
      <c r="Q531" s="6">
        <v>0</v>
      </c>
      <c r="R531" s="6">
        <v>0</v>
      </c>
      <c r="S531" s="6">
        <v>247000</v>
      </c>
      <c r="T531" s="6">
        <v>1658</v>
      </c>
      <c r="U531" s="5">
        <v>667</v>
      </c>
      <c r="V531" s="5">
        <v>1</v>
      </c>
    </row>
    <row r="532" spans="1:22" x14ac:dyDescent="0.25">
      <c r="A532" s="4" t="s">
        <v>600</v>
      </c>
      <c r="B532" s="5">
        <v>44</v>
      </c>
      <c r="C532" s="4" t="s">
        <v>23</v>
      </c>
      <c r="D532" s="4" t="s">
        <v>41</v>
      </c>
      <c r="E532" s="4" t="s">
        <v>25</v>
      </c>
      <c r="F532" s="4" t="s">
        <v>30</v>
      </c>
      <c r="G532" s="6">
        <v>38100</v>
      </c>
      <c r="H532" s="5">
        <v>19</v>
      </c>
      <c r="I532" s="7">
        <v>39242</v>
      </c>
      <c r="J532" s="4" t="s">
        <v>39</v>
      </c>
      <c r="K532" s="5">
        <v>3</v>
      </c>
      <c r="L532" s="6">
        <v>708.24</v>
      </c>
      <c r="M532" s="6">
        <v>55974.51</v>
      </c>
      <c r="N532" s="5">
        <v>14</v>
      </c>
      <c r="O532" s="6">
        <v>65.97</v>
      </c>
      <c r="P532" s="5">
        <v>6</v>
      </c>
      <c r="Q532" s="6">
        <v>4500</v>
      </c>
      <c r="R532" s="6">
        <v>329.85</v>
      </c>
      <c r="S532" s="6">
        <v>152000</v>
      </c>
      <c r="T532" s="6">
        <v>952</v>
      </c>
      <c r="U532" s="5">
        <v>668</v>
      </c>
      <c r="V532" s="5">
        <v>1</v>
      </c>
    </row>
    <row r="533" spans="1:22" x14ac:dyDescent="0.25">
      <c r="A533" s="4" t="s">
        <v>601</v>
      </c>
      <c r="B533" s="5">
        <v>49</v>
      </c>
      <c r="C533" s="4" t="s">
        <v>23</v>
      </c>
      <c r="D533" s="4" t="s">
        <v>29</v>
      </c>
      <c r="E533" s="4" t="s">
        <v>54</v>
      </c>
      <c r="F533" s="4" t="s">
        <v>48</v>
      </c>
      <c r="G533" s="6">
        <v>37100</v>
      </c>
      <c r="H533" s="5">
        <v>17</v>
      </c>
      <c r="I533" s="7">
        <v>25569</v>
      </c>
      <c r="J533" s="4" t="s">
        <v>31</v>
      </c>
      <c r="K533" s="5">
        <v>2</v>
      </c>
      <c r="L533" s="6">
        <v>4201.41</v>
      </c>
      <c r="M533" s="6">
        <v>26268.98</v>
      </c>
      <c r="N533" s="5">
        <v>32</v>
      </c>
      <c r="O533" s="6">
        <v>66.05</v>
      </c>
      <c r="P533" s="5">
        <v>0</v>
      </c>
      <c r="Q533" s="6">
        <v>9000</v>
      </c>
      <c r="R533" s="6">
        <v>2383.13</v>
      </c>
      <c r="S533" s="6">
        <v>180000</v>
      </c>
      <c r="T533" s="6">
        <v>1199</v>
      </c>
      <c r="U533" s="5">
        <v>647</v>
      </c>
      <c r="V533" s="5">
        <v>0</v>
      </c>
    </row>
    <row r="534" spans="1:22" x14ac:dyDescent="0.25">
      <c r="A534" s="4" t="s">
        <v>602</v>
      </c>
      <c r="B534" s="5">
        <v>44</v>
      </c>
      <c r="C534" s="4" t="s">
        <v>33</v>
      </c>
      <c r="D534" s="4" t="s">
        <v>29</v>
      </c>
      <c r="E534" s="4" t="s">
        <v>25</v>
      </c>
      <c r="F534" s="4" t="s">
        <v>26</v>
      </c>
      <c r="G534" s="6">
        <v>18500</v>
      </c>
      <c r="H534" s="5">
        <v>6</v>
      </c>
      <c r="I534" s="7">
        <v>43832</v>
      </c>
      <c r="J534" s="4" t="s">
        <v>27</v>
      </c>
      <c r="K534" s="5">
        <v>2</v>
      </c>
      <c r="L534" s="6">
        <v>3442.92</v>
      </c>
      <c r="M534" s="6">
        <v>11197.03</v>
      </c>
      <c r="N534" s="5">
        <v>22</v>
      </c>
      <c r="O534" s="6">
        <v>28.78</v>
      </c>
      <c r="P534" s="5">
        <v>5</v>
      </c>
      <c r="Q534" s="6">
        <v>0</v>
      </c>
      <c r="R534" s="6">
        <v>0</v>
      </c>
      <c r="S534" s="6">
        <v>0</v>
      </c>
      <c r="T534" s="6">
        <v>0</v>
      </c>
      <c r="U534" s="5">
        <v>638</v>
      </c>
      <c r="V534" s="5">
        <v>1</v>
      </c>
    </row>
    <row r="535" spans="1:22" x14ac:dyDescent="0.25">
      <c r="A535" s="4" t="s">
        <v>603</v>
      </c>
      <c r="B535" s="5">
        <v>52</v>
      </c>
      <c r="C535" s="4" t="s">
        <v>23</v>
      </c>
      <c r="D535" s="4" t="s">
        <v>134</v>
      </c>
      <c r="E535" s="4" t="s">
        <v>25</v>
      </c>
      <c r="F535" s="4" t="s">
        <v>26</v>
      </c>
      <c r="G535" s="6">
        <v>30500</v>
      </c>
      <c r="H535" s="5">
        <v>9</v>
      </c>
      <c r="I535" s="7">
        <v>42772</v>
      </c>
      <c r="J535" s="4" t="s">
        <v>27</v>
      </c>
      <c r="K535" s="5">
        <v>1</v>
      </c>
      <c r="L535" s="6">
        <v>1498.76</v>
      </c>
      <c r="M535" s="6">
        <v>27239.83</v>
      </c>
      <c r="N535" s="5">
        <v>36</v>
      </c>
      <c r="O535" s="6">
        <v>52.37</v>
      </c>
      <c r="P535" s="5">
        <v>4</v>
      </c>
      <c r="Q535" s="6">
        <v>7500</v>
      </c>
      <c r="R535" s="6">
        <v>3809.39</v>
      </c>
      <c r="S535" s="6">
        <v>136000</v>
      </c>
      <c r="T535" s="6">
        <v>624</v>
      </c>
      <c r="U535" s="5">
        <v>636</v>
      </c>
      <c r="V535" s="5">
        <v>0</v>
      </c>
    </row>
    <row r="536" spans="1:22" x14ac:dyDescent="0.25">
      <c r="A536" s="4" t="s">
        <v>604</v>
      </c>
      <c r="B536" s="5">
        <v>48</v>
      </c>
      <c r="C536" s="4" t="s">
        <v>33</v>
      </c>
      <c r="D536" s="4" t="s">
        <v>108</v>
      </c>
      <c r="E536" s="4" t="s">
        <v>25</v>
      </c>
      <c r="F536" s="4" t="s">
        <v>30</v>
      </c>
      <c r="G536" s="6">
        <v>35900</v>
      </c>
      <c r="H536" s="5">
        <v>9</v>
      </c>
      <c r="I536" s="7">
        <v>42965</v>
      </c>
      <c r="J536" s="4" t="s">
        <v>39</v>
      </c>
      <c r="K536" s="5">
        <v>3</v>
      </c>
      <c r="L536" s="6">
        <v>4619.32</v>
      </c>
      <c r="M536" s="6">
        <v>28859.82</v>
      </c>
      <c r="N536" s="5">
        <v>19</v>
      </c>
      <c r="O536" s="6">
        <v>40.97</v>
      </c>
      <c r="P536" s="5">
        <v>5</v>
      </c>
      <c r="Q536" s="6">
        <v>0</v>
      </c>
      <c r="R536" s="6">
        <v>0</v>
      </c>
      <c r="S536" s="6">
        <v>156000</v>
      </c>
      <c r="T536" s="6">
        <v>971</v>
      </c>
      <c r="U536" s="5">
        <v>642</v>
      </c>
      <c r="V536" s="5">
        <v>1</v>
      </c>
    </row>
    <row r="537" spans="1:22" x14ac:dyDescent="0.25">
      <c r="A537" s="4" t="s">
        <v>605</v>
      </c>
      <c r="B537" s="5">
        <v>39</v>
      </c>
      <c r="C537" s="4" t="s">
        <v>23</v>
      </c>
      <c r="D537" s="4" t="s">
        <v>51</v>
      </c>
      <c r="E537" s="4" t="s">
        <v>67</v>
      </c>
      <c r="F537" s="4" t="s">
        <v>30</v>
      </c>
      <c r="G537" s="6">
        <v>3700</v>
      </c>
      <c r="H537" s="5">
        <v>7</v>
      </c>
      <c r="I537" s="7">
        <v>43694</v>
      </c>
      <c r="J537" s="4" t="s">
        <v>31</v>
      </c>
      <c r="K537" s="5">
        <v>1</v>
      </c>
      <c r="L537" s="6">
        <v>345.29</v>
      </c>
      <c r="M537" s="6">
        <v>0</v>
      </c>
      <c r="N537" s="5">
        <v>20</v>
      </c>
      <c r="O537" s="6">
        <v>22.23</v>
      </c>
      <c r="P537" s="5">
        <v>1</v>
      </c>
      <c r="Q537" s="6">
        <v>500</v>
      </c>
      <c r="R537" s="6">
        <v>112.64</v>
      </c>
      <c r="S537" s="6">
        <v>0</v>
      </c>
      <c r="T537" s="6">
        <v>0</v>
      </c>
      <c r="U537" s="5">
        <v>618</v>
      </c>
      <c r="V537" s="5">
        <v>0</v>
      </c>
    </row>
    <row r="538" spans="1:22" x14ac:dyDescent="0.25">
      <c r="A538" s="4" t="s">
        <v>606</v>
      </c>
      <c r="B538" s="5">
        <v>39</v>
      </c>
      <c r="C538" s="4" t="s">
        <v>23</v>
      </c>
      <c r="D538" s="4" t="s">
        <v>44</v>
      </c>
      <c r="E538" s="4" t="s">
        <v>45</v>
      </c>
      <c r="F538" s="4" t="s">
        <v>30</v>
      </c>
      <c r="G538" s="6">
        <v>20000</v>
      </c>
      <c r="H538" s="5">
        <v>1</v>
      </c>
      <c r="I538" s="7">
        <v>45836</v>
      </c>
      <c r="J538" s="4" t="s">
        <v>31</v>
      </c>
      <c r="K538" s="5">
        <v>1</v>
      </c>
      <c r="L538" s="6">
        <v>621.12</v>
      </c>
      <c r="M538" s="6">
        <v>0</v>
      </c>
      <c r="N538" s="5">
        <v>38</v>
      </c>
      <c r="O538" s="6">
        <v>61.75</v>
      </c>
      <c r="P538" s="5">
        <v>4</v>
      </c>
      <c r="Q538" s="6">
        <v>5000</v>
      </c>
      <c r="R538" s="6">
        <v>788.46</v>
      </c>
      <c r="S538" s="6">
        <v>58000</v>
      </c>
      <c r="T538" s="6">
        <v>263</v>
      </c>
      <c r="U538" s="5">
        <v>588</v>
      </c>
      <c r="V538" s="5">
        <v>0</v>
      </c>
    </row>
    <row r="539" spans="1:22" x14ac:dyDescent="0.25">
      <c r="A539" s="4" t="s">
        <v>607</v>
      </c>
      <c r="B539" s="5">
        <v>31</v>
      </c>
      <c r="C539" s="4" t="s">
        <v>33</v>
      </c>
      <c r="D539" s="4" t="s">
        <v>34</v>
      </c>
      <c r="E539" s="4" t="s">
        <v>90</v>
      </c>
      <c r="F539" s="4" t="s">
        <v>30</v>
      </c>
      <c r="G539" s="6">
        <v>120800</v>
      </c>
      <c r="H539" s="5">
        <v>6</v>
      </c>
      <c r="I539" s="7">
        <v>43806</v>
      </c>
      <c r="J539" s="4" t="s">
        <v>49</v>
      </c>
      <c r="K539" s="5">
        <v>4</v>
      </c>
      <c r="L539" s="6">
        <v>7007.03</v>
      </c>
      <c r="M539" s="6">
        <v>0</v>
      </c>
      <c r="N539" s="5">
        <v>50</v>
      </c>
      <c r="O539" s="6">
        <v>89.13</v>
      </c>
      <c r="P539" s="5">
        <v>0</v>
      </c>
      <c r="Q539" s="6">
        <v>0</v>
      </c>
      <c r="R539" s="6">
        <v>0</v>
      </c>
      <c r="S539" s="6">
        <v>0</v>
      </c>
      <c r="T539" s="6">
        <v>0</v>
      </c>
      <c r="U539" s="5">
        <v>700</v>
      </c>
      <c r="V539" s="5">
        <v>1</v>
      </c>
    </row>
    <row r="540" spans="1:22" x14ac:dyDescent="0.25">
      <c r="A540" s="4" t="s">
        <v>608</v>
      </c>
      <c r="B540" s="5">
        <v>82</v>
      </c>
      <c r="C540" s="4" t="s">
        <v>23</v>
      </c>
      <c r="D540" s="4" t="s">
        <v>41</v>
      </c>
      <c r="E540" s="4" t="s">
        <v>95</v>
      </c>
      <c r="F540" s="4" t="s">
        <v>30</v>
      </c>
      <c r="G540" s="6">
        <v>16700</v>
      </c>
      <c r="H540" s="5">
        <v>12</v>
      </c>
      <c r="I540" s="7">
        <v>41728</v>
      </c>
      <c r="J540" s="4" t="s">
        <v>39</v>
      </c>
      <c r="K540" s="5">
        <v>2</v>
      </c>
      <c r="L540" s="6">
        <v>3295.25</v>
      </c>
      <c r="M540" s="6">
        <v>27048.59</v>
      </c>
      <c r="N540" s="5">
        <v>15</v>
      </c>
      <c r="O540" s="6">
        <v>33.979999999999997</v>
      </c>
      <c r="P540" s="5">
        <v>2</v>
      </c>
      <c r="Q540" s="6">
        <v>0</v>
      </c>
      <c r="R540" s="6">
        <v>0</v>
      </c>
      <c r="S540" s="6">
        <v>0</v>
      </c>
      <c r="T540" s="6">
        <v>0</v>
      </c>
      <c r="U540" s="5">
        <v>571</v>
      </c>
      <c r="V540" s="5">
        <v>0</v>
      </c>
    </row>
    <row r="541" spans="1:22" x14ac:dyDescent="0.25">
      <c r="A541" s="4" t="s">
        <v>609</v>
      </c>
      <c r="B541" s="5">
        <v>60</v>
      </c>
      <c r="C541" s="4" t="s">
        <v>23</v>
      </c>
      <c r="D541" s="4" t="s">
        <v>62</v>
      </c>
      <c r="E541" s="4" t="s">
        <v>67</v>
      </c>
      <c r="F541" s="4" t="s">
        <v>38</v>
      </c>
      <c r="G541" s="6">
        <v>3200</v>
      </c>
      <c r="H541" s="5">
        <v>14</v>
      </c>
      <c r="I541" s="7">
        <v>40826</v>
      </c>
      <c r="J541" s="4" t="s">
        <v>49</v>
      </c>
      <c r="K541" s="5">
        <v>1</v>
      </c>
      <c r="L541" s="6">
        <v>141.36000000000001</v>
      </c>
      <c r="M541" s="6">
        <v>0</v>
      </c>
      <c r="N541" s="5">
        <v>14</v>
      </c>
      <c r="O541" s="6">
        <v>35.840000000000003</v>
      </c>
      <c r="P541" s="5">
        <v>1</v>
      </c>
      <c r="Q541" s="6">
        <v>500</v>
      </c>
      <c r="R541" s="6">
        <v>63.04</v>
      </c>
      <c r="S541" s="6">
        <v>0</v>
      </c>
      <c r="T541" s="6">
        <v>0</v>
      </c>
      <c r="U541" s="5">
        <v>563</v>
      </c>
      <c r="V541" s="5">
        <v>0</v>
      </c>
    </row>
    <row r="542" spans="1:22" x14ac:dyDescent="0.25">
      <c r="A542" s="4" t="s">
        <v>610</v>
      </c>
      <c r="B542" s="5">
        <v>46</v>
      </c>
      <c r="C542" s="4" t="s">
        <v>23</v>
      </c>
      <c r="D542" s="4" t="s">
        <v>24</v>
      </c>
      <c r="E542" s="4" t="s">
        <v>67</v>
      </c>
      <c r="F542" s="4" t="s">
        <v>30</v>
      </c>
      <c r="G542" s="6">
        <v>2500</v>
      </c>
      <c r="H542" s="5">
        <v>18</v>
      </c>
      <c r="I542" s="7">
        <v>39621</v>
      </c>
      <c r="J542" s="4" t="s">
        <v>31</v>
      </c>
      <c r="K542" s="5">
        <v>4</v>
      </c>
      <c r="L542" s="6">
        <v>89.41</v>
      </c>
      <c r="M542" s="6">
        <v>0</v>
      </c>
      <c r="N542" s="5">
        <v>22</v>
      </c>
      <c r="O542" s="6">
        <v>48.96</v>
      </c>
      <c r="P542" s="5">
        <v>1</v>
      </c>
      <c r="Q542" s="6">
        <v>0</v>
      </c>
      <c r="R542" s="6">
        <v>0</v>
      </c>
      <c r="S542" s="6">
        <v>0</v>
      </c>
      <c r="T542" s="6">
        <v>0</v>
      </c>
      <c r="U542" s="5">
        <v>562</v>
      </c>
      <c r="V542" s="5">
        <v>0</v>
      </c>
    </row>
    <row r="543" spans="1:22" x14ac:dyDescent="0.25">
      <c r="A543" s="4" t="s">
        <v>611</v>
      </c>
      <c r="B543" s="5">
        <v>39</v>
      </c>
      <c r="C543" s="4" t="s">
        <v>33</v>
      </c>
      <c r="D543" s="4" t="s">
        <v>41</v>
      </c>
      <c r="E543" s="4" t="s">
        <v>35</v>
      </c>
      <c r="F543" s="4" t="s">
        <v>30</v>
      </c>
      <c r="G543" s="6">
        <v>23700</v>
      </c>
      <c r="H543" s="5">
        <v>7</v>
      </c>
      <c r="I543" s="7">
        <v>43588</v>
      </c>
      <c r="J543" s="4" t="s">
        <v>39</v>
      </c>
      <c r="K543" s="5">
        <v>1</v>
      </c>
      <c r="L543" s="6">
        <v>1940.32</v>
      </c>
      <c r="M543" s="6">
        <v>9361.01</v>
      </c>
      <c r="N543" s="5">
        <v>16</v>
      </c>
      <c r="O543" s="6">
        <v>32.979999999999997</v>
      </c>
      <c r="P543" s="5">
        <v>5</v>
      </c>
      <c r="Q543" s="6">
        <v>0</v>
      </c>
      <c r="R543" s="6">
        <v>0</v>
      </c>
      <c r="S543" s="6">
        <v>0</v>
      </c>
      <c r="T543" s="6">
        <v>0</v>
      </c>
      <c r="U543" s="5">
        <v>585</v>
      </c>
      <c r="V543" s="5">
        <v>1</v>
      </c>
    </row>
    <row r="544" spans="1:22" x14ac:dyDescent="0.25">
      <c r="A544" s="4" t="s">
        <v>612</v>
      </c>
      <c r="B544" s="5">
        <v>35</v>
      </c>
      <c r="C544" s="4" t="s">
        <v>23</v>
      </c>
      <c r="D544" s="4" t="s">
        <v>59</v>
      </c>
      <c r="E544" s="4" t="s">
        <v>35</v>
      </c>
      <c r="F544" s="4" t="s">
        <v>30</v>
      </c>
      <c r="G544" s="6">
        <v>59300</v>
      </c>
      <c r="H544" s="5">
        <v>10</v>
      </c>
      <c r="I544" s="7">
        <v>42268</v>
      </c>
      <c r="J544" s="4" t="s">
        <v>31</v>
      </c>
      <c r="K544" s="5">
        <v>2</v>
      </c>
      <c r="L544" s="6">
        <v>6832.04</v>
      </c>
      <c r="M544" s="6">
        <v>51412.56</v>
      </c>
      <c r="N544" s="5">
        <v>43</v>
      </c>
      <c r="O544" s="6">
        <v>50.95</v>
      </c>
      <c r="P544" s="5">
        <v>1</v>
      </c>
      <c r="Q544" s="6">
        <v>13500</v>
      </c>
      <c r="R544" s="6">
        <v>4484.2</v>
      </c>
      <c r="S544" s="6">
        <v>0</v>
      </c>
      <c r="T544" s="6">
        <v>0</v>
      </c>
      <c r="U544" s="5">
        <v>638</v>
      </c>
      <c r="V544" s="5">
        <v>0</v>
      </c>
    </row>
    <row r="545" spans="1:22" x14ac:dyDescent="0.25">
      <c r="A545" s="4" t="s">
        <v>613</v>
      </c>
      <c r="B545" s="5">
        <v>27</v>
      </c>
      <c r="C545" s="4" t="s">
        <v>23</v>
      </c>
      <c r="D545" s="4" t="s">
        <v>34</v>
      </c>
      <c r="E545" s="4" t="s">
        <v>45</v>
      </c>
      <c r="F545" s="4" t="s">
        <v>26</v>
      </c>
      <c r="G545" s="6">
        <v>14200</v>
      </c>
      <c r="H545" s="5">
        <v>3</v>
      </c>
      <c r="I545" s="7">
        <v>45129</v>
      </c>
      <c r="J545" s="4" t="s">
        <v>39</v>
      </c>
      <c r="K545" s="5">
        <v>1</v>
      </c>
      <c r="L545" s="6">
        <v>1887.74</v>
      </c>
      <c r="M545" s="6">
        <v>4149.66</v>
      </c>
      <c r="N545" s="5">
        <v>13</v>
      </c>
      <c r="O545" s="6">
        <v>39.14</v>
      </c>
      <c r="P545" s="5">
        <v>5</v>
      </c>
      <c r="Q545" s="6">
        <v>3000</v>
      </c>
      <c r="R545" s="6">
        <v>1080.29</v>
      </c>
      <c r="S545" s="6">
        <v>0</v>
      </c>
      <c r="T545" s="6">
        <v>0</v>
      </c>
      <c r="U545" s="5">
        <v>617</v>
      </c>
      <c r="V545" s="5">
        <v>1</v>
      </c>
    </row>
    <row r="546" spans="1:22" x14ac:dyDescent="0.25">
      <c r="A546" s="4" t="s">
        <v>614</v>
      </c>
      <c r="B546" s="5">
        <v>30</v>
      </c>
      <c r="C546" s="4" t="s">
        <v>23</v>
      </c>
      <c r="D546" s="4" t="s">
        <v>34</v>
      </c>
      <c r="E546" s="4" t="s">
        <v>35</v>
      </c>
      <c r="F546" s="4" t="s">
        <v>30</v>
      </c>
      <c r="G546" s="6">
        <v>33300</v>
      </c>
      <c r="H546" s="5">
        <v>1</v>
      </c>
      <c r="I546" s="7">
        <v>45632</v>
      </c>
      <c r="J546" s="4" t="s">
        <v>31</v>
      </c>
      <c r="K546" s="5">
        <v>1</v>
      </c>
      <c r="L546" s="6">
        <v>2003.19</v>
      </c>
      <c r="M546" s="6">
        <v>12344.6</v>
      </c>
      <c r="N546" s="5">
        <v>30</v>
      </c>
      <c r="O546" s="6">
        <v>31.97</v>
      </c>
      <c r="P546" s="5">
        <v>0</v>
      </c>
      <c r="Q546" s="6">
        <v>4000</v>
      </c>
      <c r="R546" s="6">
        <v>1704.65</v>
      </c>
      <c r="S546" s="6">
        <v>61000</v>
      </c>
      <c r="T546" s="6">
        <v>446</v>
      </c>
      <c r="U546" s="5">
        <v>580</v>
      </c>
      <c r="V546" s="5">
        <v>0</v>
      </c>
    </row>
    <row r="547" spans="1:22" x14ac:dyDescent="0.25">
      <c r="A547" s="4" t="s">
        <v>615</v>
      </c>
      <c r="B547" s="5">
        <v>34</v>
      </c>
      <c r="C547" s="4" t="s">
        <v>23</v>
      </c>
      <c r="D547" s="4" t="s">
        <v>41</v>
      </c>
      <c r="E547" s="4" t="s">
        <v>35</v>
      </c>
      <c r="F547" s="4" t="s">
        <v>30</v>
      </c>
      <c r="G547" s="6">
        <v>59200</v>
      </c>
      <c r="H547" s="5">
        <v>8</v>
      </c>
      <c r="I547" s="7">
        <v>43100</v>
      </c>
      <c r="J547" s="4" t="s">
        <v>31</v>
      </c>
      <c r="K547" s="5">
        <v>3</v>
      </c>
      <c r="L547" s="6">
        <v>10619.37</v>
      </c>
      <c r="M547" s="6">
        <v>49882.21</v>
      </c>
      <c r="N547" s="5">
        <v>36</v>
      </c>
      <c r="O547" s="6">
        <v>62.49</v>
      </c>
      <c r="P547" s="5">
        <v>2</v>
      </c>
      <c r="Q547" s="6">
        <v>10500</v>
      </c>
      <c r="R547" s="6">
        <v>720.34</v>
      </c>
      <c r="S547" s="6">
        <v>0</v>
      </c>
      <c r="T547" s="6">
        <v>0</v>
      </c>
      <c r="U547" s="5">
        <v>675</v>
      </c>
      <c r="V547" s="5">
        <v>0</v>
      </c>
    </row>
    <row r="548" spans="1:22" x14ac:dyDescent="0.25">
      <c r="A548" s="4" t="s">
        <v>616</v>
      </c>
      <c r="B548" s="5">
        <v>46</v>
      </c>
      <c r="C548" s="4" t="s">
        <v>23</v>
      </c>
      <c r="D548" s="4" t="s">
        <v>29</v>
      </c>
      <c r="E548" s="4" t="s">
        <v>42</v>
      </c>
      <c r="F548" s="4" t="s">
        <v>30</v>
      </c>
      <c r="G548" s="6">
        <v>88100</v>
      </c>
      <c r="H548" s="5">
        <v>5</v>
      </c>
      <c r="I548" s="7">
        <v>44103</v>
      </c>
      <c r="J548" s="4" t="s">
        <v>27</v>
      </c>
      <c r="K548" s="5">
        <v>3</v>
      </c>
      <c r="L548" s="6">
        <v>19185.05</v>
      </c>
      <c r="M548" s="6">
        <v>23160.39</v>
      </c>
      <c r="N548" s="5">
        <v>49</v>
      </c>
      <c r="O548" s="6">
        <v>94.39</v>
      </c>
      <c r="P548" s="5">
        <v>5</v>
      </c>
      <c r="Q548" s="6">
        <v>15000</v>
      </c>
      <c r="R548" s="6">
        <v>6053.62</v>
      </c>
      <c r="S548" s="6">
        <v>380000</v>
      </c>
      <c r="T548" s="6">
        <v>1928</v>
      </c>
      <c r="U548" s="5">
        <v>649</v>
      </c>
      <c r="V548" s="5">
        <v>2</v>
      </c>
    </row>
    <row r="549" spans="1:22" x14ac:dyDescent="0.25">
      <c r="A549" s="4" t="s">
        <v>617</v>
      </c>
      <c r="B549" s="5">
        <v>45</v>
      </c>
      <c r="C549" s="4" t="s">
        <v>23</v>
      </c>
      <c r="D549" s="4" t="s">
        <v>98</v>
      </c>
      <c r="E549" s="4" t="s">
        <v>42</v>
      </c>
      <c r="F549" s="4" t="s">
        <v>30</v>
      </c>
      <c r="G549" s="6">
        <v>83000</v>
      </c>
      <c r="H549" s="5">
        <v>12</v>
      </c>
      <c r="I549" s="7">
        <v>41546</v>
      </c>
      <c r="J549" s="4" t="s">
        <v>39</v>
      </c>
      <c r="K549" s="5">
        <v>2</v>
      </c>
      <c r="L549" s="6">
        <v>4776.2700000000004</v>
      </c>
      <c r="M549" s="6">
        <v>102507.55</v>
      </c>
      <c r="N549" s="5">
        <v>33</v>
      </c>
      <c r="O549" s="6">
        <v>84.42</v>
      </c>
      <c r="P549" s="5">
        <v>4</v>
      </c>
      <c r="Q549" s="6">
        <v>15000</v>
      </c>
      <c r="R549" s="6">
        <v>1746.95</v>
      </c>
      <c r="S549" s="6">
        <v>271000</v>
      </c>
      <c r="T549" s="6">
        <v>1748</v>
      </c>
      <c r="U549" s="5">
        <v>742</v>
      </c>
      <c r="V549" s="5">
        <v>0</v>
      </c>
    </row>
    <row r="550" spans="1:22" x14ac:dyDescent="0.25">
      <c r="A550" s="4" t="s">
        <v>618</v>
      </c>
      <c r="B550" s="5">
        <v>48</v>
      </c>
      <c r="C550" s="4" t="s">
        <v>23</v>
      </c>
      <c r="D550" s="4" t="s">
        <v>29</v>
      </c>
      <c r="E550" s="4" t="s">
        <v>35</v>
      </c>
      <c r="F550" s="4" t="s">
        <v>30</v>
      </c>
      <c r="G550" s="6">
        <v>52100</v>
      </c>
      <c r="H550" s="5">
        <v>23</v>
      </c>
      <c r="I550" s="7">
        <v>37556</v>
      </c>
      <c r="J550" s="4" t="s">
        <v>27</v>
      </c>
      <c r="K550" s="5">
        <v>2</v>
      </c>
      <c r="L550" s="6">
        <v>4860.3</v>
      </c>
      <c r="M550" s="6">
        <v>141366.54</v>
      </c>
      <c r="N550" s="5">
        <v>28</v>
      </c>
      <c r="O550" s="6">
        <v>64.010000000000005</v>
      </c>
      <c r="P550" s="5">
        <v>1</v>
      </c>
      <c r="Q550" s="6">
        <v>10000</v>
      </c>
      <c r="R550" s="6">
        <v>3470.78</v>
      </c>
      <c r="S550" s="6">
        <v>0</v>
      </c>
      <c r="T550" s="6">
        <v>0</v>
      </c>
      <c r="U550" s="5">
        <v>721</v>
      </c>
      <c r="V550" s="5">
        <v>0</v>
      </c>
    </row>
    <row r="551" spans="1:22" x14ac:dyDescent="0.25">
      <c r="A551" s="4" t="s">
        <v>619</v>
      </c>
      <c r="B551" s="5">
        <v>64</v>
      </c>
      <c r="C551" s="4" t="s">
        <v>23</v>
      </c>
      <c r="D551" s="4" t="s">
        <v>34</v>
      </c>
      <c r="E551" s="4" t="s">
        <v>25</v>
      </c>
      <c r="F551" s="4" t="s">
        <v>26</v>
      </c>
      <c r="G551" s="6">
        <v>46400</v>
      </c>
      <c r="H551" s="5">
        <v>2</v>
      </c>
      <c r="I551" s="7">
        <v>45191</v>
      </c>
      <c r="J551" s="4" t="s">
        <v>39</v>
      </c>
      <c r="K551" s="5">
        <v>2</v>
      </c>
      <c r="L551" s="6">
        <v>4304.6400000000003</v>
      </c>
      <c r="M551" s="6">
        <v>0</v>
      </c>
      <c r="N551" s="5">
        <v>23</v>
      </c>
      <c r="O551" s="6">
        <v>40.799999999999997</v>
      </c>
      <c r="P551" s="5">
        <v>1</v>
      </c>
      <c r="Q551" s="6">
        <v>0</v>
      </c>
      <c r="R551" s="6">
        <v>0</v>
      </c>
      <c r="S551" s="6">
        <v>0</v>
      </c>
      <c r="T551" s="6">
        <v>0</v>
      </c>
      <c r="U551" s="5">
        <v>572</v>
      </c>
      <c r="V551" s="5">
        <v>1</v>
      </c>
    </row>
    <row r="552" spans="1:22" x14ac:dyDescent="0.25">
      <c r="A552" s="4" t="s">
        <v>620</v>
      </c>
      <c r="B552" s="5">
        <v>35</v>
      </c>
      <c r="C552" s="4" t="s">
        <v>23</v>
      </c>
      <c r="D552" s="4" t="s">
        <v>24</v>
      </c>
      <c r="E552" s="4" t="s">
        <v>45</v>
      </c>
      <c r="F552" s="4" t="s">
        <v>38</v>
      </c>
      <c r="G552" s="6">
        <v>16800</v>
      </c>
      <c r="H552" s="5">
        <v>7</v>
      </c>
      <c r="I552" s="7">
        <v>43568</v>
      </c>
      <c r="J552" s="4" t="s">
        <v>31</v>
      </c>
      <c r="K552" s="5">
        <v>1</v>
      </c>
      <c r="L552" s="6">
        <v>-305.63</v>
      </c>
      <c r="M552" s="6">
        <v>6028.27</v>
      </c>
      <c r="N552" s="5">
        <v>24</v>
      </c>
      <c r="O552" s="6">
        <v>54</v>
      </c>
      <c r="P552" s="5">
        <v>1</v>
      </c>
      <c r="Q552" s="6">
        <v>4000</v>
      </c>
      <c r="R552" s="6">
        <v>972.39</v>
      </c>
      <c r="S552" s="6">
        <v>65000</v>
      </c>
      <c r="T552" s="6">
        <v>329</v>
      </c>
      <c r="U552" s="5">
        <v>566</v>
      </c>
      <c r="V552" s="5">
        <v>0</v>
      </c>
    </row>
    <row r="553" spans="1:22" x14ac:dyDescent="0.25">
      <c r="A553" s="4" t="s">
        <v>621</v>
      </c>
      <c r="B553" s="5">
        <v>44</v>
      </c>
      <c r="C553" s="4" t="s">
        <v>23</v>
      </c>
      <c r="D553" s="4" t="s">
        <v>44</v>
      </c>
      <c r="E553" s="4" t="s">
        <v>54</v>
      </c>
      <c r="F553" s="4" t="s">
        <v>48</v>
      </c>
      <c r="G553" s="6">
        <v>29600</v>
      </c>
      <c r="H553" s="5">
        <v>3</v>
      </c>
      <c r="I553" s="7">
        <v>44964</v>
      </c>
      <c r="J553" s="4" t="s">
        <v>31</v>
      </c>
      <c r="K553" s="5">
        <v>1</v>
      </c>
      <c r="L553" s="6">
        <v>4273.09</v>
      </c>
      <c r="M553" s="6">
        <v>9149.75</v>
      </c>
      <c r="N553" s="5">
        <v>41</v>
      </c>
      <c r="O553" s="6">
        <v>32.42</v>
      </c>
      <c r="P553" s="5">
        <v>1</v>
      </c>
      <c r="Q553" s="6">
        <v>0</v>
      </c>
      <c r="R553" s="6">
        <v>0</v>
      </c>
      <c r="S553" s="6">
        <v>0</v>
      </c>
      <c r="T553" s="6">
        <v>0</v>
      </c>
      <c r="U553" s="5">
        <v>541</v>
      </c>
      <c r="V553" s="5">
        <v>0</v>
      </c>
    </row>
    <row r="554" spans="1:22" x14ac:dyDescent="0.25">
      <c r="A554" s="4" t="s">
        <v>622</v>
      </c>
      <c r="B554" s="5">
        <v>51</v>
      </c>
      <c r="C554" s="4" t="s">
        <v>23</v>
      </c>
      <c r="D554" s="4" t="s">
        <v>75</v>
      </c>
      <c r="E554" s="4" t="s">
        <v>35</v>
      </c>
      <c r="F554" s="4" t="s">
        <v>30</v>
      </c>
      <c r="G554" s="6">
        <v>38700</v>
      </c>
      <c r="H554" s="5">
        <v>17</v>
      </c>
      <c r="I554" s="7">
        <v>40040</v>
      </c>
      <c r="J554" s="4" t="s">
        <v>31</v>
      </c>
      <c r="K554" s="5">
        <v>3</v>
      </c>
      <c r="L554" s="6">
        <v>720.34</v>
      </c>
      <c r="M554" s="6">
        <v>29704.61</v>
      </c>
      <c r="N554" s="5">
        <v>31</v>
      </c>
      <c r="O554" s="6">
        <v>47.41</v>
      </c>
      <c r="P554" s="5">
        <v>2</v>
      </c>
      <c r="Q554" s="6">
        <v>5000</v>
      </c>
      <c r="R554" s="6">
        <v>3794.56</v>
      </c>
      <c r="S554" s="6">
        <v>0</v>
      </c>
      <c r="T554" s="6">
        <v>0</v>
      </c>
      <c r="U554" s="5">
        <v>667</v>
      </c>
      <c r="V554" s="5">
        <v>0</v>
      </c>
    </row>
    <row r="555" spans="1:22" x14ac:dyDescent="0.25">
      <c r="A555" s="4" t="s">
        <v>623</v>
      </c>
      <c r="B555" s="5">
        <v>52</v>
      </c>
      <c r="C555" s="4" t="s">
        <v>33</v>
      </c>
      <c r="D555" s="4" t="s">
        <v>29</v>
      </c>
      <c r="E555" s="4" t="s">
        <v>54</v>
      </c>
      <c r="F555" s="4" t="s">
        <v>26</v>
      </c>
      <c r="G555" s="6">
        <v>28500</v>
      </c>
      <c r="H555" s="5">
        <v>25</v>
      </c>
      <c r="I555" s="7">
        <v>36885</v>
      </c>
      <c r="J555" s="4" t="s">
        <v>39</v>
      </c>
      <c r="K555" s="5">
        <v>5</v>
      </c>
      <c r="L555" s="6">
        <v>5220.88</v>
      </c>
      <c r="M555" s="6">
        <v>0</v>
      </c>
      <c r="N555" s="5">
        <v>20</v>
      </c>
      <c r="O555" s="6">
        <v>37.92</v>
      </c>
      <c r="P555" s="5">
        <v>2</v>
      </c>
      <c r="Q555" s="6">
        <v>4000</v>
      </c>
      <c r="R555" s="6">
        <v>818.3</v>
      </c>
      <c r="S555" s="6">
        <v>55000</v>
      </c>
      <c r="T555" s="6">
        <v>277</v>
      </c>
      <c r="U555" s="5">
        <v>626</v>
      </c>
      <c r="V555" s="5">
        <v>1</v>
      </c>
    </row>
    <row r="556" spans="1:22" x14ac:dyDescent="0.25">
      <c r="A556" s="4" t="s">
        <v>624</v>
      </c>
      <c r="B556" s="5">
        <v>27</v>
      </c>
      <c r="C556" s="4" t="s">
        <v>23</v>
      </c>
      <c r="D556" s="4" t="s">
        <v>24</v>
      </c>
      <c r="E556" s="4" t="s">
        <v>35</v>
      </c>
      <c r="F556" s="4" t="s">
        <v>26</v>
      </c>
      <c r="G556" s="6">
        <v>43000</v>
      </c>
      <c r="H556" s="5">
        <v>3</v>
      </c>
      <c r="I556" s="7">
        <v>45054</v>
      </c>
      <c r="J556" s="4" t="s">
        <v>39</v>
      </c>
      <c r="K556" s="5">
        <v>1</v>
      </c>
      <c r="L556" s="6">
        <v>2459.21</v>
      </c>
      <c r="M556" s="6">
        <v>5870.4</v>
      </c>
      <c r="N556" s="5">
        <v>24</v>
      </c>
      <c r="O556" s="6">
        <v>74.900000000000006</v>
      </c>
      <c r="P556" s="5">
        <v>4</v>
      </c>
      <c r="Q556" s="6">
        <v>0</v>
      </c>
      <c r="R556" s="6">
        <v>0</v>
      </c>
      <c r="S556" s="6">
        <v>0</v>
      </c>
      <c r="T556" s="6">
        <v>0</v>
      </c>
      <c r="U556" s="5">
        <v>600</v>
      </c>
      <c r="V556" s="5">
        <v>0</v>
      </c>
    </row>
    <row r="557" spans="1:22" x14ac:dyDescent="0.25">
      <c r="A557" s="4" t="s">
        <v>625</v>
      </c>
      <c r="B557" s="5">
        <v>40</v>
      </c>
      <c r="C557" s="4" t="s">
        <v>33</v>
      </c>
      <c r="D557" s="4" t="s">
        <v>29</v>
      </c>
      <c r="E557" s="4" t="s">
        <v>45</v>
      </c>
      <c r="F557" s="4" t="s">
        <v>30</v>
      </c>
      <c r="G557" s="6">
        <v>20700</v>
      </c>
      <c r="H557" s="5">
        <v>4</v>
      </c>
      <c r="I557" s="7">
        <v>44567</v>
      </c>
      <c r="J557" s="4" t="s">
        <v>39</v>
      </c>
      <c r="K557" s="5">
        <v>1</v>
      </c>
      <c r="L557" s="6">
        <v>953.2</v>
      </c>
      <c r="M557" s="6">
        <v>6523.14</v>
      </c>
      <c r="N557" s="5">
        <v>20</v>
      </c>
      <c r="O557" s="6">
        <v>49.75</v>
      </c>
      <c r="P557" s="5">
        <v>4</v>
      </c>
      <c r="Q557" s="6">
        <v>0</v>
      </c>
      <c r="R557" s="6">
        <v>0</v>
      </c>
      <c r="S557" s="6">
        <v>0</v>
      </c>
      <c r="T557" s="6">
        <v>0</v>
      </c>
      <c r="U557" s="5">
        <v>622</v>
      </c>
      <c r="V557" s="5">
        <v>0</v>
      </c>
    </row>
    <row r="558" spans="1:22" x14ac:dyDescent="0.25">
      <c r="A558" s="4" t="s">
        <v>626</v>
      </c>
      <c r="B558" s="5">
        <v>60</v>
      </c>
      <c r="C558" s="4" t="s">
        <v>33</v>
      </c>
      <c r="D558" s="4" t="s">
        <v>108</v>
      </c>
      <c r="E558" s="4" t="s">
        <v>67</v>
      </c>
      <c r="F558" s="4" t="s">
        <v>30</v>
      </c>
      <c r="G558" s="6">
        <v>5900</v>
      </c>
      <c r="H558" s="5">
        <v>23</v>
      </c>
      <c r="I558" s="7">
        <v>37592</v>
      </c>
      <c r="J558" s="4" t="s">
        <v>49</v>
      </c>
      <c r="K558" s="5">
        <v>3</v>
      </c>
      <c r="L558" s="6">
        <v>-790.47</v>
      </c>
      <c r="M558" s="6">
        <v>9912.7199999999993</v>
      </c>
      <c r="N558" s="5">
        <v>13</v>
      </c>
      <c r="O558" s="6">
        <v>39.67</v>
      </c>
      <c r="P558" s="5">
        <v>4</v>
      </c>
      <c r="Q558" s="6">
        <v>0</v>
      </c>
      <c r="R558" s="6">
        <v>0</v>
      </c>
      <c r="S558" s="6">
        <v>0</v>
      </c>
      <c r="T558" s="6">
        <v>0</v>
      </c>
      <c r="U558" s="5">
        <v>577</v>
      </c>
      <c r="V558" s="5">
        <v>0</v>
      </c>
    </row>
    <row r="559" spans="1:22" x14ac:dyDescent="0.25">
      <c r="A559" s="4" t="s">
        <v>627</v>
      </c>
      <c r="B559" s="5">
        <v>66</v>
      </c>
      <c r="C559" s="4" t="s">
        <v>23</v>
      </c>
      <c r="D559" s="4" t="s">
        <v>98</v>
      </c>
      <c r="E559" s="4" t="s">
        <v>95</v>
      </c>
      <c r="F559" s="4" t="s">
        <v>30</v>
      </c>
      <c r="G559" s="6">
        <v>14800</v>
      </c>
      <c r="H559" s="5">
        <v>15</v>
      </c>
      <c r="I559" s="7">
        <v>40495</v>
      </c>
      <c r="J559" s="4" t="s">
        <v>39</v>
      </c>
      <c r="K559" s="5">
        <v>3</v>
      </c>
      <c r="L559" s="6">
        <v>1350.83</v>
      </c>
      <c r="M559" s="6">
        <v>7401.48</v>
      </c>
      <c r="N559" s="5">
        <v>16</v>
      </c>
      <c r="O559" s="6">
        <v>42.43</v>
      </c>
      <c r="P559" s="5">
        <v>2</v>
      </c>
      <c r="Q559" s="6">
        <v>3000</v>
      </c>
      <c r="R559" s="6">
        <v>1067.28</v>
      </c>
      <c r="S559" s="6">
        <v>36000</v>
      </c>
      <c r="T559" s="6">
        <v>247</v>
      </c>
      <c r="U559" s="5">
        <v>572</v>
      </c>
      <c r="V559" s="5">
        <v>0</v>
      </c>
    </row>
    <row r="560" spans="1:22" x14ac:dyDescent="0.25">
      <c r="A560" s="4" t="s">
        <v>628</v>
      </c>
      <c r="B560" s="5">
        <v>39</v>
      </c>
      <c r="C560" s="4" t="s">
        <v>23</v>
      </c>
      <c r="D560" s="4" t="s">
        <v>98</v>
      </c>
      <c r="E560" s="4" t="s">
        <v>45</v>
      </c>
      <c r="F560" s="4" t="s">
        <v>30</v>
      </c>
      <c r="G560" s="6">
        <v>17700</v>
      </c>
      <c r="H560" s="5">
        <v>11</v>
      </c>
      <c r="I560" s="7">
        <v>42157</v>
      </c>
      <c r="J560" s="4" t="s">
        <v>31</v>
      </c>
      <c r="K560" s="5">
        <v>1</v>
      </c>
      <c r="L560" s="6">
        <v>2146.9</v>
      </c>
      <c r="M560" s="6">
        <v>39242.94</v>
      </c>
      <c r="N560" s="5">
        <v>30</v>
      </c>
      <c r="O560" s="6">
        <v>47.53</v>
      </c>
      <c r="P560" s="5">
        <v>3</v>
      </c>
      <c r="Q560" s="6">
        <v>2500</v>
      </c>
      <c r="R560" s="6">
        <v>513.89</v>
      </c>
      <c r="S560" s="6">
        <v>36000</v>
      </c>
      <c r="T560" s="6">
        <v>198</v>
      </c>
      <c r="U560" s="5">
        <v>531</v>
      </c>
      <c r="V560" s="5">
        <v>0</v>
      </c>
    </row>
    <row r="561" spans="1:22" x14ac:dyDescent="0.25">
      <c r="A561" s="4" t="s">
        <v>629</v>
      </c>
      <c r="B561" s="5">
        <v>55</v>
      </c>
      <c r="C561" s="4" t="s">
        <v>33</v>
      </c>
      <c r="D561" s="4" t="s">
        <v>134</v>
      </c>
      <c r="E561" s="4" t="s">
        <v>25</v>
      </c>
      <c r="F561" s="4" t="s">
        <v>26</v>
      </c>
      <c r="G561" s="6">
        <v>41300</v>
      </c>
      <c r="H561" s="5">
        <v>5</v>
      </c>
      <c r="I561" s="7">
        <v>44205</v>
      </c>
      <c r="J561" s="4" t="s">
        <v>31</v>
      </c>
      <c r="K561" s="5">
        <v>1</v>
      </c>
      <c r="L561" s="6">
        <v>1372.19</v>
      </c>
      <c r="M561" s="6">
        <v>15221.09</v>
      </c>
      <c r="N561" s="5">
        <v>32</v>
      </c>
      <c r="O561" s="6">
        <v>65.34</v>
      </c>
      <c r="P561" s="5">
        <v>3</v>
      </c>
      <c r="Q561" s="6">
        <v>7000</v>
      </c>
      <c r="R561" s="6">
        <v>2613.94</v>
      </c>
      <c r="S561" s="6">
        <v>0</v>
      </c>
      <c r="T561" s="6">
        <v>0</v>
      </c>
      <c r="U561" s="5">
        <v>653</v>
      </c>
      <c r="V561" s="5">
        <v>0</v>
      </c>
    </row>
    <row r="562" spans="1:22" x14ac:dyDescent="0.25">
      <c r="A562" s="4" t="s">
        <v>630</v>
      </c>
      <c r="B562" s="5">
        <v>37</v>
      </c>
      <c r="C562" s="4" t="s">
        <v>23</v>
      </c>
      <c r="D562" s="4" t="s">
        <v>44</v>
      </c>
      <c r="E562" s="4" t="s">
        <v>25</v>
      </c>
      <c r="F562" s="4" t="s">
        <v>30</v>
      </c>
      <c r="G562" s="6">
        <v>31300</v>
      </c>
      <c r="H562" s="5">
        <v>3</v>
      </c>
      <c r="I562" s="7">
        <v>45049</v>
      </c>
      <c r="J562" s="4" t="s">
        <v>31</v>
      </c>
      <c r="K562" s="5">
        <v>2</v>
      </c>
      <c r="L562" s="6">
        <v>1341.21</v>
      </c>
      <c r="M562" s="6">
        <v>0</v>
      </c>
      <c r="N562" s="5">
        <v>31</v>
      </c>
      <c r="O562" s="6">
        <v>49.04</v>
      </c>
      <c r="P562" s="5">
        <v>2</v>
      </c>
      <c r="Q562" s="6">
        <v>7500</v>
      </c>
      <c r="R562" s="6">
        <v>1498.84</v>
      </c>
      <c r="S562" s="6">
        <v>0</v>
      </c>
      <c r="T562" s="6">
        <v>0</v>
      </c>
      <c r="U562" s="5">
        <v>591</v>
      </c>
      <c r="V562" s="5">
        <v>1</v>
      </c>
    </row>
    <row r="563" spans="1:22" x14ac:dyDescent="0.25">
      <c r="A563" s="4" t="s">
        <v>631</v>
      </c>
      <c r="B563" s="5">
        <v>31</v>
      </c>
      <c r="C563" s="4" t="s">
        <v>23</v>
      </c>
      <c r="D563" s="4" t="s">
        <v>24</v>
      </c>
      <c r="E563" s="4" t="s">
        <v>54</v>
      </c>
      <c r="F563" s="4" t="s">
        <v>30</v>
      </c>
      <c r="G563" s="6">
        <v>9400</v>
      </c>
      <c r="H563" s="5">
        <v>3</v>
      </c>
      <c r="I563" s="7">
        <v>44952</v>
      </c>
      <c r="J563" s="4" t="s">
        <v>31</v>
      </c>
      <c r="K563" s="5">
        <v>1</v>
      </c>
      <c r="L563" s="6">
        <v>2038.71</v>
      </c>
      <c r="M563" s="6">
        <v>0</v>
      </c>
      <c r="N563" s="5">
        <v>23</v>
      </c>
      <c r="O563" s="6">
        <v>28.29</v>
      </c>
      <c r="P563" s="5">
        <v>0</v>
      </c>
      <c r="Q563" s="6">
        <v>2500</v>
      </c>
      <c r="R563" s="6">
        <v>163.19999999999999</v>
      </c>
      <c r="S563" s="6">
        <v>0</v>
      </c>
      <c r="T563" s="6">
        <v>0</v>
      </c>
      <c r="U563" s="5">
        <v>464</v>
      </c>
      <c r="V563" s="5">
        <v>1</v>
      </c>
    </row>
    <row r="564" spans="1:22" x14ac:dyDescent="0.25">
      <c r="A564" s="4" t="s">
        <v>632</v>
      </c>
      <c r="B564" s="5">
        <v>51</v>
      </c>
      <c r="C564" s="4" t="s">
        <v>33</v>
      </c>
      <c r="D564" s="4" t="s">
        <v>34</v>
      </c>
      <c r="E564" s="4" t="s">
        <v>25</v>
      </c>
      <c r="F564" s="4" t="s">
        <v>26</v>
      </c>
      <c r="G564" s="6">
        <v>66200</v>
      </c>
      <c r="H564" s="5">
        <v>6</v>
      </c>
      <c r="I564" s="7">
        <v>43946</v>
      </c>
      <c r="J564" s="4" t="s">
        <v>39</v>
      </c>
      <c r="K564" s="5">
        <v>2</v>
      </c>
      <c r="L564" s="6">
        <v>2802.59</v>
      </c>
      <c r="M564" s="6">
        <v>36465.620000000003</v>
      </c>
      <c r="N564" s="5">
        <v>28</v>
      </c>
      <c r="O564" s="6">
        <v>95.05</v>
      </c>
      <c r="P564" s="5">
        <v>5</v>
      </c>
      <c r="Q564" s="6">
        <v>7000</v>
      </c>
      <c r="R564" s="6">
        <v>4000.79</v>
      </c>
      <c r="S564" s="6">
        <v>0</v>
      </c>
      <c r="T564" s="6">
        <v>0</v>
      </c>
      <c r="U564" s="5">
        <v>572</v>
      </c>
      <c r="V564" s="5">
        <v>0</v>
      </c>
    </row>
    <row r="565" spans="1:22" x14ac:dyDescent="0.25">
      <c r="A565" s="4" t="s">
        <v>633</v>
      </c>
      <c r="B565" s="5">
        <v>20</v>
      </c>
      <c r="C565" s="4" t="s">
        <v>23</v>
      </c>
      <c r="D565" s="4" t="s">
        <v>44</v>
      </c>
      <c r="E565" s="4" t="s">
        <v>45</v>
      </c>
      <c r="F565" s="4" t="s">
        <v>30</v>
      </c>
      <c r="G565" s="6">
        <v>21700</v>
      </c>
      <c r="H565" s="5">
        <v>2</v>
      </c>
      <c r="I565" s="7">
        <v>45298</v>
      </c>
      <c r="J565" s="4" t="s">
        <v>31</v>
      </c>
      <c r="K565" s="5">
        <v>1</v>
      </c>
      <c r="L565" s="6">
        <v>2007.85</v>
      </c>
      <c r="M565" s="6">
        <v>0</v>
      </c>
      <c r="N565" s="5">
        <v>26</v>
      </c>
      <c r="O565" s="6">
        <v>48.36</v>
      </c>
      <c r="P565" s="5">
        <v>2</v>
      </c>
      <c r="Q565" s="6">
        <v>5000</v>
      </c>
      <c r="R565" s="6">
        <v>2072.39</v>
      </c>
      <c r="S565" s="6">
        <v>0</v>
      </c>
      <c r="T565" s="6">
        <v>0</v>
      </c>
      <c r="U565" s="5">
        <v>537</v>
      </c>
      <c r="V565" s="5">
        <v>2</v>
      </c>
    </row>
    <row r="566" spans="1:22" x14ac:dyDescent="0.25">
      <c r="A566" s="4" t="s">
        <v>634</v>
      </c>
      <c r="B566" s="5">
        <v>70</v>
      </c>
      <c r="C566" s="4" t="s">
        <v>23</v>
      </c>
      <c r="D566" s="4" t="s">
        <v>108</v>
      </c>
      <c r="E566" s="4" t="s">
        <v>95</v>
      </c>
      <c r="F566" s="4" t="s">
        <v>30</v>
      </c>
      <c r="G566" s="6">
        <v>27900</v>
      </c>
      <c r="H566" s="5">
        <v>25</v>
      </c>
      <c r="I566" s="7">
        <v>36964</v>
      </c>
      <c r="J566" s="4" t="s">
        <v>39</v>
      </c>
      <c r="K566" s="5">
        <v>4</v>
      </c>
      <c r="L566" s="6">
        <v>-1818.99</v>
      </c>
      <c r="M566" s="6">
        <v>0</v>
      </c>
      <c r="N566" s="5">
        <v>23</v>
      </c>
      <c r="O566" s="6">
        <v>46.65</v>
      </c>
      <c r="P566" s="5">
        <v>4</v>
      </c>
      <c r="Q566" s="6">
        <v>3500</v>
      </c>
      <c r="R566" s="6">
        <v>1616.26</v>
      </c>
      <c r="S566" s="6">
        <v>0</v>
      </c>
      <c r="T566" s="6">
        <v>0</v>
      </c>
      <c r="U566" s="5">
        <v>150</v>
      </c>
      <c r="V566" s="5">
        <v>0</v>
      </c>
    </row>
    <row r="567" spans="1:22" x14ac:dyDescent="0.25">
      <c r="A567" s="4" t="s">
        <v>635</v>
      </c>
      <c r="B567" s="5">
        <v>77</v>
      </c>
      <c r="C567" s="4" t="s">
        <v>33</v>
      </c>
      <c r="D567" s="4" t="s">
        <v>57</v>
      </c>
      <c r="E567" s="4" t="s">
        <v>95</v>
      </c>
      <c r="F567" s="4" t="s">
        <v>48</v>
      </c>
      <c r="G567" s="6">
        <v>10500</v>
      </c>
      <c r="H567" s="5">
        <v>4</v>
      </c>
      <c r="I567" s="7">
        <v>44503</v>
      </c>
      <c r="J567" s="4" t="s">
        <v>27</v>
      </c>
      <c r="K567" s="5">
        <v>3</v>
      </c>
      <c r="L567" s="6">
        <v>2528.54</v>
      </c>
      <c r="M567" s="6">
        <v>3809.67</v>
      </c>
      <c r="N567" s="5">
        <v>22</v>
      </c>
      <c r="O567" s="6">
        <v>19.5</v>
      </c>
      <c r="P567" s="5">
        <v>3</v>
      </c>
      <c r="Q567" s="6">
        <v>1000</v>
      </c>
      <c r="R567" s="6">
        <v>76.650000000000006</v>
      </c>
      <c r="S567" s="6">
        <v>0</v>
      </c>
      <c r="T567" s="6">
        <v>0</v>
      </c>
      <c r="U567" s="5">
        <v>530</v>
      </c>
      <c r="V567" s="5">
        <v>0</v>
      </c>
    </row>
    <row r="568" spans="1:22" x14ac:dyDescent="0.25">
      <c r="A568" s="4" t="s">
        <v>636</v>
      </c>
      <c r="B568" s="5">
        <v>57</v>
      </c>
      <c r="C568" s="4" t="s">
        <v>23</v>
      </c>
      <c r="D568" s="4" t="s">
        <v>51</v>
      </c>
      <c r="E568" s="4" t="s">
        <v>67</v>
      </c>
      <c r="F568" s="4" t="s">
        <v>30</v>
      </c>
      <c r="G568" s="6">
        <v>7800</v>
      </c>
      <c r="H568" s="5">
        <v>21</v>
      </c>
      <c r="I568" s="7">
        <v>38606</v>
      </c>
      <c r="J568" s="4" t="s">
        <v>39</v>
      </c>
      <c r="K568" s="5">
        <v>2</v>
      </c>
      <c r="L568" s="6">
        <v>1406.19</v>
      </c>
      <c r="M568" s="6">
        <v>0</v>
      </c>
      <c r="N568" s="5">
        <v>14</v>
      </c>
      <c r="O568" s="6">
        <v>55.61</v>
      </c>
      <c r="P568" s="5">
        <v>6</v>
      </c>
      <c r="Q568" s="6">
        <v>1500</v>
      </c>
      <c r="R568" s="6">
        <v>427.76</v>
      </c>
      <c r="S568" s="6">
        <v>0</v>
      </c>
      <c r="T568" s="6">
        <v>0</v>
      </c>
      <c r="U568" s="5">
        <v>620</v>
      </c>
      <c r="V568" s="5">
        <v>0</v>
      </c>
    </row>
    <row r="569" spans="1:22" x14ac:dyDescent="0.25">
      <c r="A569" s="4" t="s">
        <v>637</v>
      </c>
      <c r="B569" s="5">
        <v>36</v>
      </c>
      <c r="C569" s="4" t="s">
        <v>23</v>
      </c>
      <c r="D569" s="4" t="s">
        <v>59</v>
      </c>
      <c r="E569" s="4" t="s">
        <v>35</v>
      </c>
      <c r="F569" s="4" t="s">
        <v>26</v>
      </c>
      <c r="G569" s="6">
        <v>37300</v>
      </c>
      <c r="H569" s="5">
        <v>8</v>
      </c>
      <c r="I569" s="7">
        <v>43280</v>
      </c>
      <c r="J569" s="4" t="s">
        <v>39</v>
      </c>
      <c r="K569" s="5">
        <v>1</v>
      </c>
      <c r="L569" s="6">
        <v>2791.5</v>
      </c>
      <c r="M569" s="6">
        <v>0</v>
      </c>
      <c r="N569" s="5">
        <v>20</v>
      </c>
      <c r="O569" s="6">
        <v>54.98</v>
      </c>
      <c r="P569" s="5">
        <v>5</v>
      </c>
      <c r="Q569" s="6">
        <v>5000</v>
      </c>
      <c r="R569" s="6">
        <v>120.48</v>
      </c>
      <c r="S569" s="6">
        <v>0</v>
      </c>
      <c r="T569" s="6">
        <v>0</v>
      </c>
      <c r="U569" s="5">
        <v>644</v>
      </c>
      <c r="V569" s="5">
        <v>0</v>
      </c>
    </row>
    <row r="570" spans="1:22" x14ac:dyDescent="0.25">
      <c r="A570" s="4" t="s">
        <v>638</v>
      </c>
      <c r="B570" s="5">
        <v>62</v>
      </c>
      <c r="C570" s="4" t="s">
        <v>23</v>
      </c>
      <c r="D570" s="4" t="s">
        <v>72</v>
      </c>
      <c r="E570" s="4" t="s">
        <v>45</v>
      </c>
      <c r="F570" s="4" t="s">
        <v>30</v>
      </c>
      <c r="G570" s="6">
        <v>34900</v>
      </c>
      <c r="H570" s="5">
        <v>23</v>
      </c>
      <c r="I570" s="7">
        <v>37765</v>
      </c>
      <c r="J570" s="4" t="s">
        <v>39</v>
      </c>
      <c r="K570" s="5">
        <v>2</v>
      </c>
      <c r="L570" s="6">
        <v>2614.09</v>
      </c>
      <c r="M570" s="6">
        <v>47111.58</v>
      </c>
      <c r="N570" s="5">
        <v>27</v>
      </c>
      <c r="O570" s="6">
        <v>77.77</v>
      </c>
      <c r="P570" s="5">
        <v>5</v>
      </c>
      <c r="Q570" s="6">
        <v>5000</v>
      </c>
      <c r="R570" s="6">
        <v>2225.9699999999998</v>
      </c>
      <c r="S570" s="6">
        <v>0</v>
      </c>
      <c r="T570" s="6">
        <v>0</v>
      </c>
      <c r="U570" s="5">
        <v>634</v>
      </c>
      <c r="V570" s="5">
        <v>1</v>
      </c>
    </row>
    <row r="571" spans="1:22" x14ac:dyDescent="0.25">
      <c r="A571" s="4" t="s">
        <v>639</v>
      </c>
      <c r="B571" s="5">
        <v>48</v>
      </c>
      <c r="C571" s="4" t="s">
        <v>23</v>
      </c>
      <c r="D571" s="4" t="s">
        <v>108</v>
      </c>
      <c r="E571" s="4" t="s">
        <v>25</v>
      </c>
      <c r="F571" s="4" t="s">
        <v>30</v>
      </c>
      <c r="G571" s="6">
        <v>37200</v>
      </c>
      <c r="H571" s="5">
        <v>18</v>
      </c>
      <c r="I571" s="7">
        <v>39434</v>
      </c>
      <c r="J571" s="4" t="s">
        <v>49</v>
      </c>
      <c r="K571" s="5">
        <v>1</v>
      </c>
      <c r="L571" s="6">
        <v>1871.19</v>
      </c>
      <c r="M571" s="6">
        <v>74637.210000000006</v>
      </c>
      <c r="N571" s="5">
        <v>20</v>
      </c>
      <c r="O571" s="6">
        <v>53.38</v>
      </c>
      <c r="P571" s="5">
        <v>2</v>
      </c>
      <c r="Q571" s="6">
        <v>7500</v>
      </c>
      <c r="R571" s="6">
        <v>1123.1199999999999</v>
      </c>
      <c r="S571" s="6">
        <v>0</v>
      </c>
      <c r="T571" s="6">
        <v>0</v>
      </c>
      <c r="U571" s="5">
        <v>592</v>
      </c>
      <c r="V571" s="5">
        <v>0</v>
      </c>
    </row>
    <row r="572" spans="1:22" x14ac:dyDescent="0.25">
      <c r="A572" s="4" t="s">
        <v>640</v>
      </c>
      <c r="B572" s="5">
        <v>59</v>
      </c>
      <c r="C572" s="4" t="s">
        <v>33</v>
      </c>
      <c r="D572" s="4" t="s">
        <v>34</v>
      </c>
      <c r="E572" s="4" t="s">
        <v>641</v>
      </c>
      <c r="F572" s="4" t="s">
        <v>30</v>
      </c>
      <c r="G572" s="6">
        <v>67600</v>
      </c>
      <c r="H572" s="5">
        <v>9</v>
      </c>
      <c r="I572" s="7">
        <v>42773</v>
      </c>
      <c r="J572" s="4" t="s">
        <v>27</v>
      </c>
      <c r="K572" s="5">
        <v>1</v>
      </c>
      <c r="L572" s="6">
        <v>12113.97</v>
      </c>
      <c r="M572" s="6">
        <v>50153.32</v>
      </c>
      <c r="N572" s="5">
        <v>32</v>
      </c>
      <c r="O572" s="6">
        <v>55.26</v>
      </c>
      <c r="P572" s="5">
        <v>4</v>
      </c>
      <c r="Q572" s="6">
        <v>10000</v>
      </c>
      <c r="R572" s="6">
        <v>3946.56</v>
      </c>
      <c r="S572" s="6">
        <v>324000</v>
      </c>
      <c r="T572" s="6">
        <v>1547</v>
      </c>
      <c r="U572" s="5">
        <v>662</v>
      </c>
      <c r="V572" s="5">
        <v>0</v>
      </c>
    </row>
    <row r="573" spans="1:22" x14ac:dyDescent="0.25">
      <c r="A573" s="4" t="s">
        <v>642</v>
      </c>
      <c r="B573" s="5">
        <v>53</v>
      </c>
      <c r="C573" s="4" t="s">
        <v>33</v>
      </c>
      <c r="D573" s="4" t="s">
        <v>59</v>
      </c>
      <c r="E573" s="4" t="s">
        <v>45</v>
      </c>
      <c r="F573" s="4" t="s">
        <v>48</v>
      </c>
      <c r="G573" s="6">
        <v>20000</v>
      </c>
      <c r="H573" s="5">
        <v>18</v>
      </c>
      <c r="I573" s="7">
        <v>39581</v>
      </c>
      <c r="J573" s="4" t="s">
        <v>27</v>
      </c>
      <c r="K573" s="5">
        <v>5</v>
      </c>
      <c r="L573" s="6">
        <v>-850000</v>
      </c>
      <c r="M573" s="6">
        <v>7186.67</v>
      </c>
      <c r="N573" s="5">
        <v>24</v>
      </c>
      <c r="O573" s="6">
        <v>63.14</v>
      </c>
      <c r="P573" s="5">
        <v>1</v>
      </c>
      <c r="Q573" s="6">
        <v>0</v>
      </c>
      <c r="R573" s="6">
        <v>0</v>
      </c>
      <c r="S573" s="6">
        <v>88000</v>
      </c>
      <c r="T573" s="6">
        <v>473</v>
      </c>
      <c r="U573" s="5">
        <v>588</v>
      </c>
      <c r="V573" s="5">
        <v>0</v>
      </c>
    </row>
    <row r="574" spans="1:22" x14ac:dyDescent="0.25">
      <c r="A574" s="4" t="s">
        <v>643</v>
      </c>
      <c r="B574" s="5">
        <v>69</v>
      </c>
      <c r="C574" s="4" t="s">
        <v>33</v>
      </c>
      <c r="D574" s="4" t="s">
        <v>34</v>
      </c>
      <c r="E574" s="4" t="s">
        <v>95</v>
      </c>
      <c r="F574" s="4" t="s">
        <v>30</v>
      </c>
      <c r="G574" s="6">
        <v>41500</v>
      </c>
      <c r="H574" s="5">
        <v>7</v>
      </c>
      <c r="I574" s="7">
        <v>43550</v>
      </c>
      <c r="J574" s="4" t="s">
        <v>39</v>
      </c>
      <c r="K574" s="5">
        <v>6</v>
      </c>
      <c r="L574" s="6">
        <v>3227.42</v>
      </c>
      <c r="M574" s="6">
        <v>22155.07</v>
      </c>
      <c r="N574" s="5">
        <v>33</v>
      </c>
      <c r="O574" s="6">
        <v>34.56</v>
      </c>
      <c r="P574" s="5">
        <v>7</v>
      </c>
      <c r="Q574" s="6">
        <v>9500</v>
      </c>
      <c r="R574" s="6">
        <v>1542.5</v>
      </c>
      <c r="S574" s="6">
        <v>0</v>
      </c>
      <c r="T574" s="6">
        <v>0</v>
      </c>
      <c r="U574" s="5">
        <v>614</v>
      </c>
      <c r="V574" s="5">
        <v>0</v>
      </c>
    </row>
    <row r="575" spans="1:22" x14ac:dyDescent="0.25">
      <c r="A575" s="4" t="s">
        <v>644</v>
      </c>
      <c r="B575" s="5">
        <v>48</v>
      </c>
      <c r="C575" s="4" t="s">
        <v>33</v>
      </c>
      <c r="D575" s="4" t="s">
        <v>34</v>
      </c>
      <c r="E575" s="4" t="s">
        <v>25</v>
      </c>
      <c r="F575" s="4" t="s">
        <v>30</v>
      </c>
      <c r="G575" s="6">
        <v>30400</v>
      </c>
      <c r="H575" s="5">
        <v>16</v>
      </c>
      <c r="I575" s="7">
        <v>40404</v>
      </c>
      <c r="J575" s="4" t="s">
        <v>27</v>
      </c>
      <c r="K575" s="5">
        <v>1</v>
      </c>
      <c r="L575" s="6">
        <v>15191.2</v>
      </c>
      <c r="M575" s="6">
        <v>0</v>
      </c>
      <c r="N575" s="5">
        <v>31</v>
      </c>
      <c r="O575" s="6">
        <v>34.340000000000003</v>
      </c>
      <c r="P575" s="5">
        <v>9</v>
      </c>
      <c r="Q575" s="6">
        <v>0</v>
      </c>
      <c r="R575" s="6">
        <v>0</v>
      </c>
      <c r="S575" s="6">
        <v>106000</v>
      </c>
      <c r="T575" s="6">
        <v>720</v>
      </c>
      <c r="U575" s="5">
        <v>653</v>
      </c>
      <c r="V575" s="5">
        <v>1</v>
      </c>
    </row>
    <row r="576" spans="1:22" x14ac:dyDescent="0.25">
      <c r="A576" s="4" t="s">
        <v>645</v>
      </c>
      <c r="B576" s="5">
        <v>61</v>
      </c>
      <c r="C576" s="4" t="s">
        <v>33</v>
      </c>
      <c r="D576" s="4" t="s">
        <v>29</v>
      </c>
      <c r="E576" s="4" t="s">
        <v>63</v>
      </c>
      <c r="F576" s="4" t="s">
        <v>30</v>
      </c>
      <c r="G576" s="6">
        <v>29900</v>
      </c>
      <c r="H576" s="5">
        <v>8</v>
      </c>
      <c r="I576" s="7">
        <v>43101</v>
      </c>
      <c r="J576" s="4" t="s">
        <v>27</v>
      </c>
      <c r="K576" s="5">
        <v>1</v>
      </c>
      <c r="L576" s="6">
        <v>2183.86</v>
      </c>
      <c r="M576" s="6">
        <v>11937.08</v>
      </c>
      <c r="N576" s="5">
        <v>22</v>
      </c>
      <c r="O576" s="6">
        <v>35.299999999999997</v>
      </c>
      <c r="P576" s="5">
        <v>4</v>
      </c>
      <c r="Q576" s="6">
        <v>7000</v>
      </c>
      <c r="R576" s="6">
        <v>2012.88</v>
      </c>
      <c r="S576" s="6">
        <v>0</v>
      </c>
      <c r="T576" s="6">
        <v>0</v>
      </c>
      <c r="U576" s="5">
        <v>567</v>
      </c>
      <c r="V576" s="5">
        <v>0</v>
      </c>
    </row>
    <row r="577" spans="1:22" x14ac:dyDescent="0.25">
      <c r="A577" s="4" t="s">
        <v>646</v>
      </c>
      <c r="B577" s="5">
        <v>57</v>
      </c>
      <c r="C577" s="4" t="s">
        <v>23</v>
      </c>
      <c r="D577" s="4" t="s">
        <v>34</v>
      </c>
      <c r="E577" s="4" t="s">
        <v>25</v>
      </c>
      <c r="F577" s="4" t="s">
        <v>48</v>
      </c>
      <c r="G577" s="6">
        <v>27100</v>
      </c>
      <c r="H577" s="5">
        <v>12</v>
      </c>
      <c r="I577" s="7">
        <v>41682</v>
      </c>
      <c r="J577" s="4" t="s">
        <v>31</v>
      </c>
      <c r="K577" s="5">
        <v>2</v>
      </c>
      <c r="L577" s="6">
        <v>3286.46</v>
      </c>
      <c r="M577" s="6">
        <v>28221.5</v>
      </c>
      <c r="N577" s="5">
        <v>24</v>
      </c>
      <c r="O577" s="6">
        <v>100.71</v>
      </c>
      <c r="P577" s="5">
        <v>3</v>
      </c>
      <c r="Q577" s="6">
        <v>3000</v>
      </c>
      <c r="R577" s="6">
        <v>338.25</v>
      </c>
      <c r="S577" s="6">
        <v>0</v>
      </c>
      <c r="T577" s="6">
        <v>0</v>
      </c>
      <c r="U577" s="5">
        <v>549</v>
      </c>
      <c r="V577" s="5">
        <v>0</v>
      </c>
    </row>
    <row r="578" spans="1:22" x14ac:dyDescent="0.25">
      <c r="A578" s="4" t="s">
        <v>647</v>
      </c>
      <c r="B578" s="5">
        <v>50</v>
      </c>
      <c r="C578" s="4" t="s">
        <v>33</v>
      </c>
      <c r="D578" s="4" t="s">
        <v>59</v>
      </c>
      <c r="E578" s="4" t="s">
        <v>35</v>
      </c>
      <c r="F578" s="4" t="s">
        <v>30</v>
      </c>
      <c r="G578" s="6">
        <v>67100</v>
      </c>
      <c r="H578" s="5">
        <v>7</v>
      </c>
      <c r="I578" s="7">
        <v>43490</v>
      </c>
      <c r="J578" s="4" t="s">
        <v>27</v>
      </c>
      <c r="K578" s="5">
        <v>4</v>
      </c>
      <c r="L578" s="6">
        <v>11452.74</v>
      </c>
      <c r="M578" s="6">
        <v>39217</v>
      </c>
      <c r="N578" s="5">
        <v>50</v>
      </c>
      <c r="O578" s="6">
        <v>29.84</v>
      </c>
      <c r="P578" s="5">
        <v>3</v>
      </c>
      <c r="Q578" s="6">
        <v>7500</v>
      </c>
      <c r="R578" s="6">
        <v>593.94000000000005</v>
      </c>
      <c r="S578" s="6">
        <v>308000</v>
      </c>
      <c r="T578" s="6">
        <v>2069</v>
      </c>
      <c r="U578" s="5">
        <v>713</v>
      </c>
      <c r="V578" s="5">
        <v>0</v>
      </c>
    </row>
    <row r="579" spans="1:22" x14ac:dyDescent="0.25">
      <c r="A579" s="4" t="s">
        <v>648</v>
      </c>
      <c r="B579" s="5">
        <v>64</v>
      </c>
      <c r="C579" s="4" t="s">
        <v>33</v>
      </c>
      <c r="D579" s="4" t="s">
        <v>34</v>
      </c>
      <c r="E579" s="4" t="s">
        <v>42</v>
      </c>
      <c r="F579" s="4" t="s">
        <v>30</v>
      </c>
      <c r="G579" s="6">
        <v>79800</v>
      </c>
      <c r="H579" s="5">
        <v>8</v>
      </c>
      <c r="I579" s="7">
        <v>43182</v>
      </c>
      <c r="J579" s="4" t="s">
        <v>39</v>
      </c>
      <c r="K579" s="5">
        <v>1</v>
      </c>
      <c r="L579" s="6">
        <v>16065.59</v>
      </c>
      <c r="M579" s="6">
        <v>38419.15</v>
      </c>
      <c r="N579" s="5">
        <v>44</v>
      </c>
      <c r="O579" s="6">
        <v>65.819999999999993</v>
      </c>
      <c r="P579" s="5">
        <v>4</v>
      </c>
      <c r="Q579" s="6">
        <v>10000</v>
      </c>
      <c r="R579" s="6">
        <v>687.36</v>
      </c>
      <c r="S579" s="6">
        <v>0</v>
      </c>
      <c r="T579" s="6">
        <v>0</v>
      </c>
      <c r="U579" s="5">
        <v>748</v>
      </c>
      <c r="V579" s="5">
        <v>1</v>
      </c>
    </row>
    <row r="580" spans="1:22" x14ac:dyDescent="0.25">
      <c r="A580" s="4" t="s">
        <v>649</v>
      </c>
      <c r="B580" s="5">
        <v>57</v>
      </c>
      <c r="C580" s="4" t="s">
        <v>33</v>
      </c>
      <c r="D580" s="4" t="s">
        <v>62</v>
      </c>
      <c r="E580" s="4" t="s">
        <v>35</v>
      </c>
      <c r="F580" s="4" t="s">
        <v>30</v>
      </c>
      <c r="G580" s="6">
        <v>51300</v>
      </c>
      <c r="H580" s="5">
        <v>11</v>
      </c>
      <c r="I580" s="7">
        <v>42027</v>
      </c>
      <c r="J580" s="4" t="s">
        <v>39</v>
      </c>
      <c r="K580" s="5">
        <v>1</v>
      </c>
      <c r="L580" s="6">
        <v>-868.76</v>
      </c>
      <c r="M580" s="6">
        <v>43554.63</v>
      </c>
      <c r="N580" s="5">
        <v>25</v>
      </c>
      <c r="O580" s="6">
        <v>93.55</v>
      </c>
      <c r="P580" s="5">
        <v>5</v>
      </c>
      <c r="Q580" s="6">
        <v>0</v>
      </c>
      <c r="R580" s="6">
        <v>0</v>
      </c>
      <c r="S580" s="6">
        <v>0</v>
      </c>
      <c r="T580" s="6">
        <v>0</v>
      </c>
      <c r="U580" s="5">
        <v>742</v>
      </c>
      <c r="V580" s="5">
        <v>0</v>
      </c>
    </row>
    <row r="581" spans="1:22" x14ac:dyDescent="0.25">
      <c r="A581" s="4" t="s">
        <v>650</v>
      </c>
      <c r="B581" s="5">
        <v>59</v>
      </c>
      <c r="C581" s="4" t="s">
        <v>33</v>
      </c>
      <c r="D581" s="4" t="s">
        <v>57</v>
      </c>
      <c r="E581" s="4" t="s">
        <v>45</v>
      </c>
      <c r="F581" s="4" t="s">
        <v>26</v>
      </c>
      <c r="G581" s="6">
        <v>28200</v>
      </c>
      <c r="H581" s="5">
        <v>16</v>
      </c>
      <c r="I581" s="7">
        <v>40305</v>
      </c>
      <c r="J581" s="4" t="s">
        <v>39</v>
      </c>
      <c r="K581" s="5">
        <v>2</v>
      </c>
      <c r="L581" s="6">
        <v>4913.57</v>
      </c>
      <c r="M581" s="6">
        <v>23069.55</v>
      </c>
      <c r="N581" s="5">
        <v>19</v>
      </c>
      <c r="O581" s="6">
        <v>28.62</v>
      </c>
      <c r="P581" s="5">
        <v>5</v>
      </c>
      <c r="Q581" s="6">
        <v>4000</v>
      </c>
      <c r="R581" s="6">
        <v>558.99</v>
      </c>
      <c r="S581" s="6">
        <v>0</v>
      </c>
      <c r="T581" s="6">
        <v>920</v>
      </c>
      <c r="U581" s="5">
        <v>626</v>
      </c>
      <c r="V581" s="5">
        <v>0</v>
      </c>
    </row>
    <row r="582" spans="1:22" x14ac:dyDescent="0.25">
      <c r="A582" s="4" t="s">
        <v>651</v>
      </c>
      <c r="B582" s="5">
        <v>43</v>
      </c>
      <c r="C582" s="4" t="s">
        <v>23</v>
      </c>
      <c r="D582" s="4" t="s">
        <v>29</v>
      </c>
      <c r="E582" s="4" t="s">
        <v>25</v>
      </c>
      <c r="F582" s="4" t="s">
        <v>30</v>
      </c>
      <c r="G582" s="6">
        <v>27200</v>
      </c>
      <c r="H582" s="5">
        <v>10</v>
      </c>
      <c r="I582" s="7">
        <v>42624</v>
      </c>
      <c r="J582" s="4" t="s">
        <v>27</v>
      </c>
      <c r="K582" s="5">
        <v>4</v>
      </c>
      <c r="L582" s="6">
        <v>1437.66</v>
      </c>
      <c r="M582" s="6">
        <v>19307.810000000001</v>
      </c>
      <c r="N582" s="5">
        <v>39</v>
      </c>
      <c r="O582" s="6">
        <v>95.12</v>
      </c>
      <c r="P582" s="5">
        <v>5</v>
      </c>
      <c r="Q582" s="6">
        <v>0</v>
      </c>
      <c r="R582" s="6">
        <v>0</v>
      </c>
      <c r="S582" s="6">
        <v>77000</v>
      </c>
      <c r="T582" s="6">
        <v>440</v>
      </c>
      <c r="U582" s="5">
        <v>547</v>
      </c>
      <c r="V582" s="5">
        <v>1</v>
      </c>
    </row>
    <row r="583" spans="1:22" x14ac:dyDescent="0.25">
      <c r="A583" s="4" t="s">
        <v>652</v>
      </c>
      <c r="B583" s="5">
        <v>56</v>
      </c>
      <c r="C583" s="4" t="s">
        <v>653</v>
      </c>
      <c r="D583" s="4" t="s">
        <v>24</v>
      </c>
      <c r="E583" s="4" t="s">
        <v>35</v>
      </c>
      <c r="F583" s="4" t="s">
        <v>30</v>
      </c>
      <c r="G583" s="6">
        <v>50200</v>
      </c>
      <c r="H583" s="5">
        <v>17</v>
      </c>
      <c r="I583" s="7">
        <v>40026</v>
      </c>
      <c r="J583" s="4" t="s">
        <v>39</v>
      </c>
      <c r="K583" s="5">
        <v>1</v>
      </c>
      <c r="L583" s="6">
        <v>4821.46</v>
      </c>
      <c r="M583" s="6">
        <v>51883.24</v>
      </c>
      <c r="N583" s="5">
        <v>27</v>
      </c>
      <c r="O583" s="6">
        <v>66.81</v>
      </c>
      <c r="P583" s="5">
        <v>6</v>
      </c>
      <c r="Q583" s="6">
        <v>5000</v>
      </c>
      <c r="R583" s="6">
        <v>2099.75</v>
      </c>
      <c r="S583" s="6">
        <v>233000</v>
      </c>
      <c r="T583" s="6">
        <v>1167</v>
      </c>
      <c r="U583" s="5">
        <v>682</v>
      </c>
      <c r="V583" s="5">
        <v>1</v>
      </c>
    </row>
    <row r="584" spans="1:22" x14ac:dyDescent="0.25">
      <c r="A584" s="4" t="s">
        <v>654</v>
      </c>
      <c r="B584" s="5">
        <v>38</v>
      </c>
      <c r="C584" s="4" t="s">
        <v>23</v>
      </c>
      <c r="D584" s="4" t="s">
        <v>44</v>
      </c>
      <c r="E584" s="4" t="s">
        <v>35</v>
      </c>
      <c r="F584" s="4" t="s">
        <v>30</v>
      </c>
      <c r="G584" s="6">
        <v>56900</v>
      </c>
      <c r="H584" s="5">
        <v>13</v>
      </c>
      <c r="I584" s="7">
        <v>41213</v>
      </c>
      <c r="J584" s="4" t="s">
        <v>39</v>
      </c>
      <c r="K584" s="5">
        <v>2</v>
      </c>
      <c r="L584" s="6">
        <v>7635.05</v>
      </c>
      <c r="M584" s="6">
        <v>0</v>
      </c>
      <c r="N584" s="5">
        <v>20</v>
      </c>
      <c r="O584" s="6">
        <v>51.53</v>
      </c>
      <c r="P584" s="5">
        <v>5</v>
      </c>
      <c r="Q584" s="6">
        <v>11000</v>
      </c>
      <c r="R584" s="6">
        <v>3671.68</v>
      </c>
      <c r="S584" s="6">
        <v>0</v>
      </c>
      <c r="T584" s="6">
        <v>0</v>
      </c>
      <c r="U584" s="5">
        <v>675</v>
      </c>
      <c r="V584" s="5">
        <v>0</v>
      </c>
    </row>
    <row r="585" spans="1:22" x14ac:dyDescent="0.25">
      <c r="A585" s="4" t="s">
        <v>655</v>
      </c>
      <c r="B585" s="5">
        <v>48</v>
      </c>
      <c r="C585" s="4" t="s">
        <v>23</v>
      </c>
      <c r="D585" s="4" t="s">
        <v>34</v>
      </c>
      <c r="E585" s="4" t="s">
        <v>25</v>
      </c>
      <c r="F585" s="4" t="s">
        <v>30</v>
      </c>
      <c r="G585" s="6">
        <v>26200</v>
      </c>
      <c r="H585" s="5">
        <v>11</v>
      </c>
      <c r="I585" s="7">
        <v>42174</v>
      </c>
      <c r="J585" s="4" t="s">
        <v>31</v>
      </c>
      <c r="K585" s="5">
        <v>1</v>
      </c>
      <c r="L585" s="6">
        <v>1646.62</v>
      </c>
      <c r="M585" s="6">
        <v>0</v>
      </c>
      <c r="N585" s="5">
        <v>30</v>
      </c>
      <c r="O585" s="6">
        <v>41.73</v>
      </c>
      <c r="P585" s="5">
        <v>1</v>
      </c>
      <c r="Q585" s="6">
        <v>0</v>
      </c>
      <c r="R585" s="6">
        <v>0</v>
      </c>
      <c r="S585" s="6">
        <v>0</v>
      </c>
      <c r="T585" s="6">
        <v>0</v>
      </c>
      <c r="U585" s="5">
        <v>573</v>
      </c>
      <c r="V585" s="5">
        <v>0</v>
      </c>
    </row>
    <row r="586" spans="1:22" x14ac:dyDescent="0.25">
      <c r="A586" s="4" t="s">
        <v>656</v>
      </c>
      <c r="B586" s="5">
        <v>51</v>
      </c>
      <c r="C586" s="4" t="s">
        <v>33</v>
      </c>
      <c r="D586" s="4" t="s">
        <v>29</v>
      </c>
      <c r="E586" s="4" t="s">
        <v>25</v>
      </c>
      <c r="F586" s="4" t="s">
        <v>30</v>
      </c>
      <c r="G586" s="6">
        <v>40700</v>
      </c>
      <c r="H586" s="5">
        <v>13</v>
      </c>
      <c r="I586" s="7">
        <v>41452</v>
      </c>
      <c r="J586" s="4" t="s">
        <v>49</v>
      </c>
      <c r="K586" s="5">
        <v>1</v>
      </c>
      <c r="L586" s="6">
        <v>4232.22</v>
      </c>
      <c r="M586" s="6">
        <v>15761.38</v>
      </c>
      <c r="N586" s="5">
        <v>31</v>
      </c>
      <c r="O586" s="6">
        <v>51.2</v>
      </c>
      <c r="P586" s="5">
        <v>2</v>
      </c>
      <c r="Q586" s="6">
        <v>7000</v>
      </c>
      <c r="R586" s="6">
        <v>196.06</v>
      </c>
      <c r="S586" s="6">
        <v>162000</v>
      </c>
      <c r="T586" s="6">
        <v>1091</v>
      </c>
      <c r="U586" s="5">
        <v>735</v>
      </c>
      <c r="V586" s="5">
        <v>0</v>
      </c>
    </row>
    <row r="587" spans="1:22" x14ac:dyDescent="0.25">
      <c r="A587" s="4" t="s">
        <v>657</v>
      </c>
      <c r="B587" s="5">
        <v>80</v>
      </c>
      <c r="C587" s="4" t="s">
        <v>23</v>
      </c>
      <c r="D587" s="4" t="s">
        <v>37</v>
      </c>
      <c r="E587" s="4" t="s">
        <v>95</v>
      </c>
      <c r="F587" s="4" t="s">
        <v>30</v>
      </c>
      <c r="G587" s="6">
        <v>33000</v>
      </c>
      <c r="H587" s="5">
        <v>16</v>
      </c>
      <c r="I587" s="7">
        <v>40193</v>
      </c>
      <c r="J587" s="4" t="s">
        <v>31</v>
      </c>
      <c r="K587" s="5">
        <v>1</v>
      </c>
      <c r="L587" s="6">
        <v>5637.17</v>
      </c>
      <c r="M587" s="6">
        <v>0</v>
      </c>
      <c r="N587" s="5">
        <v>28</v>
      </c>
      <c r="O587" s="6">
        <v>27.13</v>
      </c>
      <c r="P587" s="5">
        <v>2</v>
      </c>
      <c r="Q587" s="6">
        <v>7000</v>
      </c>
      <c r="R587" s="6">
        <v>36.29</v>
      </c>
      <c r="S587" s="6">
        <v>0</v>
      </c>
      <c r="T587" s="6">
        <v>0</v>
      </c>
      <c r="U587" s="5">
        <v>699</v>
      </c>
      <c r="V587" s="5">
        <v>0</v>
      </c>
    </row>
    <row r="588" spans="1:22" x14ac:dyDescent="0.25">
      <c r="A588" s="4" t="s">
        <v>658</v>
      </c>
      <c r="B588" s="5">
        <v>29</v>
      </c>
      <c r="C588" s="4" t="s">
        <v>33</v>
      </c>
      <c r="D588" s="4" t="s">
        <v>98</v>
      </c>
      <c r="E588" s="4" t="s">
        <v>25</v>
      </c>
      <c r="F588" s="4" t="s">
        <v>26</v>
      </c>
      <c r="G588" s="6">
        <v>31900</v>
      </c>
      <c r="H588" s="5">
        <v>0</v>
      </c>
      <c r="I588" s="7">
        <v>46218</v>
      </c>
      <c r="J588" s="4" t="s">
        <v>27</v>
      </c>
      <c r="K588" s="5">
        <v>1</v>
      </c>
      <c r="L588" s="6">
        <v>3293.19</v>
      </c>
      <c r="M588" s="6">
        <v>0</v>
      </c>
      <c r="N588" s="5">
        <v>33</v>
      </c>
      <c r="O588" s="6">
        <v>57.15</v>
      </c>
      <c r="P588" s="5">
        <v>5</v>
      </c>
      <c r="Q588" s="6">
        <v>7000</v>
      </c>
      <c r="R588" s="6">
        <v>1705.27</v>
      </c>
      <c r="S588" s="6">
        <v>0</v>
      </c>
      <c r="T588" s="6">
        <v>0</v>
      </c>
      <c r="U588" s="5">
        <v>615</v>
      </c>
      <c r="V588" s="5">
        <v>1</v>
      </c>
    </row>
    <row r="589" spans="1:22" x14ac:dyDescent="0.25">
      <c r="A589" s="4" t="s">
        <v>659</v>
      </c>
      <c r="B589" s="5">
        <v>52</v>
      </c>
      <c r="C589" s="4" t="s">
        <v>33</v>
      </c>
      <c r="D589" s="4" t="s">
        <v>34</v>
      </c>
      <c r="E589" s="4" t="s">
        <v>63</v>
      </c>
      <c r="F589" s="4" t="s">
        <v>30</v>
      </c>
      <c r="G589" s="6">
        <v>33400</v>
      </c>
      <c r="H589" s="5">
        <v>24</v>
      </c>
      <c r="I589" s="7">
        <v>37421</v>
      </c>
      <c r="J589" s="4" t="s">
        <v>27</v>
      </c>
      <c r="K589" s="5">
        <v>3</v>
      </c>
      <c r="L589" s="6">
        <v>5152.16</v>
      </c>
      <c r="M589" s="6">
        <v>0</v>
      </c>
      <c r="N589" s="5">
        <v>33</v>
      </c>
      <c r="O589" s="6">
        <v>71.14</v>
      </c>
      <c r="P589" s="5">
        <v>3</v>
      </c>
      <c r="Q589" s="6">
        <v>3500</v>
      </c>
      <c r="R589" s="6">
        <v>443.41</v>
      </c>
      <c r="S589" s="6">
        <v>148000</v>
      </c>
      <c r="T589" s="6">
        <v>1011</v>
      </c>
      <c r="U589" s="5">
        <v>643</v>
      </c>
      <c r="V589" s="5">
        <v>0</v>
      </c>
    </row>
    <row r="590" spans="1:22" x14ac:dyDescent="0.25">
      <c r="A590" s="4" t="s">
        <v>660</v>
      </c>
      <c r="B590" s="5">
        <v>57</v>
      </c>
      <c r="C590" s="4" t="s">
        <v>23</v>
      </c>
      <c r="D590" s="4" t="s">
        <v>128</v>
      </c>
      <c r="E590" s="4" t="s">
        <v>35</v>
      </c>
      <c r="F590" s="4" t="s">
        <v>30</v>
      </c>
      <c r="G590" s="6">
        <v>43700</v>
      </c>
      <c r="H590" s="5">
        <v>8</v>
      </c>
      <c r="I590" s="7">
        <v>43348</v>
      </c>
      <c r="J590" s="4" t="s">
        <v>39</v>
      </c>
      <c r="K590" s="5">
        <v>1</v>
      </c>
      <c r="L590" s="6">
        <v>4837.4799999999996</v>
      </c>
      <c r="M590" s="6">
        <v>0</v>
      </c>
      <c r="N590" s="5">
        <v>27</v>
      </c>
      <c r="O590" s="6">
        <v>77.239999999999995</v>
      </c>
      <c r="P590" s="5">
        <v>5</v>
      </c>
      <c r="Q590" s="6">
        <v>10500</v>
      </c>
      <c r="R590" s="6">
        <v>2266.9899999999998</v>
      </c>
      <c r="S590" s="6">
        <v>0</v>
      </c>
      <c r="T590" s="6">
        <v>0</v>
      </c>
      <c r="U590" s="5">
        <v>638</v>
      </c>
      <c r="V590" s="5">
        <v>0</v>
      </c>
    </row>
    <row r="591" spans="1:22" x14ac:dyDescent="0.25">
      <c r="A591" s="4" t="s">
        <v>661</v>
      </c>
      <c r="B591" s="5">
        <v>44</v>
      </c>
      <c r="C591" s="4" t="s">
        <v>23</v>
      </c>
      <c r="D591" s="4" t="s">
        <v>57</v>
      </c>
      <c r="E591" s="4" t="s">
        <v>42</v>
      </c>
      <c r="F591" s="4" t="s">
        <v>30</v>
      </c>
      <c r="G591" s="6">
        <v>85800</v>
      </c>
      <c r="H591" s="5">
        <v>16</v>
      </c>
      <c r="I591" s="7">
        <v>40327</v>
      </c>
      <c r="J591" s="4" t="s">
        <v>31</v>
      </c>
      <c r="K591" s="5">
        <v>2</v>
      </c>
      <c r="L591" s="6">
        <v>5043.26</v>
      </c>
      <c r="M591" s="6">
        <v>94659.01</v>
      </c>
      <c r="N591" s="5">
        <v>52</v>
      </c>
      <c r="O591" s="6">
        <v>111.4</v>
      </c>
      <c r="P591" s="5">
        <v>1</v>
      </c>
      <c r="Q591" s="6">
        <v>0</v>
      </c>
      <c r="R591" s="6">
        <v>0</v>
      </c>
      <c r="S591" s="6">
        <v>0</v>
      </c>
      <c r="T591" s="6">
        <v>0</v>
      </c>
      <c r="U591" s="5">
        <v>776</v>
      </c>
      <c r="V591" s="5">
        <v>0</v>
      </c>
    </row>
    <row r="592" spans="1:22" x14ac:dyDescent="0.25">
      <c r="A592" s="4" t="s">
        <v>662</v>
      </c>
      <c r="B592" s="5">
        <v>63</v>
      </c>
      <c r="C592" s="4" t="s">
        <v>33</v>
      </c>
      <c r="D592" s="4" t="s">
        <v>62</v>
      </c>
      <c r="E592" s="4" t="s">
        <v>63</v>
      </c>
      <c r="F592" s="4" t="s">
        <v>30</v>
      </c>
      <c r="G592" s="6">
        <v>18500</v>
      </c>
      <c r="H592" s="5">
        <v>27</v>
      </c>
      <c r="I592" s="7">
        <v>36160</v>
      </c>
      <c r="J592" s="4" t="s">
        <v>49</v>
      </c>
      <c r="K592" s="5">
        <v>5</v>
      </c>
      <c r="L592" s="6">
        <v>1236.42</v>
      </c>
      <c r="M592" s="6">
        <v>37053.300000000003</v>
      </c>
      <c r="N592" s="5">
        <v>22</v>
      </c>
      <c r="O592" s="6">
        <v>40.25</v>
      </c>
      <c r="P592" s="5">
        <v>1</v>
      </c>
      <c r="Q592" s="6">
        <v>3000</v>
      </c>
      <c r="R592" s="6">
        <v>1405.23</v>
      </c>
      <c r="S592" s="6">
        <v>0</v>
      </c>
      <c r="T592" s="6">
        <v>0</v>
      </c>
      <c r="U592" s="5">
        <v>635</v>
      </c>
      <c r="V592" s="5">
        <v>1</v>
      </c>
    </row>
    <row r="593" spans="1:22" x14ac:dyDescent="0.25">
      <c r="A593" s="4" t="s">
        <v>663</v>
      </c>
      <c r="B593" s="5">
        <v>68</v>
      </c>
      <c r="C593" s="4" t="s">
        <v>23</v>
      </c>
      <c r="D593" s="4" t="s">
        <v>59</v>
      </c>
      <c r="E593" s="4" t="s">
        <v>95</v>
      </c>
      <c r="F593" s="4" t="s">
        <v>30</v>
      </c>
      <c r="G593" s="6">
        <v>27300</v>
      </c>
      <c r="H593" s="5">
        <v>10</v>
      </c>
      <c r="I593" s="7">
        <v>42371</v>
      </c>
      <c r="J593" s="4" t="s">
        <v>39</v>
      </c>
      <c r="K593" s="5">
        <v>2</v>
      </c>
      <c r="L593" s="6">
        <v>1607.27</v>
      </c>
      <c r="M593" s="6">
        <v>24085.64</v>
      </c>
      <c r="N593" s="5">
        <v>28</v>
      </c>
      <c r="O593" s="6">
        <v>33.21</v>
      </c>
      <c r="P593" s="5">
        <v>3</v>
      </c>
      <c r="Q593" s="6">
        <v>3000</v>
      </c>
      <c r="R593" s="6">
        <v>1601.09</v>
      </c>
      <c r="S593" s="6">
        <v>0</v>
      </c>
      <c r="T593" s="6">
        <v>0</v>
      </c>
      <c r="U593" s="5">
        <v>667</v>
      </c>
      <c r="V593" s="5">
        <v>0</v>
      </c>
    </row>
    <row r="594" spans="1:22" x14ac:dyDescent="0.25">
      <c r="A594" s="4" t="s">
        <v>664</v>
      </c>
      <c r="B594" s="5">
        <v>44</v>
      </c>
      <c r="C594" s="4" t="s">
        <v>33</v>
      </c>
      <c r="D594" s="4" t="s">
        <v>34</v>
      </c>
      <c r="E594" s="4" t="s">
        <v>35</v>
      </c>
      <c r="F594" s="4" t="s">
        <v>48</v>
      </c>
      <c r="G594" s="6">
        <v>49300</v>
      </c>
      <c r="H594" s="5">
        <v>7</v>
      </c>
      <c r="I594" s="7">
        <v>43391</v>
      </c>
      <c r="J594" s="4" t="s">
        <v>31</v>
      </c>
      <c r="K594" s="5">
        <v>4</v>
      </c>
      <c r="L594" s="6">
        <v>4243.5600000000004</v>
      </c>
      <c r="M594" s="6">
        <v>29183.53</v>
      </c>
      <c r="N594" s="5">
        <v>34</v>
      </c>
      <c r="O594" s="6">
        <v>81.11</v>
      </c>
      <c r="P594" s="5">
        <v>2</v>
      </c>
      <c r="Q594" s="6">
        <v>8000</v>
      </c>
      <c r="R594" s="6">
        <v>2305.41</v>
      </c>
      <c r="S594" s="6">
        <v>0</v>
      </c>
      <c r="T594" s="6">
        <v>0</v>
      </c>
      <c r="U594" s="5">
        <v>715</v>
      </c>
      <c r="V594" s="5">
        <v>0</v>
      </c>
    </row>
    <row r="595" spans="1:22" x14ac:dyDescent="0.25">
      <c r="A595" s="4" t="s">
        <v>665</v>
      </c>
      <c r="B595" s="5">
        <v>48</v>
      </c>
      <c r="C595" s="4" t="s">
        <v>33</v>
      </c>
      <c r="D595" s="4" t="s">
        <v>29</v>
      </c>
      <c r="E595" s="4" t="s">
        <v>25</v>
      </c>
      <c r="F595" s="4" t="s">
        <v>26</v>
      </c>
      <c r="G595" s="6">
        <v>32000</v>
      </c>
      <c r="H595" s="5">
        <v>16</v>
      </c>
      <c r="I595" s="7">
        <v>40203</v>
      </c>
      <c r="J595" s="4" t="s">
        <v>27</v>
      </c>
      <c r="K595" s="5">
        <v>2</v>
      </c>
      <c r="L595" s="6">
        <v>1144.92</v>
      </c>
      <c r="M595" s="6">
        <v>0</v>
      </c>
      <c r="N595" s="5">
        <v>25</v>
      </c>
      <c r="O595" s="6">
        <v>84.25</v>
      </c>
      <c r="P595" s="5">
        <v>4</v>
      </c>
      <c r="Q595" s="6">
        <v>7500</v>
      </c>
      <c r="R595" s="6">
        <v>1435.47</v>
      </c>
      <c r="S595" s="6">
        <v>83000</v>
      </c>
      <c r="T595" s="6">
        <v>594</v>
      </c>
      <c r="U595" s="5">
        <v>684</v>
      </c>
      <c r="V595" s="5">
        <v>0</v>
      </c>
    </row>
    <row r="596" spans="1:22" x14ac:dyDescent="0.25">
      <c r="A596" s="4" t="s">
        <v>666</v>
      </c>
      <c r="B596" s="5">
        <v>39</v>
      </c>
      <c r="C596" s="4" t="s">
        <v>23</v>
      </c>
      <c r="D596" s="4" t="s">
        <v>37</v>
      </c>
      <c r="E596" s="4" t="s">
        <v>45</v>
      </c>
      <c r="F596" s="4" t="s">
        <v>48</v>
      </c>
      <c r="G596" s="6">
        <v>22200</v>
      </c>
      <c r="H596" s="5">
        <v>5</v>
      </c>
      <c r="I596" s="7">
        <v>44429</v>
      </c>
      <c r="J596" s="4" t="s">
        <v>39</v>
      </c>
      <c r="K596" s="5">
        <v>3</v>
      </c>
      <c r="L596" s="6">
        <v>5535.91</v>
      </c>
      <c r="M596" s="6">
        <v>13279.37</v>
      </c>
      <c r="N596" s="5">
        <v>16</v>
      </c>
      <c r="O596" s="6">
        <v>40.19</v>
      </c>
      <c r="P596" s="5">
        <v>2</v>
      </c>
      <c r="Q596" s="6">
        <v>3500</v>
      </c>
      <c r="R596" s="6">
        <v>1927.63</v>
      </c>
      <c r="S596" s="6">
        <v>53000</v>
      </c>
      <c r="T596" s="6">
        <v>383</v>
      </c>
      <c r="U596" s="5">
        <v>580</v>
      </c>
      <c r="V596" s="5">
        <v>0</v>
      </c>
    </row>
    <row r="597" spans="1:22" x14ac:dyDescent="0.25">
      <c r="A597" s="4" t="s">
        <v>667</v>
      </c>
      <c r="B597" s="5">
        <v>55</v>
      </c>
      <c r="C597" s="4" t="s">
        <v>23</v>
      </c>
      <c r="D597" s="4" t="s">
        <v>37</v>
      </c>
      <c r="E597" s="4" t="s">
        <v>25</v>
      </c>
      <c r="F597" s="4" t="s">
        <v>30</v>
      </c>
      <c r="G597" s="6">
        <v>22400</v>
      </c>
      <c r="H597" s="5">
        <v>17</v>
      </c>
      <c r="I597" s="7">
        <v>39849</v>
      </c>
      <c r="J597" s="4" t="s">
        <v>39</v>
      </c>
      <c r="K597" s="5">
        <v>2</v>
      </c>
      <c r="L597" s="6">
        <v>2690.57</v>
      </c>
      <c r="M597" s="6">
        <v>22180.74</v>
      </c>
      <c r="N597" s="5">
        <v>18</v>
      </c>
      <c r="O597" s="6">
        <v>60.1</v>
      </c>
      <c r="P597" s="5">
        <v>7</v>
      </c>
      <c r="Q597" s="6">
        <v>5000</v>
      </c>
      <c r="R597" s="6">
        <v>2241.09</v>
      </c>
      <c r="S597" s="6">
        <v>0</v>
      </c>
      <c r="T597" s="6">
        <v>0</v>
      </c>
      <c r="U597" s="5">
        <v>642</v>
      </c>
      <c r="V597" s="5">
        <v>0</v>
      </c>
    </row>
    <row r="598" spans="1:22" x14ac:dyDescent="0.25">
      <c r="A598" s="4" t="s">
        <v>668</v>
      </c>
      <c r="B598" s="5">
        <v>61</v>
      </c>
      <c r="C598" s="4" t="s">
        <v>33</v>
      </c>
      <c r="D598" s="4" t="s">
        <v>134</v>
      </c>
      <c r="E598" s="4" t="s">
        <v>45</v>
      </c>
      <c r="F598" s="4" t="s">
        <v>30</v>
      </c>
      <c r="G598" s="6">
        <v>22500</v>
      </c>
      <c r="H598" s="5">
        <v>20</v>
      </c>
      <c r="I598" s="7">
        <v>38876</v>
      </c>
      <c r="J598" s="4" t="s">
        <v>39</v>
      </c>
      <c r="K598" s="5">
        <v>1</v>
      </c>
      <c r="L598" s="6">
        <v>1575.98</v>
      </c>
      <c r="M598" s="6">
        <v>68837.350000000006</v>
      </c>
      <c r="N598" s="5">
        <v>9</v>
      </c>
      <c r="O598" s="6">
        <v>47.84</v>
      </c>
      <c r="P598" s="5">
        <v>7</v>
      </c>
      <c r="Q598" s="6">
        <v>4000</v>
      </c>
      <c r="R598" s="6">
        <v>1402.14</v>
      </c>
      <c r="S598" s="6">
        <v>0</v>
      </c>
      <c r="T598" s="6">
        <v>0</v>
      </c>
      <c r="U598" s="5">
        <v>697</v>
      </c>
      <c r="V598" s="5">
        <v>0</v>
      </c>
    </row>
    <row r="599" spans="1:22" x14ac:dyDescent="0.25">
      <c r="A599" s="4" t="s">
        <v>669</v>
      </c>
      <c r="B599" s="5">
        <v>51</v>
      </c>
      <c r="C599" s="4" t="s">
        <v>33</v>
      </c>
      <c r="D599" s="4" t="s">
        <v>72</v>
      </c>
      <c r="E599" s="4" t="s">
        <v>25</v>
      </c>
      <c r="F599" s="4" t="s">
        <v>30</v>
      </c>
      <c r="G599" s="6">
        <v>36600</v>
      </c>
      <c r="H599" s="5">
        <v>14</v>
      </c>
      <c r="I599" s="7">
        <v>41090</v>
      </c>
      <c r="J599" s="4" t="s">
        <v>31</v>
      </c>
      <c r="K599" s="5">
        <v>1</v>
      </c>
      <c r="L599" s="6">
        <v>2504.46</v>
      </c>
      <c r="M599" s="6">
        <v>16581.849999999999</v>
      </c>
      <c r="N599" s="5">
        <v>32</v>
      </c>
      <c r="O599" s="6">
        <v>78.430000000000007</v>
      </c>
      <c r="P599" s="5">
        <v>1</v>
      </c>
      <c r="Q599" s="6">
        <v>4000</v>
      </c>
      <c r="R599" s="6">
        <v>1336.43</v>
      </c>
      <c r="S599" s="6">
        <v>0</v>
      </c>
      <c r="T599" s="6">
        <v>0</v>
      </c>
      <c r="U599" s="5">
        <v>622</v>
      </c>
      <c r="V599" s="5">
        <v>1</v>
      </c>
    </row>
    <row r="600" spans="1:22" x14ac:dyDescent="0.25">
      <c r="A600" s="4" t="s">
        <v>670</v>
      </c>
      <c r="B600" s="5">
        <v>28</v>
      </c>
      <c r="C600" s="4" t="s">
        <v>33</v>
      </c>
      <c r="D600" s="4" t="s">
        <v>72</v>
      </c>
      <c r="E600" s="4" t="s">
        <v>67</v>
      </c>
      <c r="F600" s="4" t="s">
        <v>30</v>
      </c>
      <c r="G600" s="6">
        <v>5200</v>
      </c>
      <c r="H600" s="5">
        <v>4</v>
      </c>
      <c r="I600" s="7">
        <v>44738</v>
      </c>
      <c r="J600" s="4" t="s">
        <v>27</v>
      </c>
      <c r="K600" s="5">
        <v>2</v>
      </c>
      <c r="L600" s="6">
        <v>225.38</v>
      </c>
      <c r="M600" s="6">
        <v>4543.91</v>
      </c>
      <c r="N600" s="5">
        <v>14</v>
      </c>
      <c r="O600" s="6">
        <v>33.99</v>
      </c>
      <c r="P600" s="5">
        <v>4</v>
      </c>
      <c r="Q600" s="6">
        <v>500</v>
      </c>
      <c r="R600" s="6">
        <v>78.010000000000005</v>
      </c>
      <c r="S600" s="6">
        <v>0</v>
      </c>
      <c r="T600" s="6">
        <v>0</v>
      </c>
      <c r="U600" s="5">
        <v>561</v>
      </c>
      <c r="V600" s="5">
        <v>0</v>
      </c>
    </row>
    <row r="601" spans="1:22" x14ac:dyDescent="0.25">
      <c r="A601" s="4" t="s">
        <v>671</v>
      </c>
      <c r="B601" s="5">
        <v>39</v>
      </c>
      <c r="C601" s="4" t="s">
        <v>33</v>
      </c>
      <c r="D601" s="4" t="s">
        <v>37</v>
      </c>
      <c r="E601" s="4" t="s">
        <v>25</v>
      </c>
      <c r="F601" s="4" t="s">
        <v>30</v>
      </c>
      <c r="G601" s="6">
        <v>26800</v>
      </c>
      <c r="H601" s="5">
        <v>3</v>
      </c>
      <c r="I601" s="7">
        <v>45159</v>
      </c>
      <c r="J601" s="4" t="s">
        <v>39</v>
      </c>
      <c r="K601" s="5">
        <v>1</v>
      </c>
      <c r="L601" s="6">
        <v>8178.61</v>
      </c>
      <c r="M601" s="6">
        <v>9087.7800000000007</v>
      </c>
      <c r="N601" s="5">
        <v>15</v>
      </c>
      <c r="O601" s="6">
        <v>39.74</v>
      </c>
      <c r="P601" s="5">
        <v>0</v>
      </c>
      <c r="Q601" s="6">
        <v>4500</v>
      </c>
      <c r="R601" s="6">
        <v>1061.67</v>
      </c>
      <c r="S601" s="6">
        <v>47000</v>
      </c>
      <c r="T601" s="6">
        <v>264</v>
      </c>
      <c r="U601" s="5">
        <v>651</v>
      </c>
      <c r="V601" s="5">
        <v>0</v>
      </c>
    </row>
    <row r="602" spans="1:22" x14ac:dyDescent="0.25">
      <c r="A602" s="4" t="s">
        <v>672</v>
      </c>
      <c r="B602" s="5">
        <v>19</v>
      </c>
      <c r="C602" s="4" t="s">
        <v>23</v>
      </c>
      <c r="D602" s="4" t="s">
        <v>59</v>
      </c>
      <c r="E602" s="4" t="s">
        <v>117</v>
      </c>
      <c r="F602" s="4" t="s">
        <v>26</v>
      </c>
      <c r="G602" s="6">
        <v>5400</v>
      </c>
      <c r="H602" s="5">
        <v>0</v>
      </c>
      <c r="I602" s="7">
        <v>46175</v>
      </c>
      <c r="J602" s="4" t="s">
        <v>31</v>
      </c>
      <c r="K602" s="5">
        <v>1</v>
      </c>
      <c r="L602" s="6">
        <v>605.71</v>
      </c>
      <c r="M602" s="6">
        <v>871.56</v>
      </c>
      <c r="N602" s="5">
        <v>25</v>
      </c>
      <c r="O602" s="6">
        <v>28.18</v>
      </c>
      <c r="P602" s="5">
        <v>0</v>
      </c>
      <c r="Q602" s="6">
        <v>1000</v>
      </c>
      <c r="R602" s="6">
        <v>425.46</v>
      </c>
      <c r="S602" s="6">
        <v>0</v>
      </c>
      <c r="T602" s="6">
        <v>0</v>
      </c>
      <c r="U602" s="5">
        <v>579</v>
      </c>
      <c r="V602" s="5">
        <v>0</v>
      </c>
    </row>
    <row r="603" spans="1:22" x14ac:dyDescent="0.25">
      <c r="A603" s="4" t="s">
        <v>673</v>
      </c>
      <c r="B603" s="5">
        <v>62</v>
      </c>
      <c r="C603" s="4" t="s">
        <v>33</v>
      </c>
      <c r="D603" s="4" t="s">
        <v>59</v>
      </c>
      <c r="E603" s="4" t="s">
        <v>45</v>
      </c>
      <c r="F603" s="4" t="s">
        <v>38</v>
      </c>
      <c r="G603" s="6">
        <v>23100</v>
      </c>
      <c r="H603" s="5">
        <v>5</v>
      </c>
      <c r="I603" s="7">
        <v>44187</v>
      </c>
      <c r="J603" s="4" t="s">
        <v>39</v>
      </c>
      <c r="K603" s="5">
        <v>2</v>
      </c>
      <c r="L603" s="6">
        <v>2184.5100000000002</v>
      </c>
      <c r="M603" s="6">
        <v>5884.12</v>
      </c>
      <c r="N603" s="5">
        <v>23</v>
      </c>
      <c r="O603" s="6">
        <v>47.09</v>
      </c>
      <c r="P603" s="5">
        <v>3</v>
      </c>
      <c r="Q603" s="6">
        <v>3000</v>
      </c>
      <c r="R603" s="6">
        <v>726.56</v>
      </c>
      <c r="S603" s="6">
        <v>0</v>
      </c>
      <c r="T603" s="6">
        <v>0</v>
      </c>
      <c r="U603" s="5">
        <v>666</v>
      </c>
      <c r="V603" s="5">
        <v>0</v>
      </c>
    </row>
    <row r="604" spans="1:22" x14ac:dyDescent="0.25">
      <c r="A604" s="4" t="s">
        <v>674</v>
      </c>
      <c r="B604" s="5">
        <v>63</v>
      </c>
      <c r="C604" s="4" t="s">
        <v>33</v>
      </c>
      <c r="D604" s="4" t="s">
        <v>59</v>
      </c>
      <c r="E604" s="4" t="s">
        <v>45</v>
      </c>
      <c r="F604" s="4" t="s">
        <v>38</v>
      </c>
      <c r="G604" s="6">
        <v>14900</v>
      </c>
      <c r="H604" s="5">
        <v>18</v>
      </c>
      <c r="I604" s="7">
        <v>39675</v>
      </c>
      <c r="J604" s="4" t="s">
        <v>39</v>
      </c>
      <c r="K604" s="5">
        <v>4</v>
      </c>
      <c r="L604" s="6">
        <v>1157.82</v>
      </c>
      <c r="M604" s="6">
        <v>26293.48</v>
      </c>
      <c r="N604" s="5">
        <v>14</v>
      </c>
      <c r="O604" s="6">
        <v>68.62</v>
      </c>
      <c r="P604" s="5">
        <v>3</v>
      </c>
      <c r="Q604" s="6">
        <v>2500</v>
      </c>
      <c r="R604" s="6">
        <v>129.80000000000001</v>
      </c>
      <c r="S604" s="6">
        <v>0</v>
      </c>
      <c r="T604" s="6">
        <v>0</v>
      </c>
      <c r="U604" s="5">
        <v>672</v>
      </c>
      <c r="V604" s="5">
        <v>0</v>
      </c>
    </row>
    <row r="605" spans="1:22" x14ac:dyDescent="0.25">
      <c r="A605" s="4" t="s">
        <v>675</v>
      </c>
      <c r="B605" s="5">
        <v>52</v>
      </c>
      <c r="C605" s="4" t="s">
        <v>23</v>
      </c>
      <c r="D605" s="4" t="s">
        <v>128</v>
      </c>
      <c r="E605" s="4" t="s">
        <v>45</v>
      </c>
      <c r="F605" s="4" t="s">
        <v>30</v>
      </c>
      <c r="G605" s="6">
        <v>29700</v>
      </c>
      <c r="H605" s="5">
        <v>17</v>
      </c>
      <c r="I605" s="7">
        <v>39744</v>
      </c>
      <c r="J605" s="4" t="s">
        <v>31</v>
      </c>
      <c r="K605" s="5">
        <v>4</v>
      </c>
      <c r="L605" s="6">
        <v>3641.73</v>
      </c>
      <c r="M605" s="6">
        <v>0</v>
      </c>
      <c r="N605" s="5">
        <v>24</v>
      </c>
      <c r="O605" s="6">
        <v>73.319999999999993</v>
      </c>
      <c r="P605" s="5">
        <v>1</v>
      </c>
      <c r="Q605" s="6">
        <v>5500</v>
      </c>
      <c r="R605" s="6">
        <v>1960.22</v>
      </c>
      <c r="S605" s="6">
        <v>0</v>
      </c>
      <c r="T605" s="6">
        <v>0</v>
      </c>
      <c r="U605" s="5">
        <v>613</v>
      </c>
      <c r="V605" s="5">
        <v>0</v>
      </c>
    </row>
    <row r="606" spans="1:22" x14ac:dyDescent="0.25">
      <c r="A606" s="4" t="s">
        <v>676</v>
      </c>
      <c r="B606" s="5">
        <v>72</v>
      </c>
      <c r="C606" s="4" t="s">
        <v>23</v>
      </c>
      <c r="D606" s="4" t="s">
        <v>98</v>
      </c>
      <c r="E606" s="4" t="s">
        <v>95</v>
      </c>
      <c r="F606" s="4" t="s">
        <v>38</v>
      </c>
      <c r="G606" s="6">
        <v>28800</v>
      </c>
      <c r="H606" s="5">
        <v>15</v>
      </c>
      <c r="I606" s="7">
        <v>40678</v>
      </c>
      <c r="J606" s="4" t="s">
        <v>39</v>
      </c>
      <c r="K606" s="5">
        <v>1</v>
      </c>
      <c r="L606" s="6">
        <v>5803.75</v>
      </c>
      <c r="M606" s="6">
        <v>24812.2</v>
      </c>
      <c r="N606" s="5">
        <v>24</v>
      </c>
      <c r="O606" s="6">
        <v>21.26</v>
      </c>
      <c r="P606" s="5">
        <v>11</v>
      </c>
      <c r="Q606" s="6">
        <v>7000</v>
      </c>
      <c r="R606" s="6">
        <v>1982.02</v>
      </c>
      <c r="S606" s="6">
        <v>0</v>
      </c>
      <c r="T606" s="6">
        <v>0</v>
      </c>
      <c r="U606" s="5">
        <v>600</v>
      </c>
      <c r="V606" s="5">
        <v>0</v>
      </c>
    </row>
    <row r="607" spans="1:22" x14ac:dyDescent="0.25">
      <c r="A607" s="4" t="s">
        <v>677</v>
      </c>
      <c r="B607" s="5">
        <v>39</v>
      </c>
      <c r="C607" s="4" t="s">
        <v>33</v>
      </c>
      <c r="D607" s="4" t="s">
        <v>79</v>
      </c>
      <c r="E607" s="4" t="s">
        <v>67</v>
      </c>
      <c r="F607" s="4" t="s">
        <v>26</v>
      </c>
      <c r="G607" s="6">
        <v>3700</v>
      </c>
      <c r="H607" s="5">
        <v>3</v>
      </c>
      <c r="I607" s="7">
        <v>44920</v>
      </c>
      <c r="J607" s="4" t="s">
        <v>49</v>
      </c>
      <c r="K607" s="5">
        <v>2</v>
      </c>
      <c r="L607" s="6">
        <v>1382.68</v>
      </c>
      <c r="M607" s="6">
        <v>889.08</v>
      </c>
      <c r="N607" s="5">
        <v>10</v>
      </c>
      <c r="O607" s="6">
        <v>20.52</v>
      </c>
      <c r="P607" s="5">
        <v>2</v>
      </c>
      <c r="Q607" s="6">
        <v>500</v>
      </c>
      <c r="R607" s="6">
        <v>130.32</v>
      </c>
      <c r="S607" s="6">
        <v>0</v>
      </c>
      <c r="T607" s="6">
        <v>0</v>
      </c>
      <c r="U607" s="5">
        <v>475</v>
      </c>
      <c r="V607" s="5">
        <v>1</v>
      </c>
    </row>
    <row r="608" spans="1:22" x14ac:dyDescent="0.25">
      <c r="A608" s="4" t="s">
        <v>678</v>
      </c>
      <c r="B608" s="5">
        <v>58</v>
      </c>
      <c r="C608" s="4" t="s">
        <v>33</v>
      </c>
      <c r="D608" s="4" t="s">
        <v>34</v>
      </c>
      <c r="E608" s="4" t="s">
        <v>25</v>
      </c>
      <c r="F608" s="4" t="s">
        <v>48</v>
      </c>
      <c r="G608" s="6">
        <v>36100</v>
      </c>
      <c r="H608" s="5">
        <v>15</v>
      </c>
      <c r="I608" s="7">
        <v>40489</v>
      </c>
      <c r="J608" s="4" t="s">
        <v>39</v>
      </c>
      <c r="K608" s="5">
        <v>5</v>
      </c>
      <c r="L608" s="6">
        <v>1121.3900000000001</v>
      </c>
      <c r="M608" s="6">
        <v>45200.12</v>
      </c>
      <c r="N608" s="5">
        <v>21</v>
      </c>
      <c r="O608" s="6">
        <v>52.94</v>
      </c>
      <c r="P608" s="5">
        <v>1</v>
      </c>
      <c r="Q608" s="6">
        <v>8000</v>
      </c>
      <c r="R608" s="6">
        <v>3651.46</v>
      </c>
      <c r="S608" s="6">
        <v>0</v>
      </c>
      <c r="T608" s="6">
        <v>0</v>
      </c>
      <c r="U608" s="5">
        <v>666</v>
      </c>
      <c r="V608" s="5">
        <v>0</v>
      </c>
    </row>
    <row r="609" spans="1:22" x14ac:dyDescent="0.25">
      <c r="A609" s="4" t="s">
        <v>679</v>
      </c>
      <c r="B609" s="5">
        <v>61</v>
      </c>
      <c r="C609" s="4" t="s">
        <v>23</v>
      </c>
      <c r="D609" s="4" t="s">
        <v>24</v>
      </c>
      <c r="E609" s="4" t="s">
        <v>25</v>
      </c>
      <c r="F609" s="4" t="s">
        <v>30</v>
      </c>
      <c r="G609" s="6">
        <v>29900</v>
      </c>
      <c r="H609" s="5">
        <v>15</v>
      </c>
      <c r="I609" s="7">
        <v>40733</v>
      </c>
      <c r="J609" s="4" t="s">
        <v>27</v>
      </c>
      <c r="K609" s="5">
        <v>3</v>
      </c>
      <c r="L609" s="6">
        <v>5468.11</v>
      </c>
      <c r="M609" s="6">
        <v>32465.41</v>
      </c>
      <c r="N609" s="5">
        <v>25</v>
      </c>
      <c r="O609" s="6">
        <v>65.59</v>
      </c>
      <c r="P609" s="5">
        <v>8</v>
      </c>
      <c r="Q609" s="6">
        <v>5000</v>
      </c>
      <c r="R609" s="6">
        <v>797.52</v>
      </c>
      <c r="S609" s="6">
        <v>0</v>
      </c>
      <c r="T609" s="6">
        <v>0</v>
      </c>
      <c r="U609" s="5">
        <v>693</v>
      </c>
      <c r="V609" s="5">
        <v>0</v>
      </c>
    </row>
    <row r="610" spans="1:22" x14ac:dyDescent="0.25">
      <c r="A610" s="4" t="s">
        <v>680</v>
      </c>
      <c r="B610" s="5">
        <v>36</v>
      </c>
      <c r="C610" s="4" t="s">
        <v>23</v>
      </c>
      <c r="D610" s="4" t="s">
        <v>51</v>
      </c>
      <c r="E610" s="4" t="s">
        <v>35</v>
      </c>
      <c r="F610" s="4" t="s">
        <v>26</v>
      </c>
      <c r="G610" s="6">
        <v>32300</v>
      </c>
      <c r="H610" s="5">
        <v>8</v>
      </c>
      <c r="I610" s="7">
        <v>43343</v>
      </c>
      <c r="J610" s="4" t="s">
        <v>31</v>
      </c>
      <c r="K610" s="5">
        <v>2</v>
      </c>
      <c r="L610" s="6">
        <v>3528.42</v>
      </c>
      <c r="M610" s="6">
        <v>27301.72</v>
      </c>
      <c r="N610" s="5">
        <v>37</v>
      </c>
      <c r="O610" s="6">
        <v>54.6</v>
      </c>
      <c r="P610" s="5">
        <v>1</v>
      </c>
      <c r="Q610" s="6">
        <v>0</v>
      </c>
      <c r="R610" s="6">
        <v>0</v>
      </c>
      <c r="S610" s="6">
        <v>0</v>
      </c>
      <c r="T610" s="6">
        <v>0</v>
      </c>
      <c r="U610" s="5">
        <v>628</v>
      </c>
      <c r="V610" s="5">
        <v>0</v>
      </c>
    </row>
    <row r="611" spans="1:22" x14ac:dyDescent="0.25">
      <c r="A611" s="4" t="s">
        <v>681</v>
      </c>
      <c r="B611" s="5">
        <v>77</v>
      </c>
      <c r="C611" s="4" t="s">
        <v>23</v>
      </c>
      <c r="D611" s="4" t="s">
        <v>34</v>
      </c>
      <c r="E611" s="4" t="s">
        <v>95</v>
      </c>
      <c r="F611" s="4" t="s">
        <v>30</v>
      </c>
      <c r="G611" s="6">
        <v>14700</v>
      </c>
      <c r="H611" s="5">
        <v>4</v>
      </c>
      <c r="I611" s="7">
        <v>44466</v>
      </c>
      <c r="J611" s="4" t="s">
        <v>27</v>
      </c>
      <c r="K611" s="5">
        <v>1</v>
      </c>
      <c r="L611" s="6">
        <v>527.17999999999995</v>
      </c>
      <c r="M611" s="6">
        <v>4139.49</v>
      </c>
      <c r="N611" s="5">
        <v>25</v>
      </c>
      <c r="O611" s="6">
        <v>41.9</v>
      </c>
      <c r="P611" s="5">
        <v>6</v>
      </c>
      <c r="Q611" s="6">
        <v>2000</v>
      </c>
      <c r="R611" s="6">
        <v>829.31</v>
      </c>
      <c r="S611" s="6">
        <v>0</v>
      </c>
      <c r="T611" s="6">
        <v>0</v>
      </c>
      <c r="U611" s="5">
        <v>578</v>
      </c>
      <c r="V611" s="5">
        <v>0</v>
      </c>
    </row>
    <row r="612" spans="1:22" x14ac:dyDescent="0.25">
      <c r="A612" s="4" t="s">
        <v>682</v>
      </c>
      <c r="B612" s="5">
        <v>69</v>
      </c>
      <c r="C612" s="4" t="s">
        <v>33</v>
      </c>
      <c r="D612" s="4" t="s">
        <v>72</v>
      </c>
      <c r="E612" s="4" t="s">
        <v>42</v>
      </c>
      <c r="F612" s="4" t="s">
        <v>30</v>
      </c>
      <c r="G612" s="6">
        <v>72300</v>
      </c>
      <c r="H612" s="5">
        <v>21</v>
      </c>
      <c r="I612" s="7">
        <v>38485</v>
      </c>
      <c r="J612" s="4" t="s">
        <v>27</v>
      </c>
      <c r="K612" s="5">
        <v>4</v>
      </c>
      <c r="L612" s="6">
        <v>6897.76</v>
      </c>
      <c r="M612" s="6">
        <v>81407.460000000006</v>
      </c>
      <c r="N612" s="5">
        <v>51</v>
      </c>
      <c r="O612" s="6">
        <v>89.74</v>
      </c>
      <c r="P612" s="5">
        <v>3</v>
      </c>
      <c r="Q612" s="6">
        <v>9500</v>
      </c>
      <c r="R612" s="6">
        <v>3013.75</v>
      </c>
      <c r="S612" s="6">
        <v>0</v>
      </c>
      <c r="T612" s="6">
        <v>0</v>
      </c>
      <c r="U612" s="5">
        <v>680</v>
      </c>
      <c r="V612" s="5">
        <v>1</v>
      </c>
    </row>
    <row r="613" spans="1:22" x14ac:dyDescent="0.25">
      <c r="A613" s="4" t="s">
        <v>683</v>
      </c>
      <c r="B613" s="5">
        <v>52</v>
      </c>
      <c r="C613" s="4" t="s">
        <v>33</v>
      </c>
      <c r="D613" s="4" t="s">
        <v>41</v>
      </c>
      <c r="E613" s="4" t="s">
        <v>90</v>
      </c>
      <c r="F613" s="4" t="s">
        <v>48</v>
      </c>
      <c r="G613" s="6">
        <v>81700</v>
      </c>
      <c r="H613" s="5">
        <v>22</v>
      </c>
      <c r="I613" s="7">
        <v>38036</v>
      </c>
      <c r="J613" s="4" t="s">
        <v>39</v>
      </c>
      <c r="K613" s="5">
        <v>3</v>
      </c>
      <c r="L613" s="6">
        <v>38555.360000000001</v>
      </c>
      <c r="M613" s="6">
        <v>0</v>
      </c>
      <c r="N613" s="5">
        <v>40</v>
      </c>
      <c r="O613" s="6">
        <v>74</v>
      </c>
      <c r="P613" s="5">
        <v>6</v>
      </c>
      <c r="Q613" s="6">
        <v>15000</v>
      </c>
      <c r="R613" s="6">
        <v>6830.18</v>
      </c>
      <c r="S613" s="6">
        <v>0</v>
      </c>
      <c r="T613" s="6">
        <v>0</v>
      </c>
      <c r="U613" s="5">
        <v>735</v>
      </c>
      <c r="V613" s="5">
        <v>0</v>
      </c>
    </row>
    <row r="614" spans="1:22" x14ac:dyDescent="0.25">
      <c r="A614" s="4" t="s">
        <v>684</v>
      </c>
      <c r="B614" s="5">
        <v>40</v>
      </c>
      <c r="C614" s="4" t="s">
        <v>23</v>
      </c>
      <c r="D614" s="4" t="s">
        <v>34</v>
      </c>
      <c r="E614" s="4" t="s">
        <v>25</v>
      </c>
      <c r="F614" s="4" t="s">
        <v>30</v>
      </c>
      <c r="G614" s="6">
        <v>28200</v>
      </c>
      <c r="H614" s="5">
        <v>8</v>
      </c>
      <c r="I614" s="7">
        <v>43214</v>
      </c>
      <c r="J614" s="4" t="s">
        <v>39</v>
      </c>
      <c r="K614" s="5">
        <v>1</v>
      </c>
      <c r="L614" s="6">
        <v>2407.9499999999998</v>
      </c>
      <c r="M614" s="6">
        <v>15058.98</v>
      </c>
      <c r="N614" s="5">
        <v>19</v>
      </c>
      <c r="O614" s="6">
        <v>54.27</v>
      </c>
      <c r="P614" s="5">
        <v>0</v>
      </c>
      <c r="Q614" s="6">
        <v>0</v>
      </c>
      <c r="R614" s="6">
        <v>0</v>
      </c>
      <c r="S614" s="6">
        <v>0</v>
      </c>
      <c r="T614" s="6">
        <v>0</v>
      </c>
      <c r="U614" s="5">
        <v>672</v>
      </c>
      <c r="V614" s="5">
        <v>0</v>
      </c>
    </row>
    <row r="615" spans="1:22" x14ac:dyDescent="0.25">
      <c r="A615" s="4" t="s">
        <v>685</v>
      </c>
      <c r="B615" s="5">
        <v>21</v>
      </c>
      <c r="C615" s="4" t="s">
        <v>23</v>
      </c>
      <c r="D615" s="4" t="s">
        <v>59</v>
      </c>
      <c r="E615" s="4" t="s">
        <v>45</v>
      </c>
      <c r="F615" s="4" t="s">
        <v>26</v>
      </c>
      <c r="G615" s="6">
        <v>14200</v>
      </c>
      <c r="H615" s="5">
        <v>2</v>
      </c>
      <c r="I615" s="7">
        <v>45230</v>
      </c>
      <c r="J615" s="4" t="s">
        <v>27</v>
      </c>
      <c r="K615" s="5">
        <v>2</v>
      </c>
      <c r="L615" s="6">
        <v>2155.0100000000002</v>
      </c>
      <c r="M615" s="6">
        <v>0</v>
      </c>
      <c r="N615" s="5">
        <v>25</v>
      </c>
      <c r="O615" s="6">
        <v>46.01</v>
      </c>
      <c r="P615" s="5">
        <v>2</v>
      </c>
      <c r="Q615" s="6">
        <v>45000</v>
      </c>
      <c r="R615" s="6">
        <v>3724.18</v>
      </c>
      <c r="S615" s="6">
        <v>0</v>
      </c>
      <c r="T615" s="6">
        <v>0</v>
      </c>
      <c r="U615" s="5">
        <v>585</v>
      </c>
      <c r="V615" s="5">
        <v>1</v>
      </c>
    </row>
    <row r="616" spans="1:22" x14ac:dyDescent="0.25">
      <c r="A616" s="4" t="s">
        <v>686</v>
      </c>
      <c r="B616" s="5">
        <v>58</v>
      </c>
      <c r="C616" s="4" t="s">
        <v>33</v>
      </c>
      <c r="D616" s="4" t="s">
        <v>57</v>
      </c>
      <c r="E616" s="4" t="s">
        <v>45</v>
      </c>
      <c r="F616" s="4" t="s">
        <v>30</v>
      </c>
      <c r="G616" s="6">
        <v>26800</v>
      </c>
      <c r="H616" s="5">
        <v>3</v>
      </c>
      <c r="I616" s="7">
        <v>45020</v>
      </c>
      <c r="J616" s="4" t="s">
        <v>39</v>
      </c>
      <c r="K616" s="5">
        <v>2</v>
      </c>
      <c r="L616" s="6">
        <v>2058.0100000000002</v>
      </c>
      <c r="M616" s="6">
        <v>10568.15</v>
      </c>
      <c r="N616" s="5">
        <v>27</v>
      </c>
      <c r="O616" s="6">
        <v>82.19</v>
      </c>
      <c r="P616" s="5">
        <v>5</v>
      </c>
      <c r="Q616" s="6">
        <v>4000</v>
      </c>
      <c r="R616" s="6">
        <v>2370.4299999999998</v>
      </c>
      <c r="S616" s="6">
        <v>0</v>
      </c>
      <c r="T616" s="6">
        <v>0</v>
      </c>
      <c r="U616" s="5">
        <v>643</v>
      </c>
      <c r="V616" s="5">
        <v>0</v>
      </c>
    </row>
    <row r="617" spans="1:22" x14ac:dyDescent="0.25">
      <c r="A617" s="4" t="s">
        <v>687</v>
      </c>
      <c r="B617" s="5">
        <v>67</v>
      </c>
      <c r="C617" s="4" t="s">
        <v>33</v>
      </c>
      <c r="D617" s="4" t="s">
        <v>70</v>
      </c>
      <c r="E617" s="4" t="s">
        <v>95</v>
      </c>
      <c r="F617" s="4" t="s">
        <v>30</v>
      </c>
      <c r="G617" s="6">
        <v>17700</v>
      </c>
      <c r="H617" s="5">
        <v>20</v>
      </c>
      <c r="I617" s="7">
        <v>38733</v>
      </c>
      <c r="J617" s="4" t="s">
        <v>39</v>
      </c>
      <c r="K617" s="5">
        <v>3</v>
      </c>
      <c r="L617" s="6">
        <v>4314.21</v>
      </c>
      <c r="M617" s="6">
        <v>35834.32</v>
      </c>
      <c r="N617" s="5">
        <v>13</v>
      </c>
      <c r="O617" s="6">
        <v>47.45</v>
      </c>
      <c r="P617" s="5">
        <v>7</v>
      </c>
      <c r="Q617" s="6">
        <v>0</v>
      </c>
      <c r="R617" s="6">
        <v>0</v>
      </c>
      <c r="S617" s="6">
        <v>36000</v>
      </c>
      <c r="T617" s="6">
        <v>198</v>
      </c>
      <c r="U617" s="5">
        <v>620</v>
      </c>
      <c r="V617" s="5">
        <v>0</v>
      </c>
    </row>
    <row r="618" spans="1:22" x14ac:dyDescent="0.25">
      <c r="A618" s="4" t="s">
        <v>688</v>
      </c>
      <c r="B618" s="5">
        <v>56</v>
      </c>
      <c r="C618" s="4" t="s">
        <v>23</v>
      </c>
      <c r="D618" s="4" t="s">
        <v>59</v>
      </c>
      <c r="E618" s="4" t="s">
        <v>25</v>
      </c>
      <c r="F618" s="4" t="s">
        <v>26</v>
      </c>
      <c r="G618" s="6">
        <v>39000</v>
      </c>
      <c r="H618" s="5">
        <v>11</v>
      </c>
      <c r="I618" s="7">
        <v>42158</v>
      </c>
      <c r="J618" s="4" t="s">
        <v>39</v>
      </c>
      <c r="K618" s="5">
        <v>4</v>
      </c>
      <c r="L618" s="6">
        <v>4575.32</v>
      </c>
      <c r="M618" s="6">
        <v>0</v>
      </c>
      <c r="N618" s="5">
        <v>26</v>
      </c>
      <c r="O618" s="6">
        <v>48.47</v>
      </c>
      <c r="P618" s="5">
        <v>2</v>
      </c>
      <c r="Q618" s="6">
        <v>0</v>
      </c>
      <c r="R618" s="6">
        <v>0</v>
      </c>
      <c r="S618" s="6">
        <v>0</v>
      </c>
      <c r="T618" s="6">
        <v>0</v>
      </c>
      <c r="U618" s="5">
        <v>674</v>
      </c>
      <c r="V618" s="5">
        <v>0</v>
      </c>
    </row>
    <row r="619" spans="1:22" x14ac:dyDescent="0.25">
      <c r="A619" s="4" t="s">
        <v>689</v>
      </c>
      <c r="B619" s="5">
        <v>64</v>
      </c>
      <c r="C619" s="4" t="s">
        <v>33</v>
      </c>
      <c r="D619" s="4" t="s">
        <v>62</v>
      </c>
      <c r="E619" s="4" t="s">
        <v>25</v>
      </c>
      <c r="F619" s="4" t="s">
        <v>30</v>
      </c>
      <c r="G619" s="6">
        <v>25300</v>
      </c>
      <c r="H619" s="5">
        <v>11</v>
      </c>
      <c r="I619" s="7">
        <v>42199</v>
      </c>
      <c r="J619" s="4" t="s">
        <v>39</v>
      </c>
      <c r="K619" s="5">
        <v>4</v>
      </c>
      <c r="L619" s="6">
        <v>8119.18</v>
      </c>
      <c r="M619" s="6">
        <v>22981.94</v>
      </c>
      <c r="N619" s="5">
        <v>23</v>
      </c>
      <c r="O619" s="6">
        <v>51.11</v>
      </c>
      <c r="P619" s="5">
        <v>4</v>
      </c>
      <c r="Q619" s="6">
        <v>3000</v>
      </c>
      <c r="R619" s="6">
        <v>864.77</v>
      </c>
      <c r="S619" s="6">
        <v>0</v>
      </c>
      <c r="T619" s="6">
        <v>0</v>
      </c>
      <c r="U619" s="5">
        <v>9999</v>
      </c>
      <c r="V619" s="5">
        <v>0</v>
      </c>
    </row>
    <row r="620" spans="1:22" x14ac:dyDescent="0.25">
      <c r="A620" s="4" t="s">
        <v>690</v>
      </c>
      <c r="B620" s="5">
        <v>73</v>
      </c>
      <c r="C620" s="4" t="s">
        <v>23</v>
      </c>
      <c r="D620" s="4" t="s">
        <v>72</v>
      </c>
      <c r="E620" s="4" t="s">
        <v>95</v>
      </c>
      <c r="F620" s="4" t="s">
        <v>38</v>
      </c>
      <c r="G620" s="6">
        <v>22000</v>
      </c>
      <c r="H620" s="5">
        <v>11</v>
      </c>
      <c r="I620" s="7">
        <v>42166</v>
      </c>
      <c r="J620" s="4" t="s">
        <v>27</v>
      </c>
      <c r="K620" s="5">
        <v>2</v>
      </c>
      <c r="L620" s="6">
        <v>2531.9899999999998</v>
      </c>
      <c r="M620" s="6">
        <v>24023.69</v>
      </c>
      <c r="N620" s="5">
        <v>26</v>
      </c>
      <c r="O620" s="6">
        <v>24.6</v>
      </c>
      <c r="P620" s="5">
        <v>1</v>
      </c>
      <c r="Q620" s="6">
        <v>4500</v>
      </c>
      <c r="R620" s="6">
        <v>1003.32</v>
      </c>
      <c r="S620" s="6">
        <v>0</v>
      </c>
      <c r="T620" s="6">
        <v>0</v>
      </c>
      <c r="U620" s="5">
        <v>591</v>
      </c>
      <c r="V620" s="5">
        <v>1</v>
      </c>
    </row>
    <row r="621" spans="1:22" x14ac:dyDescent="0.25">
      <c r="A621" s="4" t="s">
        <v>691</v>
      </c>
      <c r="B621" s="5">
        <v>34</v>
      </c>
      <c r="C621" s="4" t="s">
        <v>23</v>
      </c>
      <c r="D621" s="4" t="s">
        <v>24</v>
      </c>
      <c r="E621" s="4" t="s">
        <v>42</v>
      </c>
      <c r="F621" s="4" t="s">
        <v>48</v>
      </c>
      <c r="G621" s="6">
        <v>78800</v>
      </c>
      <c r="H621" s="5">
        <v>3</v>
      </c>
      <c r="I621" s="7">
        <v>44891</v>
      </c>
      <c r="J621" s="4" t="s">
        <v>27</v>
      </c>
      <c r="K621" s="5">
        <v>1</v>
      </c>
      <c r="L621" s="6">
        <v>4120.3999999999996</v>
      </c>
      <c r="M621" s="6">
        <v>15713.99</v>
      </c>
      <c r="N621" s="5">
        <v>33</v>
      </c>
      <c r="O621" s="6">
        <v>82.56</v>
      </c>
      <c r="P621" s="5">
        <v>2</v>
      </c>
      <c r="Q621" s="6">
        <v>11500</v>
      </c>
      <c r="R621" s="6">
        <v>1069.3699999999999</v>
      </c>
      <c r="S621" s="6">
        <v>0</v>
      </c>
      <c r="T621" s="6">
        <v>0</v>
      </c>
      <c r="U621" s="5">
        <v>610</v>
      </c>
      <c r="V621" s="5">
        <v>0</v>
      </c>
    </row>
    <row r="622" spans="1:22" x14ac:dyDescent="0.25">
      <c r="A622" s="4" t="s">
        <v>692</v>
      </c>
      <c r="B622" s="5">
        <v>33</v>
      </c>
      <c r="C622" s="4" t="s">
        <v>33</v>
      </c>
      <c r="D622" s="4" t="s">
        <v>70</v>
      </c>
      <c r="E622" s="4" t="s">
        <v>45</v>
      </c>
      <c r="F622" s="4" t="s">
        <v>26</v>
      </c>
      <c r="G622" s="6">
        <v>19300</v>
      </c>
      <c r="H622" s="5">
        <v>11</v>
      </c>
      <c r="I622" s="7">
        <v>42030</v>
      </c>
      <c r="J622" s="4" t="s">
        <v>31</v>
      </c>
      <c r="K622" s="5">
        <v>3</v>
      </c>
      <c r="L622" s="6">
        <v>460.06</v>
      </c>
      <c r="M622" s="6">
        <v>12693.99</v>
      </c>
      <c r="N622" s="5">
        <v>24</v>
      </c>
      <c r="O622" s="6">
        <v>71.95</v>
      </c>
      <c r="P622" s="5">
        <v>2</v>
      </c>
      <c r="Q622" s="6">
        <v>0</v>
      </c>
      <c r="R622" s="6">
        <v>0</v>
      </c>
      <c r="S622" s="6">
        <v>66000</v>
      </c>
      <c r="T622" s="6">
        <v>378</v>
      </c>
      <c r="U622" s="5">
        <v>670</v>
      </c>
      <c r="V622" s="5">
        <v>1</v>
      </c>
    </row>
    <row r="623" spans="1:22" x14ac:dyDescent="0.25">
      <c r="A623" s="4" t="s">
        <v>693</v>
      </c>
      <c r="B623" s="5">
        <v>46</v>
      </c>
      <c r="C623" s="4" t="s">
        <v>23</v>
      </c>
      <c r="D623" s="4" t="s">
        <v>34</v>
      </c>
      <c r="E623" s="4" t="s">
        <v>25</v>
      </c>
      <c r="F623" s="4" t="s">
        <v>30</v>
      </c>
      <c r="G623" s="6">
        <v>25500</v>
      </c>
      <c r="H623" s="5">
        <v>11</v>
      </c>
      <c r="I623" s="7">
        <v>42052</v>
      </c>
      <c r="J623" s="4" t="s">
        <v>31</v>
      </c>
      <c r="K623" s="5">
        <v>2</v>
      </c>
      <c r="L623" s="6">
        <v>2279.7199999999998</v>
      </c>
      <c r="M623" s="6">
        <v>8404.11</v>
      </c>
      <c r="N623" s="5">
        <v>15</v>
      </c>
      <c r="O623" s="6">
        <v>35.74</v>
      </c>
      <c r="P623" s="5">
        <v>1</v>
      </c>
      <c r="Q623" s="6">
        <v>5000</v>
      </c>
      <c r="R623" s="6">
        <v>2777.23</v>
      </c>
      <c r="S623" s="6">
        <v>0</v>
      </c>
      <c r="T623" s="6">
        <v>0</v>
      </c>
      <c r="U623" s="5">
        <v>635</v>
      </c>
      <c r="V623" s="5">
        <v>0</v>
      </c>
    </row>
    <row r="624" spans="1:22" x14ac:dyDescent="0.25">
      <c r="A624" s="4" t="s">
        <v>694</v>
      </c>
      <c r="B624" s="5">
        <v>38</v>
      </c>
      <c r="C624" s="4" t="s">
        <v>33</v>
      </c>
      <c r="D624" s="4" t="s">
        <v>75</v>
      </c>
      <c r="E624" s="4" t="s">
        <v>45</v>
      </c>
      <c r="F624" s="4" t="s">
        <v>30</v>
      </c>
      <c r="G624" s="6">
        <v>16900</v>
      </c>
      <c r="H624" s="5">
        <v>8</v>
      </c>
      <c r="I624" s="7">
        <v>43151</v>
      </c>
      <c r="J624" s="4" t="s">
        <v>27</v>
      </c>
      <c r="K624" s="5">
        <v>3</v>
      </c>
      <c r="L624" s="6">
        <v>765.13</v>
      </c>
      <c r="M624" s="6">
        <v>11651.38</v>
      </c>
      <c r="N624" s="5">
        <v>18</v>
      </c>
      <c r="O624" s="6">
        <v>71.91</v>
      </c>
      <c r="P624" s="5">
        <v>6</v>
      </c>
      <c r="Q624" s="6">
        <v>2500</v>
      </c>
      <c r="R624" s="6">
        <v>738.14</v>
      </c>
      <c r="S624" s="6">
        <v>0</v>
      </c>
      <c r="T624" s="6">
        <v>0</v>
      </c>
      <c r="U624" s="5">
        <v>553</v>
      </c>
      <c r="V624" s="5">
        <v>0</v>
      </c>
    </row>
    <row r="625" spans="1:22" x14ac:dyDescent="0.25">
      <c r="A625" s="4" t="s">
        <v>695</v>
      </c>
      <c r="B625" s="5">
        <v>55</v>
      </c>
      <c r="C625" s="4" t="s">
        <v>33</v>
      </c>
      <c r="D625" s="4" t="s">
        <v>62</v>
      </c>
      <c r="E625" s="4" t="s">
        <v>25</v>
      </c>
      <c r="F625" s="4" t="s">
        <v>30</v>
      </c>
      <c r="G625" s="6">
        <v>38500</v>
      </c>
      <c r="H625" s="5">
        <v>7</v>
      </c>
      <c r="I625" s="7">
        <v>43395</v>
      </c>
      <c r="J625" s="4" t="s">
        <v>39</v>
      </c>
      <c r="K625" s="5">
        <v>5</v>
      </c>
      <c r="L625" s="6">
        <v>4149.34</v>
      </c>
      <c r="M625" s="6">
        <v>15009.15</v>
      </c>
      <c r="N625" s="5">
        <v>33</v>
      </c>
      <c r="O625" s="6">
        <v>45.81</v>
      </c>
      <c r="P625" s="5">
        <v>6</v>
      </c>
      <c r="Q625" s="6">
        <v>8000</v>
      </c>
      <c r="R625" s="6">
        <v>2599.5500000000002</v>
      </c>
      <c r="S625" s="6">
        <v>0</v>
      </c>
      <c r="T625" s="6">
        <v>0</v>
      </c>
      <c r="U625" s="5">
        <v>625</v>
      </c>
      <c r="V625" s="5">
        <v>2</v>
      </c>
    </row>
    <row r="626" spans="1:22" x14ac:dyDescent="0.25">
      <c r="A626" s="4" t="s">
        <v>696</v>
      </c>
      <c r="B626" s="5">
        <v>59</v>
      </c>
      <c r="C626" s="4" t="s">
        <v>23</v>
      </c>
      <c r="D626" s="4" t="s">
        <v>44</v>
      </c>
      <c r="E626" s="4" t="s">
        <v>45</v>
      </c>
      <c r="F626" s="4" t="s">
        <v>48</v>
      </c>
      <c r="G626" s="6">
        <v>14500</v>
      </c>
      <c r="H626" s="5">
        <v>11</v>
      </c>
      <c r="I626" s="7">
        <v>42025</v>
      </c>
      <c r="J626" s="4" t="s">
        <v>49</v>
      </c>
      <c r="K626" s="5">
        <v>4</v>
      </c>
      <c r="L626" s="6">
        <v>906.53</v>
      </c>
      <c r="M626" s="6">
        <v>0</v>
      </c>
      <c r="N626" s="5">
        <v>19</v>
      </c>
      <c r="O626" s="6">
        <v>33.700000000000003</v>
      </c>
      <c r="P626" s="5">
        <v>1</v>
      </c>
      <c r="Q626" s="6">
        <v>0</v>
      </c>
      <c r="R626" s="6">
        <v>0</v>
      </c>
      <c r="S626" s="6">
        <v>0</v>
      </c>
      <c r="T626" s="6">
        <v>0</v>
      </c>
      <c r="U626" s="5">
        <v>568</v>
      </c>
      <c r="V626" s="5">
        <v>1</v>
      </c>
    </row>
    <row r="627" spans="1:22" x14ac:dyDescent="0.25">
      <c r="A627" s="4" t="s">
        <v>697</v>
      </c>
      <c r="B627" s="5">
        <v>44</v>
      </c>
      <c r="C627" s="4" t="s">
        <v>33</v>
      </c>
      <c r="D627" s="4" t="s">
        <v>37</v>
      </c>
      <c r="E627" s="4" t="s">
        <v>54</v>
      </c>
      <c r="F627" s="4" t="s">
        <v>48</v>
      </c>
      <c r="G627" s="6">
        <v>26300</v>
      </c>
      <c r="H627" s="5">
        <v>15</v>
      </c>
      <c r="I627" s="7">
        <v>40763</v>
      </c>
      <c r="J627" s="4" t="s">
        <v>31</v>
      </c>
      <c r="K627" s="5">
        <v>1</v>
      </c>
      <c r="L627" s="6">
        <v>-1937.12</v>
      </c>
      <c r="M627" s="6">
        <v>26745.84</v>
      </c>
      <c r="N627" s="5">
        <v>26</v>
      </c>
      <c r="O627" s="6">
        <v>28.58</v>
      </c>
      <c r="P627" s="5">
        <v>0</v>
      </c>
      <c r="Q627" s="6">
        <v>3000</v>
      </c>
      <c r="R627" s="6">
        <v>417.57</v>
      </c>
      <c r="S627" s="6">
        <v>0</v>
      </c>
      <c r="T627" s="6">
        <v>0</v>
      </c>
      <c r="U627" s="5">
        <v>608</v>
      </c>
      <c r="V627" s="5">
        <v>1</v>
      </c>
    </row>
    <row r="628" spans="1:22" x14ac:dyDescent="0.25">
      <c r="A628" s="4" t="s">
        <v>698</v>
      </c>
      <c r="B628" s="5">
        <v>49</v>
      </c>
      <c r="C628" s="4" t="s">
        <v>33</v>
      </c>
      <c r="D628" s="4" t="s">
        <v>44</v>
      </c>
      <c r="E628" s="4" t="s">
        <v>54</v>
      </c>
      <c r="F628" s="4" t="s">
        <v>26</v>
      </c>
      <c r="G628" s="6">
        <v>24400</v>
      </c>
      <c r="H628" s="5">
        <v>11</v>
      </c>
      <c r="I628" s="7">
        <v>42197</v>
      </c>
      <c r="J628" s="4" t="s">
        <v>27</v>
      </c>
      <c r="K628" s="5">
        <v>4</v>
      </c>
      <c r="L628" s="6">
        <v>863.73</v>
      </c>
      <c r="M628" s="6">
        <v>11377.62</v>
      </c>
      <c r="N628" s="5">
        <v>20</v>
      </c>
      <c r="O628" s="6">
        <v>44.3</v>
      </c>
      <c r="P628" s="5">
        <v>1</v>
      </c>
      <c r="Q628" s="6">
        <v>6000</v>
      </c>
      <c r="R628" s="6">
        <v>210.68</v>
      </c>
      <c r="S628" s="6">
        <v>0</v>
      </c>
      <c r="T628" s="6">
        <v>0</v>
      </c>
      <c r="U628" s="5">
        <v>684</v>
      </c>
      <c r="V628" s="5">
        <v>0</v>
      </c>
    </row>
    <row r="629" spans="1:22" x14ac:dyDescent="0.25">
      <c r="A629" s="4" t="s">
        <v>699</v>
      </c>
      <c r="B629" s="5">
        <v>55</v>
      </c>
      <c r="C629" s="4" t="s">
        <v>33</v>
      </c>
      <c r="D629" s="4" t="s">
        <v>34</v>
      </c>
      <c r="E629" s="4" t="s">
        <v>67</v>
      </c>
      <c r="F629" s="4" t="s">
        <v>26</v>
      </c>
      <c r="G629" s="6">
        <v>4500</v>
      </c>
      <c r="H629" s="5">
        <v>16</v>
      </c>
      <c r="I629" s="7">
        <v>40409</v>
      </c>
      <c r="J629" s="4" t="s">
        <v>39</v>
      </c>
      <c r="K629" s="5">
        <v>3</v>
      </c>
      <c r="L629" s="6">
        <v>437.64</v>
      </c>
      <c r="M629" s="6">
        <v>5400.99</v>
      </c>
      <c r="N629" s="5">
        <v>18</v>
      </c>
      <c r="O629" s="6">
        <v>68.33</v>
      </c>
      <c r="P629" s="5">
        <v>4</v>
      </c>
      <c r="Q629" s="6">
        <v>1000</v>
      </c>
      <c r="R629" s="6">
        <v>267.13</v>
      </c>
      <c r="S629" s="6">
        <v>0</v>
      </c>
      <c r="T629" s="6">
        <v>0</v>
      </c>
      <c r="U629" s="5">
        <v>592</v>
      </c>
      <c r="V629" s="5">
        <v>0</v>
      </c>
    </row>
    <row r="630" spans="1:22" x14ac:dyDescent="0.25">
      <c r="A630" s="4" t="s">
        <v>700</v>
      </c>
      <c r="B630" s="5">
        <v>67</v>
      </c>
      <c r="C630" s="4" t="s">
        <v>33</v>
      </c>
      <c r="D630" s="4" t="s">
        <v>62</v>
      </c>
      <c r="E630" s="4" t="s">
        <v>95</v>
      </c>
      <c r="F630" s="4" t="s">
        <v>30</v>
      </c>
      <c r="G630" s="6">
        <v>34000</v>
      </c>
      <c r="H630" s="5">
        <v>18</v>
      </c>
      <c r="I630" s="7">
        <v>39531</v>
      </c>
      <c r="J630" s="4" t="s">
        <v>31</v>
      </c>
      <c r="K630" s="5">
        <v>4</v>
      </c>
      <c r="L630" s="6">
        <v>4291.12</v>
      </c>
      <c r="M630" s="6">
        <v>0</v>
      </c>
      <c r="N630" s="5">
        <v>32</v>
      </c>
      <c r="O630" s="6">
        <v>33.479999999999997</v>
      </c>
      <c r="P630" s="5">
        <v>0</v>
      </c>
      <c r="Q630" s="6">
        <v>8500</v>
      </c>
      <c r="R630" s="6">
        <v>2493.9299999999998</v>
      </c>
      <c r="S630" s="6">
        <v>0</v>
      </c>
      <c r="T630" s="6">
        <v>0</v>
      </c>
      <c r="U630" s="5">
        <v>640</v>
      </c>
      <c r="V630" s="5">
        <v>0</v>
      </c>
    </row>
    <row r="631" spans="1:22" x14ac:dyDescent="0.25">
      <c r="A631" s="4" t="s">
        <v>701</v>
      </c>
      <c r="B631" s="5">
        <v>73</v>
      </c>
      <c r="C631" s="4" t="s">
        <v>23</v>
      </c>
      <c r="D631" s="4" t="s">
        <v>57</v>
      </c>
      <c r="E631" s="4" t="s">
        <v>95</v>
      </c>
      <c r="F631" s="4" t="s">
        <v>30</v>
      </c>
      <c r="G631" s="6">
        <v>21600</v>
      </c>
      <c r="H631" s="5">
        <v>24</v>
      </c>
      <c r="I631" s="7">
        <v>37284</v>
      </c>
      <c r="J631" s="4" t="s">
        <v>39</v>
      </c>
      <c r="K631" s="5">
        <v>5</v>
      </c>
      <c r="L631" s="6">
        <v>1133.32</v>
      </c>
      <c r="M631" s="6">
        <v>108911.58</v>
      </c>
      <c r="N631" s="5">
        <v>20</v>
      </c>
      <c r="O631" s="6">
        <v>30.46</v>
      </c>
      <c r="P631" s="5">
        <v>5</v>
      </c>
      <c r="Q631" s="6">
        <v>4000</v>
      </c>
      <c r="R631" s="6">
        <v>1373.98</v>
      </c>
      <c r="S631" s="6">
        <v>0</v>
      </c>
      <c r="T631" s="6">
        <v>0</v>
      </c>
      <c r="U631" s="5">
        <v>684</v>
      </c>
      <c r="V631" s="5">
        <v>0</v>
      </c>
    </row>
    <row r="632" spans="1:22" x14ac:dyDescent="0.25">
      <c r="A632" s="4" t="s">
        <v>702</v>
      </c>
      <c r="B632" s="5">
        <v>49</v>
      </c>
      <c r="C632" s="4" t="s">
        <v>33</v>
      </c>
      <c r="D632" s="4" t="s">
        <v>98</v>
      </c>
      <c r="E632" s="4" t="s">
        <v>25</v>
      </c>
      <c r="F632" s="4" t="s">
        <v>30</v>
      </c>
      <c r="G632" s="6">
        <v>31200</v>
      </c>
      <c r="H632" s="5">
        <v>8</v>
      </c>
      <c r="I632" s="7">
        <v>43269</v>
      </c>
      <c r="J632" s="4" t="s">
        <v>27</v>
      </c>
      <c r="K632" s="5">
        <v>4</v>
      </c>
      <c r="L632" s="6">
        <v>1701.96</v>
      </c>
      <c r="M632" s="6">
        <v>0</v>
      </c>
      <c r="N632" s="5">
        <v>29</v>
      </c>
      <c r="O632" s="6">
        <v>41.3</v>
      </c>
      <c r="P632" s="5">
        <v>1</v>
      </c>
      <c r="Q632" s="6">
        <v>3000</v>
      </c>
      <c r="R632" s="6">
        <v>564.26</v>
      </c>
      <c r="S632" s="6">
        <v>0</v>
      </c>
      <c r="T632" s="6">
        <v>0</v>
      </c>
      <c r="U632" s="5">
        <v>598</v>
      </c>
      <c r="V632" s="5">
        <v>0</v>
      </c>
    </row>
    <row r="633" spans="1:22" x14ac:dyDescent="0.25">
      <c r="A633" s="4" t="s">
        <v>703</v>
      </c>
      <c r="B633" s="5">
        <v>18</v>
      </c>
      <c r="C633" s="4" t="s">
        <v>23</v>
      </c>
      <c r="D633" s="4" t="s">
        <v>79</v>
      </c>
      <c r="E633" s="4" t="s">
        <v>117</v>
      </c>
      <c r="F633" s="4" t="s">
        <v>26</v>
      </c>
      <c r="G633" s="6">
        <v>7000</v>
      </c>
      <c r="H633" s="5">
        <v>0</v>
      </c>
      <c r="I633" s="7">
        <v>46097</v>
      </c>
      <c r="J633" s="4" t="s">
        <v>31</v>
      </c>
      <c r="K633" s="5">
        <v>2</v>
      </c>
      <c r="L633" s="6">
        <v>823.99</v>
      </c>
      <c r="M633" s="6">
        <v>688.79</v>
      </c>
      <c r="N633" s="5">
        <v>31</v>
      </c>
      <c r="O633" s="6">
        <v>35.6</v>
      </c>
      <c r="P633" s="5">
        <v>1</v>
      </c>
      <c r="Q633" s="6">
        <v>1000</v>
      </c>
      <c r="R633" s="6">
        <v>244.3</v>
      </c>
      <c r="S633" s="6">
        <v>0</v>
      </c>
      <c r="T633" s="6">
        <v>0</v>
      </c>
      <c r="U633" s="5">
        <v>531</v>
      </c>
      <c r="V633" s="5">
        <v>0</v>
      </c>
    </row>
    <row r="634" spans="1:22" x14ac:dyDescent="0.25">
      <c r="A634" s="4" t="s">
        <v>704</v>
      </c>
      <c r="B634" s="5">
        <v>27</v>
      </c>
      <c r="C634" s="4" t="s">
        <v>23</v>
      </c>
      <c r="D634" s="4" t="s">
        <v>98</v>
      </c>
      <c r="E634" s="4" t="s">
        <v>25</v>
      </c>
      <c r="F634" s="4" t="s">
        <v>26</v>
      </c>
      <c r="G634" s="6">
        <v>29200</v>
      </c>
      <c r="H634" s="5">
        <v>1</v>
      </c>
      <c r="I634" s="7">
        <v>45847</v>
      </c>
      <c r="J634" s="4" t="s">
        <v>39</v>
      </c>
      <c r="K634" s="5">
        <v>4</v>
      </c>
      <c r="L634" s="6">
        <v>4234.32</v>
      </c>
      <c r="M634" s="6">
        <v>5823.47</v>
      </c>
      <c r="N634" s="5">
        <v>24</v>
      </c>
      <c r="O634" s="6">
        <v>36.75</v>
      </c>
      <c r="P634" s="5">
        <v>4</v>
      </c>
      <c r="Q634" s="6">
        <v>3500</v>
      </c>
      <c r="R634" s="6">
        <v>824.42</v>
      </c>
      <c r="S634" s="6">
        <v>0</v>
      </c>
      <c r="T634" s="6">
        <v>0</v>
      </c>
      <c r="U634" s="5">
        <v>627</v>
      </c>
      <c r="V634" s="5">
        <v>0</v>
      </c>
    </row>
    <row r="635" spans="1:22" x14ac:dyDescent="0.25">
      <c r="A635" s="4" t="s">
        <v>705</v>
      </c>
      <c r="B635" s="5">
        <v>39</v>
      </c>
      <c r="C635" s="4" t="s">
        <v>33</v>
      </c>
      <c r="D635" s="4" t="s">
        <v>59</v>
      </c>
      <c r="E635" s="4" t="s">
        <v>25</v>
      </c>
      <c r="F635" s="4" t="s">
        <v>30</v>
      </c>
      <c r="G635" s="6">
        <v>31200</v>
      </c>
      <c r="H635" s="5">
        <v>6</v>
      </c>
      <c r="I635" s="7">
        <v>43848</v>
      </c>
      <c r="J635" s="4" t="s">
        <v>31</v>
      </c>
      <c r="K635" s="5">
        <v>2</v>
      </c>
      <c r="L635" s="6">
        <v>2655.76</v>
      </c>
      <c r="M635" s="6">
        <v>14680.71</v>
      </c>
      <c r="N635" s="5">
        <v>31</v>
      </c>
      <c r="O635" s="6">
        <v>23.99</v>
      </c>
      <c r="P635" s="5">
        <v>0</v>
      </c>
      <c r="Q635" s="6">
        <v>7500</v>
      </c>
      <c r="R635" s="6">
        <v>1886.5</v>
      </c>
      <c r="S635" s="6">
        <v>0</v>
      </c>
      <c r="T635" s="6">
        <v>0</v>
      </c>
      <c r="U635" s="5">
        <v>622</v>
      </c>
      <c r="V635" s="5">
        <v>0</v>
      </c>
    </row>
    <row r="636" spans="1:22" x14ac:dyDescent="0.25">
      <c r="A636" s="4" t="s">
        <v>706</v>
      </c>
      <c r="B636" s="5">
        <v>41</v>
      </c>
      <c r="C636" s="4" t="s">
        <v>23</v>
      </c>
      <c r="D636" s="4" t="s">
        <v>59</v>
      </c>
      <c r="E636" s="4" t="s">
        <v>35</v>
      </c>
      <c r="F636" s="4" t="s">
        <v>30</v>
      </c>
      <c r="G636" s="6">
        <v>40800</v>
      </c>
      <c r="H636" s="5">
        <v>4</v>
      </c>
      <c r="I636" s="7">
        <v>44470</v>
      </c>
      <c r="J636" s="4" t="s">
        <v>27</v>
      </c>
      <c r="K636" s="5">
        <v>3</v>
      </c>
      <c r="L636" s="6">
        <v>2791.01</v>
      </c>
      <c r="M636" s="6">
        <v>30965.03</v>
      </c>
      <c r="N636" s="5">
        <v>38</v>
      </c>
      <c r="O636" s="6">
        <v>69.25</v>
      </c>
      <c r="P636" s="5">
        <v>1</v>
      </c>
      <c r="Q636" s="6">
        <v>0</v>
      </c>
      <c r="R636" s="6">
        <v>0</v>
      </c>
      <c r="S636" s="6">
        <v>0</v>
      </c>
      <c r="T636" s="6">
        <v>0</v>
      </c>
      <c r="U636" s="5">
        <v>713</v>
      </c>
      <c r="V636" s="5">
        <v>0</v>
      </c>
    </row>
    <row r="637" spans="1:22" x14ac:dyDescent="0.25">
      <c r="A637" s="4" t="s">
        <v>707</v>
      </c>
      <c r="B637" s="5">
        <v>45</v>
      </c>
      <c r="C637" s="4" t="s">
        <v>33</v>
      </c>
      <c r="D637" s="4" t="s">
        <v>34</v>
      </c>
      <c r="E637" s="4" t="s">
        <v>54</v>
      </c>
      <c r="F637" s="4" t="s">
        <v>48</v>
      </c>
      <c r="G637" s="6">
        <v>18000</v>
      </c>
      <c r="H637" s="5">
        <v>8</v>
      </c>
      <c r="I637" s="7">
        <v>43350</v>
      </c>
      <c r="J637" s="4" t="s">
        <v>27</v>
      </c>
      <c r="K637" s="5">
        <v>1</v>
      </c>
      <c r="L637" s="6">
        <v>857.56</v>
      </c>
      <c r="M637" s="6">
        <v>9676.51</v>
      </c>
      <c r="N637" s="5">
        <v>20</v>
      </c>
      <c r="O637" s="6">
        <v>38.53</v>
      </c>
      <c r="P637" s="5">
        <v>6</v>
      </c>
      <c r="Q637" s="6">
        <v>3000</v>
      </c>
      <c r="R637" s="6">
        <v>1144.82</v>
      </c>
      <c r="S637" s="6">
        <v>86000</v>
      </c>
      <c r="T637" s="6">
        <v>461</v>
      </c>
      <c r="U637" s="5">
        <v>600</v>
      </c>
      <c r="V637" s="5">
        <v>0</v>
      </c>
    </row>
    <row r="638" spans="1:22" x14ac:dyDescent="0.25">
      <c r="A638" s="4" t="s">
        <v>708</v>
      </c>
      <c r="B638" s="5">
        <v>51</v>
      </c>
      <c r="C638" s="4" t="s">
        <v>33</v>
      </c>
      <c r="D638" s="4" t="s">
        <v>75</v>
      </c>
      <c r="E638" s="4" t="s">
        <v>45</v>
      </c>
      <c r="F638" s="4" t="s">
        <v>26</v>
      </c>
      <c r="G638" s="6">
        <v>23200</v>
      </c>
      <c r="H638" s="5">
        <v>21</v>
      </c>
      <c r="I638" s="7">
        <v>38430</v>
      </c>
      <c r="J638" s="4" t="s">
        <v>49</v>
      </c>
      <c r="K638" s="5">
        <v>5</v>
      </c>
      <c r="L638" s="6">
        <v>1388.48</v>
      </c>
      <c r="M638" s="6">
        <v>30591.65</v>
      </c>
      <c r="N638" s="5">
        <v>11</v>
      </c>
      <c r="O638" s="6">
        <v>96.69</v>
      </c>
      <c r="P638" s="5">
        <v>2</v>
      </c>
      <c r="Q638" s="6">
        <v>3500</v>
      </c>
      <c r="R638" s="6">
        <v>831.04</v>
      </c>
      <c r="S638" s="6">
        <v>0</v>
      </c>
      <c r="T638" s="6">
        <v>0</v>
      </c>
      <c r="U638" s="5">
        <v>685</v>
      </c>
      <c r="V638" s="5">
        <v>0</v>
      </c>
    </row>
    <row r="639" spans="1:22" x14ac:dyDescent="0.25">
      <c r="A639" s="4" t="s">
        <v>709</v>
      </c>
      <c r="B639" s="5">
        <v>52</v>
      </c>
      <c r="C639" s="4" t="s">
        <v>33</v>
      </c>
      <c r="D639" s="4" t="s">
        <v>108</v>
      </c>
      <c r="E639" s="4" t="s">
        <v>25</v>
      </c>
      <c r="F639" s="4" t="s">
        <v>30</v>
      </c>
      <c r="G639" s="6">
        <v>23400</v>
      </c>
      <c r="H639" s="5">
        <v>8</v>
      </c>
      <c r="I639" s="7">
        <v>43022</v>
      </c>
      <c r="J639" s="4" t="s">
        <v>27</v>
      </c>
      <c r="K639" s="5">
        <v>3</v>
      </c>
      <c r="L639" s="6">
        <v>-691.96</v>
      </c>
      <c r="M639" s="6">
        <v>10400.08</v>
      </c>
      <c r="N639" s="5">
        <v>32</v>
      </c>
      <c r="O639" s="6">
        <v>81.13</v>
      </c>
      <c r="P639" s="5">
        <v>2</v>
      </c>
      <c r="Q639" s="6">
        <v>2500</v>
      </c>
      <c r="R639" s="6">
        <v>825.09</v>
      </c>
      <c r="S639" s="6">
        <v>106000</v>
      </c>
      <c r="T639" s="6">
        <v>567</v>
      </c>
      <c r="U639" s="5">
        <v>581</v>
      </c>
      <c r="V639" s="5">
        <v>0</v>
      </c>
    </row>
    <row r="640" spans="1:22" x14ac:dyDescent="0.25">
      <c r="A640" s="4" t="s">
        <v>710</v>
      </c>
      <c r="B640" s="5">
        <v>28</v>
      </c>
      <c r="C640" s="4" t="s">
        <v>33</v>
      </c>
      <c r="D640" s="4" t="s">
        <v>108</v>
      </c>
      <c r="E640" s="4" t="s">
        <v>25</v>
      </c>
      <c r="F640" s="4" t="s">
        <v>30</v>
      </c>
      <c r="G640" s="6">
        <v>21700</v>
      </c>
      <c r="H640" s="5">
        <v>6</v>
      </c>
      <c r="I640" s="7">
        <v>43842</v>
      </c>
      <c r="J640" s="4" t="s">
        <v>31</v>
      </c>
      <c r="K640" s="5">
        <v>2</v>
      </c>
      <c r="L640" s="6">
        <v>1205.69</v>
      </c>
      <c r="M640" s="6">
        <v>0</v>
      </c>
      <c r="N640" s="5">
        <v>30</v>
      </c>
      <c r="O640" s="6">
        <v>82.96</v>
      </c>
      <c r="P640" s="5">
        <v>1</v>
      </c>
      <c r="Q640" s="6">
        <v>0</v>
      </c>
      <c r="R640" s="6">
        <v>0</v>
      </c>
      <c r="S640" s="6">
        <v>99000</v>
      </c>
      <c r="T640" s="6">
        <v>738</v>
      </c>
      <c r="U640" s="5">
        <v>667</v>
      </c>
      <c r="V640" s="5">
        <v>0</v>
      </c>
    </row>
    <row r="641" spans="1:22" x14ac:dyDescent="0.25">
      <c r="A641" s="4" t="s">
        <v>711</v>
      </c>
      <c r="B641" s="5">
        <v>47</v>
      </c>
      <c r="C641" s="4" t="s">
        <v>23</v>
      </c>
      <c r="D641" s="4" t="s">
        <v>59</v>
      </c>
      <c r="E641" s="4" t="s">
        <v>25</v>
      </c>
      <c r="F641" s="4" t="s">
        <v>30</v>
      </c>
      <c r="G641" s="6">
        <v>52500</v>
      </c>
      <c r="H641" s="5">
        <v>15</v>
      </c>
      <c r="I641" s="7">
        <v>40780</v>
      </c>
      <c r="J641" s="4" t="s">
        <v>27</v>
      </c>
      <c r="K641" s="5">
        <v>1</v>
      </c>
      <c r="L641" s="6">
        <v>5999.38</v>
      </c>
      <c r="M641" s="6">
        <v>0</v>
      </c>
      <c r="N641" s="5">
        <v>49</v>
      </c>
      <c r="O641" s="6">
        <v>50.77</v>
      </c>
      <c r="P641" s="5">
        <v>2</v>
      </c>
      <c r="Q641" s="6">
        <v>10500</v>
      </c>
      <c r="R641" s="6">
        <v>2589</v>
      </c>
      <c r="S641" s="6">
        <v>253000</v>
      </c>
      <c r="T641" s="6">
        <v>1710</v>
      </c>
      <c r="U641" s="5">
        <v>692</v>
      </c>
      <c r="V641" s="5">
        <v>0</v>
      </c>
    </row>
    <row r="642" spans="1:22" x14ac:dyDescent="0.25">
      <c r="A642" s="4" t="s">
        <v>712</v>
      </c>
      <c r="B642" s="5">
        <v>33</v>
      </c>
      <c r="C642" s="4" t="s">
        <v>33</v>
      </c>
      <c r="D642" s="4" t="s">
        <v>34</v>
      </c>
      <c r="E642" s="4" t="s">
        <v>63</v>
      </c>
      <c r="F642" s="4" t="s">
        <v>30</v>
      </c>
      <c r="G642" s="6">
        <v>40500</v>
      </c>
      <c r="H642" s="5">
        <v>7</v>
      </c>
      <c r="I642" s="7">
        <v>43510</v>
      </c>
      <c r="J642" s="4" t="s">
        <v>49</v>
      </c>
      <c r="K642" s="5">
        <v>1</v>
      </c>
      <c r="L642" s="6">
        <v>4424.8100000000004</v>
      </c>
      <c r="M642" s="6">
        <v>39224.879999999997</v>
      </c>
      <c r="N642" s="5">
        <v>26</v>
      </c>
      <c r="O642" s="6">
        <v>76.41</v>
      </c>
      <c r="P642" s="5">
        <v>5</v>
      </c>
      <c r="Q642" s="6">
        <v>7000</v>
      </c>
      <c r="R642" s="6">
        <v>3378.44</v>
      </c>
      <c r="S642" s="6">
        <v>173000</v>
      </c>
      <c r="T642" s="6">
        <v>808</v>
      </c>
      <c r="U642" s="5">
        <v>670</v>
      </c>
      <c r="V642" s="5">
        <v>0</v>
      </c>
    </row>
    <row r="643" spans="1:22" x14ac:dyDescent="0.25">
      <c r="A643" s="4" t="s">
        <v>713</v>
      </c>
      <c r="B643" s="5">
        <v>47</v>
      </c>
      <c r="C643" s="4" t="s">
        <v>33</v>
      </c>
      <c r="D643" s="4" t="s">
        <v>29</v>
      </c>
      <c r="E643" s="4" t="s">
        <v>35</v>
      </c>
      <c r="F643" s="4" t="s">
        <v>26</v>
      </c>
      <c r="G643" s="6">
        <v>36700</v>
      </c>
      <c r="H643" s="5">
        <v>12</v>
      </c>
      <c r="I643" s="7">
        <v>41690</v>
      </c>
      <c r="J643" s="4" t="s">
        <v>27</v>
      </c>
      <c r="K643" s="5">
        <v>1</v>
      </c>
      <c r="L643" s="6">
        <v>3363.83</v>
      </c>
      <c r="M643" s="6">
        <v>25244.91</v>
      </c>
      <c r="N643" s="5">
        <v>32</v>
      </c>
      <c r="O643" s="6">
        <v>47.17</v>
      </c>
      <c r="P643" s="5">
        <v>4</v>
      </c>
      <c r="Q643" s="6">
        <v>0</v>
      </c>
      <c r="R643" s="6">
        <v>0</v>
      </c>
      <c r="S643" s="6">
        <v>113000</v>
      </c>
      <c r="T643" s="6">
        <v>591</v>
      </c>
      <c r="U643" s="5">
        <v>743</v>
      </c>
      <c r="V643" s="5">
        <v>0</v>
      </c>
    </row>
    <row r="644" spans="1:22" x14ac:dyDescent="0.25">
      <c r="A644" s="4" t="s">
        <v>714</v>
      </c>
      <c r="B644" s="5">
        <v>29</v>
      </c>
      <c r="C644" s="4" t="s">
        <v>23</v>
      </c>
      <c r="D644" s="4" t="s">
        <v>57</v>
      </c>
      <c r="E644" s="4" t="s">
        <v>54</v>
      </c>
      <c r="F644" s="4" t="s">
        <v>26</v>
      </c>
      <c r="G644" s="6">
        <v>21900</v>
      </c>
      <c r="H644" s="5">
        <v>7</v>
      </c>
      <c r="I644" s="7">
        <v>43423</v>
      </c>
      <c r="J644" s="4" t="s">
        <v>27</v>
      </c>
      <c r="K644" s="5">
        <v>2</v>
      </c>
      <c r="L644" s="6">
        <v>6201.5</v>
      </c>
      <c r="M644" s="6">
        <v>9354.0499999999993</v>
      </c>
      <c r="N644" s="5">
        <v>25</v>
      </c>
      <c r="O644" s="6">
        <v>41.06</v>
      </c>
      <c r="P644" s="5">
        <v>5</v>
      </c>
      <c r="Q644" s="6">
        <v>3500</v>
      </c>
      <c r="R644" s="6">
        <v>876.86</v>
      </c>
      <c r="S644" s="6">
        <v>0</v>
      </c>
      <c r="T644" s="6">
        <v>0</v>
      </c>
      <c r="U644" s="5">
        <v>607</v>
      </c>
      <c r="V644" s="5">
        <v>0</v>
      </c>
    </row>
    <row r="645" spans="1:22" x14ac:dyDescent="0.25">
      <c r="A645" s="4" t="s">
        <v>715</v>
      </c>
      <c r="B645" s="5">
        <v>24</v>
      </c>
      <c r="C645" s="4" t="s">
        <v>33</v>
      </c>
      <c r="D645" s="4" t="s">
        <v>29</v>
      </c>
      <c r="E645" s="4" t="s">
        <v>54</v>
      </c>
      <c r="F645" s="4" t="s">
        <v>26</v>
      </c>
      <c r="G645" s="6">
        <v>34800</v>
      </c>
      <c r="H645" s="5">
        <v>19</v>
      </c>
      <c r="I645" s="7">
        <v>39198</v>
      </c>
      <c r="J645" s="4" t="s">
        <v>31</v>
      </c>
      <c r="K645" s="5">
        <v>1</v>
      </c>
      <c r="L645" s="6">
        <v>1080.7</v>
      </c>
      <c r="M645" s="6">
        <v>6721.98</v>
      </c>
      <c r="N645" s="5">
        <v>39</v>
      </c>
      <c r="O645" s="6">
        <v>49.11</v>
      </c>
      <c r="P645" s="5">
        <v>1</v>
      </c>
      <c r="Q645" s="6">
        <v>5500</v>
      </c>
      <c r="R645" s="6">
        <v>768.04</v>
      </c>
      <c r="S645" s="6">
        <v>0</v>
      </c>
      <c r="T645" s="6">
        <v>0</v>
      </c>
      <c r="U645" s="5">
        <v>617</v>
      </c>
      <c r="V645" s="5">
        <v>1</v>
      </c>
    </row>
    <row r="646" spans="1:22" x14ac:dyDescent="0.25">
      <c r="A646" s="4" t="s">
        <v>716</v>
      </c>
      <c r="B646" s="5">
        <v>45</v>
      </c>
      <c r="C646" s="4" t="s">
        <v>23</v>
      </c>
      <c r="D646" s="4" t="s">
        <v>29</v>
      </c>
      <c r="E646" s="4" t="s">
        <v>67</v>
      </c>
      <c r="F646" s="4" t="s">
        <v>26</v>
      </c>
      <c r="G646" s="6">
        <v>4300</v>
      </c>
      <c r="H646" s="5">
        <v>12</v>
      </c>
      <c r="I646" s="7">
        <v>41709</v>
      </c>
      <c r="J646" s="4" t="s">
        <v>27</v>
      </c>
      <c r="K646" s="5">
        <v>4</v>
      </c>
      <c r="L646" s="6">
        <v>381.74</v>
      </c>
      <c r="M646" s="6">
        <v>5741.87</v>
      </c>
      <c r="N646" s="5">
        <v>25</v>
      </c>
      <c r="O646" s="6">
        <v>27.31</v>
      </c>
      <c r="P646" s="5">
        <v>3</v>
      </c>
      <c r="Q646" s="6">
        <v>500</v>
      </c>
      <c r="R646" s="6">
        <v>21.23</v>
      </c>
      <c r="S646" s="6">
        <v>0</v>
      </c>
      <c r="T646" s="6">
        <v>0</v>
      </c>
      <c r="U646" s="5">
        <v>530</v>
      </c>
      <c r="V646" s="5">
        <v>0</v>
      </c>
    </row>
    <row r="647" spans="1:22" x14ac:dyDescent="0.25">
      <c r="A647" s="4" t="s">
        <v>717</v>
      </c>
      <c r="B647" s="5">
        <v>30</v>
      </c>
      <c r="C647" s="4" t="s">
        <v>23</v>
      </c>
      <c r="D647" s="4" t="s">
        <v>24</v>
      </c>
      <c r="E647" s="4" t="s">
        <v>54</v>
      </c>
      <c r="F647" s="4" t="s">
        <v>30</v>
      </c>
      <c r="G647" s="6">
        <v>30000</v>
      </c>
      <c r="H647" s="5">
        <v>3</v>
      </c>
      <c r="I647" s="7">
        <v>44840</v>
      </c>
      <c r="J647" s="4" t="s">
        <v>31</v>
      </c>
      <c r="K647" s="5">
        <v>1</v>
      </c>
      <c r="L647" s="6">
        <v>2425.5700000000002</v>
      </c>
      <c r="M647" s="6">
        <v>20847.47</v>
      </c>
      <c r="N647" s="5">
        <v>23</v>
      </c>
      <c r="O647" s="6">
        <v>122.78</v>
      </c>
      <c r="P647" s="5">
        <v>2</v>
      </c>
      <c r="Q647" s="6">
        <v>4500</v>
      </c>
      <c r="R647" s="6">
        <v>1338.45</v>
      </c>
      <c r="S647" s="6">
        <v>0</v>
      </c>
      <c r="T647" s="6">
        <v>0</v>
      </c>
      <c r="U647" s="5">
        <v>558</v>
      </c>
      <c r="V647" s="5">
        <v>1</v>
      </c>
    </row>
    <row r="648" spans="1:22" x14ac:dyDescent="0.25">
      <c r="A648" s="4" t="s">
        <v>718</v>
      </c>
      <c r="B648" s="5">
        <v>53</v>
      </c>
      <c r="C648" s="4" t="s">
        <v>33</v>
      </c>
      <c r="D648" s="4" t="s">
        <v>70</v>
      </c>
      <c r="E648" s="4" t="s">
        <v>90</v>
      </c>
      <c r="F648" s="4" t="s">
        <v>48</v>
      </c>
      <c r="G648" s="6">
        <v>109100</v>
      </c>
      <c r="H648" s="5">
        <v>1</v>
      </c>
      <c r="I648" s="7">
        <v>45561</v>
      </c>
      <c r="J648" s="4" t="s">
        <v>31</v>
      </c>
      <c r="K648" s="5">
        <v>1</v>
      </c>
      <c r="L648" s="6">
        <v>12231.83</v>
      </c>
      <c r="M648" s="6">
        <v>23668.65</v>
      </c>
      <c r="N648" s="5">
        <v>63</v>
      </c>
      <c r="O648" s="6">
        <v>40.729999999999997</v>
      </c>
      <c r="P648" s="5">
        <v>0</v>
      </c>
      <c r="Q648" s="6">
        <v>15000</v>
      </c>
      <c r="R648" s="6">
        <v>3158.63</v>
      </c>
      <c r="S648" s="6">
        <v>0</v>
      </c>
      <c r="T648" s="6">
        <v>0</v>
      </c>
      <c r="U648" s="5">
        <v>633</v>
      </c>
      <c r="V648" s="5">
        <v>0</v>
      </c>
    </row>
    <row r="649" spans="1:22" x14ac:dyDescent="0.25">
      <c r="A649" s="4" t="s">
        <v>719</v>
      </c>
      <c r="B649" s="5">
        <v>68</v>
      </c>
      <c r="C649" s="4" t="s">
        <v>23</v>
      </c>
      <c r="D649" s="4" t="s">
        <v>59</v>
      </c>
      <c r="E649" s="4" t="s">
        <v>95</v>
      </c>
      <c r="F649" s="4" t="s">
        <v>38</v>
      </c>
      <c r="G649" s="6">
        <v>22600</v>
      </c>
      <c r="H649" s="5">
        <v>33</v>
      </c>
      <c r="I649" s="7">
        <v>34087</v>
      </c>
      <c r="J649" s="4" t="s">
        <v>39</v>
      </c>
      <c r="K649" s="5">
        <v>5</v>
      </c>
      <c r="L649" s="6">
        <v>1758.92</v>
      </c>
      <c r="M649" s="6">
        <v>52711.71</v>
      </c>
      <c r="N649" s="5">
        <v>23</v>
      </c>
      <c r="O649" s="6">
        <v>67.599999999999994</v>
      </c>
      <c r="P649" s="5">
        <v>4</v>
      </c>
      <c r="Q649" s="6">
        <v>0</v>
      </c>
      <c r="R649" s="6">
        <v>0</v>
      </c>
      <c r="S649" s="6">
        <v>0</v>
      </c>
      <c r="T649" s="6">
        <v>0</v>
      </c>
      <c r="U649" s="5">
        <v>775</v>
      </c>
      <c r="V649" s="5">
        <v>0</v>
      </c>
    </row>
    <row r="650" spans="1:22" x14ac:dyDescent="0.25">
      <c r="A650" s="4" t="s">
        <v>720</v>
      </c>
      <c r="B650" s="5">
        <v>71</v>
      </c>
      <c r="C650" s="4" t="s">
        <v>23</v>
      </c>
      <c r="D650" s="4" t="s">
        <v>98</v>
      </c>
      <c r="E650" s="4" t="s">
        <v>95</v>
      </c>
      <c r="F650" s="4" t="s">
        <v>30</v>
      </c>
      <c r="G650" s="6">
        <v>21200</v>
      </c>
      <c r="H650" s="5">
        <v>10</v>
      </c>
      <c r="I650" s="7">
        <v>42574</v>
      </c>
      <c r="J650" s="4" t="s">
        <v>39</v>
      </c>
      <c r="K650" s="5">
        <v>3</v>
      </c>
      <c r="L650" s="6">
        <v>757.96</v>
      </c>
      <c r="M650" s="6">
        <v>26216.46</v>
      </c>
      <c r="N650" s="5">
        <v>14</v>
      </c>
      <c r="O650" s="6">
        <v>57.5</v>
      </c>
      <c r="P650" s="5">
        <v>5</v>
      </c>
      <c r="Q650" s="6">
        <v>5000</v>
      </c>
      <c r="R650" s="6">
        <v>2306.71</v>
      </c>
      <c r="S650" s="6">
        <v>0</v>
      </c>
      <c r="T650" s="6">
        <v>0</v>
      </c>
      <c r="U650" s="5">
        <v>577</v>
      </c>
      <c r="V650" s="5">
        <v>1</v>
      </c>
    </row>
    <row r="651" spans="1:22" x14ac:dyDescent="0.25">
      <c r="A651" s="4" t="s">
        <v>721</v>
      </c>
      <c r="B651" s="5">
        <v>23</v>
      </c>
      <c r="C651" s="4" t="s">
        <v>23</v>
      </c>
      <c r="D651" s="4" t="s">
        <v>34</v>
      </c>
      <c r="E651" s="4" t="s">
        <v>117</v>
      </c>
      <c r="F651" s="4" t="s">
        <v>26</v>
      </c>
      <c r="G651" s="6">
        <v>5000</v>
      </c>
      <c r="H651" s="5">
        <v>0</v>
      </c>
      <c r="I651" s="7">
        <v>46259</v>
      </c>
      <c r="J651" s="4" t="s">
        <v>31</v>
      </c>
      <c r="K651" s="5">
        <v>3</v>
      </c>
      <c r="L651" s="6">
        <v>326.8</v>
      </c>
      <c r="M651" s="6">
        <v>0</v>
      </c>
      <c r="N651" s="5">
        <v>22</v>
      </c>
      <c r="O651" s="6">
        <v>21.11</v>
      </c>
      <c r="P651" s="5">
        <v>2</v>
      </c>
      <c r="Q651" s="6">
        <v>1000</v>
      </c>
      <c r="R651" s="6">
        <v>97.62</v>
      </c>
      <c r="S651" s="6">
        <v>0</v>
      </c>
      <c r="T651" s="6">
        <v>0</v>
      </c>
      <c r="U651" s="5">
        <v>500</v>
      </c>
      <c r="V651" s="5">
        <v>0</v>
      </c>
    </row>
    <row r="652" spans="1:22" x14ac:dyDescent="0.25">
      <c r="A652" s="4" t="s">
        <v>722</v>
      </c>
      <c r="B652" s="5">
        <v>26</v>
      </c>
      <c r="C652" s="4" t="s">
        <v>33</v>
      </c>
      <c r="D652" s="4" t="s">
        <v>75</v>
      </c>
      <c r="E652" s="4" t="s">
        <v>63</v>
      </c>
      <c r="F652" s="4" t="s">
        <v>30</v>
      </c>
      <c r="G652" s="6">
        <v>21800</v>
      </c>
      <c r="H652" s="5">
        <v>2</v>
      </c>
      <c r="I652" s="7">
        <v>45236</v>
      </c>
      <c r="J652" s="4" t="s">
        <v>27</v>
      </c>
      <c r="K652" s="5">
        <v>2</v>
      </c>
      <c r="L652" s="6">
        <v>917.43</v>
      </c>
      <c r="M652" s="6">
        <v>4249.45</v>
      </c>
      <c r="N652" s="5">
        <v>615</v>
      </c>
      <c r="O652" s="6">
        <v>101.11</v>
      </c>
      <c r="P652" s="5">
        <v>0</v>
      </c>
      <c r="Q652" s="6">
        <v>0</v>
      </c>
      <c r="R652" s="6">
        <v>0</v>
      </c>
      <c r="S652" s="6">
        <v>0</v>
      </c>
      <c r="T652" s="6">
        <v>0</v>
      </c>
      <c r="U652" s="5">
        <v>595</v>
      </c>
      <c r="V652" s="5">
        <v>0</v>
      </c>
    </row>
    <row r="653" spans="1:22" x14ac:dyDescent="0.25">
      <c r="A653" s="4" t="s">
        <v>723</v>
      </c>
      <c r="B653" s="5">
        <v>49</v>
      </c>
      <c r="C653" s="4" t="s">
        <v>33</v>
      </c>
      <c r="D653" s="4" t="s">
        <v>24</v>
      </c>
      <c r="E653" s="4" t="s">
        <v>45</v>
      </c>
      <c r="F653" s="4" t="s">
        <v>30</v>
      </c>
      <c r="G653" s="6">
        <v>25100</v>
      </c>
      <c r="H653" s="5">
        <v>13</v>
      </c>
      <c r="I653" s="7">
        <v>41273</v>
      </c>
      <c r="J653" s="4" t="s">
        <v>27</v>
      </c>
      <c r="K653" s="5">
        <v>1</v>
      </c>
      <c r="L653" s="6">
        <v>3402.52</v>
      </c>
      <c r="M653" s="6">
        <v>0</v>
      </c>
      <c r="N653" s="5">
        <v>27</v>
      </c>
      <c r="O653" s="6">
        <v>79.7</v>
      </c>
      <c r="P653" s="5">
        <v>2</v>
      </c>
      <c r="Q653" s="6">
        <v>0</v>
      </c>
      <c r="R653" s="6">
        <v>0</v>
      </c>
      <c r="S653" s="6">
        <v>0</v>
      </c>
      <c r="T653" s="6">
        <v>0</v>
      </c>
      <c r="U653" s="5">
        <v>658</v>
      </c>
      <c r="V653" s="5">
        <v>0</v>
      </c>
    </row>
    <row r="654" spans="1:22" x14ac:dyDescent="0.25">
      <c r="A654" s="4" t="s">
        <v>724</v>
      </c>
      <c r="B654" s="5">
        <v>54</v>
      </c>
      <c r="C654" s="4" t="s">
        <v>33</v>
      </c>
      <c r="D654" s="4" t="s">
        <v>59</v>
      </c>
      <c r="E654" s="4" t="s">
        <v>90</v>
      </c>
      <c r="F654" s="4" t="s">
        <v>30</v>
      </c>
      <c r="G654" s="6">
        <v>114600</v>
      </c>
      <c r="H654" s="5">
        <v>5</v>
      </c>
      <c r="I654" s="7">
        <v>44181</v>
      </c>
      <c r="J654" s="4" t="s">
        <v>31</v>
      </c>
      <c r="K654" s="5">
        <v>2</v>
      </c>
      <c r="L654" s="6">
        <v>6375.83</v>
      </c>
      <c r="M654" s="6">
        <v>0</v>
      </c>
      <c r="N654" s="5">
        <v>47</v>
      </c>
      <c r="O654" s="6">
        <v>58.05</v>
      </c>
      <c r="P654" s="5">
        <v>3</v>
      </c>
      <c r="Q654" s="6">
        <v>15000</v>
      </c>
      <c r="R654" s="6">
        <v>1754.99</v>
      </c>
      <c r="S654" s="6">
        <v>0</v>
      </c>
      <c r="T654" s="6">
        <v>0</v>
      </c>
      <c r="U654" s="5">
        <v>644</v>
      </c>
      <c r="V654" s="5">
        <v>0</v>
      </c>
    </row>
    <row r="655" spans="1:22" x14ac:dyDescent="0.25">
      <c r="A655" s="4" t="s">
        <v>725</v>
      </c>
      <c r="B655" s="5">
        <v>50</v>
      </c>
      <c r="C655" s="4" t="s">
        <v>33</v>
      </c>
      <c r="D655" s="4" t="s">
        <v>34</v>
      </c>
      <c r="E655" s="4" t="s">
        <v>54</v>
      </c>
      <c r="F655" s="4" t="s">
        <v>30</v>
      </c>
      <c r="G655" s="6">
        <v>33200</v>
      </c>
      <c r="H655" s="5">
        <v>18</v>
      </c>
      <c r="I655" s="7">
        <v>39395</v>
      </c>
      <c r="J655" s="4" t="s">
        <v>27</v>
      </c>
      <c r="K655" s="5">
        <v>1</v>
      </c>
      <c r="L655" s="6">
        <v>1679.26</v>
      </c>
      <c r="M655" s="6">
        <v>39655.9</v>
      </c>
      <c r="N655" s="5">
        <v>35</v>
      </c>
      <c r="O655" s="6">
        <v>44.81</v>
      </c>
      <c r="P655" s="5">
        <v>1</v>
      </c>
      <c r="Q655" s="6">
        <v>6500</v>
      </c>
      <c r="R655" s="6">
        <v>532.83000000000004</v>
      </c>
      <c r="S655" s="6">
        <v>0</v>
      </c>
      <c r="T655" s="6">
        <v>0</v>
      </c>
      <c r="U655" s="5">
        <v>662</v>
      </c>
      <c r="V655" s="5">
        <v>0</v>
      </c>
    </row>
    <row r="656" spans="1:22" x14ac:dyDescent="0.25">
      <c r="A656" s="4" t="s">
        <v>726</v>
      </c>
      <c r="B656" s="5">
        <v>35</v>
      </c>
      <c r="C656" s="4" t="s">
        <v>33</v>
      </c>
      <c r="D656" s="4" t="s">
        <v>34</v>
      </c>
      <c r="E656" s="4" t="s">
        <v>35</v>
      </c>
      <c r="F656" s="4" t="s">
        <v>30</v>
      </c>
      <c r="G656" s="6">
        <v>51000</v>
      </c>
      <c r="H656" s="5">
        <v>2</v>
      </c>
      <c r="I656" s="7">
        <v>45495</v>
      </c>
      <c r="J656" s="4" t="s">
        <v>27</v>
      </c>
      <c r="K656" s="5">
        <v>2</v>
      </c>
      <c r="L656" s="6">
        <v>1480.38</v>
      </c>
      <c r="M656" s="6">
        <v>19592.59</v>
      </c>
      <c r="N656" s="5">
        <v>36</v>
      </c>
      <c r="O656" s="6">
        <v>64.36</v>
      </c>
      <c r="P656" s="5">
        <v>0</v>
      </c>
      <c r="Q656" s="6">
        <v>6500</v>
      </c>
      <c r="R656" s="6">
        <v>2618.66</v>
      </c>
      <c r="S656" s="6">
        <v>90000</v>
      </c>
      <c r="T656" s="6">
        <v>673</v>
      </c>
      <c r="U656" s="5">
        <v>661</v>
      </c>
      <c r="V656" s="5">
        <v>0</v>
      </c>
    </row>
    <row r="657" spans="1:22" x14ac:dyDescent="0.25">
      <c r="A657" s="4" t="s">
        <v>727</v>
      </c>
      <c r="B657" s="5">
        <v>55</v>
      </c>
      <c r="C657" s="4" t="s">
        <v>33</v>
      </c>
      <c r="D657" s="4" t="s">
        <v>41</v>
      </c>
      <c r="E657" s="4" t="s">
        <v>63</v>
      </c>
      <c r="F657" s="4" t="s">
        <v>30</v>
      </c>
      <c r="G657" s="6">
        <v>26500</v>
      </c>
      <c r="H657" s="5">
        <v>22</v>
      </c>
      <c r="I657" s="7">
        <v>37966</v>
      </c>
      <c r="J657" s="4" t="s">
        <v>39</v>
      </c>
      <c r="K657" s="5">
        <v>3</v>
      </c>
      <c r="L657" s="6">
        <v>7561.1</v>
      </c>
      <c r="M657" s="6">
        <v>0</v>
      </c>
      <c r="N657" s="5">
        <v>18</v>
      </c>
      <c r="O657" s="6">
        <v>50.5</v>
      </c>
      <c r="P657" s="5">
        <v>4</v>
      </c>
      <c r="Q657" s="6">
        <v>3000</v>
      </c>
      <c r="R657" s="6">
        <v>367.2</v>
      </c>
      <c r="S657" s="6">
        <v>95000</v>
      </c>
      <c r="T657" s="6">
        <v>666</v>
      </c>
      <c r="U657" s="5">
        <v>759</v>
      </c>
      <c r="V657" s="5">
        <v>0</v>
      </c>
    </row>
    <row r="658" spans="1:22" x14ac:dyDescent="0.25">
      <c r="A658" s="4" t="s">
        <v>728</v>
      </c>
      <c r="B658" s="5">
        <v>34</v>
      </c>
      <c r="C658" s="4" t="s">
        <v>23</v>
      </c>
      <c r="D658" s="4" t="s">
        <v>75</v>
      </c>
      <c r="E658" s="4" t="s">
        <v>25</v>
      </c>
      <c r="F658" s="4" t="s">
        <v>30</v>
      </c>
      <c r="G658" s="6">
        <v>28700</v>
      </c>
      <c r="H658" s="5">
        <v>5</v>
      </c>
      <c r="I658" s="7">
        <v>44198</v>
      </c>
      <c r="J658" s="4" t="s">
        <v>49</v>
      </c>
      <c r="K658" s="5">
        <v>2</v>
      </c>
      <c r="L658" s="6">
        <v>9179.99</v>
      </c>
      <c r="M658" s="6">
        <v>10533.12</v>
      </c>
      <c r="N658" s="5">
        <v>31</v>
      </c>
      <c r="O658" s="6">
        <v>49.58</v>
      </c>
      <c r="P658" s="5">
        <v>2</v>
      </c>
      <c r="Q658" s="6">
        <v>0</v>
      </c>
      <c r="R658" s="6">
        <v>0</v>
      </c>
      <c r="S658" s="6">
        <v>0</v>
      </c>
      <c r="T658" s="6">
        <v>0</v>
      </c>
      <c r="U658" s="5">
        <v>641</v>
      </c>
      <c r="V658" s="5">
        <v>0</v>
      </c>
    </row>
    <row r="659" spans="1:22" x14ac:dyDescent="0.25">
      <c r="A659" s="4" t="s">
        <v>729</v>
      </c>
      <c r="B659" s="5">
        <v>55</v>
      </c>
      <c r="C659" s="4" t="s">
        <v>23</v>
      </c>
      <c r="D659" s="4" t="s">
        <v>59</v>
      </c>
      <c r="E659" s="4" t="s">
        <v>35</v>
      </c>
      <c r="F659" s="4" t="s">
        <v>30</v>
      </c>
      <c r="G659" s="6">
        <v>58900</v>
      </c>
      <c r="H659" s="5">
        <v>24</v>
      </c>
      <c r="I659" s="7">
        <v>37362</v>
      </c>
      <c r="J659" s="4" t="s">
        <v>39</v>
      </c>
      <c r="K659" s="5">
        <v>3</v>
      </c>
      <c r="L659" s="6">
        <v>38039.39</v>
      </c>
      <c r="M659" s="6">
        <v>51754.86</v>
      </c>
      <c r="N659" s="5">
        <v>34</v>
      </c>
      <c r="O659" s="6">
        <v>71.680000000000007</v>
      </c>
      <c r="P659" s="5">
        <v>7</v>
      </c>
      <c r="Q659" s="6">
        <v>9500</v>
      </c>
      <c r="R659" s="6">
        <v>2752.04</v>
      </c>
      <c r="S659" s="6">
        <v>0</v>
      </c>
      <c r="T659" s="6">
        <v>0</v>
      </c>
      <c r="U659" s="5">
        <v>717</v>
      </c>
      <c r="V659" s="5">
        <v>1</v>
      </c>
    </row>
    <row r="660" spans="1:22" x14ac:dyDescent="0.25">
      <c r="A660" s="4" t="s">
        <v>730</v>
      </c>
      <c r="B660" s="5">
        <v>41</v>
      </c>
      <c r="C660" s="4" t="s">
        <v>23</v>
      </c>
      <c r="D660" s="4" t="s">
        <v>41</v>
      </c>
      <c r="E660" s="4" t="s">
        <v>35</v>
      </c>
      <c r="F660" s="4" t="s">
        <v>30</v>
      </c>
      <c r="G660" s="6">
        <v>51800</v>
      </c>
      <c r="H660" s="5">
        <v>11</v>
      </c>
      <c r="I660" s="7">
        <v>41995</v>
      </c>
      <c r="J660" s="4" t="s">
        <v>39</v>
      </c>
      <c r="K660" s="5">
        <v>6</v>
      </c>
      <c r="L660" s="6">
        <v>6324.11</v>
      </c>
      <c r="M660" s="6">
        <v>0</v>
      </c>
      <c r="N660" s="5">
        <v>39</v>
      </c>
      <c r="O660" s="6">
        <v>112.67</v>
      </c>
      <c r="P660" s="5">
        <v>8</v>
      </c>
      <c r="Q660" s="6">
        <v>9500</v>
      </c>
      <c r="R660" s="6">
        <v>2325.92</v>
      </c>
      <c r="S660" s="6">
        <v>242000</v>
      </c>
      <c r="T660" s="6">
        <v>1109</v>
      </c>
      <c r="U660" s="5">
        <v>690</v>
      </c>
      <c r="V660" s="5">
        <v>0</v>
      </c>
    </row>
    <row r="661" spans="1:22" x14ac:dyDescent="0.25">
      <c r="A661" s="4" t="s">
        <v>731</v>
      </c>
      <c r="B661" s="5">
        <v>63</v>
      </c>
      <c r="C661" s="4" t="s">
        <v>33</v>
      </c>
      <c r="D661" s="4" t="s">
        <v>98</v>
      </c>
      <c r="E661" s="4" t="s">
        <v>67</v>
      </c>
      <c r="F661" s="4" t="s">
        <v>38</v>
      </c>
      <c r="G661" s="6">
        <v>5800</v>
      </c>
      <c r="H661" s="5">
        <v>26</v>
      </c>
      <c r="I661" s="7">
        <v>36736</v>
      </c>
      <c r="J661" s="4" t="s">
        <v>49</v>
      </c>
      <c r="K661" s="5">
        <v>5</v>
      </c>
      <c r="L661" s="6">
        <v>140.74</v>
      </c>
      <c r="M661" s="6">
        <v>8266.08</v>
      </c>
      <c r="N661" s="5">
        <v>16</v>
      </c>
      <c r="O661" s="6">
        <v>34.049999999999997</v>
      </c>
      <c r="P661" s="5">
        <v>3</v>
      </c>
      <c r="Q661" s="6">
        <v>1000</v>
      </c>
      <c r="R661" s="6">
        <v>143.75</v>
      </c>
      <c r="S661" s="6">
        <v>0</v>
      </c>
      <c r="T661" s="6">
        <v>0</v>
      </c>
      <c r="U661" s="5">
        <v>663</v>
      </c>
      <c r="V661" s="5">
        <v>0</v>
      </c>
    </row>
    <row r="662" spans="1:22" x14ac:dyDescent="0.25">
      <c r="A662" s="4" t="s">
        <v>732</v>
      </c>
      <c r="B662" s="5">
        <v>55</v>
      </c>
      <c r="C662" s="4" t="s">
        <v>23</v>
      </c>
      <c r="D662" s="4" t="s">
        <v>44</v>
      </c>
      <c r="E662" s="4" t="s">
        <v>45</v>
      </c>
      <c r="F662" s="4" t="s">
        <v>30</v>
      </c>
      <c r="G662" s="6">
        <v>18200</v>
      </c>
      <c r="H662" s="5">
        <v>9</v>
      </c>
      <c r="I662" s="7">
        <v>42930</v>
      </c>
      <c r="J662" s="4" t="s">
        <v>31</v>
      </c>
      <c r="K662" s="5">
        <v>3</v>
      </c>
      <c r="L662" s="6">
        <v>6226.24</v>
      </c>
      <c r="M662" s="6">
        <v>11490.31</v>
      </c>
      <c r="N662" s="5">
        <v>21</v>
      </c>
      <c r="O662" s="6">
        <v>35.75</v>
      </c>
      <c r="P662" s="5">
        <v>2</v>
      </c>
      <c r="Q662" s="6">
        <v>0</v>
      </c>
      <c r="R662" s="6">
        <v>0</v>
      </c>
      <c r="S662" s="6">
        <v>51000</v>
      </c>
      <c r="T662" s="6">
        <v>297</v>
      </c>
      <c r="U662" s="5">
        <v>614</v>
      </c>
      <c r="V662" s="5">
        <v>0</v>
      </c>
    </row>
    <row r="663" spans="1:22" x14ac:dyDescent="0.25">
      <c r="A663" s="4" t="s">
        <v>733</v>
      </c>
      <c r="B663" s="5">
        <v>22</v>
      </c>
      <c r="C663" s="4" t="s">
        <v>23</v>
      </c>
      <c r="D663" s="4" t="s">
        <v>24</v>
      </c>
      <c r="E663" s="4" t="s">
        <v>45</v>
      </c>
      <c r="F663" s="4" t="s">
        <v>26</v>
      </c>
      <c r="G663" s="6">
        <v>11400</v>
      </c>
      <c r="H663" s="5">
        <v>0</v>
      </c>
      <c r="I663" s="7">
        <v>45965</v>
      </c>
      <c r="J663" s="4" t="s">
        <v>31</v>
      </c>
      <c r="K663" s="5">
        <v>1</v>
      </c>
      <c r="L663" s="6">
        <v>200.69</v>
      </c>
      <c r="M663" s="6">
        <v>0</v>
      </c>
      <c r="N663" s="5">
        <v>48</v>
      </c>
      <c r="O663" s="6">
        <v>199</v>
      </c>
      <c r="P663" s="5">
        <v>0</v>
      </c>
      <c r="Q663" s="6">
        <v>0</v>
      </c>
      <c r="R663" s="6">
        <v>0</v>
      </c>
      <c r="S663" s="6">
        <v>0</v>
      </c>
      <c r="T663" s="6">
        <v>0</v>
      </c>
      <c r="U663" s="5">
        <v>650</v>
      </c>
      <c r="V663" s="5">
        <v>0</v>
      </c>
    </row>
    <row r="664" spans="1:22" x14ac:dyDescent="0.25">
      <c r="A664" s="4" t="s">
        <v>734</v>
      </c>
      <c r="B664" s="5">
        <v>72</v>
      </c>
      <c r="C664" s="4" t="s">
        <v>33</v>
      </c>
      <c r="D664" s="4" t="s">
        <v>24</v>
      </c>
      <c r="E664" s="4" t="s">
        <v>95</v>
      </c>
      <c r="F664" s="4" t="s">
        <v>38</v>
      </c>
      <c r="G664" s="6">
        <v>22100</v>
      </c>
      <c r="H664" s="5">
        <v>28</v>
      </c>
      <c r="I664" s="7">
        <v>35909</v>
      </c>
      <c r="J664" s="4" t="s">
        <v>49</v>
      </c>
      <c r="K664" s="5">
        <v>3</v>
      </c>
      <c r="L664" s="6">
        <v>-1507.37</v>
      </c>
      <c r="M664" s="6">
        <v>38627.39</v>
      </c>
      <c r="N664" s="5">
        <v>22</v>
      </c>
      <c r="O664" s="6">
        <v>60.18</v>
      </c>
      <c r="P664" s="5">
        <v>4</v>
      </c>
      <c r="Q664" s="6">
        <v>3000</v>
      </c>
      <c r="R664" s="6">
        <v>1887.57</v>
      </c>
      <c r="S664" s="6">
        <v>0</v>
      </c>
      <c r="T664" s="6">
        <v>0</v>
      </c>
      <c r="U664" s="5">
        <v>658</v>
      </c>
      <c r="V664" s="5">
        <v>0</v>
      </c>
    </row>
    <row r="665" spans="1:22" x14ac:dyDescent="0.25">
      <c r="A665" s="4" t="s">
        <v>735</v>
      </c>
      <c r="B665" s="5">
        <v>63</v>
      </c>
      <c r="C665" s="4" t="s">
        <v>23</v>
      </c>
      <c r="D665" s="4" t="s">
        <v>59</v>
      </c>
      <c r="E665" s="4" t="s">
        <v>45</v>
      </c>
      <c r="F665" s="4" t="s">
        <v>30</v>
      </c>
      <c r="G665" s="6">
        <v>26600</v>
      </c>
      <c r="H665" s="5">
        <v>17</v>
      </c>
      <c r="I665" s="7">
        <v>39893</v>
      </c>
      <c r="J665" s="4" t="s">
        <v>39</v>
      </c>
      <c r="K665" s="5">
        <v>4</v>
      </c>
      <c r="L665" s="6">
        <v>-2090.0500000000002</v>
      </c>
      <c r="M665" s="6">
        <v>30800.799999999999</v>
      </c>
      <c r="N665" s="5">
        <v>19</v>
      </c>
      <c r="O665" s="6">
        <v>51.96</v>
      </c>
      <c r="P665" s="5">
        <v>6</v>
      </c>
      <c r="Q665" s="6">
        <v>3500</v>
      </c>
      <c r="R665" s="6">
        <v>858.68</v>
      </c>
      <c r="S665" s="6">
        <v>0</v>
      </c>
      <c r="T665" s="6">
        <v>750</v>
      </c>
      <c r="U665" s="5">
        <v>729</v>
      </c>
      <c r="V665" s="5">
        <v>0</v>
      </c>
    </row>
    <row r="666" spans="1:22" x14ac:dyDescent="0.25">
      <c r="A666" s="4" t="s">
        <v>736</v>
      </c>
      <c r="B666" s="5">
        <v>21</v>
      </c>
      <c r="C666" s="4" t="s">
        <v>33</v>
      </c>
      <c r="D666" s="4" t="s">
        <v>98</v>
      </c>
      <c r="E666" s="4" t="s">
        <v>117</v>
      </c>
      <c r="F666" s="4" t="s">
        <v>26</v>
      </c>
      <c r="G666" s="6">
        <v>5400</v>
      </c>
      <c r="H666" s="5">
        <v>2</v>
      </c>
      <c r="I666" s="7">
        <v>45437</v>
      </c>
      <c r="J666" s="4" t="s">
        <v>31</v>
      </c>
      <c r="K666" s="5">
        <v>2</v>
      </c>
      <c r="L666" s="6">
        <v>245.92</v>
      </c>
      <c r="M666" s="6">
        <v>1764.5</v>
      </c>
      <c r="N666" s="5">
        <v>18</v>
      </c>
      <c r="O666" s="6">
        <v>47.88</v>
      </c>
      <c r="P666" s="5">
        <v>0</v>
      </c>
      <c r="Q666" s="6">
        <v>1000</v>
      </c>
      <c r="R666" s="6">
        <v>40.659999999999997</v>
      </c>
      <c r="S666" s="6">
        <v>0</v>
      </c>
      <c r="T666" s="6">
        <v>0</v>
      </c>
      <c r="U666" s="5">
        <v>423</v>
      </c>
      <c r="V666" s="5">
        <v>1</v>
      </c>
    </row>
    <row r="667" spans="1:22" x14ac:dyDescent="0.25">
      <c r="A667" s="4" t="s">
        <v>737</v>
      </c>
      <c r="B667" s="5">
        <v>44</v>
      </c>
      <c r="C667" s="4" t="s">
        <v>23</v>
      </c>
      <c r="D667" s="4" t="s">
        <v>59</v>
      </c>
      <c r="E667" s="4" t="s">
        <v>25</v>
      </c>
      <c r="F667" s="4" t="s">
        <v>26</v>
      </c>
      <c r="G667" s="6">
        <v>24600</v>
      </c>
      <c r="H667" s="5">
        <v>15</v>
      </c>
      <c r="I667" s="7">
        <v>40631</v>
      </c>
      <c r="J667" s="4" t="s">
        <v>27</v>
      </c>
      <c r="K667" s="5">
        <v>2</v>
      </c>
      <c r="L667" s="6">
        <v>5665.24</v>
      </c>
      <c r="M667" s="6">
        <v>22054.959999999999</v>
      </c>
      <c r="N667" s="5">
        <v>25</v>
      </c>
      <c r="O667" s="6">
        <v>71.290000000000006</v>
      </c>
      <c r="P667" s="5">
        <v>2</v>
      </c>
      <c r="Q667" s="6">
        <v>5500</v>
      </c>
      <c r="R667" s="6">
        <v>2627.95</v>
      </c>
      <c r="S667" s="6">
        <v>0</v>
      </c>
      <c r="T667" s="6">
        <v>0</v>
      </c>
      <c r="U667" s="5">
        <v>558</v>
      </c>
      <c r="V667" s="5">
        <v>1</v>
      </c>
    </row>
    <row r="668" spans="1:22" x14ac:dyDescent="0.25">
      <c r="A668" s="4" t="s">
        <v>738</v>
      </c>
      <c r="B668" s="5">
        <v>50</v>
      </c>
      <c r="C668" s="4" t="s">
        <v>23</v>
      </c>
      <c r="D668" s="4" t="s">
        <v>206</v>
      </c>
      <c r="E668" s="4" t="s">
        <v>25</v>
      </c>
      <c r="F668" s="4" t="s">
        <v>30</v>
      </c>
      <c r="G668" s="6">
        <v>39100</v>
      </c>
      <c r="H668" s="5">
        <v>12</v>
      </c>
      <c r="I668" s="7">
        <v>41804</v>
      </c>
      <c r="J668" s="4" t="s">
        <v>31</v>
      </c>
      <c r="K668" s="5">
        <v>1</v>
      </c>
      <c r="L668" s="6">
        <v>1656.56</v>
      </c>
      <c r="M668" s="6">
        <v>0</v>
      </c>
      <c r="N668" s="5">
        <v>27</v>
      </c>
      <c r="O668" s="6">
        <v>76.59</v>
      </c>
      <c r="P668" s="5">
        <v>2</v>
      </c>
      <c r="Q668" s="6">
        <v>9000</v>
      </c>
      <c r="R668" s="6">
        <v>3992.38</v>
      </c>
      <c r="S668" s="6">
        <v>0</v>
      </c>
      <c r="T668" s="6">
        <v>0</v>
      </c>
      <c r="U668" s="5">
        <v>682</v>
      </c>
      <c r="V668" s="5">
        <v>1</v>
      </c>
    </row>
    <row r="669" spans="1:22" x14ac:dyDescent="0.25">
      <c r="A669" s="4" t="s">
        <v>739</v>
      </c>
      <c r="B669" s="5">
        <v>48</v>
      </c>
      <c r="C669" s="4" t="s">
        <v>33</v>
      </c>
      <c r="D669" s="4" t="s">
        <v>34</v>
      </c>
      <c r="E669" s="4" t="s">
        <v>25</v>
      </c>
      <c r="F669" s="4" t="s">
        <v>30</v>
      </c>
      <c r="G669" s="6">
        <v>42100</v>
      </c>
      <c r="H669" s="5">
        <v>20</v>
      </c>
      <c r="I669" s="7">
        <v>38887</v>
      </c>
      <c r="J669" s="4" t="s">
        <v>31</v>
      </c>
      <c r="K669" s="5">
        <v>3</v>
      </c>
      <c r="L669" s="6">
        <v>9291.89</v>
      </c>
      <c r="M669" s="6">
        <v>84279.87</v>
      </c>
      <c r="N669" s="5">
        <v>43</v>
      </c>
      <c r="O669" s="6">
        <v>59.99</v>
      </c>
      <c r="P669" s="5">
        <v>0</v>
      </c>
      <c r="Q669" s="6">
        <v>9500</v>
      </c>
      <c r="R669" s="6">
        <v>3419.11</v>
      </c>
      <c r="S669" s="6">
        <v>0</v>
      </c>
      <c r="T669" s="6">
        <v>0</v>
      </c>
      <c r="U669" s="5">
        <v>715</v>
      </c>
      <c r="V669" s="5">
        <v>0</v>
      </c>
    </row>
    <row r="670" spans="1:22" x14ac:dyDescent="0.25">
      <c r="A670" s="4" t="s">
        <v>740</v>
      </c>
      <c r="B670" s="5">
        <v>44</v>
      </c>
      <c r="C670" s="4" t="s">
        <v>23</v>
      </c>
      <c r="D670" s="4" t="s">
        <v>34</v>
      </c>
      <c r="E670" s="4" t="s">
        <v>54</v>
      </c>
      <c r="F670" s="4" t="s">
        <v>48</v>
      </c>
      <c r="G670" s="6">
        <v>28400</v>
      </c>
      <c r="H670" s="5">
        <v>9</v>
      </c>
      <c r="I670" s="7">
        <v>42719</v>
      </c>
      <c r="J670" s="4" t="s">
        <v>31</v>
      </c>
      <c r="K670" s="5">
        <v>1</v>
      </c>
      <c r="L670" s="6">
        <v>3719.96</v>
      </c>
      <c r="M670" s="6">
        <v>12976.25</v>
      </c>
      <c r="N670" s="5">
        <v>21</v>
      </c>
      <c r="O670" s="6">
        <v>39.369999999999997</v>
      </c>
      <c r="P670" s="5">
        <v>2</v>
      </c>
      <c r="Q670" s="6">
        <v>5000</v>
      </c>
      <c r="R670" s="6">
        <v>442.89</v>
      </c>
      <c r="S670" s="6">
        <v>86000</v>
      </c>
      <c r="T670" s="6">
        <v>540</v>
      </c>
      <c r="U670" s="5">
        <v>603</v>
      </c>
      <c r="V670" s="5">
        <v>1</v>
      </c>
    </row>
    <row r="671" spans="1:22" x14ac:dyDescent="0.25">
      <c r="A671" s="4" t="s">
        <v>741</v>
      </c>
      <c r="B671" s="5">
        <v>61</v>
      </c>
      <c r="C671" s="4" t="s">
        <v>23</v>
      </c>
      <c r="D671" s="4" t="s">
        <v>98</v>
      </c>
      <c r="E671" s="4" t="s">
        <v>45</v>
      </c>
      <c r="F671" s="4" t="s">
        <v>30</v>
      </c>
      <c r="G671" s="6">
        <v>31300</v>
      </c>
      <c r="H671" s="5">
        <v>8</v>
      </c>
      <c r="I671" s="7">
        <v>43000</v>
      </c>
      <c r="J671" s="4" t="s">
        <v>39</v>
      </c>
      <c r="K671" s="5">
        <v>2</v>
      </c>
      <c r="L671" s="6">
        <v>2022.53</v>
      </c>
      <c r="M671" s="6">
        <v>0</v>
      </c>
      <c r="N671" s="5">
        <v>21</v>
      </c>
      <c r="O671" s="6">
        <v>71.760000000000005</v>
      </c>
      <c r="P671" s="5">
        <v>6</v>
      </c>
      <c r="Q671" s="6">
        <v>3500</v>
      </c>
      <c r="R671" s="6">
        <v>1634.64</v>
      </c>
      <c r="S671" s="6">
        <v>0</v>
      </c>
      <c r="T671" s="6">
        <v>0</v>
      </c>
      <c r="U671" s="5">
        <v>626</v>
      </c>
      <c r="V671" s="5">
        <v>1</v>
      </c>
    </row>
    <row r="672" spans="1:22" x14ac:dyDescent="0.25">
      <c r="A672" s="4" t="s">
        <v>742</v>
      </c>
      <c r="B672" s="5">
        <v>52</v>
      </c>
      <c r="C672" s="4" t="s">
        <v>23</v>
      </c>
      <c r="D672" s="4" t="s">
        <v>134</v>
      </c>
      <c r="E672" s="4" t="s">
        <v>63</v>
      </c>
      <c r="F672" s="4" t="s">
        <v>48</v>
      </c>
      <c r="G672" s="6">
        <v>30100</v>
      </c>
      <c r="H672" s="5">
        <v>14</v>
      </c>
      <c r="I672" s="7">
        <v>41065</v>
      </c>
      <c r="J672" s="4" t="s">
        <v>49</v>
      </c>
      <c r="K672" s="5">
        <v>4</v>
      </c>
      <c r="L672" s="6">
        <v>1504.28</v>
      </c>
      <c r="M672" s="6">
        <v>20376.810000000001</v>
      </c>
      <c r="N672" s="5">
        <v>14</v>
      </c>
      <c r="O672" s="6">
        <v>35.43</v>
      </c>
      <c r="P672" s="5">
        <v>2</v>
      </c>
      <c r="Q672" s="6">
        <v>6000</v>
      </c>
      <c r="R672" s="6">
        <v>1335.96</v>
      </c>
      <c r="S672" s="6">
        <v>0</v>
      </c>
      <c r="T672" s="6">
        <v>0</v>
      </c>
      <c r="U672" s="5">
        <v>627</v>
      </c>
      <c r="V672" s="5">
        <v>1</v>
      </c>
    </row>
    <row r="673" spans="1:22" x14ac:dyDescent="0.25">
      <c r="A673" s="4" t="s">
        <v>743</v>
      </c>
      <c r="B673" s="5">
        <v>62</v>
      </c>
      <c r="C673" s="4" t="s">
        <v>33</v>
      </c>
      <c r="D673" s="4" t="s">
        <v>59</v>
      </c>
      <c r="E673" s="4" t="s">
        <v>54</v>
      </c>
      <c r="F673" s="4" t="s">
        <v>30</v>
      </c>
      <c r="G673" s="6">
        <v>-999</v>
      </c>
      <c r="H673" s="5">
        <v>21</v>
      </c>
      <c r="I673" s="7">
        <v>38431</v>
      </c>
      <c r="J673" s="4" t="s">
        <v>31</v>
      </c>
      <c r="K673" s="5">
        <v>4</v>
      </c>
      <c r="L673" s="6">
        <v>1752.39</v>
      </c>
      <c r="M673" s="6">
        <v>0</v>
      </c>
      <c r="N673" s="5">
        <v>31</v>
      </c>
      <c r="O673" s="6">
        <v>90.29</v>
      </c>
      <c r="P673" s="5">
        <v>1</v>
      </c>
      <c r="Q673" s="6">
        <v>0</v>
      </c>
      <c r="R673" s="6">
        <v>0</v>
      </c>
      <c r="S673" s="6">
        <v>0</v>
      </c>
      <c r="T673" s="6">
        <v>0</v>
      </c>
      <c r="U673" s="5">
        <v>708</v>
      </c>
      <c r="V673" s="5">
        <v>1</v>
      </c>
    </row>
    <row r="674" spans="1:22" x14ac:dyDescent="0.25">
      <c r="A674" s="4" t="s">
        <v>744</v>
      </c>
      <c r="B674" s="5">
        <v>37</v>
      </c>
      <c r="C674" s="4" t="s">
        <v>33</v>
      </c>
      <c r="D674" s="4" t="s">
        <v>98</v>
      </c>
      <c r="E674" s="4" t="s">
        <v>25</v>
      </c>
      <c r="F674" s="4" t="s">
        <v>48</v>
      </c>
      <c r="G674" s="6">
        <v>42900</v>
      </c>
      <c r="H674" s="5">
        <v>6</v>
      </c>
      <c r="I674" s="7">
        <v>43754</v>
      </c>
      <c r="J674" s="4" t="s">
        <v>39</v>
      </c>
      <c r="K674" s="5">
        <v>2</v>
      </c>
      <c r="L674" s="6">
        <v>2580.4499999999998</v>
      </c>
      <c r="M674" s="6">
        <v>29225.41</v>
      </c>
      <c r="N674" s="5">
        <v>22</v>
      </c>
      <c r="O674" s="6">
        <v>62.84</v>
      </c>
      <c r="P674" s="5">
        <v>6</v>
      </c>
      <c r="Q674" s="6">
        <v>5000</v>
      </c>
      <c r="R674" s="6">
        <v>2641.48</v>
      </c>
      <c r="S674" s="6">
        <v>94000</v>
      </c>
      <c r="T674" s="6">
        <v>606</v>
      </c>
      <c r="U674" s="5">
        <v>706</v>
      </c>
      <c r="V674" s="5">
        <v>0</v>
      </c>
    </row>
    <row r="675" spans="1:22" x14ac:dyDescent="0.25">
      <c r="A675" s="4" t="s">
        <v>745</v>
      </c>
      <c r="B675" s="5">
        <v>70</v>
      </c>
      <c r="C675" s="4" t="s">
        <v>33</v>
      </c>
      <c r="D675" s="4" t="s">
        <v>57</v>
      </c>
      <c r="E675" s="4" t="s">
        <v>42</v>
      </c>
      <c r="F675" s="4" t="s">
        <v>30</v>
      </c>
      <c r="G675" s="6">
        <v>72000</v>
      </c>
      <c r="H675" s="5">
        <v>25</v>
      </c>
      <c r="I675" s="7">
        <v>36918</v>
      </c>
      <c r="J675" s="4" t="s">
        <v>39</v>
      </c>
      <c r="K675" s="5">
        <v>3</v>
      </c>
      <c r="L675" s="6">
        <v>13980.45</v>
      </c>
      <c r="M675" s="6">
        <v>57315.96</v>
      </c>
      <c r="N675" s="5">
        <v>34</v>
      </c>
      <c r="O675" s="6">
        <v>94.46</v>
      </c>
      <c r="P675" s="5">
        <v>3</v>
      </c>
      <c r="Q675" s="6">
        <v>11500</v>
      </c>
      <c r="R675" s="6">
        <v>755.57</v>
      </c>
      <c r="S675" s="6">
        <v>0</v>
      </c>
      <c r="T675" s="6">
        <v>0</v>
      </c>
      <c r="U675" s="5">
        <v>668</v>
      </c>
      <c r="V675" s="5">
        <v>1</v>
      </c>
    </row>
    <row r="676" spans="1:22" x14ac:dyDescent="0.25">
      <c r="A676" s="4" t="s">
        <v>746</v>
      </c>
      <c r="B676" s="5">
        <v>32</v>
      </c>
      <c r="C676" s="4" t="s">
        <v>23</v>
      </c>
      <c r="D676" s="4" t="s">
        <v>57</v>
      </c>
      <c r="E676" s="4" t="s">
        <v>25</v>
      </c>
      <c r="F676" s="4" t="s">
        <v>30</v>
      </c>
      <c r="G676" s="6">
        <v>20600</v>
      </c>
      <c r="H676" s="5">
        <v>9</v>
      </c>
      <c r="I676" s="7">
        <v>42858</v>
      </c>
      <c r="J676" s="4" t="s">
        <v>27</v>
      </c>
      <c r="K676" s="5">
        <v>4</v>
      </c>
      <c r="L676" s="6">
        <v>2834.61</v>
      </c>
      <c r="M676" s="6">
        <v>11313.46</v>
      </c>
      <c r="N676" s="5">
        <v>18</v>
      </c>
      <c r="O676" s="6">
        <v>48.02</v>
      </c>
      <c r="P676" s="5">
        <v>1</v>
      </c>
      <c r="Q676" s="6">
        <v>0</v>
      </c>
      <c r="R676" s="6">
        <v>0</v>
      </c>
      <c r="S676" s="6">
        <v>80000</v>
      </c>
      <c r="T676" s="6">
        <v>377</v>
      </c>
      <c r="U676" s="5">
        <v>592</v>
      </c>
      <c r="V676" s="5">
        <v>1</v>
      </c>
    </row>
    <row r="677" spans="1:22" x14ac:dyDescent="0.25">
      <c r="A677" s="4" t="s">
        <v>747</v>
      </c>
      <c r="B677" s="5">
        <v>21</v>
      </c>
      <c r="C677" s="4" t="s">
        <v>23</v>
      </c>
      <c r="D677" s="4" t="s">
        <v>24</v>
      </c>
      <c r="E677" s="4" t="s">
        <v>45</v>
      </c>
      <c r="F677" s="4" t="s">
        <v>26</v>
      </c>
      <c r="G677" s="6">
        <v>10200</v>
      </c>
      <c r="H677" s="5">
        <v>0</v>
      </c>
      <c r="I677" s="7">
        <v>45979</v>
      </c>
      <c r="J677" s="4" t="s">
        <v>31</v>
      </c>
      <c r="K677" s="5">
        <v>1</v>
      </c>
      <c r="L677" s="6">
        <v>834.12</v>
      </c>
      <c r="M677" s="6">
        <v>0</v>
      </c>
      <c r="N677" s="5">
        <v>48</v>
      </c>
      <c r="O677" s="6">
        <v>199</v>
      </c>
      <c r="P677" s="5">
        <v>0</v>
      </c>
      <c r="Q677" s="6">
        <v>0</v>
      </c>
      <c r="R677" s="6">
        <v>0</v>
      </c>
      <c r="S677" s="6">
        <v>0</v>
      </c>
      <c r="T677" s="6">
        <v>0</v>
      </c>
      <c r="U677" s="5">
        <v>633</v>
      </c>
      <c r="V677" s="5">
        <v>0</v>
      </c>
    </row>
    <row r="678" spans="1:22" x14ac:dyDescent="0.25">
      <c r="A678" s="4" t="s">
        <v>748</v>
      </c>
      <c r="B678" s="5">
        <v>39</v>
      </c>
      <c r="C678" s="4" t="s">
        <v>23</v>
      </c>
      <c r="D678" s="4" t="s">
        <v>29</v>
      </c>
      <c r="E678" s="4" t="s">
        <v>54</v>
      </c>
      <c r="F678" s="4" t="s">
        <v>30</v>
      </c>
      <c r="G678" s="6">
        <v>20200</v>
      </c>
      <c r="H678" s="5">
        <v>9</v>
      </c>
      <c r="I678" s="7">
        <v>42920</v>
      </c>
      <c r="J678" s="4" t="s">
        <v>27</v>
      </c>
      <c r="K678" s="5">
        <v>5</v>
      </c>
      <c r="L678" s="6">
        <v>5820.34</v>
      </c>
      <c r="M678" s="6">
        <v>0</v>
      </c>
      <c r="N678" s="5">
        <v>16</v>
      </c>
      <c r="O678" s="6">
        <v>42.38</v>
      </c>
      <c r="P678" s="5">
        <v>2</v>
      </c>
      <c r="Q678" s="6">
        <v>5000</v>
      </c>
      <c r="R678" s="6">
        <v>2185.31</v>
      </c>
      <c r="S678" s="6">
        <v>95000</v>
      </c>
      <c r="T678" s="6">
        <v>680</v>
      </c>
      <c r="U678" s="5">
        <v>670</v>
      </c>
      <c r="V678" s="5">
        <v>0</v>
      </c>
    </row>
    <row r="679" spans="1:22" x14ac:dyDescent="0.25">
      <c r="A679" s="4" t="s">
        <v>749</v>
      </c>
      <c r="B679" s="5">
        <v>57</v>
      </c>
      <c r="C679" s="4" t="s">
        <v>23</v>
      </c>
      <c r="D679" s="4" t="s">
        <v>98</v>
      </c>
      <c r="E679" s="4" t="s">
        <v>63</v>
      </c>
      <c r="F679" s="4" t="s">
        <v>30</v>
      </c>
      <c r="G679" s="6">
        <v>32500</v>
      </c>
      <c r="H679" s="5">
        <v>29</v>
      </c>
      <c r="I679" s="7">
        <v>35542</v>
      </c>
      <c r="J679" s="4" t="s">
        <v>49</v>
      </c>
      <c r="K679" s="5">
        <v>3</v>
      </c>
      <c r="L679" s="6">
        <v>4991.3599999999997</v>
      </c>
      <c r="M679" s="6">
        <v>53800.52</v>
      </c>
      <c r="N679" s="5">
        <v>27</v>
      </c>
      <c r="O679" s="6">
        <v>75.599999999999994</v>
      </c>
      <c r="P679" s="5">
        <v>4</v>
      </c>
      <c r="Q679" s="6">
        <v>6000</v>
      </c>
      <c r="R679" s="6">
        <v>717.96</v>
      </c>
      <c r="S679" s="6">
        <v>134000</v>
      </c>
      <c r="T679" s="6">
        <v>927</v>
      </c>
      <c r="U679" s="5">
        <v>693</v>
      </c>
      <c r="V679" s="5">
        <v>1</v>
      </c>
    </row>
    <row r="680" spans="1:22" x14ac:dyDescent="0.25">
      <c r="A680" s="4" t="s">
        <v>750</v>
      </c>
      <c r="B680" s="5">
        <v>25</v>
      </c>
      <c r="C680" s="4" t="s">
        <v>33</v>
      </c>
      <c r="D680" s="4" t="s">
        <v>24</v>
      </c>
      <c r="E680" s="4" t="s">
        <v>67</v>
      </c>
      <c r="F680" s="4" t="s">
        <v>26</v>
      </c>
      <c r="G680" s="6">
        <v>3400</v>
      </c>
      <c r="H680" s="5">
        <v>0</v>
      </c>
      <c r="I680" s="7">
        <v>45934</v>
      </c>
      <c r="J680" s="4" t="s">
        <v>49</v>
      </c>
      <c r="K680" s="5">
        <v>1</v>
      </c>
      <c r="L680" s="6">
        <v>250.15</v>
      </c>
      <c r="M680" s="6">
        <v>0</v>
      </c>
      <c r="N680" s="5">
        <v>14</v>
      </c>
      <c r="O680" s="6">
        <v>46.08</v>
      </c>
      <c r="P680" s="5">
        <v>4</v>
      </c>
      <c r="Q680" s="6">
        <v>1000</v>
      </c>
      <c r="R680" s="6">
        <v>112.93</v>
      </c>
      <c r="S680" s="6">
        <v>0</v>
      </c>
      <c r="T680" s="6">
        <v>0</v>
      </c>
      <c r="U680" s="5">
        <v>498</v>
      </c>
      <c r="V680" s="5">
        <v>0</v>
      </c>
    </row>
    <row r="681" spans="1:22" x14ac:dyDescent="0.25">
      <c r="A681" s="4" t="s">
        <v>751</v>
      </c>
      <c r="B681" s="5">
        <v>48</v>
      </c>
      <c r="C681" s="4" t="s">
        <v>23</v>
      </c>
      <c r="D681" s="4" t="s">
        <v>59</v>
      </c>
      <c r="E681" s="4" t="s">
        <v>54</v>
      </c>
      <c r="F681" s="4" t="s">
        <v>30</v>
      </c>
      <c r="G681" s="6">
        <v>33400</v>
      </c>
      <c r="H681" s="5">
        <v>2</v>
      </c>
      <c r="I681" s="7">
        <v>45287</v>
      </c>
      <c r="J681" s="4" t="s">
        <v>27</v>
      </c>
      <c r="K681" s="5">
        <v>2</v>
      </c>
      <c r="L681" s="6">
        <v>1913.73</v>
      </c>
      <c r="M681" s="6">
        <v>0</v>
      </c>
      <c r="N681" s="5">
        <v>30</v>
      </c>
      <c r="O681" s="6">
        <v>101.88</v>
      </c>
      <c r="P681" s="5">
        <v>2</v>
      </c>
      <c r="Q681" s="6">
        <v>3500</v>
      </c>
      <c r="R681" s="6">
        <v>660.49</v>
      </c>
      <c r="S681" s="6">
        <v>141000</v>
      </c>
      <c r="T681" s="6">
        <v>813</v>
      </c>
      <c r="U681" s="5">
        <v>588</v>
      </c>
      <c r="V681" s="5">
        <v>0</v>
      </c>
    </row>
    <row r="682" spans="1:22" x14ac:dyDescent="0.25">
      <c r="A682" s="4" t="s">
        <v>752</v>
      </c>
      <c r="B682" s="5">
        <v>25</v>
      </c>
      <c r="C682" s="4" t="s">
        <v>33</v>
      </c>
      <c r="D682" s="4" t="s">
        <v>24</v>
      </c>
      <c r="E682" s="4" t="s">
        <v>45</v>
      </c>
      <c r="F682" s="4" t="s">
        <v>26</v>
      </c>
      <c r="G682" s="6">
        <v>9600</v>
      </c>
      <c r="H682" s="5">
        <v>0</v>
      </c>
      <c r="I682" s="7">
        <v>45964</v>
      </c>
      <c r="J682" s="4" t="s">
        <v>31</v>
      </c>
      <c r="K682" s="5">
        <v>1</v>
      </c>
      <c r="L682" s="6">
        <v>895.28</v>
      </c>
      <c r="M682" s="6">
        <v>0</v>
      </c>
      <c r="N682" s="5">
        <v>48</v>
      </c>
      <c r="O682" s="6">
        <v>199</v>
      </c>
      <c r="P682" s="5">
        <v>0</v>
      </c>
      <c r="Q682" s="6">
        <v>0</v>
      </c>
      <c r="R682" s="6">
        <v>0</v>
      </c>
      <c r="S682" s="6">
        <v>0</v>
      </c>
      <c r="T682" s="6">
        <v>0</v>
      </c>
      <c r="U682" s="5">
        <v>655</v>
      </c>
      <c r="V682" s="5">
        <v>0</v>
      </c>
    </row>
    <row r="683" spans="1:22" x14ac:dyDescent="0.25">
      <c r="A683" s="4" t="s">
        <v>753</v>
      </c>
      <c r="B683" s="5">
        <v>55</v>
      </c>
      <c r="C683" s="4" t="s">
        <v>33</v>
      </c>
      <c r="D683" s="4" t="s">
        <v>51</v>
      </c>
      <c r="E683" s="4" t="s">
        <v>35</v>
      </c>
      <c r="F683" s="4" t="s">
        <v>30</v>
      </c>
      <c r="G683" s="6">
        <v>64100</v>
      </c>
      <c r="H683" s="5">
        <v>6</v>
      </c>
      <c r="I683" s="7">
        <v>43978</v>
      </c>
      <c r="J683" s="4" t="s">
        <v>39</v>
      </c>
      <c r="K683" s="5">
        <v>4</v>
      </c>
      <c r="L683" s="6">
        <v>2765.23</v>
      </c>
      <c r="M683" s="6">
        <v>0</v>
      </c>
      <c r="N683" s="5">
        <v>35</v>
      </c>
      <c r="O683" s="6">
        <v>55.02</v>
      </c>
      <c r="P683" s="5">
        <v>7</v>
      </c>
      <c r="Q683" s="6">
        <v>13500</v>
      </c>
      <c r="R683" s="6">
        <v>5847.01</v>
      </c>
      <c r="S683" s="6">
        <v>0</v>
      </c>
      <c r="T683" s="6">
        <v>0</v>
      </c>
      <c r="U683" s="5">
        <v>739</v>
      </c>
      <c r="V683" s="5">
        <v>0</v>
      </c>
    </row>
    <row r="684" spans="1:22" x14ac:dyDescent="0.25">
      <c r="A684" s="4" t="s">
        <v>754</v>
      </c>
      <c r="B684" s="5">
        <v>50</v>
      </c>
      <c r="C684" s="4" t="s">
        <v>23</v>
      </c>
      <c r="D684" s="4" t="s">
        <v>62</v>
      </c>
      <c r="E684" s="4" t="s">
        <v>54</v>
      </c>
      <c r="F684" s="4" t="s">
        <v>26</v>
      </c>
      <c r="G684" s="6">
        <v>46400</v>
      </c>
      <c r="H684" s="5">
        <v>9</v>
      </c>
      <c r="I684" s="7">
        <v>42802</v>
      </c>
      <c r="J684" s="4" t="s">
        <v>27</v>
      </c>
      <c r="K684" s="5">
        <v>1</v>
      </c>
      <c r="L684" s="6">
        <v>2260.2399999999998</v>
      </c>
      <c r="M684" s="6">
        <v>23429.9</v>
      </c>
      <c r="N684" s="5">
        <v>37</v>
      </c>
      <c r="O684" s="6">
        <v>43.79</v>
      </c>
      <c r="P684" s="5">
        <v>4</v>
      </c>
      <c r="Q684" s="6">
        <v>5500</v>
      </c>
      <c r="R684" s="6">
        <v>639.02</v>
      </c>
      <c r="S684" s="6">
        <v>0</v>
      </c>
      <c r="T684" s="6">
        <v>0</v>
      </c>
      <c r="U684" s="5">
        <v>701</v>
      </c>
      <c r="V684" s="5">
        <v>0</v>
      </c>
    </row>
    <row r="685" spans="1:22" x14ac:dyDescent="0.25">
      <c r="A685" s="4" t="s">
        <v>755</v>
      </c>
      <c r="B685" s="5">
        <v>39</v>
      </c>
      <c r="C685" s="4" t="s">
        <v>33</v>
      </c>
      <c r="D685" s="4" t="s">
        <v>29</v>
      </c>
      <c r="E685" s="4" t="s">
        <v>67</v>
      </c>
      <c r="F685" s="4" t="s">
        <v>30</v>
      </c>
      <c r="G685" s="6">
        <v>4600</v>
      </c>
      <c r="H685" s="5">
        <v>9</v>
      </c>
      <c r="I685" s="7">
        <v>42960</v>
      </c>
      <c r="J685" s="4" t="s">
        <v>31</v>
      </c>
      <c r="K685" s="5">
        <v>2</v>
      </c>
      <c r="L685" s="6">
        <v>428.23</v>
      </c>
      <c r="M685" s="6">
        <v>0</v>
      </c>
      <c r="N685" s="5">
        <v>17</v>
      </c>
      <c r="O685" s="6">
        <v>36.46</v>
      </c>
      <c r="P685" s="5">
        <v>4</v>
      </c>
      <c r="Q685" s="6">
        <v>500</v>
      </c>
      <c r="R685" s="6">
        <v>102.24</v>
      </c>
      <c r="S685" s="6">
        <v>0</v>
      </c>
      <c r="T685" s="6">
        <v>0</v>
      </c>
      <c r="U685" s="5">
        <v>522</v>
      </c>
      <c r="V685" s="5">
        <v>0</v>
      </c>
    </row>
    <row r="686" spans="1:22" x14ac:dyDescent="0.25">
      <c r="A686" s="4" t="s">
        <v>756</v>
      </c>
      <c r="B686" s="5">
        <v>21</v>
      </c>
      <c r="C686" s="4" t="s">
        <v>23</v>
      </c>
      <c r="D686" s="4" t="s">
        <v>41</v>
      </c>
      <c r="E686" s="4" t="s">
        <v>67</v>
      </c>
      <c r="F686" s="4" t="s">
        <v>30</v>
      </c>
      <c r="G686" s="6">
        <v>5500</v>
      </c>
      <c r="H686" s="5">
        <v>28</v>
      </c>
      <c r="I686" s="7">
        <v>35852</v>
      </c>
      <c r="J686" s="4" t="s">
        <v>31</v>
      </c>
      <c r="K686" s="5">
        <v>1</v>
      </c>
      <c r="L686" s="6">
        <v>516.72</v>
      </c>
      <c r="M686" s="6">
        <v>0</v>
      </c>
      <c r="N686" s="5">
        <v>20</v>
      </c>
      <c r="O686" s="6">
        <v>63.98</v>
      </c>
      <c r="P686" s="5">
        <v>0</v>
      </c>
      <c r="Q686" s="6">
        <v>0</v>
      </c>
      <c r="R686" s="6">
        <v>0</v>
      </c>
      <c r="S686" s="6">
        <v>0</v>
      </c>
      <c r="T686" s="6">
        <v>0</v>
      </c>
      <c r="U686" s="5">
        <v>498</v>
      </c>
      <c r="V686" s="5">
        <v>0</v>
      </c>
    </row>
    <row r="687" spans="1:22" x14ac:dyDescent="0.25">
      <c r="A687" s="4" t="s">
        <v>757</v>
      </c>
      <c r="B687" s="5">
        <v>48</v>
      </c>
      <c r="C687" s="4" t="s">
        <v>23</v>
      </c>
      <c r="D687" s="4" t="s">
        <v>44</v>
      </c>
      <c r="E687" s="4" t="s">
        <v>25</v>
      </c>
      <c r="F687" s="4" t="s">
        <v>26</v>
      </c>
      <c r="G687" s="6">
        <v>26800</v>
      </c>
      <c r="H687" s="5">
        <v>16</v>
      </c>
      <c r="I687" s="7">
        <v>40136</v>
      </c>
      <c r="J687" s="4" t="s">
        <v>27</v>
      </c>
      <c r="K687" s="5">
        <v>3</v>
      </c>
      <c r="L687" s="6">
        <v>1514.34</v>
      </c>
      <c r="M687" s="6">
        <v>29087.25</v>
      </c>
      <c r="N687" s="5">
        <v>30</v>
      </c>
      <c r="O687" s="6">
        <v>38.22</v>
      </c>
      <c r="P687" s="5">
        <v>2</v>
      </c>
      <c r="Q687" s="6">
        <v>6000</v>
      </c>
      <c r="R687" s="6">
        <v>1916.13</v>
      </c>
      <c r="S687" s="6">
        <v>86000</v>
      </c>
      <c r="T687" s="6">
        <v>550</v>
      </c>
      <c r="U687" s="5">
        <v>608</v>
      </c>
      <c r="V687" s="5">
        <v>0</v>
      </c>
    </row>
    <row r="688" spans="1:22" x14ac:dyDescent="0.25">
      <c r="A688" s="4" t="s">
        <v>758</v>
      </c>
      <c r="B688" s="5">
        <v>41</v>
      </c>
      <c r="C688" s="4" t="s">
        <v>23</v>
      </c>
      <c r="D688" s="4" t="s">
        <v>24</v>
      </c>
      <c r="E688" s="4" t="s">
        <v>54</v>
      </c>
      <c r="F688" s="4" t="s">
        <v>30</v>
      </c>
      <c r="G688" s="6">
        <v>25900</v>
      </c>
      <c r="H688" s="5">
        <v>1</v>
      </c>
      <c r="I688" s="7">
        <v>45792</v>
      </c>
      <c r="J688" s="4" t="s">
        <v>39</v>
      </c>
      <c r="K688" s="5">
        <v>1</v>
      </c>
      <c r="L688" s="6">
        <v>811.29</v>
      </c>
      <c r="M688" s="6">
        <v>8937.69</v>
      </c>
      <c r="N688" s="5">
        <v>27</v>
      </c>
      <c r="O688" s="6">
        <v>54.92</v>
      </c>
      <c r="P688" s="5">
        <v>3</v>
      </c>
      <c r="Q688" s="6">
        <v>3000</v>
      </c>
      <c r="R688" s="6">
        <v>1417.62</v>
      </c>
      <c r="S688" s="6">
        <v>0</v>
      </c>
      <c r="T688" s="6">
        <v>0</v>
      </c>
      <c r="U688" s="5">
        <v>558</v>
      </c>
      <c r="V688" s="5">
        <v>0</v>
      </c>
    </row>
    <row r="689" spans="1:22" x14ac:dyDescent="0.25">
      <c r="A689" s="4" t="s">
        <v>759</v>
      </c>
      <c r="B689" s="5">
        <v>42</v>
      </c>
      <c r="C689" s="4" t="s">
        <v>23</v>
      </c>
      <c r="D689" s="4" t="s">
        <v>98</v>
      </c>
      <c r="E689" s="4" t="s">
        <v>25</v>
      </c>
      <c r="F689" s="4" t="s">
        <v>30</v>
      </c>
      <c r="G689" s="6">
        <v>39000</v>
      </c>
      <c r="H689" s="5">
        <v>5</v>
      </c>
      <c r="I689" s="7">
        <v>44185</v>
      </c>
      <c r="J689" s="4" t="s">
        <v>31</v>
      </c>
      <c r="K689" s="5">
        <v>2</v>
      </c>
      <c r="L689" s="6">
        <v>3804.8</v>
      </c>
      <c r="M689" s="6">
        <v>16774.36</v>
      </c>
      <c r="N689" s="5">
        <v>28</v>
      </c>
      <c r="O689" s="6">
        <v>85.49</v>
      </c>
      <c r="P689" s="5">
        <v>0</v>
      </c>
      <c r="Q689" s="6">
        <v>9000</v>
      </c>
      <c r="R689" s="6">
        <v>7313.72</v>
      </c>
      <c r="S689" s="6">
        <v>0</v>
      </c>
      <c r="T689" s="6">
        <v>0</v>
      </c>
      <c r="U689" s="5">
        <v>719</v>
      </c>
      <c r="V689" s="5">
        <v>0</v>
      </c>
    </row>
    <row r="690" spans="1:22" x14ac:dyDescent="0.25">
      <c r="A690" s="4" t="s">
        <v>760</v>
      </c>
      <c r="B690" s="5">
        <v>39</v>
      </c>
      <c r="C690" s="4" t="s">
        <v>33</v>
      </c>
      <c r="D690" s="4" t="s">
        <v>57</v>
      </c>
      <c r="E690" s="4" t="s">
        <v>67</v>
      </c>
      <c r="F690" s="4" t="s">
        <v>26</v>
      </c>
      <c r="G690" s="6">
        <v>5700</v>
      </c>
      <c r="H690" s="5">
        <v>3</v>
      </c>
      <c r="I690" s="7">
        <v>45096</v>
      </c>
      <c r="J690" s="4" t="s">
        <v>27</v>
      </c>
      <c r="K690" s="5">
        <v>2</v>
      </c>
      <c r="L690" s="6">
        <v>952.39</v>
      </c>
      <c r="M690" s="6">
        <v>2012.11</v>
      </c>
      <c r="N690" s="5">
        <v>24</v>
      </c>
      <c r="O690" s="6">
        <v>43.95</v>
      </c>
      <c r="P690" s="5">
        <v>2</v>
      </c>
      <c r="Q690" s="6">
        <v>1000</v>
      </c>
      <c r="R690" s="6">
        <v>322.06</v>
      </c>
      <c r="S690" s="6">
        <v>0</v>
      </c>
      <c r="T690" s="6">
        <v>0</v>
      </c>
      <c r="U690" s="5">
        <v>603</v>
      </c>
      <c r="V690" s="5">
        <v>0</v>
      </c>
    </row>
    <row r="691" spans="1:22" x14ac:dyDescent="0.25">
      <c r="A691" s="4" t="s">
        <v>761</v>
      </c>
      <c r="B691" s="5">
        <v>52</v>
      </c>
      <c r="C691" s="4" t="s">
        <v>33</v>
      </c>
      <c r="D691" s="4" t="s">
        <v>34</v>
      </c>
      <c r="E691" s="4" t="s">
        <v>63</v>
      </c>
      <c r="F691" s="4" t="s">
        <v>30</v>
      </c>
      <c r="G691" s="6">
        <v>33400</v>
      </c>
      <c r="H691" s="5">
        <v>24</v>
      </c>
      <c r="I691" s="7">
        <v>37421</v>
      </c>
      <c r="J691" s="4" t="s">
        <v>27</v>
      </c>
      <c r="K691" s="5">
        <v>3</v>
      </c>
      <c r="L691" s="6">
        <v>5152.16</v>
      </c>
      <c r="M691" s="6">
        <v>0</v>
      </c>
      <c r="N691" s="5">
        <v>33</v>
      </c>
      <c r="O691" s="6">
        <v>71.14</v>
      </c>
      <c r="P691" s="5">
        <v>3</v>
      </c>
      <c r="Q691" s="6">
        <v>3500</v>
      </c>
      <c r="R691" s="6">
        <v>443.41</v>
      </c>
      <c r="S691" s="6">
        <v>148000</v>
      </c>
      <c r="T691" s="6">
        <v>1011</v>
      </c>
      <c r="U691" s="5">
        <v>643</v>
      </c>
      <c r="V691" s="5">
        <v>0</v>
      </c>
    </row>
    <row r="692" spans="1:22" x14ac:dyDescent="0.25">
      <c r="A692" s="4" t="s">
        <v>762</v>
      </c>
      <c r="B692" s="5">
        <v>48</v>
      </c>
      <c r="C692" s="4" t="s">
        <v>23</v>
      </c>
      <c r="D692" s="4" t="s">
        <v>72</v>
      </c>
      <c r="E692" s="4" t="s">
        <v>35</v>
      </c>
      <c r="F692" s="4" t="s">
        <v>30</v>
      </c>
      <c r="G692" s="6">
        <v>54900</v>
      </c>
      <c r="H692" s="5">
        <v>14</v>
      </c>
      <c r="I692" s="7">
        <v>41080</v>
      </c>
      <c r="J692" s="4" t="s">
        <v>27</v>
      </c>
      <c r="K692" s="5">
        <v>2</v>
      </c>
      <c r="L692" s="6">
        <v>4906.8999999999996</v>
      </c>
      <c r="M692" s="6">
        <v>46921.8</v>
      </c>
      <c r="N692" s="5">
        <v>40</v>
      </c>
      <c r="O692" s="6">
        <v>40.840000000000003</v>
      </c>
      <c r="P692" s="5">
        <v>4</v>
      </c>
      <c r="Q692" s="6">
        <v>10500</v>
      </c>
      <c r="R692" s="6">
        <v>7261.52</v>
      </c>
      <c r="S692" s="6">
        <v>0</v>
      </c>
      <c r="T692" s="6">
        <v>0</v>
      </c>
      <c r="U692" s="5">
        <v>656</v>
      </c>
      <c r="V692" s="5">
        <v>1</v>
      </c>
    </row>
    <row r="693" spans="1:22" x14ac:dyDescent="0.25">
      <c r="A693" s="4" t="s">
        <v>763</v>
      </c>
      <c r="B693" s="5">
        <v>51</v>
      </c>
      <c r="C693" s="4" t="s">
        <v>33</v>
      </c>
      <c r="D693" s="4" t="s">
        <v>98</v>
      </c>
      <c r="E693" s="4" t="s">
        <v>45</v>
      </c>
      <c r="F693" s="4" t="s">
        <v>30</v>
      </c>
      <c r="G693" s="6">
        <v>16500</v>
      </c>
      <c r="H693" s="5">
        <v>4</v>
      </c>
      <c r="I693" s="7">
        <v>44720</v>
      </c>
      <c r="J693" s="4" t="s">
        <v>31</v>
      </c>
      <c r="K693" s="5">
        <v>1</v>
      </c>
      <c r="L693" s="6">
        <v>921.86</v>
      </c>
      <c r="M693" s="6">
        <v>6165.32</v>
      </c>
      <c r="N693" s="5">
        <v>16</v>
      </c>
      <c r="O693" s="6">
        <v>31.13</v>
      </c>
      <c r="P693" s="5">
        <v>1</v>
      </c>
      <c r="Q693" s="6">
        <v>3500</v>
      </c>
      <c r="R693" s="6">
        <v>903.69</v>
      </c>
      <c r="S693" s="6">
        <v>0</v>
      </c>
      <c r="T693" s="6">
        <v>0</v>
      </c>
      <c r="U693" s="5">
        <v>584</v>
      </c>
      <c r="V693" s="5">
        <v>0</v>
      </c>
    </row>
    <row r="694" spans="1:22" x14ac:dyDescent="0.25">
      <c r="A694" s="4" t="s">
        <v>764</v>
      </c>
      <c r="B694" s="5">
        <v>72</v>
      </c>
      <c r="C694" s="4" t="s">
        <v>33</v>
      </c>
      <c r="D694" s="4" t="s">
        <v>134</v>
      </c>
      <c r="E694" s="4" t="s">
        <v>95</v>
      </c>
      <c r="F694" s="4" t="s">
        <v>30</v>
      </c>
      <c r="G694" s="6"/>
      <c r="H694" s="5">
        <v>31</v>
      </c>
      <c r="I694" s="7">
        <v>34804</v>
      </c>
      <c r="J694" s="4" t="s">
        <v>39</v>
      </c>
      <c r="K694" s="5">
        <v>5</v>
      </c>
      <c r="L694" s="6">
        <v>2980.84</v>
      </c>
      <c r="M694" s="6">
        <v>0</v>
      </c>
      <c r="N694" s="5">
        <v>21</v>
      </c>
      <c r="O694" s="6">
        <v>36.54</v>
      </c>
      <c r="P694" s="5">
        <v>5</v>
      </c>
      <c r="Q694" s="6">
        <v>4000</v>
      </c>
      <c r="R694" s="6">
        <v>172.13</v>
      </c>
      <c r="S694" s="6">
        <v>0</v>
      </c>
      <c r="T694" s="6">
        <v>0</v>
      </c>
      <c r="U694" s="5">
        <v>696</v>
      </c>
      <c r="V694" s="5">
        <v>0</v>
      </c>
    </row>
    <row r="695" spans="1:22" x14ac:dyDescent="0.25">
      <c r="A695" s="4" t="s">
        <v>765</v>
      </c>
      <c r="B695" s="5">
        <v>36</v>
      </c>
      <c r="C695" s="4" t="s">
        <v>33</v>
      </c>
      <c r="D695" s="4" t="s">
        <v>37</v>
      </c>
      <c r="E695" s="4" t="s">
        <v>42</v>
      </c>
      <c r="F695" s="4" t="s">
        <v>30</v>
      </c>
      <c r="G695" s="6">
        <v>72600</v>
      </c>
      <c r="H695" s="5">
        <v>9</v>
      </c>
      <c r="I695" s="7">
        <v>42970</v>
      </c>
      <c r="J695" s="4" t="s">
        <v>39</v>
      </c>
      <c r="K695" s="5">
        <v>4</v>
      </c>
      <c r="L695" s="6">
        <v>3500.91</v>
      </c>
      <c r="M695" s="6">
        <v>0</v>
      </c>
      <c r="N695" s="5">
        <v>29</v>
      </c>
      <c r="O695" s="6">
        <v>103.69</v>
      </c>
      <c r="P695" s="5">
        <v>4</v>
      </c>
      <c r="Q695" s="6">
        <v>10500</v>
      </c>
      <c r="R695" s="6">
        <v>3580.88</v>
      </c>
      <c r="S695" s="6">
        <v>263000</v>
      </c>
      <c r="T695" s="6">
        <v>1412</v>
      </c>
      <c r="U695" s="5">
        <v>683</v>
      </c>
      <c r="V695" s="5">
        <v>0</v>
      </c>
    </row>
    <row r="696" spans="1:22" x14ac:dyDescent="0.25">
      <c r="A696" s="4" t="s">
        <v>766</v>
      </c>
      <c r="B696" s="5">
        <v>62</v>
      </c>
      <c r="C696" s="4" t="s">
        <v>33</v>
      </c>
      <c r="D696" s="4" t="s">
        <v>34</v>
      </c>
      <c r="E696" s="4" t="s">
        <v>42</v>
      </c>
      <c r="F696" s="4" t="s">
        <v>30</v>
      </c>
      <c r="G696" s="6">
        <v>75700</v>
      </c>
      <c r="H696" s="5">
        <v>15</v>
      </c>
      <c r="I696" s="7">
        <v>40718</v>
      </c>
      <c r="J696" s="4" t="s">
        <v>31</v>
      </c>
      <c r="K696" s="5">
        <v>2</v>
      </c>
      <c r="L696" s="6">
        <v>4255.2</v>
      </c>
      <c r="M696" s="6">
        <v>64346.95</v>
      </c>
      <c r="N696" s="5">
        <v>46</v>
      </c>
      <c r="O696" s="6">
        <v>62.65</v>
      </c>
      <c r="P696" s="5">
        <v>1</v>
      </c>
      <c r="Q696" s="6">
        <v>0</v>
      </c>
      <c r="R696" s="6">
        <v>0</v>
      </c>
      <c r="S696" s="6">
        <v>0</v>
      </c>
      <c r="T696" s="6">
        <v>0</v>
      </c>
      <c r="U696" s="5">
        <v>722</v>
      </c>
      <c r="V696" s="5">
        <v>0</v>
      </c>
    </row>
    <row r="697" spans="1:22" x14ac:dyDescent="0.25">
      <c r="A697" s="4" t="s">
        <v>767</v>
      </c>
      <c r="B697" s="5">
        <v>39</v>
      </c>
      <c r="C697" s="4" t="s">
        <v>33</v>
      </c>
      <c r="D697" s="4" t="s">
        <v>29</v>
      </c>
      <c r="E697" s="4" t="s">
        <v>45</v>
      </c>
      <c r="F697" s="4" t="s">
        <v>26</v>
      </c>
      <c r="G697" s="6">
        <v>24800</v>
      </c>
      <c r="H697" s="5">
        <v>9</v>
      </c>
      <c r="I697" s="7">
        <v>42852</v>
      </c>
      <c r="J697" s="4" t="s">
        <v>31</v>
      </c>
      <c r="K697" s="5">
        <v>2</v>
      </c>
      <c r="L697" s="6">
        <v>2424.14</v>
      </c>
      <c r="M697" s="6">
        <v>0</v>
      </c>
      <c r="N697" s="5">
        <v>26</v>
      </c>
      <c r="O697" s="6">
        <v>35.11</v>
      </c>
      <c r="P697" s="5">
        <v>5</v>
      </c>
      <c r="Q697" s="6">
        <v>0</v>
      </c>
      <c r="R697" s="6">
        <v>0</v>
      </c>
      <c r="S697" s="6">
        <v>0</v>
      </c>
      <c r="T697" s="6">
        <v>0</v>
      </c>
      <c r="U697" s="5">
        <v>595</v>
      </c>
      <c r="V697" s="5">
        <v>1</v>
      </c>
    </row>
    <row r="698" spans="1:22" x14ac:dyDescent="0.25">
      <c r="A698" s="4" t="s">
        <v>768</v>
      </c>
      <c r="B698" s="5">
        <v>59</v>
      </c>
      <c r="C698" s="4" t="s">
        <v>33</v>
      </c>
      <c r="D698" s="4" t="s">
        <v>108</v>
      </c>
      <c r="E698" s="4" t="s">
        <v>90</v>
      </c>
      <c r="F698" s="4" t="s">
        <v>26</v>
      </c>
      <c r="G698" s="6">
        <v>120400</v>
      </c>
      <c r="H698" s="5">
        <v>13</v>
      </c>
      <c r="I698" s="7">
        <v>41373</v>
      </c>
      <c r="J698" s="4" t="s">
        <v>27</v>
      </c>
      <c r="K698" s="5">
        <v>4</v>
      </c>
      <c r="L698" s="6">
        <v>10789.63</v>
      </c>
      <c r="M698" s="6">
        <v>0</v>
      </c>
      <c r="N698" s="5">
        <v>56</v>
      </c>
      <c r="O698" s="6">
        <v>139.27000000000001</v>
      </c>
      <c r="P698" s="5">
        <v>3</v>
      </c>
      <c r="Q698" s="6">
        <v>15000</v>
      </c>
      <c r="R698" s="6">
        <v>4884.33</v>
      </c>
      <c r="S698" s="6">
        <v>0</v>
      </c>
      <c r="T698" s="6">
        <v>0</v>
      </c>
      <c r="U698" s="5">
        <v>771</v>
      </c>
      <c r="V698" s="5">
        <v>0</v>
      </c>
    </row>
    <row r="699" spans="1:22" x14ac:dyDescent="0.25">
      <c r="A699" s="4" t="s">
        <v>769</v>
      </c>
      <c r="B699" s="5">
        <v>55</v>
      </c>
      <c r="C699" s="4" t="s">
        <v>23</v>
      </c>
      <c r="D699" s="4" t="s">
        <v>72</v>
      </c>
      <c r="E699" s="4" t="s">
        <v>25</v>
      </c>
      <c r="F699" s="4" t="s">
        <v>48</v>
      </c>
      <c r="G699" s="6">
        <v>23600</v>
      </c>
      <c r="H699" s="5">
        <v>21</v>
      </c>
      <c r="I699" s="7">
        <v>38505</v>
      </c>
      <c r="J699" s="4" t="s">
        <v>27</v>
      </c>
      <c r="K699" s="5">
        <v>4</v>
      </c>
      <c r="L699" s="6">
        <v>2038.09</v>
      </c>
      <c r="M699" s="6">
        <v>0</v>
      </c>
      <c r="N699" s="5">
        <v>21</v>
      </c>
      <c r="O699" s="6">
        <v>45.18</v>
      </c>
      <c r="P699" s="5">
        <v>2</v>
      </c>
      <c r="Q699" s="6">
        <v>4000</v>
      </c>
      <c r="R699" s="6">
        <v>1134.1099999999999</v>
      </c>
      <c r="S699" s="6">
        <v>0</v>
      </c>
      <c r="T699" s="6">
        <v>0</v>
      </c>
      <c r="U699" s="5">
        <v>665</v>
      </c>
      <c r="V699" s="5">
        <v>0</v>
      </c>
    </row>
    <row r="700" spans="1:22" x14ac:dyDescent="0.25">
      <c r="A700" s="4" t="s">
        <v>770</v>
      </c>
      <c r="B700" s="5">
        <v>0</v>
      </c>
      <c r="C700" s="4" t="s">
        <v>23</v>
      </c>
      <c r="D700" s="4" t="s">
        <v>72</v>
      </c>
      <c r="E700" s="4" t="s">
        <v>45</v>
      </c>
      <c r="F700" s="4" t="s">
        <v>38</v>
      </c>
      <c r="G700" s="6">
        <v>26700</v>
      </c>
      <c r="H700" s="5">
        <v>13</v>
      </c>
      <c r="I700" s="7">
        <v>41462</v>
      </c>
      <c r="J700" s="4" t="s">
        <v>31</v>
      </c>
      <c r="K700" s="5">
        <v>3</v>
      </c>
      <c r="L700" s="6">
        <v>2572.79</v>
      </c>
      <c r="M700" s="6">
        <v>0</v>
      </c>
      <c r="N700" s="5">
        <v>29</v>
      </c>
      <c r="O700" s="6">
        <v>46.5</v>
      </c>
      <c r="P700" s="5">
        <v>1</v>
      </c>
      <c r="Q700" s="6">
        <v>5000</v>
      </c>
      <c r="R700" s="6">
        <v>448.74</v>
      </c>
      <c r="S700" s="6">
        <v>0</v>
      </c>
      <c r="T700" s="6">
        <v>0</v>
      </c>
      <c r="U700" s="5">
        <v>686</v>
      </c>
      <c r="V700" s="5">
        <v>0</v>
      </c>
    </row>
    <row r="701" spans="1:22" x14ac:dyDescent="0.25">
      <c r="A701" s="4" t="s">
        <v>771</v>
      </c>
      <c r="B701" s="5">
        <v>68</v>
      </c>
      <c r="C701" s="4" t="s">
        <v>33</v>
      </c>
      <c r="D701" s="4" t="s">
        <v>29</v>
      </c>
      <c r="E701" s="4" t="s">
        <v>95</v>
      </c>
      <c r="F701" s="4" t="s">
        <v>30</v>
      </c>
      <c r="G701" s="6">
        <v>10600</v>
      </c>
      <c r="H701" s="5">
        <v>33</v>
      </c>
      <c r="I701" s="7">
        <v>34207</v>
      </c>
      <c r="J701" s="4" t="s">
        <v>39</v>
      </c>
      <c r="K701" s="5">
        <v>5</v>
      </c>
      <c r="L701" s="6">
        <v>1292.9000000000001</v>
      </c>
      <c r="M701" s="6">
        <v>0</v>
      </c>
      <c r="N701" s="5">
        <v>15</v>
      </c>
      <c r="O701" s="6">
        <v>24.61</v>
      </c>
      <c r="P701" s="5">
        <v>6</v>
      </c>
      <c r="Q701" s="6">
        <v>3500</v>
      </c>
      <c r="R701" s="6">
        <v>3900</v>
      </c>
      <c r="S701" s="6">
        <v>0</v>
      </c>
      <c r="T701" s="6">
        <v>0</v>
      </c>
      <c r="U701" s="5">
        <v>661</v>
      </c>
      <c r="V701" s="5">
        <v>0</v>
      </c>
    </row>
    <row r="702" spans="1:22" x14ac:dyDescent="0.25">
      <c r="A702" s="4" t="s">
        <v>772</v>
      </c>
      <c r="B702" s="5">
        <v>49</v>
      </c>
      <c r="C702" s="4" t="s">
        <v>33</v>
      </c>
      <c r="D702" s="4" t="s">
        <v>37</v>
      </c>
      <c r="E702" s="4" t="s">
        <v>67</v>
      </c>
      <c r="F702" s="4" t="s">
        <v>30</v>
      </c>
      <c r="G702" s="6">
        <v>6900</v>
      </c>
      <c r="H702" s="5">
        <v>4</v>
      </c>
      <c r="I702" s="7">
        <v>44515</v>
      </c>
      <c r="J702" s="4" t="s">
        <v>31</v>
      </c>
      <c r="K702" s="5">
        <v>3</v>
      </c>
      <c r="L702" s="6">
        <v>813.87</v>
      </c>
      <c r="M702" s="6">
        <v>2057.79</v>
      </c>
      <c r="N702" s="5">
        <v>16</v>
      </c>
      <c r="O702" s="6">
        <v>29.76</v>
      </c>
      <c r="P702" s="5">
        <v>3</v>
      </c>
      <c r="Q702" s="6">
        <v>1000</v>
      </c>
      <c r="R702" s="6">
        <v>144.08000000000001</v>
      </c>
      <c r="S702" s="6">
        <v>0</v>
      </c>
      <c r="T702" s="6">
        <v>0</v>
      </c>
      <c r="U702" s="5">
        <v>546</v>
      </c>
      <c r="V702" s="5">
        <v>0</v>
      </c>
    </row>
    <row r="703" spans="1:22" x14ac:dyDescent="0.25">
      <c r="A703" s="4" t="s">
        <v>773</v>
      </c>
      <c r="B703" s="5">
        <v>43</v>
      </c>
      <c r="C703" s="4" t="s">
        <v>23</v>
      </c>
      <c r="D703" s="4" t="s">
        <v>436</v>
      </c>
      <c r="E703" s="4" t="s">
        <v>45</v>
      </c>
      <c r="F703" s="4" t="s">
        <v>48</v>
      </c>
      <c r="G703" s="6">
        <v>22500</v>
      </c>
      <c r="H703" s="5">
        <v>10</v>
      </c>
      <c r="I703" s="7">
        <v>42433</v>
      </c>
      <c r="J703" s="4" t="s">
        <v>49</v>
      </c>
      <c r="K703" s="5">
        <v>1</v>
      </c>
      <c r="L703" s="6">
        <v>2727.74</v>
      </c>
      <c r="M703" s="6">
        <v>12459.27</v>
      </c>
      <c r="N703" s="5">
        <v>22</v>
      </c>
      <c r="O703" s="6">
        <v>38.32</v>
      </c>
      <c r="P703" s="5">
        <v>2</v>
      </c>
      <c r="Q703" s="6">
        <v>4500</v>
      </c>
      <c r="R703" s="6">
        <v>855.14</v>
      </c>
      <c r="S703" s="6">
        <v>48000</v>
      </c>
      <c r="T703" s="6">
        <v>305</v>
      </c>
      <c r="U703" s="5">
        <v>627</v>
      </c>
      <c r="V703" s="5">
        <v>0</v>
      </c>
    </row>
    <row r="704" spans="1:22" x14ac:dyDescent="0.25">
      <c r="A704" s="4" t="s">
        <v>774</v>
      </c>
      <c r="B704" s="5">
        <v>24</v>
      </c>
      <c r="C704" s="4" t="s">
        <v>33</v>
      </c>
      <c r="D704" s="4" t="s">
        <v>24</v>
      </c>
      <c r="E704" s="4" t="s">
        <v>117</v>
      </c>
      <c r="F704" s="4" t="s">
        <v>26</v>
      </c>
      <c r="G704" s="6">
        <v>9900</v>
      </c>
      <c r="H704" s="5">
        <v>0</v>
      </c>
      <c r="I704" s="7">
        <v>45969</v>
      </c>
      <c r="J704" s="4" t="s">
        <v>31</v>
      </c>
      <c r="K704" s="5">
        <v>1</v>
      </c>
      <c r="L704" s="6">
        <v>316.17</v>
      </c>
      <c r="M704" s="6">
        <v>0</v>
      </c>
      <c r="N704" s="5">
        <v>48</v>
      </c>
      <c r="O704" s="6">
        <v>199</v>
      </c>
      <c r="P704" s="5">
        <v>0</v>
      </c>
      <c r="Q704" s="6">
        <v>0</v>
      </c>
      <c r="R704" s="6">
        <v>0</v>
      </c>
      <c r="S704" s="6">
        <v>0</v>
      </c>
      <c r="T704" s="6">
        <v>0</v>
      </c>
      <c r="U704" s="5">
        <v>626</v>
      </c>
      <c r="V704" s="5">
        <v>0</v>
      </c>
    </row>
    <row r="705" spans="1:22" x14ac:dyDescent="0.25">
      <c r="A705" s="4" t="s">
        <v>775</v>
      </c>
      <c r="B705" s="5">
        <v>41</v>
      </c>
      <c r="C705" s="4" t="s">
        <v>33</v>
      </c>
      <c r="D705" s="4" t="s">
        <v>57</v>
      </c>
      <c r="E705" s="4" t="s">
        <v>25</v>
      </c>
      <c r="F705" s="4" t="s">
        <v>26</v>
      </c>
      <c r="G705" s="6">
        <v>32900</v>
      </c>
      <c r="H705" s="5">
        <v>6</v>
      </c>
      <c r="I705" s="7">
        <v>44057</v>
      </c>
      <c r="J705" s="4" t="s">
        <v>31</v>
      </c>
      <c r="K705" s="5">
        <v>1</v>
      </c>
      <c r="L705" s="6">
        <v>2091.08</v>
      </c>
      <c r="M705" s="6">
        <v>21138.42</v>
      </c>
      <c r="N705" s="5">
        <v>45</v>
      </c>
      <c r="O705" s="6">
        <v>80.180000000000007</v>
      </c>
      <c r="P705" s="5">
        <v>0</v>
      </c>
      <c r="Q705" s="6">
        <v>7000</v>
      </c>
      <c r="R705" s="6">
        <v>367.89</v>
      </c>
      <c r="S705" s="6">
        <v>0</v>
      </c>
      <c r="T705" s="6">
        <v>0</v>
      </c>
      <c r="U705" s="5">
        <v>590</v>
      </c>
      <c r="V705" s="5">
        <v>0</v>
      </c>
    </row>
    <row r="706" spans="1:22" x14ac:dyDescent="0.25">
      <c r="A706" s="4" t="s">
        <v>776</v>
      </c>
      <c r="B706" s="5">
        <v>79</v>
      </c>
      <c r="C706" s="4" t="s">
        <v>23</v>
      </c>
      <c r="D706" s="4" t="s">
        <v>59</v>
      </c>
      <c r="E706" s="4" t="s">
        <v>95</v>
      </c>
      <c r="F706" s="4" t="s">
        <v>38</v>
      </c>
      <c r="G706" s="6">
        <v>31100</v>
      </c>
      <c r="H706" s="5">
        <v>20</v>
      </c>
      <c r="I706" s="7">
        <v>38638</v>
      </c>
      <c r="J706" s="4" t="s">
        <v>39</v>
      </c>
      <c r="K706" s="5">
        <v>2</v>
      </c>
      <c r="L706" s="6">
        <v>357.86</v>
      </c>
      <c r="M706" s="6">
        <v>21834.77</v>
      </c>
      <c r="N706" s="5">
        <v>21</v>
      </c>
      <c r="O706" s="6">
        <v>47.84</v>
      </c>
      <c r="P706" s="5">
        <v>4</v>
      </c>
      <c r="Q706" s="6">
        <v>6500</v>
      </c>
      <c r="R706" s="6">
        <v>651.67999999999995</v>
      </c>
      <c r="S706" s="6">
        <v>0</v>
      </c>
      <c r="T706" s="6">
        <v>0</v>
      </c>
      <c r="U706" s="5">
        <v>634</v>
      </c>
      <c r="V706" s="5">
        <v>0</v>
      </c>
    </row>
    <row r="707" spans="1:22" x14ac:dyDescent="0.25">
      <c r="A707" s="4" t="s">
        <v>777</v>
      </c>
      <c r="B707" s="5">
        <v>48</v>
      </c>
      <c r="C707" s="4" t="s">
        <v>33</v>
      </c>
      <c r="D707" s="4" t="s">
        <v>70</v>
      </c>
      <c r="E707" s="4" t="s">
        <v>63</v>
      </c>
      <c r="F707" s="4" t="s">
        <v>26</v>
      </c>
      <c r="G707" s="6">
        <v>26300</v>
      </c>
      <c r="H707" s="5">
        <v>9</v>
      </c>
      <c r="I707" s="7">
        <v>42747</v>
      </c>
      <c r="J707" s="4" t="s">
        <v>31</v>
      </c>
      <c r="K707" s="5">
        <v>2</v>
      </c>
      <c r="L707" s="6">
        <v>1207.77</v>
      </c>
      <c r="M707" s="6">
        <v>31044.52</v>
      </c>
      <c r="N707" s="5">
        <v>27</v>
      </c>
      <c r="O707" s="6">
        <v>64.42</v>
      </c>
      <c r="P707" s="5">
        <v>2</v>
      </c>
      <c r="Q707" s="6">
        <v>3500</v>
      </c>
      <c r="R707" s="6">
        <v>1272.3599999999999</v>
      </c>
      <c r="S707" s="6">
        <v>62000</v>
      </c>
      <c r="T707" s="6">
        <v>302</v>
      </c>
      <c r="U707" s="5">
        <v>580</v>
      </c>
      <c r="V707" s="5">
        <v>0</v>
      </c>
    </row>
    <row r="708" spans="1:22" x14ac:dyDescent="0.25">
      <c r="A708" s="4" t="s">
        <v>778</v>
      </c>
      <c r="B708" s="5">
        <v>61</v>
      </c>
      <c r="C708" s="4" t="s">
        <v>23</v>
      </c>
      <c r="D708" s="4" t="s">
        <v>59</v>
      </c>
      <c r="E708" s="4" t="s">
        <v>45</v>
      </c>
      <c r="F708" s="4" t="s">
        <v>48</v>
      </c>
      <c r="G708" s="6">
        <v>28800</v>
      </c>
      <c r="H708" s="5">
        <v>9</v>
      </c>
      <c r="I708" s="7">
        <v>42674</v>
      </c>
      <c r="J708" s="4" t="s">
        <v>39</v>
      </c>
      <c r="K708" s="5">
        <v>2</v>
      </c>
      <c r="L708" s="6">
        <v>2870.7</v>
      </c>
      <c r="M708" s="6">
        <v>0</v>
      </c>
      <c r="N708" s="5">
        <v>19</v>
      </c>
      <c r="O708" s="6">
        <v>70.650000000000006</v>
      </c>
      <c r="P708" s="5">
        <v>5</v>
      </c>
      <c r="Q708" s="6">
        <v>3500</v>
      </c>
      <c r="R708" s="6">
        <v>288.04000000000002</v>
      </c>
      <c r="S708" s="6">
        <v>0</v>
      </c>
      <c r="T708" s="6">
        <v>0</v>
      </c>
      <c r="U708" s="5">
        <v>609</v>
      </c>
      <c r="V708" s="5">
        <v>0</v>
      </c>
    </row>
    <row r="709" spans="1:22" x14ac:dyDescent="0.25">
      <c r="A709" s="4" t="s">
        <v>779</v>
      </c>
      <c r="B709" s="5">
        <v>50</v>
      </c>
      <c r="C709" s="4" t="s">
        <v>33</v>
      </c>
      <c r="D709" s="4" t="s">
        <v>37</v>
      </c>
      <c r="E709" s="4" t="s">
        <v>35</v>
      </c>
      <c r="F709" s="4" t="s">
        <v>26</v>
      </c>
      <c r="G709" s="6">
        <v>39200</v>
      </c>
      <c r="H709" s="5">
        <v>15</v>
      </c>
      <c r="I709" s="7">
        <v>40689</v>
      </c>
      <c r="J709" s="4" t="s">
        <v>39</v>
      </c>
      <c r="K709" s="5">
        <v>3</v>
      </c>
      <c r="L709" s="6">
        <v>3467.68</v>
      </c>
      <c r="M709" s="6">
        <v>0</v>
      </c>
      <c r="N709" s="5">
        <v>32</v>
      </c>
      <c r="O709" s="6">
        <v>38.950000000000003</v>
      </c>
      <c r="P709" s="5">
        <v>3</v>
      </c>
      <c r="Q709" s="6">
        <v>0</v>
      </c>
      <c r="R709" s="6">
        <v>0</v>
      </c>
      <c r="S709" s="6">
        <v>0</v>
      </c>
      <c r="T709" s="6">
        <v>0</v>
      </c>
      <c r="U709" s="5">
        <v>720</v>
      </c>
      <c r="V709" s="5">
        <v>1</v>
      </c>
    </row>
    <row r="710" spans="1:22" x14ac:dyDescent="0.25">
      <c r="A710" s="4" t="s">
        <v>780</v>
      </c>
      <c r="B710" s="5">
        <v>49</v>
      </c>
      <c r="C710" s="4" t="s">
        <v>23</v>
      </c>
      <c r="D710" s="4" t="s">
        <v>98</v>
      </c>
      <c r="E710" s="4" t="s">
        <v>25</v>
      </c>
      <c r="F710" s="4" t="s">
        <v>26</v>
      </c>
      <c r="G710" s="6">
        <v>40000</v>
      </c>
      <c r="H710" s="5">
        <v>11</v>
      </c>
      <c r="I710" s="7">
        <v>42182</v>
      </c>
      <c r="J710" s="4" t="s">
        <v>27</v>
      </c>
      <c r="K710" s="5">
        <v>1</v>
      </c>
      <c r="L710" s="6">
        <v>1176.8800000000001</v>
      </c>
      <c r="M710" s="6">
        <v>0</v>
      </c>
      <c r="N710" s="5">
        <v>32</v>
      </c>
      <c r="O710" s="6">
        <v>50.3</v>
      </c>
      <c r="P710" s="5">
        <v>3</v>
      </c>
      <c r="Q710" s="6">
        <v>9000</v>
      </c>
      <c r="R710" s="6">
        <v>879.74</v>
      </c>
      <c r="S710" s="6">
        <v>0</v>
      </c>
      <c r="T710" s="6">
        <v>0</v>
      </c>
      <c r="U710" s="5">
        <v>579</v>
      </c>
      <c r="V710" s="5">
        <v>0</v>
      </c>
    </row>
    <row r="711" spans="1:22" x14ac:dyDescent="0.25">
      <c r="A711" s="4" t="s">
        <v>781</v>
      </c>
      <c r="B711" s="5">
        <v>68</v>
      </c>
      <c r="C711" s="4" t="s">
        <v>23</v>
      </c>
      <c r="D711" s="4" t="s">
        <v>34</v>
      </c>
      <c r="E711" s="4" t="s">
        <v>95</v>
      </c>
      <c r="F711" s="4" t="s">
        <v>38</v>
      </c>
      <c r="G711" s="6">
        <v>25600</v>
      </c>
      <c r="H711" s="5">
        <v>5</v>
      </c>
      <c r="I711" s="7">
        <v>44150</v>
      </c>
      <c r="J711" s="4" t="s">
        <v>27</v>
      </c>
      <c r="K711" s="5">
        <v>1</v>
      </c>
      <c r="L711" s="6">
        <v>-542.57000000000005</v>
      </c>
      <c r="M711" s="6">
        <v>14255.46</v>
      </c>
      <c r="N711" s="5">
        <v>25</v>
      </c>
      <c r="O711" s="6">
        <v>57.55</v>
      </c>
      <c r="P711" s="5">
        <v>3</v>
      </c>
      <c r="Q711" s="6">
        <v>3500</v>
      </c>
      <c r="R711" s="6">
        <v>1288.3699999999999</v>
      </c>
      <c r="S711" s="6">
        <v>0</v>
      </c>
      <c r="T711" s="6">
        <v>0</v>
      </c>
      <c r="U711" s="5">
        <v>577</v>
      </c>
      <c r="V711" s="5">
        <v>1</v>
      </c>
    </row>
    <row r="712" spans="1:22" x14ac:dyDescent="0.25">
      <c r="A712" s="4" t="s">
        <v>782</v>
      </c>
      <c r="B712" s="5">
        <v>50</v>
      </c>
      <c r="C712" s="4" t="s">
        <v>23</v>
      </c>
      <c r="D712" s="4" t="s">
        <v>98</v>
      </c>
      <c r="E712" s="4" t="s">
        <v>25</v>
      </c>
      <c r="F712" s="4" t="s">
        <v>30</v>
      </c>
      <c r="G712" s="6">
        <v>30400</v>
      </c>
      <c r="H712" s="5">
        <v>15</v>
      </c>
      <c r="I712" s="7">
        <v>40721</v>
      </c>
      <c r="J712" s="4" t="s">
        <v>27</v>
      </c>
      <c r="K712" s="5">
        <v>4</v>
      </c>
      <c r="L712" s="6">
        <v>1265.1099999999999</v>
      </c>
      <c r="M712" s="6">
        <v>0</v>
      </c>
      <c r="N712" s="5">
        <v>24</v>
      </c>
      <c r="O712" s="6">
        <v>50.1</v>
      </c>
      <c r="P712" s="5">
        <v>6</v>
      </c>
      <c r="Q712" s="6">
        <v>0</v>
      </c>
      <c r="R712" s="6">
        <v>0</v>
      </c>
      <c r="S712" s="6">
        <v>119000</v>
      </c>
      <c r="T712" s="6">
        <v>583</v>
      </c>
      <c r="U712" s="5">
        <v>641</v>
      </c>
      <c r="V712" s="5">
        <v>0</v>
      </c>
    </row>
    <row r="713" spans="1:22" x14ac:dyDescent="0.25">
      <c r="A713" s="4" t="s">
        <v>783</v>
      </c>
      <c r="B713" s="5">
        <v>61</v>
      </c>
      <c r="C713" s="4" t="s">
        <v>33</v>
      </c>
      <c r="D713" s="4" t="s">
        <v>24</v>
      </c>
      <c r="E713" s="4" t="s">
        <v>54</v>
      </c>
      <c r="F713" s="4" t="s">
        <v>30</v>
      </c>
      <c r="G713" s="6">
        <v>36800</v>
      </c>
      <c r="H713" s="5">
        <v>24</v>
      </c>
      <c r="I713" s="7">
        <v>37282</v>
      </c>
      <c r="J713" s="4" t="s">
        <v>39</v>
      </c>
      <c r="K713" s="5">
        <v>4</v>
      </c>
      <c r="L713" s="6">
        <v>1081.5</v>
      </c>
      <c r="M713" s="6">
        <v>0</v>
      </c>
      <c r="N713" s="5">
        <v>31</v>
      </c>
      <c r="O713" s="6">
        <v>101.4</v>
      </c>
      <c r="P713" s="5">
        <v>5</v>
      </c>
      <c r="Q713" s="6">
        <v>6500</v>
      </c>
      <c r="R713" s="6">
        <v>1215.9000000000001</v>
      </c>
      <c r="S713" s="6">
        <v>0</v>
      </c>
      <c r="T713" s="6">
        <v>0</v>
      </c>
      <c r="U713" s="5">
        <v>759</v>
      </c>
      <c r="V713" s="5">
        <v>0</v>
      </c>
    </row>
    <row r="714" spans="1:22" x14ac:dyDescent="0.25">
      <c r="A714" s="4" t="s">
        <v>784</v>
      </c>
      <c r="B714" s="5">
        <v>67</v>
      </c>
      <c r="C714" s="4" t="s">
        <v>23</v>
      </c>
      <c r="D714" s="4" t="s">
        <v>134</v>
      </c>
      <c r="E714" s="4" t="s">
        <v>95</v>
      </c>
      <c r="F714" s="4" t="s">
        <v>48</v>
      </c>
      <c r="G714" s="6">
        <v>20700</v>
      </c>
      <c r="H714" s="5">
        <v>25</v>
      </c>
      <c r="I714" s="7">
        <v>36921</v>
      </c>
      <c r="J714" s="4" t="s">
        <v>39</v>
      </c>
      <c r="K714" s="5">
        <v>4</v>
      </c>
      <c r="L714" s="6">
        <v>4601.97</v>
      </c>
      <c r="M714" s="6">
        <v>0</v>
      </c>
      <c r="N714" s="5">
        <v>34</v>
      </c>
      <c r="O714" s="6">
        <v>57.67</v>
      </c>
      <c r="P714" s="5">
        <v>5</v>
      </c>
      <c r="Q714" s="6">
        <v>0</v>
      </c>
      <c r="R714" s="6">
        <v>0</v>
      </c>
      <c r="S714" s="6">
        <v>0</v>
      </c>
      <c r="T714" s="6">
        <v>0</v>
      </c>
      <c r="U714" s="5">
        <v>733</v>
      </c>
      <c r="V714" s="5">
        <v>0</v>
      </c>
    </row>
    <row r="715" spans="1:22" x14ac:dyDescent="0.25">
      <c r="A715" s="4" t="s">
        <v>785</v>
      </c>
      <c r="B715" s="5">
        <v>53</v>
      </c>
      <c r="C715" s="4" t="s">
        <v>23</v>
      </c>
      <c r="D715" s="4" t="s">
        <v>34</v>
      </c>
      <c r="E715" s="4" t="s">
        <v>25</v>
      </c>
      <c r="F715" s="4" t="s">
        <v>38</v>
      </c>
      <c r="G715" s="6">
        <v>33300</v>
      </c>
      <c r="H715" s="5">
        <v>16</v>
      </c>
      <c r="I715" s="7">
        <v>40417</v>
      </c>
      <c r="J715" s="4" t="s">
        <v>31</v>
      </c>
      <c r="K715" s="5">
        <v>1</v>
      </c>
      <c r="L715" s="6">
        <v>1534.98</v>
      </c>
      <c r="M715" s="6">
        <v>28740.67</v>
      </c>
      <c r="N715" s="5">
        <v>30</v>
      </c>
      <c r="O715" s="6">
        <v>49.21</v>
      </c>
      <c r="P715" s="5">
        <v>1</v>
      </c>
      <c r="Q715" s="6">
        <v>7000</v>
      </c>
      <c r="R715" s="6">
        <v>2795.78</v>
      </c>
      <c r="S715" s="6">
        <v>0</v>
      </c>
      <c r="T715" s="6">
        <v>0</v>
      </c>
      <c r="U715" s="5">
        <v>642</v>
      </c>
      <c r="V715" s="5">
        <v>0</v>
      </c>
    </row>
    <row r="716" spans="1:22" x14ac:dyDescent="0.25">
      <c r="A716" s="4" t="s">
        <v>786</v>
      </c>
      <c r="B716" s="5">
        <v>63</v>
      </c>
      <c r="C716" s="4" t="s">
        <v>33</v>
      </c>
      <c r="D716" s="4" t="s">
        <v>57</v>
      </c>
      <c r="E716" s="4" t="s">
        <v>54</v>
      </c>
      <c r="F716" s="4" t="s">
        <v>26</v>
      </c>
      <c r="G716" s="6">
        <v>36700</v>
      </c>
      <c r="H716" s="5">
        <v>13</v>
      </c>
      <c r="I716" s="7">
        <v>41384</v>
      </c>
      <c r="J716" s="4" t="s">
        <v>39</v>
      </c>
      <c r="K716" s="5">
        <v>2</v>
      </c>
      <c r="L716" s="6">
        <v>13550.88</v>
      </c>
      <c r="M716" s="6">
        <v>60045.11</v>
      </c>
      <c r="N716" s="5">
        <v>24</v>
      </c>
      <c r="O716" s="6">
        <v>109.21</v>
      </c>
      <c r="P716" s="5">
        <v>2</v>
      </c>
      <c r="Q716" s="6">
        <v>8000</v>
      </c>
      <c r="R716" s="6">
        <v>1991.87</v>
      </c>
      <c r="S716" s="6">
        <v>0</v>
      </c>
      <c r="T716" s="6">
        <v>0</v>
      </c>
      <c r="U716" s="5">
        <v>601</v>
      </c>
      <c r="V716" s="5">
        <v>0</v>
      </c>
    </row>
    <row r="717" spans="1:22" x14ac:dyDescent="0.25">
      <c r="A717" s="4" t="s">
        <v>787</v>
      </c>
      <c r="B717" s="5">
        <v>46</v>
      </c>
      <c r="C717" s="4" t="s">
        <v>33</v>
      </c>
      <c r="D717" s="4" t="s">
        <v>72</v>
      </c>
      <c r="E717" s="4" t="s">
        <v>25</v>
      </c>
      <c r="F717" s="4" t="s">
        <v>26</v>
      </c>
      <c r="G717" s="6">
        <v>17400</v>
      </c>
      <c r="H717" s="5">
        <v>4</v>
      </c>
      <c r="I717" s="7">
        <v>44527</v>
      </c>
      <c r="J717" s="4" t="s">
        <v>27</v>
      </c>
      <c r="K717" s="5">
        <v>2</v>
      </c>
      <c r="L717" s="6">
        <v>3321.14</v>
      </c>
      <c r="M717" s="6">
        <v>0</v>
      </c>
      <c r="N717" s="5">
        <v>19</v>
      </c>
      <c r="O717" s="6">
        <v>52.16</v>
      </c>
      <c r="P717" s="5">
        <v>2</v>
      </c>
      <c r="Q717" s="6">
        <v>2500</v>
      </c>
      <c r="R717" s="6">
        <v>746.22</v>
      </c>
      <c r="S717" s="6">
        <v>0</v>
      </c>
      <c r="T717" s="6">
        <v>0</v>
      </c>
      <c r="U717" s="5">
        <v>630</v>
      </c>
      <c r="V717" s="5">
        <v>0</v>
      </c>
    </row>
    <row r="718" spans="1:22" x14ac:dyDescent="0.25">
      <c r="A718" s="4" t="s">
        <v>788</v>
      </c>
      <c r="B718" s="5">
        <v>41</v>
      </c>
      <c r="C718" s="4" t="s">
        <v>23</v>
      </c>
      <c r="D718" s="4" t="s">
        <v>98</v>
      </c>
      <c r="E718" s="4" t="s">
        <v>45</v>
      </c>
      <c r="F718" s="4" t="s">
        <v>30</v>
      </c>
      <c r="G718" s="6">
        <v>30400</v>
      </c>
      <c r="H718" s="5">
        <v>12</v>
      </c>
      <c r="I718" s="7">
        <v>41856</v>
      </c>
      <c r="J718" s="4" t="s">
        <v>27</v>
      </c>
      <c r="K718" s="5">
        <v>1</v>
      </c>
      <c r="L718" s="6">
        <v>3120.42</v>
      </c>
      <c r="M718" s="6">
        <v>22521.52</v>
      </c>
      <c r="N718" s="5">
        <v>21</v>
      </c>
      <c r="O718" s="6">
        <v>50.76</v>
      </c>
      <c r="P718" s="5">
        <v>4</v>
      </c>
      <c r="Q718" s="6">
        <v>7000</v>
      </c>
      <c r="R718" s="6">
        <v>1126.49</v>
      </c>
      <c r="S718" s="6">
        <v>95000</v>
      </c>
      <c r="T718" s="6">
        <v>674</v>
      </c>
      <c r="U718" s="5">
        <v>682</v>
      </c>
      <c r="V718" s="5">
        <v>0</v>
      </c>
    </row>
    <row r="719" spans="1:22" x14ac:dyDescent="0.25">
      <c r="A719" s="4" t="s">
        <v>789</v>
      </c>
      <c r="B719" s="5">
        <v>51</v>
      </c>
      <c r="C719" s="4" t="s">
        <v>23</v>
      </c>
      <c r="D719" s="4" t="s">
        <v>41</v>
      </c>
      <c r="E719" s="4" t="s">
        <v>63</v>
      </c>
      <c r="F719" s="4" t="s">
        <v>48</v>
      </c>
      <c r="G719" s="6">
        <v>36000</v>
      </c>
      <c r="H719" s="5">
        <v>8</v>
      </c>
      <c r="I719" s="7">
        <v>43117</v>
      </c>
      <c r="J719" s="4" t="s">
        <v>27</v>
      </c>
      <c r="K719" s="5">
        <v>3</v>
      </c>
      <c r="L719" s="6">
        <v>-1664.33</v>
      </c>
      <c r="M719" s="6">
        <v>31842.04</v>
      </c>
      <c r="N719" s="5">
        <v>31</v>
      </c>
      <c r="O719" s="6">
        <v>106.71</v>
      </c>
      <c r="P719" s="5">
        <v>0</v>
      </c>
      <c r="Q719" s="6">
        <v>4500</v>
      </c>
      <c r="R719" s="6">
        <v>900.28</v>
      </c>
      <c r="S719" s="6">
        <v>98000</v>
      </c>
      <c r="T719" s="6">
        <v>0</v>
      </c>
      <c r="U719" s="5">
        <v>573</v>
      </c>
      <c r="V719" s="5">
        <v>1</v>
      </c>
    </row>
    <row r="720" spans="1:22" x14ac:dyDescent="0.25">
      <c r="A720" s="4" t="s">
        <v>790</v>
      </c>
      <c r="B720" s="5">
        <v>52</v>
      </c>
      <c r="C720" s="4" t="s">
        <v>33</v>
      </c>
      <c r="D720" s="4" t="s">
        <v>29</v>
      </c>
      <c r="E720" s="4" t="s">
        <v>35</v>
      </c>
      <c r="F720" s="4" t="s">
        <v>48</v>
      </c>
      <c r="G720" s="6">
        <v>44800</v>
      </c>
      <c r="H720" s="5">
        <v>9</v>
      </c>
      <c r="I720" s="7">
        <v>42877</v>
      </c>
      <c r="J720" s="4" t="s">
        <v>27</v>
      </c>
      <c r="K720" s="5">
        <v>3</v>
      </c>
      <c r="L720" s="6">
        <v>15518.09</v>
      </c>
      <c r="M720" s="6">
        <v>0</v>
      </c>
      <c r="N720" s="5">
        <v>35</v>
      </c>
      <c r="O720" s="6">
        <v>66.86</v>
      </c>
      <c r="P720" s="5">
        <v>6</v>
      </c>
      <c r="Q720" s="6">
        <v>8000</v>
      </c>
      <c r="R720" s="6">
        <v>1222.8800000000001</v>
      </c>
      <c r="S720" s="6">
        <v>152000</v>
      </c>
      <c r="T720" s="6">
        <v>1124</v>
      </c>
      <c r="U720" s="5">
        <v>648</v>
      </c>
      <c r="V720" s="5">
        <v>1</v>
      </c>
    </row>
    <row r="721" spans="1:22" x14ac:dyDescent="0.25">
      <c r="A721" s="4" t="s">
        <v>791</v>
      </c>
      <c r="B721" s="5">
        <v>49</v>
      </c>
      <c r="C721" s="4" t="s">
        <v>33</v>
      </c>
      <c r="D721" s="4" t="s">
        <v>98</v>
      </c>
      <c r="E721" s="4" t="s">
        <v>35</v>
      </c>
      <c r="F721" s="4" t="s">
        <v>38</v>
      </c>
      <c r="G721" s="6">
        <v>45300</v>
      </c>
      <c r="H721" s="5">
        <v>6</v>
      </c>
      <c r="I721" s="7">
        <v>43886</v>
      </c>
      <c r="J721" s="4" t="s">
        <v>27</v>
      </c>
      <c r="K721" s="5">
        <v>4</v>
      </c>
      <c r="L721" s="6">
        <v>7809.63</v>
      </c>
      <c r="M721" s="6">
        <v>35362.44</v>
      </c>
      <c r="N721" s="5">
        <v>32</v>
      </c>
      <c r="O721" s="6">
        <v>65.680000000000007</v>
      </c>
      <c r="P721" s="5">
        <v>6</v>
      </c>
      <c r="Q721" s="6">
        <v>9000</v>
      </c>
      <c r="R721" s="6">
        <v>4131.83</v>
      </c>
      <c r="S721" s="6">
        <v>109000</v>
      </c>
      <c r="T721" s="6">
        <v>559</v>
      </c>
      <c r="U721" s="5">
        <v>664</v>
      </c>
      <c r="V721" s="5">
        <v>0</v>
      </c>
    </row>
    <row r="722" spans="1:22" x14ac:dyDescent="0.25">
      <c r="A722" s="4" t="s">
        <v>792</v>
      </c>
      <c r="B722" s="5">
        <v>41</v>
      </c>
      <c r="C722" s="4" t="s">
        <v>33</v>
      </c>
      <c r="D722" s="4" t="s">
        <v>57</v>
      </c>
      <c r="E722" s="4" t="s">
        <v>67</v>
      </c>
      <c r="F722" s="4" t="s">
        <v>30</v>
      </c>
      <c r="G722" s="6">
        <v>2800</v>
      </c>
      <c r="H722" s="5">
        <v>16</v>
      </c>
      <c r="I722" s="7">
        <v>40393</v>
      </c>
      <c r="J722" s="4" t="s">
        <v>31</v>
      </c>
      <c r="K722" s="5">
        <v>2</v>
      </c>
      <c r="L722" s="6">
        <v>-1398.27</v>
      </c>
      <c r="M722" s="6">
        <v>4083.37</v>
      </c>
      <c r="N722" s="5">
        <v>14</v>
      </c>
      <c r="O722" s="6">
        <v>21.53</v>
      </c>
      <c r="P722" s="5">
        <v>2</v>
      </c>
      <c r="Q722" s="6">
        <v>500</v>
      </c>
      <c r="R722" s="6">
        <v>122.94</v>
      </c>
      <c r="S722" s="6">
        <v>0</v>
      </c>
      <c r="T722" s="6">
        <v>0</v>
      </c>
      <c r="U722" s="5">
        <v>650</v>
      </c>
      <c r="V722" s="5">
        <v>1</v>
      </c>
    </row>
    <row r="723" spans="1:22" x14ac:dyDescent="0.25">
      <c r="A723" s="4" t="s">
        <v>793</v>
      </c>
      <c r="B723" s="5">
        <v>37</v>
      </c>
      <c r="C723" s="4" t="s">
        <v>23</v>
      </c>
      <c r="D723" s="4" t="s">
        <v>70</v>
      </c>
      <c r="E723" s="4" t="s">
        <v>25</v>
      </c>
      <c r="F723" s="4" t="s">
        <v>30</v>
      </c>
      <c r="G723" s="6">
        <v>29600</v>
      </c>
      <c r="H723" s="5">
        <v>12</v>
      </c>
      <c r="I723" s="7">
        <v>41773</v>
      </c>
      <c r="J723" s="4" t="s">
        <v>31</v>
      </c>
      <c r="K723" s="5">
        <v>1</v>
      </c>
      <c r="L723" s="6">
        <v>2339.0700000000002</v>
      </c>
      <c r="M723" s="6">
        <v>26013.68</v>
      </c>
      <c r="N723" s="5">
        <v>18</v>
      </c>
      <c r="O723" s="6">
        <v>50.98</v>
      </c>
      <c r="P723" s="5">
        <v>2</v>
      </c>
      <c r="Q723" s="6">
        <v>3500</v>
      </c>
      <c r="R723" s="6">
        <v>552.12</v>
      </c>
      <c r="S723" s="6">
        <v>0</v>
      </c>
      <c r="T723" s="6">
        <v>0</v>
      </c>
      <c r="U723" s="5">
        <v>764</v>
      </c>
      <c r="V723" s="5">
        <v>0</v>
      </c>
    </row>
    <row r="724" spans="1:22" x14ac:dyDescent="0.25">
      <c r="A724" s="4" t="s">
        <v>794</v>
      </c>
      <c r="B724" s="5">
        <v>46</v>
      </c>
      <c r="C724" s="4" t="s">
        <v>23</v>
      </c>
      <c r="D724" s="4" t="s">
        <v>44</v>
      </c>
      <c r="E724" s="4" t="s">
        <v>45</v>
      </c>
      <c r="F724" s="4" t="s">
        <v>26</v>
      </c>
      <c r="G724" s="6">
        <v>23800</v>
      </c>
      <c r="H724" s="5">
        <v>17</v>
      </c>
      <c r="I724" s="7">
        <v>40048</v>
      </c>
      <c r="J724" s="4" t="s">
        <v>27</v>
      </c>
      <c r="K724" s="5">
        <v>5</v>
      </c>
      <c r="L724" s="6">
        <v>980.25</v>
      </c>
      <c r="M724" s="6">
        <v>0</v>
      </c>
      <c r="N724" s="5">
        <v>22</v>
      </c>
      <c r="O724" s="6">
        <v>23.88</v>
      </c>
      <c r="P724" s="5">
        <v>1</v>
      </c>
      <c r="Q724" s="6">
        <v>0</v>
      </c>
      <c r="R724" s="6">
        <v>0</v>
      </c>
      <c r="S724" s="6">
        <v>119000</v>
      </c>
      <c r="T724" s="6">
        <v>751</v>
      </c>
      <c r="U724" s="5">
        <v>715</v>
      </c>
      <c r="V724" s="5">
        <v>0</v>
      </c>
    </row>
    <row r="725" spans="1:22" x14ac:dyDescent="0.25">
      <c r="A725" s="4" t="s">
        <v>795</v>
      </c>
      <c r="B725" s="5">
        <v>28</v>
      </c>
      <c r="C725" s="4" t="s">
        <v>23</v>
      </c>
      <c r="D725" s="4" t="s">
        <v>98</v>
      </c>
      <c r="E725" s="4" t="s">
        <v>67</v>
      </c>
      <c r="F725" s="4" t="s">
        <v>30</v>
      </c>
      <c r="G725" s="6">
        <v>4600</v>
      </c>
      <c r="H725" s="5">
        <v>4</v>
      </c>
      <c r="I725" s="7">
        <v>44690</v>
      </c>
      <c r="J725" s="4" t="s">
        <v>31</v>
      </c>
      <c r="K725" s="5">
        <v>1</v>
      </c>
      <c r="L725" s="6">
        <v>-2081.67</v>
      </c>
      <c r="M725" s="6">
        <v>2457.98</v>
      </c>
      <c r="N725" s="5">
        <v>17</v>
      </c>
      <c r="O725" s="6">
        <v>38.89</v>
      </c>
      <c r="P725" s="5">
        <v>1</v>
      </c>
      <c r="Q725" s="6">
        <v>1000</v>
      </c>
      <c r="R725" s="6">
        <v>567.92999999999995</v>
      </c>
      <c r="S725" s="6">
        <v>0</v>
      </c>
      <c r="T725" s="6">
        <v>0</v>
      </c>
      <c r="U725" s="5">
        <v>593</v>
      </c>
      <c r="V725" s="5">
        <v>0</v>
      </c>
    </row>
    <row r="726" spans="1:22" x14ac:dyDescent="0.25">
      <c r="A726" s="4" t="s">
        <v>796</v>
      </c>
      <c r="B726" s="5">
        <v>48</v>
      </c>
      <c r="C726" s="4" t="s">
        <v>23</v>
      </c>
      <c r="D726" s="4" t="s">
        <v>24</v>
      </c>
      <c r="E726" s="4" t="s">
        <v>67</v>
      </c>
      <c r="F726" s="4" t="s">
        <v>26</v>
      </c>
      <c r="G726" s="6">
        <v>3800</v>
      </c>
      <c r="H726" s="5">
        <v>11</v>
      </c>
      <c r="I726" s="7">
        <v>42018</v>
      </c>
      <c r="J726" s="4" t="s">
        <v>27</v>
      </c>
      <c r="K726" s="5">
        <v>2</v>
      </c>
      <c r="L726" s="6">
        <v>174.45</v>
      </c>
      <c r="M726" s="6">
        <v>0</v>
      </c>
      <c r="N726" s="5">
        <v>27</v>
      </c>
      <c r="O726" s="6">
        <v>30.49</v>
      </c>
      <c r="P726" s="5">
        <v>7</v>
      </c>
      <c r="Q726" s="6">
        <v>0</v>
      </c>
      <c r="R726" s="6">
        <v>0</v>
      </c>
      <c r="S726" s="6">
        <v>0</v>
      </c>
      <c r="T726" s="6">
        <v>0</v>
      </c>
      <c r="U726" s="5">
        <v>531</v>
      </c>
      <c r="V726" s="5">
        <v>0</v>
      </c>
    </row>
    <row r="727" spans="1:22" x14ac:dyDescent="0.25">
      <c r="A727" s="4" t="s">
        <v>797</v>
      </c>
      <c r="B727" s="5">
        <v>39</v>
      </c>
      <c r="C727" s="4" t="s">
        <v>33</v>
      </c>
      <c r="D727" s="4" t="s">
        <v>29</v>
      </c>
      <c r="E727" s="4" t="s">
        <v>25</v>
      </c>
      <c r="F727" s="4" t="s">
        <v>38</v>
      </c>
      <c r="G727" s="6">
        <v>37700</v>
      </c>
      <c r="H727" s="5">
        <v>10</v>
      </c>
      <c r="I727" s="7">
        <v>42363</v>
      </c>
      <c r="J727" s="4" t="s">
        <v>31</v>
      </c>
      <c r="K727" s="5">
        <v>2</v>
      </c>
      <c r="L727" s="6">
        <v>11627.72</v>
      </c>
      <c r="M727" s="6">
        <v>0</v>
      </c>
      <c r="N727" s="5">
        <v>40</v>
      </c>
      <c r="O727" s="6">
        <v>53.48</v>
      </c>
      <c r="P727" s="5">
        <v>1</v>
      </c>
      <c r="Q727" s="6">
        <v>4000</v>
      </c>
      <c r="R727" s="6">
        <v>125.4</v>
      </c>
      <c r="S727" s="6">
        <v>0</v>
      </c>
      <c r="T727" s="6">
        <v>0</v>
      </c>
      <c r="U727" s="5">
        <v>537</v>
      </c>
      <c r="V727" s="5">
        <v>0</v>
      </c>
    </row>
    <row r="728" spans="1:22" x14ac:dyDescent="0.25">
      <c r="A728" s="4" t="s">
        <v>798</v>
      </c>
      <c r="B728" s="5">
        <v>53</v>
      </c>
      <c r="C728" s="4" t="s">
        <v>23</v>
      </c>
      <c r="D728" s="4" t="s">
        <v>29</v>
      </c>
      <c r="E728" s="4" t="s">
        <v>63</v>
      </c>
      <c r="F728" s="4" t="s">
        <v>30</v>
      </c>
      <c r="G728" s="6">
        <v>29300</v>
      </c>
      <c r="H728" s="5">
        <v>2</v>
      </c>
      <c r="I728" s="7">
        <v>45491</v>
      </c>
      <c r="J728" s="4" t="s">
        <v>27</v>
      </c>
      <c r="K728" s="5">
        <v>2</v>
      </c>
      <c r="L728" s="6">
        <v>4131.6099999999997</v>
      </c>
      <c r="M728" s="6">
        <v>3973.76</v>
      </c>
      <c r="N728" s="5">
        <v>35</v>
      </c>
      <c r="O728" s="6">
        <v>67.3</v>
      </c>
      <c r="P728" s="5">
        <v>3</v>
      </c>
      <c r="Q728" s="6">
        <v>7000</v>
      </c>
      <c r="R728" s="6">
        <v>2403.13</v>
      </c>
      <c r="S728" s="6">
        <v>0</v>
      </c>
      <c r="T728" s="6">
        <v>0</v>
      </c>
      <c r="U728" s="5">
        <v>520</v>
      </c>
      <c r="V728" s="5">
        <v>1</v>
      </c>
    </row>
    <row r="729" spans="1:22" x14ac:dyDescent="0.25">
      <c r="A729" s="4" t="s">
        <v>799</v>
      </c>
      <c r="B729" s="5">
        <v>62</v>
      </c>
      <c r="C729" s="4" t="s">
        <v>33</v>
      </c>
      <c r="D729" s="4" t="s">
        <v>59</v>
      </c>
      <c r="E729" s="4" t="s">
        <v>54</v>
      </c>
      <c r="F729" s="4" t="s">
        <v>30</v>
      </c>
      <c r="G729" s="6">
        <v>51100</v>
      </c>
      <c r="H729" s="5">
        <v>32</v>
      </c>
      <c r="I729" s="7">
        <v>34342</v>
      </c>
      <c r="J729" s="4" t="s">
        <v>49</v>
      </c>
      <c r="K729" s="5">
        <v>3</v>
      </c>
      <c r="L729" s="6">
        <v>5319.66</v>
      </c>
      <c r="M729" s="6"/>
      <c r="N729" s="5">
        <v>26</v>
      </c>
      <c r="O729" s="6">
        <v>73.13</v>
      </c>
      <c r="P729" s="5">
        <v>2</v>
      </c>
      <c r="Q729" s="6">
        <v>8500</v>
      </c>
      <c r="R729" s="6">
        <v>2405.64</v>
      </c>
      <c r="S729" s="6">
        <v>0</v>
      </c>
      <c r="T729" s="6">
        <v>0</v>
      </c>
      <c r="U729" s="5">
        <v>710</v>
      </c>
      <c r="V729" s="5">
        <v>1</v>
      </c>
    </row>
    <row r="730" spans="1:22" x14ac:dyDescent="0.25">
      <c r="A730" s="4" t="s">
        <v>800</v>
      </c>
      <c r="B730" s="5">
        <v>67</v>
      </c>
      <c r="C730" s="4" t="s">
        <v>33</v>
      </c>
      <c r="D730" s="4" t="s">
        <v>72</v>
      </c>
      <c r="E730" s="4" t="s">
        <v>35</v>
      </c>
      <c r="F730" s="4" t="s">
        <v>30</v>
      </c>
      <c r="G730" s="6">
        <v>50300</v>
      </c>
      <c r="H730" s="5">
        <v>21</v>
      </c>
      <c r="I730" s="7">
        <v>38597</v>
      </c>
      <c r="J730" s="4" t="s">
        <v>31</v>
      </c>
      <c r="K730" s="5">
        <v>3</v>
      </c>
      <c r="L730" s="6">
        <v>-2278.5100000000002</v>
      </c>
      <c r="M730" s="6">
        <v>39129.360000000001</v>
      </c>
      <c r="N730" s="5">
        <v>36</v>
      </c>
      <c r="O730" s="6">
        <v>44.37</v>
      </c>
      <c r="P730" s="5">
        <v>2</v>
      </c>
      <c r="Q730" s="6">
        <v>10500</v>
      </c>
      <c r="R730" s="6">
        <v>1526.59</v>
      </c>
      <c r="S730" s="6">
        <v>0</v>
      </c>
      <c r="T730" s="6">
        <v>0</v>
      </c>
      <c r="U730" s="5">
        <v>696</v>
      </c>
      <c r="V730" s="5">
        <v>0</v>
      </c>
    </row>
    <row r="731" spans="1:22" x14ac:dyDescent="0.25">
      <c r="A731" s="4" t="s">
        <v>801</v>
      </c>
      <c r="B731" s="5">
        <v>46</v>
      </c>
      <c r="C731" s="4" t="s">
        <v>23</v>
      </c>
      <c r="D731" s="4" t="s">
        <v>72</v>
      </c>
      <c r="E731" s="4" t="s">
        <v>90</v>
      </c>
      <c r="F731" s="4" t="s">
        <v>30</v>
      </c>
      <c r="G731" s="6">
        <v>86100</v>
      </c>
      <c r="H731" s="5">
        <v>17</v>
      </c>
      <c r="I731" s="7">
        <v>40054</v>
      </c>
      <c r="J731" s="4" t="s">
        <v>27</v>
      </c>
      <c r="K731" s="5">
        <v>2</v>
      </c>
      <c r="L731" s="6">
        <v>9989.16</v>
      </c>
      <c r="M731" s="6">
        <v>62770.96</v>
      </c>
      <c r="N731" s="5">
        <v>43</v>
      </c>
      <c r="O731" s="6">
        <v>131.81</v>
      </c>
      <c r="P731" s="5">
        <v>4</v>
      </c>
      <c r="Q731" s="6">
        <v>15000</v>
      </c>
      <c r="R731" s="6">
        <v>1814.1</v>
      </c>
      <c r="S731" s="6">
        <v>353000</v>
      </c>
      <c r="T731" s="6">
        <v>1888</v>
      </c>
      <c r="U731" s="5">
        <v>783</v>
      </c>
      <c r="V731" s="5">
        <v>0</v>
      </c>
    </row>
    <row r="732" spans="1:22" x14ac:dyDescent="0.25">
      <c r="A732" s="4" t="s">
        <v>802</v>
      </c>
      <c r="B732" s="5">
        <v>54</v>
      </c>
      <c r="C732" s="4" t="s">
        <v>33</v>
      </c>
      <c r="D732" s="4" t="s">
        <v>62</v>
      </c>
      <c r="E732" s="4" t="s">
        <v>25</v>
      </c>
      <c r="F732" s="4" t="s">
        <v>48</v>
      </c>
      <c r="G732" s="6">
        <v>34100</v>
      </c>
      <c r="H732" s="5">
        <v>9</v>
      </c>
      <c r="I732" s="7">
        <v>42897</v>
      </c>
      <c r="J732" s="4" t="s">
        <v>27</v>
      </c>
      <c r="K732" s="5">
        <v>2</v>
      </c>
      <c r="L732" s="6">
        <v>5825.33</v>
      </c>
      <c r="M732" s="6">
        <v>20821.21</v>
      </c>
      <c r="N732" s="5">
        <v>38</v>
      </c>
      <c r="O732" s="6">
        <v>37.72</v>
      </c>
      <c r="P732" s="5">
        <v>6</v>
      </c>
      <c r="Q732" s="6">
        <v>6000</v>
      </c>
      <c r="R732" s="6">
        <v>2534.54</v>
      </c>
      <c r="S732" s="6">
        <v>0</v>
      </c>
      <c r="T732" s="6">
        <v>0</v>
      </c>
      <c r="U732" s="5">
        <v>685</v>
      </c>
      <c r="V732" s="5">
        <v>0</v>
      </c>
    </row>
    <row r="733" spans="1:22" x14ac:dyDescent="0.25">
      <c r="A733" s="4" t="s">
        <v>803</v>
      </c>
      <c r="B733" s="5">
        <v>31</v>
      </c>
      <c r="C733" s="4" t="s">
        <v>23</v>
      </c>
      <c r="D733" s="4" t="s">
        <v>34</v>
      </c>
      <c r="E733" s="4" t="s">
        <v>25</v>
      </c>
      <c r="F733" s="4" t="s">
        <v>38</v>
      </c>
      <c r="G733" s="6">
        <v>45100</v>
      </c>
      <c r="H733" s="5">
        <v>9</v>
      </c>
      <c r="I733" s="7">
        <v>42844</v>
      </c>
      <c r="J733" s="4" t="s">
        <v>31</v>
      </c>
      <c r="K733" s="5">
        <v>2</v>
      </c>
      <c r="L733" s="6">
        <v>2427.34</v>
      </c>
      <c r="M733" s="6">
        <v>25917.86</v>
      </c>
      <c r="N733" s="5">
        <v>30</v>
      </c>
      <c r="O733" s="6">
        <v>60.74</v>
      </c>
      <c r="P733" s="5">
        <v>1</v>
      </c>
      <c r="Q733" s="6">
        <v>7500</v>
      </c>
      <c r="R733" s="6">
        <v>5080.46</v>
      </c>
      <c r="S733" s="6">
        <v>0</v>
      </c>
      <c r="T733" s="6">
        <v>0</v>
      </c>
      <c r="U733" s="5">
        <v>587</v>
      </c>
      <c r="V733" s="5">
        <v>0</v>
      </c>
    </row>
    <row r="734" spans="1:22" x14ac:dyDescent="0.25">
      <c r="A734" s="4" t="s">
        <v>804</v>
      </c>
      <c r="B734" s="5">
        <v>57</v>
      </c>
      <c r="C734" s="4" t="s">
        <v>33</v>
      </c>
      <c r="D734" s="4" t="s">
        <v>98</v>
      </c>
      <c r="E734" s="4" t="s">
        <v>35</v>
      </c>
      <c r="F734" s="4" t="s">
        <v>26</v>
      </c>
      <c r="G734" s="6">
        <v>33400</v>
      </c>
      <c r="H734" s="5">
        <v>23</v>
      </c>
      <c r="I734" s="7">
        <v>37562</v>
      </c>
      <c r="J734" s="4" t="s">
        <v>39</v>
      </c>
      <c r="K734" s="5">
        <v>1</v>
      </c>
      <c r="L734" s="6">
        <v>7531.91</v>
      </c>
      <c r="M734" s="6">
        <v>31158.74</v>
      </c>
      <c r="N734" s="5">
        <v>21</v>
      </c>
      <c r="O734" s="6">
        <v>43.37</v>
      </c>
      <c r="P734" s="5">
        <v>7</v>
      </c>
      <c r="Q734" s="6">
        <v>6500</v>
      </c>
      <c r="R734" s="6">
        <v>726.34</v>
      </c>
      <c r="S734" s="6">
        <v>137000</v>
      </c>
      <c r="T734" s="6">
        <v>680</v>
      </c>
      <c r="U734" s="5">
        <v>733</v>
      </c>
      <c r="V734" s="5">
        <v>0</v>
      </c>
    </row>
    <row r="735" spans="1:22" x14ac:dyDescent="0.25">
      <c r="A735" s="4" t="s">
        <v>805</v>
      </c>
      <c r="B735" s="5">
        <v>47</v>
      </c>
      <c r="C735" s="4" t="s">
        <v>23</v>
      </c>
      <c r="D735" s="4" t="s">
        <v>59</v>
      </c>
      <c r="E735" s="4" t="s">
        <v>35</v>
      </c>
      <c r="F735" s="4" t="s">
        <v>30</v>
      </c>
      <c r="G735" s="6">
        <v>56100</v>
      </c>
      <c r="H735" s="5">
        <v>15</v>
      </c>
      <c r="I735" s="7">
        <v>40469</v>
      </c>
      <c r="J735" s="4" t="s">
        <v>31</v>
      </c>
      <c r="K735" s="5">
        <v>3</v>
      </c>
      <c r="L735" s="6">
        <v>5731.32</v>
      </c>
      <c r="M735" s="6">
        <v>0</v>
      </c>
      <c r="N735" s="5">
        <v>45</v>
      </c>
      <c r="O735" s="6">
        <v>80.819999999999993</v>
      </c>
      <c r="P735" s="5">
        <v>0</v>
      </c>
      <c r="Q735" s="6">
        <v>0</v>
      </c>
      <c r="R735" s="6">
        <v>0</v>
      </c>
      <c r="S735" s="6">
        <v>240000</v>
      </c>
      <c r="T735" s="6">
        <v>1684</v>
      </c>
      <c r="U735" s="5">
        <v>705</v>
      </c>
      <c r="V735" s="5">
        <v>0</v>
      </c>
    </row>
    <row r="736" spans="1:22" x14ac:dyDescent="0.25">
      <c r="A736" s="4" t="s">
        <v>806</v>
      </c>
      <c r="B736" s="5">
        <v>47</v>
      </c>
      <c r="C736" s="4" t="s">
        <v>33</v>
      </c>
      <c r="D736" s="4" t="s">
        <v>34</v>
      </c>
      <c r="E736" s="4" t="s">
        <v>25</v>
      </c>
      <c r="F736" s="4" t="s">
        <v>48</v>
      </c>
      <c r="G736" s="6">
        <v>26700</v>
      </c>
      <c r="H736" s="5">
        <v>14</v>
      </c>
      <c r="I736" s="7">
        <v>40846</v>
      </c>
      <c r="J736" s="4" t="s">
        <v>27</v>
      </c>
      <c r="K736" s="5">
        <v>1</v>
      </c>
      <c r="L736" s="6">
        <v>2855.24</v>
      </c>
      <c r="M736" s="6">
        <v>0</v>
      </c>
      <c r="N736" s="5">
        <v>39</v>
      </c>
      <c r="O736" s="6">
        <v>46.62</v>
      </c>
      <c r="P736" s="5">
        <v>2</v>
      </c>
      <c r="Q736" s="6">
        <v>5000</v>
      </c>
      <c r="R736" s="6">
        <v>819.06</v>
      </c>
      <c r="S736" s="6">
        <v>99000</v>
      </c>
      <c r="T736" s="6">
        <v>571</v>
      </c>
      <c r="U736" s="5">
        <v>587</v>
      </c>
      <c r="V736" s="5">
        <v>0</v>
      </c>
    </row>
    <row r="737" spans="1:22" x14ac:dyDescent="0.25">
      <c r="A737" s="4" t="s">
        <v>807</v>
      </c>
      <c r="B737" s="5">
        <v>42</v>
      </c>
      <c r="C737" s="4" t="s">
        <v>33</v>
      </c>
      <c r="D737" s="4" t="s">
        <v>59</v>
      </c>
      <c r="E737" s="4" t="s">
        <v>45</v>
      </c>
      <c r="F737" s="4" t="s">
        <v>30</v>
      </c>
      <c r="G737" s="6">
        <v>22900</v>
      </c>
      <c r="H737" s="5">
        <v>15</v>
      </c>
      <c r="I737" s="7">
        <v>40771</v>
      </c>
      <c r="J737" s="4" t="s">
        <v>31</v>
      </c>
      <c r="K737" s="5">
        <v>2</v>
      </c>
      <c r="L737" s="6">
        <v>934.88</v>
      </c>
      <c r="M737" s="6">
        <v>33685.550000000003</v>
      </c>
      <c r="N737" s="5">
        <v>21</v>
      </c>
      <c r="O737" s="6">
        <v>55.93</v>
      </c>
      <c r="P737" s="5">
        <v>0</v>
      </c>
      <c r="Q737" s="6">
        <v>3500</v>
      </c>
      <c r="R737" s="6">
        <v>1171.8599999999999</v>
      </c>
      <c r="S737" s="6">
        <v>74000</v>
      </c>
      <c r="T737" s="6">
        <v>415</v>
      </c>
      <c r="U737" s="5">
        <v>635</v>
      </c>
      <c r="V737" s="5">
        <v>0</v>
      </c>
    </row>
    <row r="738" spans="1:22" x14ac:dyDescent="0.25">
      <c r="A738" s="4" t="s">
        <v>808</v>
      </c>
      <c r="B738" s="5">
        <v>45</v>
      </c>
      <c r="C738" s="4" t="s">
        <v>23</v>
      </c>
      <c r="D738" s="4" t="s">
        <v>57</v>
      </c>
      <c r="E738" s="4" t="s">
        <v>45</v>
      </c>
      <c r="F738" s="4" t="s">
        <v>30</v>
      </c>
      <c r="G738" s="6">
        <v>18800</v>
      </c>
      <c r="H738" s="5">
        <v>2</v>
      </c>
      <c r="I738" s="7">
        <v>45236</v>
      </c>
      <c r="J738" s="4" t="s">
        <v>31</v>
      </c>
      <c r="K738" s="5">
        <v>2</v>
      </c>
      <c r="L738" s="6">
        <v>699.47</v>
      </c>
      <c r="M738" s="6">
        <v>2938.05</v>
      </c>
      <c r="N738" s="5">
        <v>26</v>
      </c>
      <c r="O738" s="6">
        <v>43.21</v>
      </c>
      <c r="P738" s="5">
        <v>1</v>
      </c>
      <c r="Q738" s="6">
        <v>3500</v>
      </c>
      <c r="R738" s="6">
        <v>580.53</v>
      </c>
      <c r="S738" s="6">
        <v>50000</v>
      </c>
      <c r="T738" s="6">
        <v>261</v>
      </c>
      <c r="U738" s="5">
        <v>557</v>
      </c>
      <c r="V738" s="5">
        <v>1</v>
      </c>
    </row>
    <row r="739" spans="1:22" x14ac:dyDescent="0.25">
      <c r="A739" s="4" t="s">
        <v>809</v>
      </c>
      <c r="B739" s="5">
        <v>64</v>
      </c>
      <c r="C739" s="4" t="s">
        <v>23</v>
      </c>
      <c r="D739" s="4" t="s">
        <v>34</v>
      </c>
      <c r="E739" s="4" t="s">
        <v>90</v>
      </c>
      <c r="F739" s="4" t="s">
        <v>30</v>
      </c>
      <c r="G739" s="6">
        <v>63400</v>
      </c>
      <c r="H739" s="5">
        <v>16</v>
      </c>
      <c r="I739" s="7">
        <v>40322</v>
      </c>
      <c r="J739" s="4" t="s">
        <v>49</v>
      </c>
      <c r="K739" s="5">
        <v>1</v>
      </c>
      <c r="L739" s="6">
        <v>-2067.2600000000002</v>
      </c>
      <c r="M739" s="6">
        <v>52379.05</v>
      </c>
      <c r="N739" s="5">
        <v>30</v>
      </c>
      <c r="O739" s="6">
        <v>42.53</v>
      </c>
      <c r="P739" s="5">
        <v>4</v>
      </c>
      <c r="Q739" s="6">
        <v>7500</v>
      </c>
      <c r="R739" s="6">
        <v>2993.67</v>
      </c>
      <c r="S739" s="6">
        <v>0</v>
      </c>
      <c r="T739" s="6">
        <v>0</v>
      </c>
      <c r="U739" s="5">
        <v>701</v>
      </c>
      <c r="V739" s="5">
        <v>0</v>
      </c>
    </row>
    <row r="740" spans="1:22" x14ac:dyDescent="0.25">
      <c r="A740" s="4" t="s">
        <v>810</v>
      </c>
      <c r="B740" s="5">
        <v>44</v>
      </c>
      <c r="C740" s="4" t="s">
        <v>23</v>
      </c>
      <c r="D740" s="4" t="s">
        <v>72</v>
      </c>
      <c r="E740" s="4" t="s">
        <v>90</v>
      </c>
      <c r="F740" s="4" t="s">
        <v>48</v>
      </c>
      <c r="G740" s="6">
        <v>105300</v>
      </c>
      <c r="H740" s="5">
        <v>7</v>
      </c>
      <c r="I740" s="7">
        <v>43623</v>
      </c>
      <c r="J740" s="4" t="s">
        <v>49</v>
      </c>
      <c r="K740" s="5">
        <v>2</v>
      </c>
      <c r="L740" s="6">
        <v>10700.14</v>
      </c>
      <c r="M740" s="6">
        <v>77670.039999999994</v>
      </c>
      <c r="N740" s="5">
        <v>46</v>
      </c>
      <c r="O740" s="6">
        <v>98.26</v>
      </c>
      <c r="P740" s="5">
        <v>0</v>
      </c>
      <c r="Q740" s="6">
        <v>15000</v>
      </c>
      <c r="R740" s="6">
        <v>4311.34</v>
      </c>
      <c r="S740" s="6">
        <v>0</v>
      </c>
      <c r="T740" s="6">
        <v>0</v>
      </c>
      <c r="U740" s="5">
        <v>666</v>
      </c>
      <c r="V740" s="5">
        <v>0</v>
      </c>
    </row>
    <row r="741" spans="1:22" x14ac:dyDescent="0.25">
      <c r="A741" s="4" t="s">
        <v>811</v>
      </c>
      <c r="B741" s="5">
        <v>25</v>
      </c>
      <c r="C741" s="4" t="s">
        <v>33</v>
      </c>
      <c r="D741" s="4" t="s">
        <v>108</v>
      </c>
      <c r="E741" s="4" t="s">
        <v>25</v>
      </c>
      <c r="F741" s="4" t="s">
        <v>26</v>
      </c>
      <c r="G741" s="6">
        <v>38200</v>
      </c>
      <c r="H741" s="5">
        <v>2</v>
      </c>
      <c r="I741" s="7">
        <v>45477</v>
      </c>
      <c r="J741" s="4" t="s">
        <v>27</v>
      </c>
      <c r="K741" s="5">
        <v>2</v>
      </c>
      <c r="L741" s="6">
        <v>3345.72</v>
      </c>
      <c r="M741" s="6">
        <v>8952.52</v>
      </c>
      <c r="N741" s="5">
        <v>34</v>
      </c>
      <c r="O741" s="6">
        <v>31.77</v>
      </c>
      <c r="P741" s="5">
        <v>3</v>
      </c>
      <c r="Q741" s="6">
        <v>9000</v>
      </c>
      <c r="R741" s="6">
        <v>2398.17</v>
      </c>
      <c r="S741" s="6">
        <v>0</v>
      </c>
      <c r="T741" s="6">
        <v>0</v>
      </c>
      <c r="U741" s="5">
        <v>589</v>
      </c>
      <c r="V741" s="5">
        <v>0</v>
      </c>
    </row>
    <row r="742" spans="1:22" x14ac:dyDescent="0.25">
      <c r="A742" s="4" t="s">
        <v>812</v>
      </c>
      <c r="B742" s="5">
        <v>46</v>
      </c>
      <c r="C742" s="4" t="s">
        <v>23</v>
      </c>
      <c r="D742" s="4" t="s">
        <v>34</v>
      </c>
      <c r="E742" s="4" t="s">
        <v>63</v>
      </c>
      <c r="F742" s="4" t="s">
        <v>30</v>
      </c>
      <c r="G742" s="6">
        <v>36300</v>
      </c>
      <c r="H742" s="5">
        <v>10</v>
      </c>
      <c r="I742" s="7">
        <v>42316</v>
      </c>
      <c r="J742" s="4" t="s">
        <v>27</v>
      </c>
      <c r="K742" s="5">
        <v>1</v>
      </c>
      <c r="L742" s="6">
        <v>1667.55</v>
      </c>
      <c r="M742" s="6">
        <v>0</v>
      </c>
      <c r="N742" s="5">
        <v>31</v>
      </c>
      <c r="O742" s="6">
        <v>43.54</v>
      </c>
      <c r="P742" s="5">
        <v>1</v>
      </c>
      <c r="Q742" s="6">
        <v>4500</v>
      </c>
      <c r="R742" s="6">
        <v>2128.91</v>
      </c>
      <c r="S742" s="6">
        <v>0</v>
      </c>
      <c r="T742" s="6">
        <v>0</v>
      </c>
      <c r="U742" s="5">
        <v>620</v>
      </c>
      <c r="V742" s="5">
        <v>0</v>
      </c>
    </row>
    <row r="743" spans="1:22" x14ac:dyDescent="0.25">
      <c r="A743" s="4" t="s">
        <v>813</v>
      </c>
      <c r="B743" s="5">
        <v>23</v>
      </c>
      <c r="C743" s="4" t="s">
        <v>23</v>
      </c>
      <c r="D743" s="4" t="s">
        <v>108</v>
      </c>
      <c r="E743" s="4" t="s">
        <v>117</v>
      </c>
      <c r="F743" s="4" t="s">
        <v>26</v>
      </c>
      <c r="G743" s="6">
        <v>6500</v>
      </c>
      <c r="H743" s="5">
        <v>3</v>
      </c>
      <c r="I743" s="7">
        <v>44933</v>
      </c>
      <c r="J743" s="4" t="s">
        <v>27</v>
      </c>
      <c r="K743" s="5">
        <v>2</v>
      </c>
      <c r="L743" s="6">
        <v>400.87</v>
      </c>
      <c r="M743" s="6">
        <v>0</v>
      </c>
      <c r="N743" s="5">
        <v>21</v>
      </c>
      <c r="O743" s="6">
        <v>56.24</v>
      </c>
      <c r="P743" s="5">
        <v>4</v>
      </c>
      <c r="Q743" s="6">
        <v>0</v>
      </c>
      <c r="R743" s="6">
        <v>0</v>
      </c>
      <c r="S743" s="6">
        <v>0</v>
      </c>
      <c r="T743" s="6">
        <v>0</v>
      </c>
      <c r="U743" s="5">
        <v>544</v>
      </c>
      <c r="V743" s="5">
        <v>0</v>
      </c>
    </row>
    <row r="744" spans="1:22" x14ac:dyDescent="0.25">
      <c r="A744" s="4" t="s">
        <v>814</v>
      </c>
      <c r="B744" s="5">
        <v>18</v>
      </c>
      <c r="C744" s="4" t="s">
        <v>23</v>
      </c>
      <c r="D744" s="4" t="s">
        <v>57</v>
      </c>
      <c r="E744" s="4" t="s">
        <v>25</v>
      </c>
      <c r="F744" s="4" t="s">
        <v>26</v>
      </c>
      <c r="G744" s="6">
        <v>38100</v>
      </c>
      <c r="H744" s="5">
        <v>0</v>
      </c>
      <c r="I744" s="7">
        <v>45997</v>
      </c>
      <c r="J744" s="4" t="s">
        <v>27</v>
      </c>
      <c r="K744" s="5">
        <v>1</v>
      </c>
      <c r="L744" s="6">
        <v>1449.24</v>
      </c>
      <c r="M744" s="6">
        <v>8518.73</v>
      </c>
      <c r="N744" s="5">
        <v>38</v>
      </c>
      <c r="O744" s="6">
        <v>59.36</v>
      </c>
      <c r="P744" s="5">
        <v>1</v>
      </c>
      <c r="Q744" s="6">
        <v>0</v>
      </c>
      <c r="R744" s="6">
        <v>0</v>
      </c>
      <c r="S744" s="6">
        <v>0</v>
      </c>
      <c r="T744" s="6">
        <v>0</v>
      </c>
      <c r="U744" s="5">
        <v>613</v>
      </c>
      <c r="V744" s="5">
        <v>0</v>
      </c>
    </row>
    <row r="745" spans="1:22" x14ac:dyDescent="0.25">
      <c r="A745" s="4" t="s">
        <v>815</v>
      </c>
      <c r="B745" s="5">
        <v>51</v>
      </c>
      <c r="C745" s="4" t="s">
        <v>33</v>
      </c>
      <c r="D745" s="4" t="s">
        <v>72</v>
      </c>
      <c r="E745" s="4" t="s">
        <v>67</v>
      </c>
      <c r="F745" s="4" t="s">
        <v>30</v>
      </c>
      <c r="G745" s="6">
        <v>6400</v>
      </c>
      <c r="H745" s="5">
        <v>18</v>
      </c>
      <c r="I745" s="7">
        <v>39516</v>
      </c>
      <c r="J745" s="4" t="s">
        <v>31</v>
      </c>
      <c r="K745" s="5">
        <v>3</v>
      </c>
      <c r="L745" s="6">
        <v>71.11</v>
      </c>
      <c r="M745" s="6">
        <v>9903.69</v>
      </c>
      <c r="N745" s="5">
        <v>20</v>
      </c>
      <c r="O745" s="6">
        <v>28.37</v>
      </c>
      <c r="P745" s="5">
        <v>2</v>
      </c>
      <c r="Q745" s="6">
        <v>1500</v>
      </c>
      <c r="R745" s="6">
        <v>691.48</v>
      </c>
      <c r="S745" s="6">
        <v>0</v>
      </c>
      <c r="T745" s="6">
        <v>0</v>
      </c>
      <c r="U745" s="5">
        <v>659</v>
      </c>
      <c r="V745" s="5">
        <v>0</v>
      </c>
    </row>
    <row r="746" spans="1:22" x14ac:dyDescent="0.25">
      <c r="A746" s="4" t="s">
        <v>816</v>
      </c>
      <c r="B746" s="5">
        <v>34</v>
      </c>
      <c r="C746" s="4" t="s">
        <v>23</v>
      </c>
      <c r="D746" s="4" t="s">
        <v>108</v>
      </c>
      <c r="E746" s="4" t="s">
        <v>54</v>
      </c>
      <c r="F746" s="4" t="s">
        <v>30</v>
      </c>
      <c r="G746" s="6">
        <v>31700</v>
      </c>
      <c r="H746" s="5">
        <v>3</v>
      </c>
      <c r="I746" s="7">
        <v>44825</v>
      </c>
      <c r="J746" s="4" t="s">
        <v>27</v>
      </c>
      <c r="K746" s="5">
        <v>1</v>
      </c>
      <c r="L746" s="6">
        <v>1369.72</v>
      </c>
      <c r="M746" s="6">
        <v>7660.25</v>
      </c>
      <c r="N746" s="5">
        <v>32</v>
      </c>
      <c r="O746" s="6">
        <v>31.12</v>
      </c>
      <c r="P746" s="5">
        <v>2</v>
      </c>
      <c r="Q746" s="6">
        <v>7500</v>
      </c>
      <c r="R746" s="6">
        <v>2404.63</v>
      </c>
      <c r="S746" s="6">
        <v>0</v>
      </c>
      <c r="T746" s="6">
        <v>0</v>
      </c>
      <c r="U746" s="5">
        <v>591</v>
      </c>
      <c r="V746" s="5">
        <v>1</v>
      </c>
    </row>
    <row r="747" spans="1:22" x14ac:dyDescent="0.25">
      <c r="A747" s="4" t="s">
        <v>817</v>
      </c>
      <c r="B747" s="5">
        <v>50</v>
      </c>
      <c r="C747" s="4" t="s">
        <v>33</v>
      </c>
      <c r="D747" s="4" t="s">
        <v>34</v>
      </c>
      <c r="E747" s="4" t="s">
        <v>25</v>
      </c>
      <c r="F747" s="4" t="s">
        <v>30</v>
      </c>
      <c r="G747" s="6">
        <v>65700</v>
      </c>
      <c r="H747" s="5">
        <v>9</v>
      </c>
      <c r="I747" s="7">
        <v>42823</v>
      </c>
      <c r="J747" s="4" t="s">
        <v>31</v>
      </c>
      <c r="K747" s="5">
        <v>1</v>
      </c>
      <c r="L747" s="6">
        <v>4052.33</v>
      </c>
      <c r="M747" s="6">
        <v>0</v>
      </c>
      <c r="N747" s="5">
        <v>41</v>
      </c>
      <c r="O747" s="6">
        <v>195.68</v>
      </c>
      <c r="P747" s="5">
        <v>0</v>
      </c>
      <c r="Q747" s="6">
        <v>0</v>
      </c>
      <c r="R747" s="6">
        <v>0</v>
      </c>
      <c r="S747" s="6">
        <v>0</v>
      </c>
      <c r="T747" s="6">
        <v>0</v>
      </c>
      <c r="U747" s="5">
        <v>658</v>
      </c>
      <c r="V747" s="5">
        <v>0</v>
      </c>
    </row>
    <row r="748" spans="1:22" x14ac:dyDescent="0.25">
      <c r="A748" s="4" t="s">
        <v>818</v>
      </c>
      <c r="B748" s="5">
        <v>18</v>
      </c>
      <c r="C748" s="4" t="s">
        <v>33</v>
      </c>
      <c r="D748" s="4" t="s">
        <v>44</v>
      </c>
      <c r="E748" s="4" t="s">
        <v>117</v>
      </c>
      <c r="F748" s="4" t="s">
        <v>26</v>
      </c>
      <c r="G748" s="6">
        <v>5200</v>
      </c>
      <c r="H748" s="5">
        <v>0</v>
      </c>
      <c r="I748" s="7">
        <v>46110</v>
      </c>
      <c r="J748" s="4" t="s">
        <v>31</v>
      </c>
      <c r="K748" s="5">
        <v>2</v>
      </c>
      <c r="L748" s="6">
        <v>2063.0100000000002</v>
      </c>
      <c r="M748" s="6">
        <v>0</v>
      </c>
      <c r="N748" s="5">
        <v>21</v>
      </c>
      <c r="O748" s="6">
        <v>29.04</v>
      </c>
      <c r="P748" s="5">
        <v>0</v>
      </c>
      <c r="Q748" s="6">
        <v>0</v>
      </c>
      <c r="R748" s="6">
        <v>0</v>
      </c>
      <c r="S748" s="6">
        <v>17000</v>
      </c>
      <c r="T748" s="6">
        <v>119</v>
      </c>
      <c r="U748" s="5">
        <v>535</v>
      </c>
      <c r="V748" s="5">
        <v>0</v>
      </c>
    </row>
    <row r="749" spans="1:22" x14ac:dyDescent="0.25">
      <c r="A749" s="4" t="s">
        <v>819</v>
      </c>
      <c r="B749" s="5">
        <v>55</v>
      </c>
      <c r="C749" s="4" t="s">
        <v>33</v>
      </c>
      <c r="D749" s="4" t="s">
        <v>44</v>
      </c>
      <c r="E749" s="4" t="s">
        <v>54</v>
      </c>
      <c r="F749" s="4" t="s">
        <v>48</v>
      </c>
      <c r="G749" s="6">
        <v>30500</v>
      </c>
      <c r="H749" s="5">
        <v>5</v>
      </c>
      <c r="I749" s="7">
        <v>44168</v>
      </c>
      <c r="J749" s="4" t="s">
        <v>27</v>
      </c>
      <c r="K749" s="5">
        <v>1</v>
      </c>
      <c r="L749" s="6">
        <v>4769.24</v>
      </c>
      <c r="M749" s="6">
        <v>17394.12</v>
      </c>
      <c r="N749" s="5">
        <v>23</v>
      </c>
      <c r="O749" s="6">
        <v>45.83</v>
      </c>
      <c r="P749" s="5">
        <v>3</v>
      </c>
      <c r="Q749" s="6">
        <v>0</v>
      </c>
      <c r="R749" s="6">
        <v>0</v>
      </c>
      <c r="S749" s="6">
        <v>109000</v>
      </c>
      <c r="T749" s="6">
        <v>654</v>
      </c>
      <c r="U749" s="5">
        <v>575</v>
      </c>
      <c r="V749" s="5">
        <v>2</v>
      </c>
    </row>
    <row r="750" spans="1:22" x14ac:dyDescent="0.25">
      <c r="A750" s="4" t="s">
        <v>820</v>
      </c>
      <c r="B750" s="5">
        <v>39</v>
      </c>
      <c r="C750" s="4" t="s">
        <v>33</v>
      </c>
      <c r="D750" s="4" t="s">
        <v>57</v>
      </c>
      <c r="E750" s="4" t="s">
        <v>54</v>
      </c>
      <c r="F750" s="4" t="s">
        <v>30</v>
      </c>
      <c r="G750" s="6">
        <v>19100</v>
      </c>
      <c r="H750" s="5">
        <v>8</v>
      </c>
      <c r="I750" s="7">
        <v>43124</v>
      </c>
      <c r="J750" s="4" t="s">
        <v>31</v>
      </c>
      <c r="K750" s="5">
        <v>1</v>
      </c>
      <c r="L750" s="6">
        <v>1204.46</v>
      </c>
      <c r="M750" s="6">
        <v>16219.27</v>
      </c>
      <c r="N750" s="5">
        <v>23</v>
      </c>
      <c r="O750" s="6">
        <v>36.14</v>
      </c>
      <c r="P750" s="5">
        <v>4</v>
      </c>
      <c r="Q750" s="6">
        <v>4500</v>
      </c>
      <c r="R750" s="6">
        <v>1653.18</v>
      </c>
      <c r="S750" s="6">
        <v>0</v>
      </c>
      <c r="T750" s="6">
        <v>0</v>
      </c>
      <c r="U750" s="5">
        <v>592</v>
      </c>
      <c r="V750" s="5">
        <v>0</v>
      </c>
    </row>
    <row r="751" spans="1:22" x14ac:dyDescent="0.25">
      <c r="A751" s="4" t="s">
        <v>821</v>
      </c>
      <c r="B751" s="5">
        <v>36</v>
      </c>
      <c r="C751" s="4" t="s">
        <v>33</v>
      </c>
      <c r="D751" s="4" t="s">
        <v>34</v>
      </c>
      <c r="E751" s="4" t="s">
        <v>54</v>
      </c>
      <c r="F751" s="4" t="s">
        <v>30</v>
      </c>
      <c r="G751" s="6">
        <v>24400</v>
      </c>
      <c r="H751" s="5">
        <v>5</v>
      </c>
      <c r="I751" s="7">
        <v>44436</v>
      </c>
      <c r="J751" s="4" t="s">
        <v>39</v>
      </c>
      <c r="K751" s="5">
        <v>1</v>
      </c>
      <c r="L751" s="6">
        <v>1288.54</v>
      </c>
      <c r="M751" s="6">
        <v>0</v>
      </c>
      <c r="N751" s="5">
        <v>15</v>
      </c>
      <c r="O751" s="6">
        <v>46.79</v>
      </c>
      <c r="P751" s="5">
        <v>3</v>
      </c>
      <c r="Q751" s="6">
        <v>3500</v>
      </c>
      <c r="R751" s="6">
        <v>103.11</v>
      </c>
      <c r="S751" s="6">
        <v>0</v>
      </c>
      <c r="T751" s="6">
        <v>0</v>
      </c>
      <c r="U751" s="5">
        <v>541</v>
      </c>
      <c r="V751" s="5">
        <v>2</v>
      </c>
    </row>
    <row r="752" spans="1:22" x14ac:dyDescent="0.25">
      <c r="A752" s="4" t="s">
        <v>822</v>
      </c>
      <c r="B752" s="5">
        <v>48</v>
      </c>
      <c r="C752" s="4" t="s">
        <v>23</v>
      </c>
      <c r="D752" s="4" t="s">
        <v>34</v>
      </c>
      <c r="E752" s="4" t="s">
        <v>35</v>
      </c>
      <c r="F752" s="4" t="s">
        <v>30</v>
      </c>
      <c r="G752" s="6">
        <v>40300</v>
      </c>
      <c r="H752" s="5">
        <v>11</v>
      </c>
      <c r="I752" s="7">
        <v>41940</v>
      </c>
      <c r="J752" s="4" t="s">
        <v>27</v>
      </c>
      <c r="K752" s="5">
        <v>1</v>
      </c>
      <c r="L752" s="6">
        <v>14924.28</v>
      </c>
      <c r="M752" s="6">
        <v>21663</v>
      </c>
      <c r="N752" s="5">
        <v>33</v>
      </c>
      <c r="O752" s="6">
        <v>38.9</v>
      </c>
      <c r="P752" s="5">
        <v>2</v>
      </c>
      <c r="Q752" s="6">
        <v>7500</v>
      </c>
      <c r="R752" s="6">
        <v>1674.04</v>
      </c>
      <c r="S752" s="6">
        <v>189000</v>
      </c>
      <c r="T752" s="6">
        <v>929</v>
      </c>
      <c r="U752" s="5">
        <v>666</v>
      </c>
      <c r="V752" s="5">
        <v>0</v>
      </c>
    </row>
    <row r="753" spans="1:22" x14ac:dyDescent="0.25">
      <c r="A753" s="4" t="s">
        <v>823</v>
      </c>
      <c r="B753" s="5">
        <v>52</v>
      </c>
      <c r="C753" s="4" t="s">
        <v>33</v>
      </c>
      <c r="D753" s="4" t="s">
        <v>57</v>
      </c>
      <c r="E753" s="4" t="s">
        <v>45</v>
      </c>
      <c r="F753" s="4" t="s">
        <v>48</v>
      </c>
      <c r="G753" s="6">
        <v>14000</v>
      </c>
      <c r="H753" s="5">
        <v>20</v>
      </c>
      <c r="I753" s="7">
        <v>38781</v>
      </c>
      <c r="J753" s="4" t="s">
        <v>39</v>
      </c>
      <c r="K753" s="5">
        <v>4</v>
      </c>
      <c r="L753" s="6">
        <v>685.08</v>
      </c>
      <c r="M753" s="6">
        <v>30045.919999999998</v>
      </c>
      <c r="N753" s="5">
        <v>12</v>
      </c>
      <c r="O753" s="6">
        <v>46.24</v>
      </c>
      <c r="P753" s="5">
        <v>1</v>
      </c>
      <c r="Q753" s="6">
        <v>2000</v>
      </c>
      <c r="R753" s="6">
        <v>186.89</v>
      </c>
      <c r="S753" s="6">
        <v>0</v>
      </c>
      <c r="T753" s="6">
        <v>0</v>
      </c>
      <c r="U753" s="5">
        <v>640</v>
      </c>
      <c r="V753" s="5">
        <v>1</v>
      </c>
    </row>
    <row r="754" spans="1:22" x14ac:dyDescent="0.25">
      <c r="A754" s="4" t="s">
        <v>824</v>
      </c>
      <c r="B754" s="5">
        <v>33</v>
      </c>
      <c r="C754" s="4" t="s">
        <v>33</v>
      </c>
      <c r="D754" s="4" t="s">
        <v>75</v>
      </c>
      <c r="E754" s="4" t="s">
        <v>25</v>
      </c>
      <c r="F754" s="4" t="s">
        <v>30</v>
      </c>
      <c r="G754" s="6">
        <v>26300</v>
      </c>
      <c r="H754" s="5">
        <v>6</v>
      </c>
      <c r="I754" s="7">
        <v>43725</v>
      </c>
      <c r="J754" s="4" t="s">
        <v>27</v>
      </c>
      <c r="K754" s="5">
        <v>1</v>
      </c>
      <c r="L754" s="6">
        <v>4952.72</v>
      </c>
      <c r="M754" s="6">
        <v>7918.39</v>
      </c>
      <c r="N754" s="5">
        <v>30</v>
      </c>
      <c r="O754" s="6">
        <v>37.33</v>
      </c>
      <c r="P754" s="5">
        <v>5</v>
      </c>
      <c r="Q754" s="6">
        <v>3500</v>
      </c>
      <c r="R754" s="6">
        <v>284.55</v>
      </c>
      <c r="S754" s="6">
        <v>0</v>
      </c>
      <c r="T754" s="6">
        <v>0</v>
      </c>
      <c r="U754" s="5">
        <v>580</v>
      </c>
      <c r="V754" s="5">
        <v>0</v>
      </c>
    </row>
    <row r="755" spans="1:22" x14ac:dyDescent="0.25">
      <c r="A755" s="4" t="s">
        <v>825</v>
      </c>
      <c r="B755" s="5">
        <v>39</v>
      </c>
      <c r="C755" s="4" t="s">
        <v>33</v>
      </c>
      <c r="D755" s="4" t="s">
        <v>57</v>
      </c>
      <c r="E755" s="4" t="s">
        <v>90</v>
      </c>
      <c r="F755" s="4" t="s">
        <v>30</v>
      </c>
      <c r="G755" s="6">
        <v>125100</v>
      </c>
      <c r="H755" s="5">
        <v>14</v>
      </c>
      <c r="I755" s="7">
        <v>40860</v>
      </c>
      <c r="J755" s="4" t="s">
        <v>39</v>
      </c>
      <c r="K755" s="5">
        <v>4</v>
      </c>
      <c r="L755" s="6">
        <v>6381.05</v>
      </c>
      <c r="M755" s="6">
        <v>168071.54</v>
      </c>
      <c r="N755" s="5">
        <v>54</v>
      </c>
      <c r="O755" s="6">
        <v>109.47</v>
      </c>
      <c r="P755" s="5">
        <v>5</v>
      </c>
      <c r="Q755" s="6">
        <v>15000</v>
      </c>
      <c r="R755" s="6">
        <v>472.28</v>
      </c>
      <c r="S755" s="6">
        <v>0</v>
      </c>
      <c r="T755" s="6">
        <v>0</v>
      </c>
      <c r="U755" s="5">
        <v>735</v>
      </c>
      <c r="V755" s="5">
        <v>0</v>
      </c>
    </row>
    <row r="756" spans="1:22" x14ac:dyDescent="0.25">
      <c r="A756" s="4" t="s">
        <v>826</v>
      </c>
      <c r="B756" s="5">
        <v>26</v>
      </c>
      <c r="C756" s="4" t="s">
        <v>33</v>
      </c>
      <c r="D756" s="4" t="s">
        <v>24</v>
      </c>
      <c r="E756" s="4" t="s">
        <v>42</v>
      </c>
      <c r="F756" s="4" t="s">
        <v>26</v>
      </c>
      <c r="G756" s="6">
        <v>81500</v>
      </c>
      <c r="H756" s="5">
        <v>5</v>
      </c>
      <c r="I756" s="7">
        <v>44286</v>
      </c>
      <c r="J756" s="4" t="s">
        <v>31</v>
      </c>
      <c r="K756" s="5">
        <v>2</v>
      </c>
      <c r="L756" s="6">
        <v>7502.19</v>
      </c>
      <c r="M756" s="6">
        <v>40189.230000000003</v>
      </c>
      <c r="N756" s="5">
        <v>47</v>
      </c>
      <c r="O756" s="6">
        <v>95.7</v>
      </c>
      <c r="P756" s="5">
        <v>3</v>
      </c>
      <c r="Q756" s="6">
        <v>15000</v>
      </c>
      <c r="R756" s="6">
        <v>3127.17</v>
      </c>
      <c r="S756" s="6">
        <v>0</v>
      </c>
      <c r="T756" s="6">
        <v>0</v>
      </c>
      <c r="U756" s="5">
        <v>629</v>
      </c>
      <c r="V756" s="5">
        <v>0</v>
      </c>
    </row>
    <row r="757" spans="1:22" x14ac:dyDescent="0.25">
      <c r="A757" s="4" t="s">
        <v>827</v>
      </c>
      <c r="B757" s="5">
        <v>51</v>
      </c>
      <c r="C757" s="4" t="s">
        <v>33</v>
      </c>
      <c r="D757" s="4" t="s">
        <v>24</v>
      </c>
      <c r="E757" s="4" t="s">
        <v>25</v>
      </c>
      <c r="F757" s="4" t="s">
        <v>30</v>
      </c>
      <c r="G757" s="6">
        <v>38300</v>
      </c>
      <c r="H757" s="5">
        <v>17</v>
      </c>
      <c r="I757" s="7">
        <v>39743</v>
      </c>
      <c r="J757" s="4" t="s">
        <v>31</v>
      </c>
      <c r="K757" s="5">
        <v>1</v>
      </c>
      <c r="L757" s="6">
        <v>3831.09</v>
      </c>
      <c r="M757" s="6">
        <v>62079.92</v>
      </c>
      <c r="N757" s="5">
        <v>37</v>
      </c>
      <c r="O757" s="6">
        <v>117.02</v>
      </c>
      <c r="P757" s="5">
        <v>0</v>
      </c>
      <c r="Q757" s="6">
        <v>0</v>
      </c>
      <c r="R757" s="6">
        <v>0</v>
      </c>
      <c r="S757" s="6">
        <v>0</v>
      </c>
      <c r="T757" s="6">
        <v>0</v>
      </c>
      <c r="U757" s="5">
        <v>633</v>
      </c>
      <c r="V757" s="5">
        <v>1</v>
      </c>
    </row>
    <row r="758" spans="1:22" x14ac:dyDescent="0.25">
      <c r="A758" s="4" t="s">
        <v>828</v>
      </c>
      <c r="B758" s="5">
        <v>33</v>
      </c>
      <c r="C758" s="4" t="s">
        <v>33</v>
      </c>
      <c r="D758" s="4" t="s">
        <v>24</v>
      </c>
      <c r="E758" s="4" t="s">
        <v>63</v>
      </c>
      <c r="F758" s="4" t="s">
        <v>30</v>
      </c>
      <c r="G758" s="6">
        <v>29200</v>
      </c>
      <c r="H758" s="5">
        <v>2</v>
      </c>
      <c r="I758" s="7">
        <v>45228</v>
      </c>
      <c r="J758" s="4" t="s">
        <v>31</v>
      </c>
      <c r="K758" s="5">
        <v>2</v>
      </c>
      <c r="L758" s="6">
        <v>2002.75</v>
      </c>
      <c r="M758" s="6">
        <v>0</v>
      </c>
      <c r="N758" s="5">
        <v>27</v>
      </c>
      <c r="O758" s="6">
        <v>43.16</v>
      </c>
      <c r="P758" s="5">
        <v>2</v>
      </c>
      <c r="Q758" s="6">
        <v>5500</v>
      </c>
      <c r="R758" s="6">
        <v>1565.14</v>
      </c>
      <c r="S758" s="6">
        <v>52000</v>
      </c>
      <c r="T758" s="6">
        <v>250</v>
      </c>
      <c r="U758" s="5">
        <v>562</v>
      </c>
      <c r="V758" s="5">
        <v>0</v>
      </c>
    </row>
    <row r="759" spans="1:22" x14ac:dyDescent="0.25">
      <c r="A759" s="4" t="s">
        <v>829</v>
      </c>
      <c r="B759" s="5">
        <v>41</v>
      </c>
      <c r="C759" s="4" t="s">
        <v>23</v>
      </c>
      <c r="D759" s="4" t="s">
        <v>98</v>
      </c>
      <c r="E759" s="4" t="s">
        <v>25</v>
      </c>
      <c r="F759" s="4" t="s">
        <v>30</v>
      </c>
      <c r="G759" s="6">
        <v>-999</v>
      </c>
      <c r="H759" s="5">
        <v>17</v>
      </c>
      <c r="I759" s="7">
        <v>40012</v>
      </c>
      <c r="J759" s="4" t="s">
        <v>27</v>
      </c>
      <c r="K759" s="5">
        <v>4</v>
      </c>
      <c r="L759" s="6">
        <v>2033.9</v>
      </c>
      <c r="M759" s="6">
        <v>47773.56</v>
      </c>
      <c r="N759" s="5">
        <v>45</v>
      </c>
      <c r="O759" s="6">
        <v>39.97</v>
      </c>
      <c r="P759" s="5">
        <v>6</v>
      </c>
      <c r="Q759" s="6">
        <v>0</v>
      </c>
      <c r="R759" s="6">
        <v>0</v>
      </c>
      <c r="S759" s="6">
        <v>110000</v>
      </c>
      <c r="T759" s="6">
        <v>728</v>
      </c>
      <c r="U759" s="5">
        <v>614</v>
      </c>
      <c r="V759" s="5">
        <v>0</v>
      </c>
    </row>
    <row r="760" spans="1:22" x14ac:dyDescent="0.25">
      <c r="A760" s="4" t="s">
        <v>830</v>
      </c>
      <c r="B760" s="5">
        <v>46</v>
      </c>
      <c r="C760" s="4" t="s">
        <v>23</v>
      </c>
      <c r="D760" s="4" t="s">
        <v>57</v>
      </c>
      <c r="E760" s="4" t="s">
        <v>42</v>
      </c>
      <c r="F760" s="4" t="s">
        <v>30</v>
      </c>
      <c r="G760" s="6">
        <v>52300</v>
      </c>
      <c r="H760" s="5">
        <v>6</v>
      </c>
      <c r="I760" s="7">
        <v>43987</v>
      </c>
      <c r="J760" s="4" t="s">
        <v>27</v>
      </c>
      <c r="K760" s="5">
        <v>1</v>
      </c>
      <c r="L760" s="6">
        <v>4387.66</v>
      </c>
      <c r="M760" s="6">
        <v>26112.1</v>
      </c>
      <c r="N760" s="5">
        <v>36</v>
      </c>
      <c r="O760" s="6">
        <v>52.64</v>
      </c>
      <c r="P760" s="5">
        <v>3</v>
      </c>
      <c r="Q760" s="6">
        <v>9500</v>
      </c>
      <c r="R760" s="6">
        <v>3937.32</v>
      </c>
      <c r="S760" s="6">
        <v>157000</v>
      </c>
      <c r="T760" s="6">
        <v>1107</v>
      </c>
      <c r="U760" s="5">
        <v>571</v>
      </c>
      <c r="V760" s="5">
        <v>0</v>
      </c>
    </row>
    <row r="761" spans="1:22" x14ac:dyDescent="0.25">
      <c r="A761" s="4" t="s">
        <v>831</v>
      </c>
      <c r="B761" s="5">
        <v>43</v>
      </c>
      <c r="C761" s="4" t="s">
        <v>23</v>
      </c>
      <c r="D761" s="4" t="s">
        <v>41</v>
      </c>
      <c r="E761" s="4" t="s">
        <v>35</v>
      </c>
      <c r="F761" s="4" t="s">
        <v>48</v>
      </c>
      <c r="G761" s="6">
        <v>58800</v>
      </c>
      <c r="H761" s="5">
        <v>5</v>
      </c>
      <c r="I761" s="7">
        <v>44196</v>
      </c>
      <c r="J761" s="4" t="s">
        <v>39</v>
      </c>
      <c r="K761" s="5">
        <v>1</v>
      </c>
      <c r="L761" s="6">
        <v>10886.79</v>
      </c>
      <c r="M761" s="6">
        <v>14684.04</v>
      </c>
      <c r="N761" s="5">
        <v>34</v>
      </c>
      <c r="O761" s="6">
        <v>106.58</v>
      </c>
      <c r="P761" s="5">
        <v>4</v>
      </c>
      <c r="Q761" s="6">
        <v>14500</v>
      </c>
      <c r="R761" s="6">
        <v>4298.91</v>
      </c>
      <c r="S761" s="6">
        <v>0</v>
      </c>
      <c r="T761" s="6">
        <v>0</v>
      </c>
      <c r="U761" s="5">
        <v>585</v>
      </c>
      <c r="V761" s="5">
        <v>0</v>
      </c>
    </row>
    <row r="762" spans="1:22" x14ac:dyDescent="0.25">
      <c r="A762" s="4" t="s">
        <v>832</v>
      </c>
      <c r="B762" s="5">
        <v>46</v>
      </c>
      <c r="C762" s="4" t="s">
        <v>33</v>
      </c>
      <c r="D762" s="4" t="s">
        <v>70</v>
      </c>
      <c r="E762" s="4" t="s">
        <v>67</v>
      </c>
      <c r="F762" s="4" t="s">
        <v>30</v>
      </c>
      <c r="G762" s="6">
        <v>8700</v>
      </c>
      <c r="H762" s="5">
        <v>0</v>
      </c>
      <c r="I762" s="7">
        <v>46043</v>
      </c>
      <c r="J762" s="4" t="s">
        <v>27</v>
      </c>
      <c r="K762" s="5">
        <v>3</v>
      </c>
      <c r="L762" s="6">
        <v>537.62</v>
      </c>
      <c r="M762" s="6">
        <v>1348.99</v>
      </c>
      <c r="N762" s="5">
        <v>12</v>
      </c>
      <c r="O762" s="6">
        <v>63.59</v>
      </c>
      <c r="P762" s="5">
        <v>3</v>
      </c>
      <c r="Q762" s="6">
        <v>0</v>
      </c>
      <c r="R762" s="6">
        <v>0</v>
      </c>
      <c r="S762" s="6">
        <v>0</v>
      </c>
      <c r="T762" s="6">
        <v>0</v>
      </c>
      <c r="U762" s="5">
        <v>518</v>
      </c>
      <c r="V762" s="5">
        <v>1</v>
      </c>
    </row>
    <row r="763" spans="1:22" x14ac:dyDescent="0.25">
      <c r="A763" s="4" t="s">
        <v>833</v>
      </c>
      <c r="B763" s="5">
        <v>61</v>
      </c>
      <c r="C763" s="4" t="s">
        <v>33</v>
      </c>
      <c r="D763" s="4" t="s">
        <v>29</v>
      </c>
      <c r="E763" s="4" t="s">
        <v>63</v>
      </c>
      <c r="F763" s="4" t="s">
        <v>48</v>
      </c>
      <c r="G763" s="6">
        <v>30700</v>
      </c>
      <c r="H763" s="5">
        <v>26</v>
      </c>
      <c r="I763" s="7">
        <v>36666</v>
      </c>
      <c r="J763" s="4" t="s">
        <v>39</v>
      </c>
      <c r="K763" s="5">
        <v>5</v>
      </c>
      <c r="L763" s="6">
        <v>2221.5500000000002</v>
      </c>
      <c r="M763" s="6">
        <v>0</v>
      </c>
      <c r="N763" s="5">
        <v>18</v>
      </c>
      <c r="O763" s="6">
        <v>39.65</v>
      </c>
      <c r="P763" s="5">
        <v>7</v>
      </c>
      <c r="Q763" s="6">
        <v>7500</v>
      </c>
      <c r="R763" s="6">
        <v>1686.63</v>
      </c>
      <c r="S763" s="6">
        <v>0</v>
      </c>
      <c r="T763" s="6">
        <v>0</v>
      </c>
      <c r="U763" s="5">
        <v>641</v>
      </c>
      <c r="V763" s="5">
        <v>0</v>
      </c>
    </row>
    <row r="764" spans="1:22" x14ac:dyDescent="0.25">
      <c r="A764" s="4" t="s">
        <v>834</v>
      </c>
      <c r="B764" s="5">
        <v>41</v>
      </c>
      <c r="C764" s="4" t="s">
        <v>23</v>
      </c>
      <c r="D764" s="4" t="s">
        <v>37</v>
      </c>
      <c r="E764" s="4" t="s">
        <v>25</v>
      </c>
      <c r="F764" s="4" t="s">
        <v>30</v>
      </c>
      <c r="G764" s="6">
        <v>32700</v>
      </c>
      <c r="H764" s="5">
        <v>4</v>
      </c>
      <c r="I764" s="7">
        <v>44516</v>
      </c>
      <c r="J764" s="4" t="s">
        <v>39</v>
      </c>
      <c r="K764" s="5">
        <v>1</v>
      </c>
      <c r="L764" s="6">
        <v>3934.21</v>
      </c>
      <c r="M764" s="6">
        <v>20215.62</v>
      </c>
      <c r="N764" s="5">
        <v>26</v>
      </c>
      <c r="O764" s="6">
        <v>38.68</v>
      </c>
      <c r="P764" s="5">
        <v>8</v>
      </c>
      <c r="Q764" s="6">
        <v>6500</v>
      </c>
      <c r="R764" s="6">
        <v>2546.69</v>
      </c>
      <c r="S764" s="6">
        <v>0</v>
      </c>
      <c r="T764" s="6">
        <v>0</v>
      </c>
      <c r="U764" s="5">
        <v>595</v>
      </c>
      <c r="V764" s="5">
        <v>0</v>
      </c>
    </row>
    <row r="765" spans="1:22" x14ac:dyDescent="0.25">
      <c r="A765" s="4" t="s">
        <v>835</v>
      </c>
      <c r="B765" s="5">
        <v>28</v>
      </c>
      <c r="C765" s="4" t="s">
        <v>33</v>
      </c>
      <c r="D765" s="4" t="s">
        <v>34</v>
      </c>
      <c r="E765" s="4" t="s">
        <v>90</v>
      </c>
      <c r="F765" s="4" t="s">
        <v>26</v>
      </c>
      <c r="G765" s="6">
        <v>134000</v>
      </c>
      <c r="H765" s="5">
        <v>9</v>
      </c>
      <c r="I765" s="7">
        <v>42886</v>
      </c>
      <c r="J765" s="4" t="s">
        <v>31</v>
      </c>
      <c r="K765" s="5">
        <v>2</v>
      </c>
      <c r="L765" s="6">
        <v>15228.55</v>
      </c>
      <c r="M765" s="6">
        <v>190811.04</v>
      </c>
      <c r="N765" s="5">
        <v>77</v>
      </c>
      <c r="O765" s="6">
        <v>63.74</v>
      </c>
      <c r="P765" s="5">
        <v>2</v>
      </c>
      <c r="Q765" s="6">
        <v>15000</v>
      </c>
      <c r="R765" s="6">
        <v>2848.22</v>
      </c>
      <c r="S765" s="6">
        <v>0</v>
      </c>
      <c r="T765" s="6">
        <v>0</v>
      </c>
      <c r="U765" s="5">
        <v>681</v>
      </c>
      <c r="V765" s="5">
        <v>0</v>
      </c>
    </row>
    <row r="766" spans="1:22" x14ac:dyDescent="0.25">
      <c r="A766" s="4" t="s">
        <v>836</v>
      </c>
      <c r="B766" s="5">
        <v>46</v>
      </c>
      <c r="C766" s="4" t="s">
        <v>33</v>
      </c>
      <c r="D766" s="4" t="s">
        <v>34</v>
      </c>
      <c r="E766" s="4" t="s">
        <v>25</v>
      </c>
      <c r="F766" s="4" t="s">
        <v>30</v>
      </c>
      <c r="G766" s="6">
        <v>37200</v>
      </c>
      <c r="H766" s="5">
        <v>14</v>
      </c>
      <c r="I766" s="7">
        <v>41020</v>
      </c>
      <c r="J766" s="4" t="s">
        <v>31</v>
      </c>
      <c r="K766" s="5">
        <v>1</v>
      </c>
      <c r="L766" s="6">
        <v>4191.7299999999996</v>
      </c>
      <c r="M766" s="6">
        <v>17628.150000000001</v>
      </c>
      <c r="N766" s="5">
        <v>34</v>
      </c>
      <c r="O766" s="6">
        <v>54.51</v>
      </c>
      <c r="P766" s="5">
        <v>0</v>
      </c>
      <c r="Q766" s="6">
        <v>4000</v>
      </c>
      <c r="R766" s="6">
        <v>885.97</v>
      </c>
      <c r="S766" s="6">
        <v>0</v>
      </c>
      <c r="T766" s="6">
        <v>0</v>
      </c>
      <c r="U766" s="5">
        <v>637</v>
      </c>
      <c r="V766" s="5">
        <v>0</v>
      </c>
    </row>
    <row r="767" spans="1:22" x14ac:dyDescent="0.25">
      <c r="A767" s="4" t="s">
        <v>837</v>
      </c>
      <c r="B767" s="5">
        <v>18</v>
      </c>
      <c r="C767" s="4" t="s">
        <v>33</v>
      </c>
      <c r="D767" s="4" t="s">
        <v>134</v>
      </c>
      <c r="E767" s="4" t="s">
        <v>117</v>
      </c>
      <c r="F767" s="4" t="s">
        <v>26</v>
      </c>
      <c r="G767" s="6">
        <v>6300</v>
      </c>
      <c r="H767" s="5">
        <v>15</v>
      </c>
      <c r="I767" s="7">
        <v>40444</v>
      </c>
      <c r="J767" s="4" t="s">
        <v>31</v>
      </c>
      <c r="K767" s="5">
        <v>1</v>
      </c>
      <c r="L767" s="6">
        <v>1138.72</v>
      </c>
      <c r="M767" s="6">
        <v>949.84</v>
      </c>
      <c r="N767" s="5">
        <v>24</v>
      </c>
      <c r="O767" s="6">
        <v>28.5</v>
      </c>
      <c r="P767" s="5">
        <v>0</v>
      </c>
      <c r="Q767" s="6">
        <v>0</v>
      </c>
      <c r="R767" s="6">
        <v>0</v>
      </c>
      <c r="S767" s="6">
        <v>0</v>
      </c>
      <c r="T767" s="6">
        <v>0</v>
      </c>
      <c r="U767" s="5">
        <v>479</v>
      </c>
      <c r="V767" s="5">
        <v>1</v>
      </c>
    </row>
    <row r="768" spans="1:22" x14ac:dyDescent="0.25">
      <c r="A768" s="4" t="s">
        <v>838</v>
      </c>
      <c r="B768" s="5">
        <v>56</v>
      </c>
      <c r="C768" s="4" t="s">
        <v>23</v>
      </c>
      <c r="D768" s="4" t="s">
        <v>34</v>
      </c>
      <c r="E768" s="4" t="s">
        <v>35</v>
      </c>
      <c r="F768" s="4" t="s">
        <v>38</v>
      </c>
      <c r="G768" s="6">
        <v>58200</v>
      </c>
      <c r="H768" s="5">
        <v>4</v>
      </c>
      <c r="I768" s="7">
        <v>44775</v>
      </c>
      <c r="J768" s="4" t="s">
        <v>39</v>
      </c>
      <c r="K768" s="5">
        <v>1</v>
      </c>
      <c r="L768" s="6">
        <v>3801.27</v>
      </c>
      <c r="M768" s="6">
        <v>21373.65</v>
      </c>
      <c r="N768" s="5">
        <v>33</v>
      </c>
      <c r="O768" s="6">
        <v>79.97</v>
      </c>
      <c r="P768" s="5">
        <v>6</v>
      </c>
      <c r="Q768" s="6">
        <v>0</v>
      </c>
      <c r="R768" s="6">
        <v>0</v>
      </c>
      <c r="S768" s="6">
        <v>223000</v>
      </c>
      <c r="T768" s="6">
        <v>1257</v>
      </c>
      <c r="U768" s="5">
        <v>603</v>
      </c>
      <c r="V768" s="5">
        <v>1</v>
      </c>
    </row>
    <row r="769" spans="1:22" x14ac:dyDescent="0.25">
      <c r="A769" s="4" t="s">
        <v>839</v>
      </c>
      <c r="B769" s="5">
        <v>64</v>
      </c>
      <c r="C769" s="4" t="s">
        <v>33</v>
      </c>
      <c r="D769" s="4" t="s">
        <v>34</v>
      </c>
      <c r="E769" s="4" t="s">
        <v>25</v>
      </c>
      <c r="F769" s="4" t="s">
        <v>30</v>
      </c>
      <c r="G769" s="6">
        <v>58000</v>
      </c>
      <c r="H769" s="5">
        <v>16</v>
      </c>
      <c r="I769" s="7">
        <v>40289</v>
      </c>
      <c r="J769" s="4" t="s">
        <v>39</v>
      </c>
      <c r="K769" s="5">
        <v>6</v>
      </c>
      <c r="L769" s="6">
        <v>8607.07</v>
      </c>
      <c r="M769" s="6">
        <v>3100000</v>
      </c>
      <c r="N769" s="5">
        <v>32</v>
      </c>
      <c r="O769" s="6">
        <v>69.900000000000006</v>
      </c>
      <c r="P769" s="5">
        <v>1</v>
      </c>
      <c r="Q769" s="6">
        <v>12500</v>
      </c>
      <c r="R769" s="6">
        <v>6641.95</v>
      </c>
      <c r="S769" s="6">
        <v>0</v>
      </c>
      <c r="T769" s="6">
        <v>0</v>
      </c>
      <c r="U769" s="5">
        <v>659</v>
      </c>
      <c r="V769" s="5">
        <v>0</v>
      </c>
    </row>
    <row r="770" spans="1:22" x14ac:dyDescent="0.25">
      <c r="A770" s="4" t="s">
        <v>840</v>
      </c>
      <c r="B770" s="5">
        <v>47</v>
      </c>
      <c r="C770" s="4" t="s">
        <v>33</v>
      </c>
      <c r="D770" s="4" t="s">
        <v>59</v>
      </c>
      <c r="E770" s="4" t="s">
        <v>54</v>
      </c>
      <c r="F770" s="4" t="s">
        <v>26</v>
      </c>
      <c r="G770" s="6">
        <v>32100</v>
      </c>
      <c r="H770" s="5">
        <v>10</v>
      </c>
      <c r="I770" s="7">
        <v>42408</v>
      </c>
      <c r="J770" s="4" t="s">
        <v>27</v>
      </c>
      <c r="K770" s="5">
        <v>2</v>
      </c>
      <c r="L770" s="6">
        <v>4906.43</v>
      </c>
      <c r="M770" s="6">
        <v>22345.16</v>
      </c>
      <c r="N770" s="5">
        <v>33</v>
      </c>
      <c r="O770" s="6">
        <v>60.72</v>
      </c>
      <c r="P770" s="5">
        <v>2</v>
      </c>
      <c r="Q770" s="6">
        <v>6500</v>
      </c>
      <c r="R770" s="6">
        <v>3992.32</v>
      </c>
      <c r="S770" s="6">
        <v>118000</v>
      </c>
      <c r="T770" s="6">
        <v>788</v>
      </c>
      <c r="U770" s="5">
        <v>647</v>
      </c>
      <c r="V770" s="5">
        <v>0</v>
      </c>
    </row>
    <row r="771" spans="1:22" x14ac:dyDescent="0.25">
      <c r="A771" s="4" t="s">
        <v>841</v>
      </c>
      <c r="B771" s="5">
        <v>48</v>
      </c>
      <c r="C771" s="4" t="s">
        <v>23</v>
      </c>
      <c r="D771" s="4" t="s">
        <v>62</v>
      </c>
      <c r="E771" s="4" t="s">
        <v>45</v>
      </c>
      <c r="F771" s="4" t="s">
        <v>30</v>
      </c>
      <c r="G771" s="6">
        <v>24300</v>
      </c>
      <c r="H771" s="5">
        <v>14</v>
      </c>
      <c r="I771" s="7">
        <v>41129</v>
      </c>
      <c r="J771" s="4" t="s">
        <v>39</v>
      </c>
      <c r="K771" s="5">
        <v>1</v>
      </c>
      <c r="L771" s="6">
        <v>6511.75</v>
      </c>
      <c r="M771" s="6">
        <v>21896.81</v>
      </c>
      <c r="N771" s="5">
        <v>18</v>
      </c>
      <c r="O771" s="6">
        <v>72.23</v>
      </c>
      <c r="P771" s="5">
        <v>8</v>
      </c>
      <c r="Q771" s="6">
        <v>6000</v>
      </c>
      <c r="R771" s="6">
        <v>2816.5</v>
      </c>
      <c r="S771" s="6">
        <v>39000</v>
      </c>
      <c r="T771" s="6">
        <v>204</v>
      </c>
      <c r="U771" s="5">
        <v>596</v>
      </c>
      <c r="V771" s="5">
        <v>0</v>
      </c>
    </row>
    <row r="772" spans="1:22" x14ac:dyDescent="0.25">
      <c r="A772" s="4" t="s">
        <v>842</v>
      </c>
      <c r="B772" s="5">
        <v>39</v>
      </c>
      <c r="C772" s="4" t="s">
        <v>33</v>
      </c>
      <c r="D772" s="4" t="s">
        <v>59</v>
      </c>
      <c r="E772" s="4" t="s">
        <v>35</v>
      </c>
      <c r="F772" s="4" t="s">
        <v>26</v>
      </c>
      <c r="G772" s="6">
        <v>22200</v>
      </c>
      <c r="H772" s="5">
        <v>12</v>
      </c>
      <c r="I772" s="7">
        <v>41586</v>
      </c>
      <c r="J772" s="4" t="s">
        <v>39</v>
      </c>
      <c r="K772" s="5">
        <v>1</v>
      </c>
      <c r="L772" s="6">
        <v>8814.2099999999991</v>
      </c>
      <c r="M772" s="6">
        <v>24798.86</v>
      </c>
      <c r="N772" s="5">
        <v>14</v>
      </c>
      <c r="O772" s="6">
        <v>32.54</v>
      </c>
      <c r="P772" s="5">
        <v>2</v>
      </c>
      <c r="Q772" s="6">
        <v>3500</v>
      </c>
      <c r="R772" s="6">
        <v>110.7</v>
      </c>
      <c r="S772" s="6">
        <v>0</v>
      </c>
      <c r="T772" s="6">
        <v>0</v>
      </c>
      <c r="U772" s="5">
        <v>628</v>
      </c>
      <c r="V772" s="5">
        <v>0</v>
      </c>
    </row>
    <row r="773" spans="1:22" x14ac:dyDescent="0.25">
      <c r="A773" s="4" t="s">
        <v>843</v>
      </c>
      <c r="B773" s="5">
        <v>57</v>
      </c>
      <c r="C773" s="4" t="s">
        <v>23</v>
      </c>
      <c r="D773" s="4" t="s">
        <v>29</v>
      </c>
      <c r="E773" s="4" t="s">
        <v>45</v>
      </c>
      <c r="F773" s="4" t="s">
        <v>30</v>
      </c>
      <c r="G773" s="6">
        <v>32500</v>
      </c>
      <c r="H773" s="5">
        <v>7</v>
      </c>
      <c r="I773" s="7">
        <v>43709</v>
      </c>
      <c r="J773" s="4" t="s">
        <v>39</v>
      </c>
      <c r="K773" s="5">
        <v>2</v>
      </c>
      <c r="L773" s="6">
        <v>5136</v>
      </c>
      <c r="M773" s="6">
        <v>18585.18</v>
      </c>
      <c r="N773" s="5">
        <v>26</v>
      </c>
      <c r="O773" s="6">
        <v>60.08</v>
      </c>
      <c r="P773" s="5">
        <v>6</v>
      </c>
      <c r="Q773" s="6">
        <v>5500</v>
      </c>
      <c r="R773" s="6">
        <v>1980.76</v>
      </c>
      <c r="S773" s="6">
        <v>0</v>
      </c>
      <c r="T773" s="6">
        <v>0</v>
      </c>
      <c r="U773" s="5">
        <v>575</v>
      </c>
      <c r="V773" s="5">
        <v>1</v>
      </c>
    </row>
    <row r="774" spans="1:22" x14ac:dyDescent="0.25">
      <c r="A774" s="4" t="s">
        <v>844</v>
      </c>
      <c r="B774" s="5">
        <v>40</v>
      </c>
      <c r="C774" s="4" t="s">
        <v>23</v>
      </c>
      <c r="D774" s="4" t="s">
        <v>62</v>
      </c>
      <c r="E774" s="4" t="s">
        <v>25</v>
      </c>
      <c r="F774" s="4" t="s">
        <v>30</v>
      </c>
      <c r="G774" s="6">
        <v>33900</v>
      </c>
      <c r="H774" s="5">
        <v>14</v>
      </c>
      <c r="I774" s="7">
        <v>40908</v>
      </c>
      <c r="J774" s="4" t="s">
        <v>31</v>
      </c>
      <c r="K774" s="5">
        <v>3</v>
      </c>
      <c r="L774" s="6">
        <v>2229.94</v>
      </c>
      <c r="M774" s="6">
        <v>27006.959999999999</v>
      </c>
      <c r="N774" s="5">
        <v>38</v>
      </c>
      <c r="O774" s="6">
        <v>40.44</v>
      </c>
      <c r="P774" s="5">
        <v>2</v>
      </c>
      <c r="Q774" s="6">
        <v>0</v>
      </c>
      <c r="R774" s="6">
        <v>0</v>
      </c>
      <c r="S774" s="6">
        <v>62000</v>
      </c>
      <c r="T774" s="6">
        <v>419</v>
      </c>
      <c r="U774" s="5">
        <v>706</v>
      </c>
      <c r="V774" s="5">
        <v>0</v>
      </c>
    </row>
    <row r="775" spans="1:22" x14ac:dyDescent="0.25">
      <c r="A775" s="4" t="s">
        <v>845</v>
      </c>
      <c r="B775" s="5">
        <v>42</v>
      </c>
      <c r="C775" s="4" t="s">
        <v>33</v>
      </c>
      <c r="D775" s="4" t="s">
        <v>72</v>
      </c>
      <c r="E775" s="4" t="s">
        <v>67</v>
      </c>
      <c r="F775" s="4" t="s">
        <v>30</v>
      </c>
      <c r="G775" s="6">
        <v>3700</v>
      </c>
      <c r="H775" s="5">
        <v>7</v>
      </c>
      <c r="I775" s="7">
        <v>43556</v>
      </c>
      <c r="J775" s="4" t="s">
        <v>31</v>
      </c>
      <c r="K775" s="5">
        <v>1</v>
      </c>
      <c r="L775" s="6">
        <v>125.28</v>
      </c>
      <c r="M775" s="6">
        <v>0</v>
      </c>
      <c r="N775" s="5">
        <v>22</v>
      </c>
      <c r="O775" s="6">
        <v>37.619999999999997</v>
      </c>
      <c r="P775" s="5">
        <v>2</v>
      </c>
      <c r="Q775" s="6">
        <v>500</v>
      </c>
      <c r="R775" s="6">
        <v>6.3</v>
      </c>
      <c r="S775" s="6">
        <v>0</v>
      </c>
      <c r="T775" s="6">
        <v>0</v>
      </c>
      <c r="U775" s="5">
        <v>563</v>
      </c>
      <c r="V775" s="5">
        <v>0</v>
      </c>
    </row>
    <row r="776" spans="1:22" x14ac:dyDescent="0.25">
      <c r="A776" s="4" t="s">
        <v>846</v>
      </c>
      <c r="B776" s="5">
        <v>53</v>
      </c>
      <c r="C776" s="4" t="s">
        <v>23</v>
      </c>
      <c r="D776" s="4" t="s">
        <v>847</v>
      </c>
      <c r="E776" s="4" t="s">
        <v>35</v>
      </c>
      <c r="F776" s="4" t="s">
        <v>30</v>
      </c>
      <c r="G776" s="6">
        <v>44700</v>
      </c>
      <c r="H776" s="5">
        <v>25</v>
      </c>
      <c r="I776" s="7">
        <v>37086</v>
      </c>
      <c r="J776" s="4" t="s">
        <v>39</v>
      </c>
      <c r="K776" s="5">
        <v>2</v>
      </c>
      <c r="L776" s="6">
        <v>4895.26</v>
      </c>
      <c r="M776" s="6">
        <v>39049.360000000001</v>
      </c>
      <c r="N776" s="5">
        <v>23</v>
      </c>
      <c r="O776" s="6">
        <v>39.82</v>
      </c>
      <c r="P776" s="5">
        <v>6</v>
      </c>
      <c r="Q776" s="6">
        <v>6000</v>
      </c>
      <c r="R776" s="6">
        <v>2952.72</v>
      </c>
      <c r="S776" s="6">
        <v>0</v>
      </c>
      <c r="T776" s="6">
        <v>0</v>
      </c>
      <c r="U776" s="5">
        <v>738</v>
      </c>
      <c r="V776" s="5">
        <v>0</v>
      </c>
    </row>
    <row r="777" spans="1:22" x14ac:dyDescent="0.25">
      <c r="A777" s="4" t="s">
        <v>848</v>
      </c>
      <c r="B777" s="5">
        <v>57</v>
      </c>
      <c r="C777" s="4" t="s">
        <v>33</v>
      </c>
      <c r="D777" s="4" t="s">
        <v>62</v>
      </c>
      <c r="E777" s="4" t="s">
        <v>45</v>
      </c>
      <c r="F777" s="4" t="s">
        <v>30</v>
      </c>
      <c r="G777" s="6">
        <v>23900</v>
      </c>
      <c r="H777" s="5">
        <v>24</v>
      </c>
      <c r="I777" s="7">
        <v>37414</v>
      </c>
      <c r="J777" s="4" t="s">
        <v>39</v>
      </c>
      <c r="K777" s="5">
        <v>5</v>
      </c>
      <c r="L777" s="6">
        <v>1178.28</v>
      </c>
      <c r="M777" s="6">
        <v>0</v>
      </c>
      <c r="N777" s="5">
        <v>30</v>
      </c>
      <c r="O777" s="6">
        <v>119</v>
      </c>
      <c r="P777" s="5">
        <v>2</v>
      </c>
      <c r="Q777" s="6">
        <v>0</v>
      </c>
      <c r="R777" s="6">
        <v>0</v>
      </c>
      <c r="S777" s="6">
        <v>0</v>
      </c>
      <c r="T777" s="6">
        <v>0</v>
      </c>
      <c r="U777" s="5">
        <v>719</v>
      </c>
      <c r="V777" s="5">
        <v>0</v>
      </c>
    </row>
    <row r="778" spans="1:22" x14ac:dyDescent="0.25">
      <c r="A778" s="4" t="s">
        <v>849</v>
      </c>
      <c r="B778" s="5">
        <v>46</v>
      </c>
      <c r="C778" s="4" t="s">
        <v>33</v>
      </c>
      <c r="D778" s="4" t="s">
        <v>98</v>
      </c>
      <c r="E778" s="4" t="s">
        <v>45</v>
      </c>
      <c r="F778" s="4" t="s">
        <v>30</v>
      </c>
      <c r="G778" s="6">
        <v>10500</v>
      </c>
      <c r="H778" s="5">
        <v>4</v>
      </c>
      <c r="I778" s="7">
        <v>44748</v>
      </c>
      <c r="J778" s="4" t="s">
        <v>39</v>
      </c>
      <c r="K778" s="5">
        <v>3</v>
      </c>
      <c r="L778" s="6">
        <v>359.78</v>
      </c>
      <c r="M778" s="6">
        <v>2271.96</v>
      </c>
      <c r="N778" s="5">
        <v>11</v>
      </c>
      <c r="O778" s="6">
        <v>58.28</v>
      </c>
      <c r="P778" s="5">
        <v>3</v>
      </c>
      <c r="Q778" s="6">
        <v>2500</v>
      </c>
      <c r="R778" s="6">
        <v>391.39</v>
      </c>
      <c r="S778" s="6">
        <v>0</v>
      </c>
      <c r="T778" s="6">
        <v>0</v>
      </c>
      <c r="U778" s="5">
        <v>571</v>
      </c>
      <c r="V778" s="5">
        <v>0</v>
      </c>
    </row>
    <row r="779" spans="1:22" x14ac:dyDescent="0.25">
      <c r="A779" s="4" t="s">
        <v>850</v>
      </c>
      <c r="B779" s="5">
        <v>77</v>
      </c>
      <c r="C779" s="4" t="s">
        <v>33</v>
      </c>
      <c r="D779" s="4" t="s">
        <v>59</v>
      </c>
      <c r="E779" s="4" t="s">
        <v>95</v>
      </c>
      <c r="F779" s="4" t="s">
        <v>30</v>
      </c>
      <c r="G779" s="6">
        <v>31900</v>
      </c>
      <c r="H779" s="5">
        <v>26</v>
      </c>
      <c r="I779" s="7">
        <v>36614</v>
      </c>
      <c r="J779" s="4" t="s">
        <v>39</v>
      </c>
      <c r="K779" s="5">
        <v>2</v>
      </c>
      <c r="L779" s="6">
        <v>1747.89</v>
      </c>
      <c r="M779" s="6">
        <v>85377.68</v>
      </c>
      <c r="N779" s="5">
        <v>20</v>
      </c>
      <c r="O779" s="6">
        <v>48.79</v>
      </c>
      <c r="P779" s="5">
        <v>5</v>
      </c>
      <c r="Q779" s="6">
        <v>0</v>
      </c>
      <c r="R779" s="6">
        <v>0</v>
      </c>
      <c r="S779" s="6">
        <v>73000</v>
      </c>
      <c r="T779" s="6">
        <v>533</v>
      </c>
      <c r="U779" s="5">
        <v>710</v>
      </c>
      <c r="V779" s="5">
        <v>0</v>
      </c>
    </row>
    <row r="780" spans="1:22" x14ac:dyDescent="0.25">
      <c r="A780" s="4" t="s">
        <v>851</v>
      </c>
      <c r="B780" s="5">
        <v>42</v>
      </c>
      <c r="C780" s="4" t="s">
        <v>23</v>
      </c>
      <c r="D780" s="4" t="s">
        <v>98</v>
      </c>
      <c r="E780" s="4" t="s">
        <v>45</v>
      </c>
      <c r="F780" s="4" t="s">
        <v>30</v>
      </c>
      <c r="G780" s="6">
        <v>21900</v>
      </c>
      <c r="H780" s="5">
        <v>7</v>
      </c>
      <c r="I780" s="7">
        <v>43369</v>
      </c>
      <c r="J780" s="4" t="s">
        <v>27</v>
      </c>
      <c r="K780" s="5">
        <v>3</v>
      </c>
      <c r="L780" s="6">
        <v>2539.66</v>
      </c>
      <c r="M780" s="6">
        <v>11677.43</v>
      </c>
      <c r="N780" s="5">
        <v>18</v>
      </c>
      <c r="O780" s="6">
        <v>48.92</v>
      </c>
      <c r="P780" s="5">
        <v>5</v>
      </c>
      <c r="Q780" s="6">
        <v>3500</v>
      </c>
      <c r="R780" s="6">
        <v>1741.32</v>
      </c>
      <c r="S780" s="6">
        <v>72000</v>
      </c>
      <c r="T780" s="6">
        <v>494</v>
      </c>
      <c r="U780" s="5">
        <v>578</v>
      </c>
      <c r="V780" s="5">
        <v>1</v>
      </c>
    </row>
    <row r="781" spans="1:22" x14ac:dyDescent="0.25">
      <c r="A781" s="4" t="s">
        <v>852</v>
      </c>
      <c r="B781" s="5">
        <v>38</v>
      </c>
      <c r="C781" s="4" t="s">
        <v>23</v>
      </c>
      <c r="D781" s="4" t="s">
        <v>134</v>
      </c>
      <c r="E781" s="4" t="s">
        <v>67</v>
      </c>
      <c r="F781" s="4" t="s">
        <v>30</v>
      </c>
      <c r="G781" s="6">
        <v>4600</v>
      </c>
      <c r="H781" s="5">
        <v>6</v>
      </c>
      <c r="I781" s="7">
        <v>43787</v>
      </c>
      <c r="J781" s="4" t="s">
        <v>39</v>
      </c>
      <c r="K781" s="5">
        <v>2</v>
      </c>
      <c r="L781" s="6">
        <v>393.43</v>
      </c>
      <c r="M781" s="6">
        <v>1289.49</v>
      </c>
      <c r="N781" s="5">
        <v>13</v>
      </c>
      <c r="O781" s="6">
        <v>38.270000000000003</v>
      </c>
      <c r="P781" s="5">
        <v>3</v>
      </c>
      <c r="Q781" s="6">
        <v>1000</v>
      </c>
      <c r="R781" s="6">
        <v>356.47</v>
      </c>
      <c r="S781" s="6">
        <v>0</v>
      </c>
      <c r="T781" s="6">
        <v>0</v>
      </c>
      <c r="U781" s="5">
        <v>513</v>
      </c>
      <c r="V781" s="5">
        <v>3</v>
      </c>
    </row>
    <row r="782" spans="1:22" x14ac:dyDescent="0.25">
      <c r="A782" s="4" t="s">
        <v>853</v>
      </c>
      <c r="B782" s="5">
        <v>53</v>
      </c>
      <c r="C782" s="4" t="s">
        <v>33</v>
      </c>
      <c r="D782" s="4" t="s">
        <v>34</v>
      </c>
      <c r="E782" s="4" t="s">
        <v>25</v>
      </c>
      <c r="F782" s="4" t="s">
        <v>48</v>
      </c>
      <c r="G782" s="6">
        <v>50000</v>
      </c>
      <c r="H782" s="5">
        <v>24</v>
      </c>
      <c r="I782" s="7">
        <v>37209</v>
      </c>
      <c r="J782" s="4" t="s">
        <v>39</v>
      </c>
      <c r="K782" s="5">
        <v>4</v>
      </c>
      <c r="L782" s="6">
        <v>2838.23</v>
      </c>
      <c r="M782" s="6">
        <v>66801.72</v>
      </c>
      <c r="N782" s="5">
        <v>38</v>
      </c>
      <c r="O782" s="6">
        <v>95.95</v>
      </c>
      <c r="P782" s="5">
        <v>3</v>
      </c>
      <c r="Q782" s="6">
        <v>6500</v>
      </c>
      <c r="R782" s="6">
        <v>2070.13</v>
      </c>
      <c r="S782" s="6">
        <v>0</v>
      </c>
      <c r="T782" s="6">
        <v>0</v>
      </c>
      <c r="U782" s="5">
        <v>735</v>
      </c>
      <c r="V782" s="5">
        <v>0</v>
      </c>
    </row>
    <row r="783" spans="1:22" x14ac:dyDescent="0.25">
      <c r="A783" s="4" t="s">
        <v>854</v>
      </c>
      <c r="B783" s="5">
        <v>56</v>
      </c>
      <c r="C783" s="4" t="s">
        <v>33</v>
      </c>
      <c r="D783" s="4" t="s">
        <v>98</v>
      </c>
      <c r="E783" s="4" t="s">
        <v>25</v>
      </c>
      <c r="F783" s="4" t="s">
        <v>38</v>
      </c>
      <c r="G783" s="6">
        <v>21100</v>
      </c>
      <c r="H783" s="5">
        <v>12</v>
      </c>
      <c r="I783" s="7">
        <v>41610</v>
      </c>
      <c r="J783" s="4" t="s">
        <v>27</v>
      </c>
      <c r="K783" s="5">
        <v>6</v>
      </c>
      <c r="L783" s="6">
        <v>1289.72</v>
      </c>
      <c r="M783" s="6">
        <v>36237.03</v>
      </c>
      <c r="N783" s="5">
        <v>19</v>
      </c>
      <c r="O783" s="6">
        <v>34.76</v>
      </c>
      <c r="P783" s="5">
        <v>0</v>
      </c>
      <c r="Q783" s="6">
        <v>5000</v>
      </c>
      <c r="R783" s="6">
        <v>213.19</v>
      </c>
      <c r="S783" s="6">
        <v>0</v>
      </c>
      <c r="T783" s="6">
        <v>0</v>
      </c>
      <c r="U783" s="5">
        <v>550</v>
      </c>
      <c r="V783" s="5">
        <v>2</v>
      </c>
    </row>
    <row r="784" spans="1:22" x14ac:dyDescent="0.25">
      <c r="A784" s="4" t="s">
        <v>855</v>
      </c>
      <c r="B784" s="5">
        <v>35</v>
      </c>
      <c r="C784" s="4" t="s">
        <v>23</v>
      </c>
      <c r="D784" s="4" t="s">
        <v>34</v>
      </c>
      <c r="E784" s="4" t="s">
        <v>25</v>
      </c>
      <c r="F784" s="4" t="s">
        <v>30</v>
      </c>
      <c r="G784" s="6">
        <v>39100</v>
      </c>
      <c r="H784" s="5">
        <v>2</v>
      </c>
      <c r="I784" s="7">
        <v>45285</v>
      </c>
      <c r="J784" s="4" t="s">
        <v>39</v>
      </c>
      <c r="K784" s="5">
        <v>2</v>
      </c>
      <c r="L784" s="6">
        <v>3690.96</v>
      </c>
      <c r="M784" s="6">
        <v>0</v>
      </c>
      <c r="N784" s="5">
        <v>22</v>
      </c>
      <c r="O784" s="6">
        <v>59.49</v>
      </c>
      <c r="P784" s="5">
        <v>8</v>
      </c>
      <c r="Q784" s="6">
        <v>6500</v>
      </c>
      <c r="R784" s="6">
        <v>1409.76</v>
      </c>
      <c r="S784" s="6">
        <v>103000</v>
      </c>
      <c r="T784" s="6">
        <v>703</v>
      </c>
      <c r="U784" s="5">
        <v>634</v>
      </c>
      <c r="V784" s="5">
        <v>0</v>
      </c>
    </row>
    <row r="785" spans="1:22" x14ac:dyDescent="0.25">
      <c r="A785" s="4" t="s">
        <v>856</v>
      </c>
      <c r="B785" s="5">
        <v>36</v>
      </c>
      <c r="C785" s="4" t="s">
        <v>857</v>
      </c>
      <c r="D785" s="4" t="s">
        <v>41</v>
      </c>
      <c r="E785" s="4" t="s">
        <v>25</v>
      </c>
      <c r="F785" s="4" t="s">
        <v>48</v>
      </c>
      <c r="G785" s="6">
        <v>28700</v>
      </c>
      <c r="H785" s="5">
        <v>11</v>
      </c>
      <c r="I785" s="7">
        <v>42251</v>
      </c>
      <c r="J785" s="4" t="s">
        <v>31</v>
      </c>
      <c r="K785" s="5">
        <v>3</v>
      </c>
      <c r="L785" s="6">
        <v>1488.37</v>
      </c>
      <c r="M785" s="6">
        <v>0</v>
      </c>
      <c r="N785" s="5">
        <v>34</v>
      </c>
      <c r="O785" s="6">
        <v>71.319999999999993</v>
      </c>
      <c r="P785" s="5">
        <v>2</v>
      </c>
      <c r="Q785" s="6">
        <v>3000</v>
      </c>
      <c r="R785" s="6">
        <v>359.12</v>
      </c>
      <c r="S785" s="6">
        <v>0</v>
      </c>
      <c r="T785" s="6">
        <v>0</v>
      </c>
      <c r="U785" s="5">
        <v>587</v>
      </c>
      <c r="V785" s="5">
        <v>1</v>
      </c>
    </row>
    <row r="786" spans="1:22" x14ac:dyDescent="0.25">
      <c r="A786" s="4" t="s">
        <v>858</v>
      </c>
      <c r="B786" s="5">
        <v>31</v>
      </c>
      <c r="C786" s="4" t="s">
        <v>23</v>
      </c>
      <c r="D786" s="4" t="s">
        <v>37</v>
      </c>
      <c r="E786" s="4" t="s">
        <v>42</v>
      </c>
      <c r="F786" s="4" t="s">
        <v>26</v>
      </c>
      <c r="G786" s="6">
        <v>36100</v>
      </c>
      <c r="H786" s="5">
        <v>1</v>
      </c>
      <c r="I786" s="7">
        <v>45881</v>
      </c>
      <c r="J786" s="4" t="s">
        <v>31</v>
      </c>
      <c r="K786" s="5">
        <v>3</v>
      </c>
      <c r="L786" s="6">
        <v>2410.29</v>
      </c>
      <c r="M786" s="6">
        <v>0</v>
      </c>
      <c r="N786" s="5">
        <v>39</v>
      </c>
      <c r="O786" s="6">
        <v>52.23</v>
      </c>
      <c r="P786" s="5">
        <v>1</v>
      </c>
      <c r="Q786" s="6">
        <v>0</v>
      </c>
      <c r="R786" s="6">
        <v>0</v>
      </c>
      <c r="S786" s="6">
        <v>106000</v>
      </c>
      <c r="T786" s="6">
        <v>590</v>
      </c>
      <c r="U786" s="5">
        <v>693</v>
      </c>
      <c r="V786" s="5">
        <v>0</v>
      </c>
    </row>
    <row r="787" spans="1:22" x14ac:dyDescent="0.25">
      <c r="A787" s="4" t="s">
        <v>859</v>
      </c>
      <c r="B787" s="5">
        <v>19</v>
      </c>
      <c r="C787" s="4" t="s">
        <v>33</v>
      </c>
      <c r="D787" s="4" t="s">
        <v>72</v>
      </c>
      <c r="E787" s="4" t="s">
        <v>45</v>
      </c>
      <c r="F787" s="4" t="s">
        <v>30</v>
      </c>
      <c r="G787" s="6">
        <v>20100</v>
      </c>
      <c r="H787" s="5">
        <v>0</v>
      </c>
      <c r="I787" s="7">
        <v>46024</v>
      </c>
      <c r="J787" s="4" t="s">
        <v>31</v>
      </c>
      <c r="K787" s="5">
        <v>1</v>
      </c>
      <c r="L787" s="6">
        <v>-300.75</v>
      </c>
      <c r="M787" s="6">
        <v>5443.32</v>
      </c>
      <c r="N787" s="5">
        <v>30</v>
      </c>
      <c r="O787" s="6">
        <v>23.15</v>
      </c>
      <c r="P787" s="5">
        <v>2</v>
      </c>
      <c r="Q787" s="6">
        <v>3000</v>
      </c>
      <c r="R787" s="6">
        <v>836.61</v>
      </c>
      <c r="S787" s="6">
        <v>0</v>
      </c>
      <c r="T787" s="6">
        <v>0</v>
      </c>
      <c r="U787" s="5">
        <v>598</v>
      </c>
      <c r="V787" s="5">
        <v>0</v>
      </c>
    </row>
    <row r="788" spans="1:22" x14ac:dyDescent="0.25">
      <c r="A788" s="4" t="s">
        <v>860</v>
      </c>
      <c r="B788" s="5">
        <v>58</v>
      </c>
      <c r="C788" s="4" t="s">
        <v>23</v>
      </c>
      <c r="D788" s="4" t="s">
        <v>24</v>
      </c>
      <c r="E788" s="4" t="s">
        <v>25</v>
      </c>
      <c r="F788" s="4" t="s">
        <v>26</v>
      </c>
      <c r="G788" s="6">
        <v>30000</v>
      </c>
      <c r="H788" s="5">
        <v>27</v>
      </c>
      <c r="I788" s="7">
        <v>36347</v>
      </c>
      <c r="J788" s="4" t="s">
        <v>49</v>
      </c>
      <c r="K788" s="5">
        <v>3</v>
      </c>
      <c r="L788" s="6">
        <v>1538.96</v>
      </c>
      <c r="M788" s="6">
        <v>35196.639999999999</v>
      </c>
      <c r="N788" s="5">
        <v>26</v>
      </c>
      <c r="O788" s="6">
        <v>31.86</v>
      </c>
      <c r="P788" s="5">
        <v>6</v>
      </c>
      <c r="Q788" s="6">
        <v>6500</v>
      </c>
      <c r="R788" s="6">
        <v>886.16</v>
      </c>
      <c r="S788" s="6">
        <v>0</v>
      </c>
      <c r="T788" s="6">
        <v>0</v>
      </c>
      <c r="U788" s="5">
        <v>715</v>
      </c>
      <c r="V788" s="5">
        <v>0</v>
      </c>
    </row>
    <row r="789" spans="1:22" x14ac:dyDescent="0.25">
      <c r="A789" s="4" t="s">
        <v>861</v>
      </c>
      <c r="B789" s="5">
        <v>34</v>
      </c>
      <c r="C789" s="4" t="s">
        <v>23</v>
      </c>
      <c r="D789" s="4" t="s">
        <v>59</v>
      </c>
      <c r="E789" s="4" t="s">
        <v>45</v>
      </c>
      <c r="F789" s="4" t="s">
        <v>48</v>
      </c>
      <c r="G789" s="6">
        <v>23000</v>
      </c>
      <c r="H789" s="5">
        <v>4</v>
      </c>
      <c r="I789" s="7">
        <v>44625</v>
      </c>
      <c r="J789" s="4" t="s">
        <v>27</v>
      </c>
      <c r="K789" s="5">
        <v>2</v>
      </c>
      <c r="L789" s="6">
        <v>2944.07</v>
      </c>
      <c r="M789" s="6">
        <v>13975.61</v>
      </c>
      <c r="N789" s="5">
        <v>30</v>
      </c>
      <c r="O789" s="6">
        <v>40.92</v>
      </c>
      <c r="P789" s="5">
        <v>4</v>
      </c>
      <c r="Q789" s="6">
        <v>0</v>
      </c>
      <c r="R789" s="6">
        <v>0</v>
      </c>
      <c r="S789" s="6">
        <v>0</v>
      </c>
      <c r="T789" s="6">
        <v>0</v>
      </c>
      <c r="U789" s="5">
        <v>556</v>
      </c>
      <c r="V789" s="5">
        <v>0</v>
      </c>
    </row>
    <row r="790" spans="1:22" x14ac:dyDescent="0.25">
      <c r="A790" s="4" t="s">
        <v>862</v>
      </c>
      <c r="B790" s="5">
        <v>43</v>
      </c>
      <c r="C790" s="4" t="s">
        <v>23</v>
      </c>
      <c r="D790" s="4" t="s">
        <v>29</v>
      </c>
      <c r="E790" s="4" t="s">
        <v>45</v>
      </c>
      <c r="F790" s="4" t="s">
        <v>30</v>
      </c>
      <c r="G790" s="6">
        <v>18100</v>
      </c>
      <c r="H790" s="5">
        <v>4</v>
      </c>
      <c r="I790" s="7">
        <v>44721</v>
      </c>
      <c r="J790" s="4" t="s">
        <v>27</v>
      </c>
      <c r="K790" s="5">
        <v>3</v>
      </c>
      <c r="L790" s="6">
        <v>1687.08</v>
      </c>
      <c r="M790" s="6">
        <v>0</v>
      </c>
      <c r="N790" s="5">
        <v>25</v>
      </c>
      <c r="O790" s="6">
        <v>50.31</v>
      </c>
      <c r="P790" s="5">
        <v>4</v>
      </c>
      <c r="Q790" s="6">
        <v>4500</v>
      </c>
      <c r="R790" s="6">
        <v>1893.06</v>
      </c>
      <c r="S790" s="6">
        <v>0</v>
      </c>
      <c r="T790" s="6">
        <v>0</v>
      </c>
      <c r="U790" s="5">
        <v>622</v>
      </c>
      <c r="V790" s="5">
        <v>1</v>
      </c>
    </row>
    <row r="791" spans="1:22" x14ac:dyDescent="0.25">
      <c r="A791" s="4" t="s">
        <v>863</v>
      </c>
      <c r="B791" s="5">
        <v>56</v>
      </c>
      <c r="C791" s="4" t="s">
        <v>23</v>
      </c>
      <c r="D791" s="4" t="s">
        <v>59</v>
      </c>
      <c r="E791" s="4" t="s">
        <v>54</v>
      </c>
      <c r="F791" s="4" t="s">
        <v>48</v>
      </c>
      <c r="G791" s="6">
        <v>29100</v>
      </c>
      <c r="H791" s="5">
        <v>14</v>
      </c>
      <c r="I791" s="7">
        <v>41131</v>
      </c>
      <c r="J791" s="4" t="s">
        <v>39</v>
      </c>
      <c r="K791" s="5">
        <v>1</v>
      </c>
      <c r="L791" s="6">
        <v>1085.97</v>
      </c>
      <c r="M791" s="6">
        <v>29225.4</v>
      </c>
      <c r="N791" s="5">
        <v>20</v>
      </c>
      <c r="O791" s="6">
        <v>26.84</v>
      </c>
      <c r="P791" s="5">
        <v>-2</v>
      </c>
      <c r="Q791" s="6">
        <v>4000</v>
      </c>
      <c r="R791" s="6">
        <v>1972.3</v>
      </c>
      <c r="S791" s="6">
        <v>0</v>
      </c>
      <c r="T791" s="6">
        <v>0</v>
      </c>
      <c r="U791" s="5">
        <v>619</v>
      </c>
      <c r="V791" s="5">
        <v>0</v>
      </c>
    </row>
    <row r="792" spans="1:22" x14ac:dyDescent="0.25">
      <c r="A792" s="4" t="s">
        <v>864</v>
      </c>
      <c r="B792" s="5">
        <v>32</v>
      </c>
      <c r="C792" s="4" t="s">
        <v>23</v>
      </c>
      <c r="D792" s="4" t="s">
        <v>57</v>
      </c>
      <c r="E792" s="4" t="s">
        <v>54</v>
      </c>
      <c r="F792" s="4" t="s">
        <v>30</v>
      </c>
      <c r="G792" s="6">
        <v>33400</v>
      </c>
      <c r="H792" s="5">
        <v>5</v>
      </c>
      <c r="I792" s="7">
        <v>44135</v>
      </c>
      <c r="J792" s="4" t="s">
        <v>31</v>
      </c>
      <c r="K792" s="5">
        <v>1</v>
      </c>
      <c r="L792" s="6">
        <v>2185.19</v>
      </c>
      <c r="M792" s="6">
        <v>0</v>
      </c>
      <c r="N792" s="5">
        <v>46</v>
      </c>
      <c r="O792" s="6">
        <v>51.72</v>
      </c>
      <c r="P792" s="5">
        <v>2</v>
      </c>
      <c r="Q792" s="6">
        <v>4000</v>
      </c>
      <c r="R792" s="6">
        <v>598.9</v>
      </c>
      <c r="S792" s="6">
        <v>0</v>
      </c>
      <c r="T792" s="6">
        <v>0</v>
      </c>
      <c r="U792" s="5">
        <v>591</v>
      </c>
      <c r="V792" s="5">
        <v>0</v>
      </c>
    </row>
    <row r="793" spans="1:22" x14ac:dyDescent="0.25">
      <c r="A793" s="4" t="s">
        <v>865</v>
      </c>
      <c r="B793" s="5">
        <v>32</v>
      </c>
      <c r="C793" s="4" t="s">
        <v>23</v>
      </c>
      <c r="D793" s="4" t="s">
        <v>34</v>
      </c>
      <c r="E793" s="4" t="s">
        <v>25</v>
      </c>
      <c r="F793" s="4" t="s">
        <v>30</v>
      </c>
      <c r="G793" s="6">
        <v>16200</v>
      </c>
      <c r="H793" s="5">
        <v>1</v>
      </c>
      <c r="I793" s="7">
        <v>45797</v>
      </c>
      <c r="J793" s="4" t="s">
        <v>27</v>
      </c>
      <c r="K793" s="5">
        <v>2</v>
      </c>
      <c r="L793" s="6">
        <v>1181.07</v>
      </c>
      <c r="M793" s="6">
        <v>0</v>
      </c>
      <c r="N793" s="5">
        <v>21</v>
      </c>
      <c r="O793" s="6">
        <v>52.16</v>
      </c>
      <c r="P793" s="5">
        <v>3</v>
      </c>
      <c r="Q793" s="6">
        <v>3500</v>
      </c>
      <c r="R793" s="6">
        <v>335.83</v>
      </c>
      <c r="S793" s="6">
        <v>0</v>
      </c>
      <c r="T793" s="6">
        <v>0</v>
      </c>
      <c r="U793" s="5">
        <v>642</v>
      </c>
      <c r="V793" s="5">
        <v>0</v>
      </c>
    </row>
    <row r="794" spans="1:22" x14ac:dyDescent="0.25">
      <c r="A794" s="4" t="s">
        <v>866</v>
      </c>
      <c r="B794" s="5">
        <v>31</v>
      </c>
      <c r="C794" s="4" t="s">
        <v>33</v>
      </c>
      <c r="D794" s="4" t="s">
        <v>57</v>
      </c>
      <c r="E794" s="4" t="s">
        <v>54</v>
      </c>
      <c r="F794" s="4" t="s">
        <v>30</v>
      </c>
      <c r="G794" s="6">
        <v>32600</v>
      </c>
      <c r="H794" s="5">
        <v>2</v>
      </c>
      <c r="I794" s="7">
        <v>45311</v>
      </c>
      <c r="J794" s="4" t="s">
        <v>27</v>
      </c>
      <c r="K794" s="5">
        <v>2</v>
      </c>
      <c r="L794" s="6">
        <v>2232.06</v>
      </c>
      <c r="M794" s="6">
        <v>15773.92</v>
      </c>
      <c r="N794" s="5">
        <v>39</v>
      </c>
      <c r="O794" s="6">
        <v>29.16</v>
      </c>
      <c r="P794" s="5">
        <v>5</v>
      </c>
      <c r="Q794" s="6">
        <v>0</v>
      </c>
      <c r="R794" s="6">
        <v>0</v>
      </c>
      <c r="S794" s="6">
        <v>0</v>
      </c>
      <c r="T794" s="6">
        <v>0</v>
      </c>
      <c r="U794" s="5">
        <v>591</v>
      </c>
      <c r="V794" s="5">
        <v>0</v>
      </c>
    </row>
    <row r="795" spans="1:22" x14ac:dyDescent="0.25">
      <c r="A795" s="4" t="s">
        <v>867</v>
      </c>
      <c r="B795" s="5">
        <v>36</v>
      </c>
      <c r="C795" s="4" t="s">
        <v>33</v>
      </c>
      <c r="D795" s="4" t="s">
        <v>24</v>
      </c>
      <c r="E795" s="4" t="s">
        <v>25</v>
      </c>
      <c r="F795" s="4" t="s">
        <v>30</v>
      </c>
      <c r="G795" s="6">
        <v>28100</v>
      </c>
      <c r="H795" s="5">
        <v>4</v>
      </c>
      <c r="I795" s="7">
        <v>44788</v>
      </c>
      <c r="J795" s="4" t="s">
        <v>31</v>
      </c>
      <c r="K795" s="5">
        <v>1</v>
      </c>
      <c r="L795" s="6">
        <v>1591.78</v>
      </c>
      <c r="M795" s="6">
        <v>13280.79</v>
      </c>
      <c r="N795" s="5">
        <v>32</v>
      </c>
      <c r="O795" s="6">
        <v>60.53</v>
      </c>
      <c r="P795" s="5">
        <v>1</v>
      </c>
      <c r="Q795" s="6">
        <v>6500</v>
      </c>
      <c r="R795" s="6">
        <v>314.38</v>
      </c>
      <c r="S795" s="6">
        <v>0</v>
      </c>
      <c r="T795" s="6">
        <v>0</v>
      </c>
      <c r="U795" s="5">
        <v>694</v>
      </c>
      <c r="V795" s="5">
        <v>0</v>
      </c>
    </row>
    <row r="796" spans="1:22" x14ac:dyDescent="0.25">
      <c r="A796" s="4" t="s">
        <v>868</v>
      </c>
      <c r="B796" s="5">
        <v>42</v>
      </c>
      <c r="C796" s="4" t="s">
        <v>33</v>
      </c>
      <c r="D796" s="4" t="s">
        <v>62</v>
      </c>
      <c r="E796" s="4" t="s">
        <v>25</v>
      </c>
      <c r="F796" s="4" t="s">
        <v>26</v>
      </c>
      <c r="G796" s="6">
        <v>36800</v>
      </c>
      <c r="H796" s="5">
        <v>3</v>
      </c>
      <c r="I796" s="7">
        <v>44895</v>
      </c>
      <c r="J796" s="4" t="s">
        <v>39</v>
      </c>
      <c r="K796" s="5">
        <v>6</v>
      </c>
      <c r="L796" s="6">
        <v>9259.89</v>
      </c>
      <c r="M796" s="6">
        <v>28002.84</v>
      </c>
      <c r="N796" s="5">
        <v>20</v>
      </c>
      <c r="O796" s="6">
        <v>48.91</v>
      </c>
      <c r="P796" s="5">
        <v>6</v>
      </c>
      <c r="Q796" s="6">
        <v>5500</v>
      </c>
      <c r="R796" s="6">
        <v>1428.07</v>
      </c>
      <c r="S796" s="6">
        <v>0</v>
      </c>
      <c r="T796" s="6">
        <v>0</v>
      </c>
      <c r="U796" s="5">
        <v>574</v>
      </c>
      <c r="V796" s="5">
        <v>0</v>
      </c>
    </row>
    <row r="797" spans="1:22" x14ac:dyDescent="0.25">
      <c r="A797" s="4" t="s">
        <v>869</v>
      </c>
      <c r="B797" s="5">
        <v>71</v>
      </c>
      <c r="C797" s="4" t="s">
        <v>33</v>
      </c>
      <c r="D797" s="4" t="s">
        <v>134</v>
      </c>
      <c r="E797" s="4" t="s">
        <v>95</v>
      </c>
      <c r="F797" s="4" t="s">
        <v>38</v>
      </c>
      <c r="G797" s="6">
        <v>18000</v>
      </c>
      <c r="H797" s="5">
        <v>12</v>
      </c>
      <c r="I797" s="7">
        <v>41875</v>
      </c>
      <c r="J797" s="4" t="s">
        <v>39</v>
      </c>
      <c r="K797" s="5">
        <v>2</v>
      </c>
      <c r="L797" s="6">
        <v>2062.64</v>
      </c>
      <c r="M797" s="6">
        <v>7698.95</v>
      </c>
      <c r="N797" s="5">
        <v>17</v>
      </c>
      <c r="O797" s="6">
        <v>45.63</v>
      </c>
      <c r="P797" s="5">
        <v>4</v>
      </c>
      <c r="Q797" s="6">
        <v>1000</v>
      </c>
      <c r="R797" s="6">
        <v>12500</v>
      </c>
      <c r="S797" s="6">
        <v>62000</v>
      </c>
      <c r="T797" s="6">
        <v>288</v>
      </c>
      <c r="U797" s="5">
        <v>578</v>
      </c>
      <c r="V797" s="5">
        <v>0</v>
      </c>
    </row>
    <row r="798" spans="1:22" x14ac:dyDescent="0.25">
      <c r="A798" s="4" t="s">
        <v>870</v>
      </c>
      <c r="B798" s="5">
        <v>39</v>
      </c>
      <c r="C798" s="4" t="s">
        <v>33</v>
      </c>
      <c r="D798" s="4" t="s">
        <v>108</v>
      </c>
      <c r="E798" s="4" t="s">
        <v>54</v>
      </c>
      <c r="F798" s="4" t="s">
        <v>48</v>
      </c>
      <c r="G798" s="6">
        <v>39100</v>
      </c>
      <c r="H798" s="5">
        <v>19</v>
      </c>
      <c r="I798" s="7">
        <v>39201</v>
      </c>
      <c r="J798" s="4" t="s">
        <v>39</v>
      </c>
      <c r="K798" s="5">
        <v>4</v>
      </c>
      <c r="L798" s="6">
        <v>1430.65</v>
      </c>
      <c r="M798" s="6">
        <v>38227.11</v>
      </c>
      <c r="N798" s="5">
        <v>18</v>
      </c>
      <c r="O798" s="6">
        <v>74.680000000000007</v>
      </c>
      <c r="P798" s="5">
        <v>2</v>
      </c>
      <c r="Q798" s="6">
        <v>8500</v>
      </c>
      <c r="R798" s="6">
        <v>4462.76</v>
      </c>
      <c r="S798" s="6">
        <v>154000</v>
      </c>
      <c r="T798" s="6">
        <v>831</v>
      </c>
      <c r="U798" s="5">
        <v>650</v>
      </c>
      <c r="V798" s="5">
        <v>0</v>
      </c>
    </row>
    <row r="799" spans="1:22" x14ac:dyDescent="0.25">
      <c r="A799" s="4" t="s">
        <v>871</v>
      </c>
      <c r="B799" s="5">
        <v>34</v>
      </c>
      <c r="C799" s="4" t="s">
        <v>33</v>
      </c>
      <c r="D799" s="4" t="s">
        <v>98</v>
      </c>
      <c r="E799" s="4" t="s">
        <v>25</v>
      </c>
      <c r="F799" s="4" t="s">
        <v>30</v>
      </c>
      <c r="G799" s="6">
        <v>22600</v>
      </c>
      <c r="H799" s="5">
        <v>5</v>
      </c>
      <c r="I799" s="7">
        <v>44347</v>
      </c>
      <c r="J799" s="4" t="s">
        <v>31</v>
      </c>
      <c r="K799" s="5">
        <v>2</v>
      </c>
      <c r="L799" s="6">
        <v>1062.28</v>
      </c>
      <c r="M799" s="6">
        <v>11935.26</v>
      </c>
      <c r="N799" s="5">
        <v>36</v>
      </c>
      <c r="O799" s="6">
        <v>27.91</v>
      </c>
      <c r="P799" s="5">
        <v>2</v>
      </c>
      <c r="Q799" s="6">
        <v>5000</v>
      </c>
      <c r="R799" s="6">
        <v>901.65</v>
      </c>
      <c r="S799" s="6">
        <v>89000</v>
      </c>
      <c r="T799" s="6">
        <v>576</v>
      </c>
      <c r="U799" s="5">
        <v>584</v>
      </c>
      <c r="V799" s="5">
        <v>0</v>
      </c>
    </row>
    <row r="800" spans="1:22" x14ac:dyDescent="0.25">
      <c r="A800" s="4" t="s">
        <v>872</v>
      </c>
      <c r="B800" s="5">
        <v>59</v>
      </c>
      <c r="C800" s="4" t="s">
        <v>33</v>
      </c>
      <c r="D800" s="4" t="s">
        <v>59</v>
      </c>
      <c r="E800" s="4" t="s">
        <v>35</v>
      </c>
      <c r="F800" s="4" t="s">
        <v>48</v>
      </c>
      <c r="G800" s="6">
        <v>55400</v>
      </c>
      <c r="H800" s="5">
        <v>21</v>
      </c>
      <c r="I800" s="7">
        <v>38337</v>
      </c>
      <c r="J800" s="4" t="s">
        <v>39</v>
      </c>
      <c r="K800" s="5">
        <v>4</v>
      </c>
      <c r="L800" s="6">
        <v>2723.85</v>
      </c>
      <c r="M800" s="6">
        <v>0</v>
      </c>
      <c r="N800" s="5">
        <v>31</v>
      </c>
      <c r="O800" s="6">
        <v>96.55</v>
      </c>
      <c r="P800" s="5">
        <v>3</v>
      </c>
      <c r="Q800" s="6">
        <v>6500</v>
      </c>
      <c r="R800" s="6">
        <v>659.67</v>
      </c>
      <c r="S800" s="6">
        <v>177000</v>
      </c>
      <c r="T800" s="6">
        <v>1063</v>
      </c>
      <c r="U800" s="5">
        <v>627</v>
      </c>
      <c r="V800" s="5">
        <v>1</v>
      </c>
    </row>
    <row r="801" spans="1:22" x14ac:dyDescent="0.25">
      <c r="A801" s="4" t="s">
        <v>873</v>
      </c>
      <c r="B801" s="5">
        <v>44</v>
      </c>
      <c r="C801" s="4" t="s">
        <v>23</v>
      </c>
      <c r="D801" s="4" t="s">
        <v>34</v>
      </c>
      <c r="E801" s="4" t="s">
        <v>35</v>
      </c>
      <c r="F801" s="4" t="s">
        <v>26</v>
      </c>
      <c r="G801" s="6">
        <v>35400</v>
      </c>
      <c r="H801" s="5">
        <v>18</v>
      </c>
      <c r="I801" s="7">
        <v>39467</v>
      </c>
      <c r="J801" s="4" t="s">
        <v>31</v>
      </c>
      <c r="K801" s="5">
        <v>5</v>
      </c>
      <c r="L801" s="6">
        <v>3821.15</v>
      </c>
      <c r="M801" s="6">
        <v>70541.149999999994</v>
      </c>
      <c r="N801" s="5">
        <v>23</v>
      </c>
      <c r="O801" s="6">
        <v>48.03</v>
      </c>
      <c r="P801" s="5">
        <v>1</v>
      </c>
      <c r="Q801" s="6">
        <v>0</v>
      </c>
      <c r="R801" s="6">
        <v>0</v>
      </c>
      <c r="S801" s="6">
        <v>0</v>
      </c>
      <c r="T801" s="6">
        <v>0</v>
      </c>
      <c r="U801" s="5">
        <v>680</v>
      </c>
      <c r="V801" s="5">
        <v>1</v>
      </c>
    </row>
    <row r="802" spans="1:22" x14ac:dyDescent="0.25">
      <c r="A802" s="4" t="s">
        <v>874</v>
      </c>
      <c r="B802" s="5">
        <v>77</v>
      </c>
      <c r="C802" s="4" t="s">
        <v>23</v>
      </c>
      <c r="D802" s="4" t="s">
        <v>44</v>
      </c>
      <c r="E802" s="4" t="s">
        <v>95</v>
      </c>
      <c r="F802" s="4" t="s">
        <v>38</v>
      </c>
      <c r="G802" s="6">
        <v>15700</v>
      </c>
      <c r="H802" s="5">
        <v>12</v>
      </c>
      <c r="I802" s="7">
        <v>41791</v>
      </c>
      <c r="J802" s="4" t="s">
        <v>31</v>
      </c>
      <c r="K802" s="5">
        <v>1</v>
      </c>
      <c r="L802" s="6">
        <v>3090.33</v>
      </c>
      <c r="M802" s="6">
        <v>16806.490000000002</v>
      </c>
      <c r="N802" s="5">
        <v>31</v>
      </c>
      <c r="O802" s="6">
        <v>40.49</v>
      </c>
      <c r="P802" s="5">
        <v>3</v>
      </c>
      <c r="Q802" s="6">
        <v>0</v>
      </c>
      <c r="R802" s="6">
        <v>0</v>
      </c>
      <c r="S802" s="6">
        <v>0</v>
      </c>
      <c r="T802" s="6">
        <v>0</v>
      </c>
      <c r="U802" s="5">
        <v>561</v>
      </c>
      <c r="V802" s="5">
        <v>0</v>
      </c>
    </row>
    <row r="803" spans="1:22" x14ac:dyDescent="0.25">
      <c r="A803" s="4" t="s">
        <v>875</v>
      </c>
      <c r="B803" s="5">
        <v>47</v>
      </c>
      <c r="C803" s="4" t="s">
        <v>23</v>
      </c>
      <c r="D803" s="4" t="s">
        <v>108</v>
      </c>
      <c r="E803" s="4" t="s">
        <v>90</v>
      </c>
      <c r="F803" s="4" t="s">
        <v>30</v>
      </c>
      <c r="G803" s="6">
        <v>165900</v>
      </c>
      <c r="H803" s="5">
        <v>3</v>
      </c>
      <c r="I803" s="7">
        <v>44942</v>
      </c>
      <c r="J803" s="4" t="s">
        <v>31</v>
      </c>
      <c r="K803" s="5">
        <v>1</v>
      </c>
      <c r="L803" s="6">
        <v>9948.93</v>
      </c>
      <c r="M803" s="6">
        <v>85845.24</v>
      </c>
      <c r="N803" s="5">
        <v>77</v>
      </c>
      <c r="O803" s="6">
        <v>211.18</v>
      </c>
      <c r="P803" s="5">
        <v>3</v>
      </c>
      <c r="Q803" s="6">
        <v>15000</v>
      </c>
      <c r="R803" s="6">
        <v>3913.17</v>
      </c>
      <c r="S803" s="6">
        <v>0</v>
      </c>
      <c r="T803" s="6">
        <v>0</v>
      </c>
      <c r="U803" s="5">
        <v>718</v>
      </c>
      <c r="V803" s="5">
        <v>0</v>
      </c>
    </row>
    <row r="804" spans="1:22" x14ac:dyDescent="0.25">
      <c r="A804" s="4" t="s">
        <v>876</v>
      </c>
      <c r="B804" s="5">
        <v>21</v>
      </c>
      <c r="C804" s="4" t="s">
        <v>33</v>
      </c>
      <c r="D804" s="4" t="s">
        <v>41</v>
      </c>
      <c r="E804" s="4" t="s">
        <v>67</v>
      </c>
      <c r="F804" s="4" t="s">
        <v>26</v>
      </c>
      <c r="G804" s="6">
        <v>8500</v>
      </c>
      <c r="H804" s="5">
        <v>1</v>
      </c>
      <c r="I804" s="7">
        <v>45598</v>
      </c>
      <c r="J804" s="4" t="s">
        <v>31</v>
      </c>
      <c r="K804" s="5">
        <v>1</v>
      </c>
      <c r="L804" s="6">
        <v>-2127.5500000000002</v>
      </c>
      <c r="M804" s="6">
        <v>0</v>
      </c>
      <c r="N804" s="5">
        <v>18</v>
      </c>
      <c r="O804" s="6">
        <v>33.67</v>
      </c>
      <c r="P804" s="5">
        <v>0</v>
      </c>
      <c r="Q804" s="6">
        <v>0</v>
      </c>
      <c r="R804" s="6">
        <v>0</v>
      </c>
      <c r="S804" s="6">
        <v>15000</v>
      </c>
      <c r="T804" s="6">
        <v>70</v>
      </c>
      <c r="U804" s="5">
        <v>574</v>
      </c>
      <c r="V804" s="5">
        <v>0</v>
      </c>
    </row>
    <row r="805" spans="1:22" x14ac:dyDescent="0.25">
      <c r="A805" s="4" t="s">
        <v>877</v>
      </c>
      <c r="B805" s="5">
        <v>37</v>
      </c>
      <c r="C805" s="4" t="s">
        <v>33</v>
      </c>
      <c r="D805" s="4" t="s">
        <v>37</v>
      </c>
      <c r="E805" s="4" t="s">
        <v>35</v>
      </c>
      <c r="F805" s="4" t="s">
        <v>30</v>
      </c>
      <c r="G805" s="6">
        <v>60300</v>
      </c>
      <c r="H805" s="5">
        <v>9</v>
      </c>
      <c r="I805" s="7">
        <v>42721</v>
      </c>
      <c r="J805" s="4" t="s">
        <v>878</v>
      </c>
      <c r="K805" s="5">
        <v>2</v>
      </c>
      <c r="L805" s="6">
        <v>11064.08</v>
      </c>
      <c r="M805" s="6">
        <v>40343.71</v>
      </c>
      <c r="N805" s="5">
        <v>44</v>
      </c>
      <c r="O805" s="6">
        <v>73.87</v>
      </c>
      <c r="P805" s="5">
        <v>11</v>
      </c>
      <c r="Q805" s="6">
        <v>7000</v>
      </c>
      <c r="R805" s="6">
        <v>4053.17</v>
      </c>
      <c r="S805" s="6">
        <v>0</v>
      </c>
      <c r="T805" s="6">
        <v>0</v>
      </c>
      <c r="U805" s="5">
        <v>603</v>
      </c>
      <c r="V805" s="5">
        <v>0</v>
      </c>
    </row>
    <row r="806" spans="1:22" x14ac:dyDescent="0.25">
      <c r="A806" s="4" t="s">
        <v>879</v>
      </c>
      <c r="B806" s="5">
        <v>33</v>
      </c>
      <c r="C806" s="4" t="s">
        <v>33</v>
      </c>
      <c r="D806" s="4" t="s">
        <v>59</v>
      </c>
      <c r="E806" s="4" t="s">
        <v>42</v>
      </c>
      <c r="F806" s="4" t="s">
        <v>30</v>
      </c>
      <c r="G806" s="6">
        <v>59100</v>
      </c>
      <c r="H806" s="5">
        <v>4</v>
      </c>
      <c r="I806" s="7">
        <v>44742</v>
      </c>
      <c r="J806" s="4" t="s">
        <v>31</v>
      </c>
      <c r="K806" s="5">
        <v>1</v>
      </c>
      <c r="L806" s="6">
        <v>2297.4499999999998</v>
      </c>
      <c r="M806" s="6">
        <v>34993.08</v>
      </c>
      <c r="N806" s="5">
        <v>35</v>
      </c>
      <c r="O806" s="6">
        <v>62.4</v>
      </c>
      <c r="P806" s="5">
        <v>0</v>
      </c>
      <c r="Q806" s="6">
        <v>11000</v>
      </c>
      <c r="R806" s="6">
        <v>4119.54</v>
      </c>
      <c r="S806" s="6">
        <v>0</v>
      </c>
      <c r="T806" s="6">
        <v>0</v>
      </c>
      <c r="U806" s="5">
        <v>704</v>
      </c>
      <c r="V806" s="5">
        <v>0</v>
      </c>
    </row>
    <row r="807" spans="1:22" x14ac:dyDescent="0.25">
      <c r="A807" s="4" t="s">
        <v>880</v>
      </c>
      <c r="B807" s="5">
        <v>43</v>
      </c>
      <c r="C807" s="4" t="s">
        <v>23</v>
      </c>
      <c r="D807" s="4" t="s">
        <v>41</v>
      </c>
      <c r="E807" s="4" t="s">
        <v>25</v>
      </c>
      <c r="F807" s="4" t="s">
        <v>26</v>
      </c>
      <c r="G807" s="6">
        <v>33000</v>
      </c>
      <c r="H807" s="5">
        <v>4</v>
      </c>
      <c r="I807" s="7">
        <v>44782</v>
      </c>
      <c r="J807" s="4" t="s">
        <v>31</v>
      </c>
      <c r="K807" s="5">
        <v>2</v>
      </c>
      <c r="L807" s="6">
        <v>-407.81</v>
      </c>
      <c r="M807" s="6">
        <v>21418.17</v>
      </c>
      <c r="N807" s="5">
        <v>33</v>
      </c>
      <c r="O807" s="6">
        <v>61.36</v>
      </c>
      <c r="P807" s="5">
        <v>0</v>
      </c>
      <c r="Q807" s="6">
        <v>4500</v>
      </c>
      <c r="R807" s="6">
        <v>147.81</v>
      </c>
      <c r="S807" s="6">
        <v>0</v>
      </c>
      <c r="T807" s="6">
        <v>0</v>
      </c>
      <c r="U807" s="5">
        <v>608</v>
      </c>
      <c r="V807" s="5">
        <v>0</v>
      </c>
    </row>
    <row r="808" spans="1:22" x14ac:dyDescent="0.25">
      <c r="A808" s="4" t="s">
        <v>881</v>
      </c>
      <c r="B808" s="5">
        <v>56</v>
      </c>
      <c r="C808" s="4" t="s">
        <v>33</v>
      </c>
      <c r="D808" s="4" t="s">
        <v>29</v>
      </c>
      <c r="E808" s="4" t="s">
        <v>54</v>
      </c>
      <c r="F808" s="4" t="s">
        <v>26</v>
      </c>
      <c r="G808" s="6">
        <v>37100</v>
      </c>
      <c r="H808" s="5">
        <v>11</v>
      </c>
      <c r="I808" s="7">
        <v>41921</v>
      </c>
      <c r="J808" s="4" t="s">
        <v>39</v>
      </c>
      <c r="K808" s="5">
        <v>4</v>
      </c>
      <c r="L808" s="6">
        <v>7720.16</v>
      </c>
      <c r="M808" s="6">
        <v>0</v>
      </c>
      <c r="N808" s="5">
        <v>22</v>
      </c>
      <c r="O808" s="6">
        <v>55.54</v>
      </c>
      <c r="P808" s="5">
        <v>4</v>
      </c>
      <c r="Q808" s="6">
        <v>8000</v>
      </c>
      <c r="R808" s="6">
        <v>3892.25</v>
      </c>
      <c r="S808" s="6">
        <v>0</v>
      </c>
      <c r="T808" s="6">
        <v>0</v>
      </c>
      <c r="U808" s="5">
        <v>567</v>
      </c>
      <c r="V808" s="5">
        <v>0</v>
      </c>
    </row>
    <row r="809" spans="1:22" x14ac:dyDescent="0.25">
      <c r="A809" s="4" t="s">
        <v>882</v>
      </c>
      <c r="B809" s="5">
        <v>58</v>
      </c>
      <c r="C809" s="4" t="s">
        <v>23</v>
      </c>
      <c r="D809" s="4" t="s">
        <v>70</v>
      </c>
      <c r="E809" s="4" t="s">
        <v>45</v>
      </c>
      <c r="F809" s="4" t="s">
        <v>48</v>
      </c>
      <c r="G809" s="6">
        <v>29700</v>
      </c>
      <c r="H809" s="5">
        <v>17</v>
      </c>
      <c r="I809" s="7">
        <v>39780</v>
      </c>
      <c r="J809" s="4" t="s">
        <v>39</v>
      </c>
      <c r="K809" s="5">
        <v>3</v>
      </c>
      <c r="L809" s="6">
        <v>3016.09</v>
      </c>
      <c r="M809" s="6">
        <v>0</v>
      </c>
      <c r="N809" s="5">
        <v>20</v>
      </c>
      <c r="O809" s="6">
        <v>103.54</v>
      </c>
      <c r="P809" s="5">
        <v>10</v>
      </c>
      <c r="Q809" s="6">
        <v>6500</v>
      </c>
      <c r="R809" s="6">
        <v>1809.2</v>
      </c>
      <c r="S809" s="6">
        <v>60000</v>
      </c>
      <c r="T809" s="6">
        <v>316</v>
      </c>
      <c r="U809" s="5">
        <v>642</v>
      </c>
      <c r="V809" s="5">
        <v>0</v>
      </c>
    </row>
    <row r="810" spans="1:22" x14ac:dyDescent="0.25">
      <c r="A810" s="4" t="s">
        <v>883</v>
      </c>
      <c r="B810" s="5">
        <v>71</v>
      </c>
      <c r="C810" s="4" t="s">
        <v>23</v>
      </c>
      <c r="D810" s="4" t="s">
        <v>75</v>
      </c>
      <c r="E810" s="4" t="s">
        <v>95</v>
      </c>
      <c r="F810" s="4" t="s">
        <v>30</v>
      </c>
      <c r="G810" s="6">
        <v>21000</v>
      </c>
      <c r="H810" s="5">
        <v>19</v>
      </c>
      <c r="I810" s="7">
        <v>39229</v>
      </c>
      <c r="J810" s="4" t="s">
        <v>31</v>
      </c>
      <c r="K810" s="5">
        <v>3</v>
      </c>
      <c r="L810" s="6">
        <v>757.88</v>
      </c>
      <c r="M810" s="6">
        <v>17536.18</v>
      </c>
      <c r="N810" s="5">
        <v>27</v>
      </c>
      <c r="O810" s="6">
        <v>47.71</v>
      </c>
      <c r="P810" s="5">
        <v>3</v>
      </c>
      <c r="Q810" s="6">
        <v>2500</v>
      </c>
      <c r="R810" s="6">
        <v>287.58999999999997</v>
      </c>
      <c r="S810" s="6">
        <v>0</v>
      </c>
      <c r="T810" s="6">
        <v>0</v>
      </c>
      <c r="U810" s="5">
        <v>654</v>
      </c>
      <c r="V810" s="5">
        <v>0</v>
      </c>
    </row>
    <row r="811" spans="1:22" x14ac:dyDescent="0.25">
      <c r="A811" s="4" t="s">
        <v>884</v>
      </c>
      <c r="B811" s="5">
        <v>73</v>
      </c>
      <c r="C811" s="4" t="s">
        <v>23</v>
      </c>
      <c r="D811" s="4" t="s">
        <v>75</v>
      </c>
      <c r="E811" s="4" t="s">
        <v>95</v>
      </c>
      <c r="F811" s="4" t="s">
        <v>30</v>
      </c>
      <c r="G811" s="6">
        <v>19600</v>
      </c>
      <c r="H811" s="5">
        <v>19</v>
      </c>
      <c r="I811" s="7">
        <v>39178</v>
      </c>
      <c r="J811" s="4" t="s">
        <v>39</v>
      </c>
      <c r="K811" s="5">
        <v>2</v>
      </c>
      <c r="L811" s="6">
        <v>2609.6999999999998</v>
      </c>
      <c r="M811" s="6">
        <v>0</v>
      </c>
      <c r="N811" s="5">
        <v>29</v>
      </c>
      <c r="O811" s="6">
        <v>59.25</v>
      </c>
      <c r="P811" s="5">
        <v>4</v>
      </c>
      <c r="Q811" s="6">
        <v>2500</v>
      </c>
      <c r="R811" s="6">
        <v>1357.3</v>
      </c>
      <c r="S811" s="6">
        <v>0</v>
      </c>
      <c r="T811" s="6">
        <v>0</v>
      </c>
      <c r="U811" s="5">
        <v>597</v>
      </c>
      <c r="V811" s="5">
        <v>1</v>
      </c>
    </row>
    <row r="812" spans="1:22" x14ac:dyDescent="0.25">
      <c r="A812" s="4" t="s">
        <v>885</v>
      </c>
      <c r="B812" s="5">
        <v>41</v>
      </c>
      <c r="C812" s="4" t="s">
        <v>23</v>
      </c>
      <c r="D812" s="4" t="s">
        <v>59</v>
      </c>
      <c r="E812" s="4" t="s">
        <v>35</v>
      </c>
      <c r="F812" s="4" t="s">
        <v>30</v>
      </c>
      <c r="G812" s="6">
        <v>29400</v>
      </c>
      <c r="H812" s="5">
        <v>20</v>
      </c>
      <c r="I812" s="7">
        <v>38937</v>
      </c>
      <c r="J812" s="4" t="s">
        <v>27</v>
      </c>
      <c r="K812" s="5">
        <v>3</v>
      </c>
      <c r="L812" s="6">
        <v>5866.01</v>
      </c>
      <c r="M812" s="6">
        <v>23859.95</v>
      </c>
      <c r="N812" s="5">
        <v>32</v>
      </c>
      <c r="O812" s="6">
        <v>36.979999999999997</v>
      </c>
      <c r="P812" s="5">
        <v>4</v>
      </c>
      <c r="Q812" s="6">
        <v>5000</v>
      </c>
      <c r="R812" s="6">
        <v>1045.28</v>
      </c>
      <c r="S812" s="6">
        <v>0</v>
      </c>
      <c r="T812" s="6">
        <v>0</v>
      </c>
      <c r="U812" s="5">
        <v>609</v>
      </c>
      <c r="V812" s="5">
        <v>0</v>
      </c>
    </row>
    <row r="813" spans="1:22" x14ac:dyDescent="0.25">
      <c r="A813" s="4" t="s">
        <v>886</v>
      </c>
      <c r="B813" s="5">
        <v>41</v>
      </c>
      <c r="C813" s="4" t="s">
        <v>33</v>
      </c>
      <c r="D813" s="4" t="s">
        <v>41</v>
      </c>
      <c r="E813" s="4" t="s">
        <v>45</v>
      </c>
      <c r="F813" s="4" t="s">
        <v>30</v>
      </c>
      <c r="G813" s="6">
        <v>22800</v>
      </c>
      <c r="H813" s="5">
        <v>4</v>
      </c>
      <c r="I813" s="7">
        <v>44669</v>
      </c>
      <c r="J813" s="4" t="s">
        <v>27</v>
      </c>
      <c r="K813" s="5">
        <v>5</v>
      </c>
      <c r="L813" s="6">
        <v>1313.09</v>
      </c>
      <c r="M813" s="6">
        <v>9742.4500000000007</v>
      </c>
      <c r="N813" s="5">
        <v>29</v>
      </c>
      <c r="O813" s="6">
        <v>42.96</v>
      </c>
      <c r="P813" s="5">
        <v>4</v>
      </c>
      <c r="Q813" s="6">
        <v>3500</v>
      </c>
      <c r="R813" s="6">
        <v>365.47</v>
      </c>
      <c r="S813" s="6">
        <v>0</v>
      </c>
      <c r="T813" s="6">
        <v>0</v>
      </c>
      <c r="U813" s="5">
        <v>617</v>
      </c>
      <c r="V813" s="5">
        <v>0</v>
      </c>
    </row>
    <row r="814" spans="1:22" x14ac:dyDescent="0.25">
      <c r="A814" s="4" t="s">
        <v>887</v>
      </c>
      <c r="B814" s="5">
        <v>55</v>
      </c>
      <c r="C814" s="4" t="s">
        <v>33</v>
      </c>
      <c r="D814" s="4" t="s">
        <v>29</v>
      </c>
      <c r="E814" s="4" t="s">
        <v>42</v>
      </c>
      <c r="F814" s="4" t="s">
        <v>26</v>
      </c>
      <c r="G814" s="6">
        <v>103500</v>
      </c>
      <c r="H814" s="5">
        <v>23</v>
      </c>
      <c r="I814" s="7">
        <v>37815</v>
      </c>
      <c r="J814" s="4" t="s">
        <v>39</v>
      </c>
      <c r="K814" s="5">
        <v>2</v>
      </c>
      <c r="L814" s="6">
        <v>8827.35</v>
      </c>
      <c r="M814" s="6">
        <v>305656.8</v>
      </c>
      <c r="N814" s="5">
        <v>45</v>
      </c>
      <c r="O814" s="6">
        <v>128</v>
      </c>
      <c r="P814" s="5">
        <v>5</v>
      </c>
      <c r="Q814" s="6">
        <v>15000</v>
      </c>
      <c r="R814" s="6">
        <v>4064.2</v>
      </c>
      <c r="S814" s="6">
        <v>400000</v>
      </c>
      <c r="T814" s="6">
        <v>2670</v>
      </c>
      <c r="U814" s="5">
        <v>755</v>
      </c>
      <c r="V814" s="5">
        <v>0</v>
      </c>
    </row>
    <row r="815" spans="1:22" x14ac:dyDescent="0.25">
      <c r="A815" s="4" t="s">
        <v>888</v>
      </c>
      <c r="B815" s="5">
        <v>48</v>
      </c>
      <c r="C815" s="4" t="s">
        <v>23</v>
      </c>
      <c r="D815" s="4" t="s">
        <v>72</v>
      </c>
      <c r="E815" s="4" t="s">
        <v>90</v>
      </c>
      <c r="F815" s="4" t="s">
        <v>26</v>
      </c>
      <c r="G815" s="6">
        <v>65400</v>
      </c>
      <c r="H815" s="5">
        <v>8</v>
      </c>
      <c r="I815" s="7">
        <v>43081</v>
      </c>
      <c r="J815" s="4" t="s">
        <v>39</v>
      </c>
      <c r="K815" s="5">
        <v>2</v>
      </c>
      <c r="L815" s="6">
        <v>7093.73</v>
      </c>
      <c r="M815" s="6">
        <v>28192.080000000002</v>
      </c>
      <c r="N815" s="5">
        <v>28</v>
      </c>
      <c r="O815" s="6">
        <v>47.58</v>
      </c>
      <c r="P815" s="5">
        <v>5</v>
      </c>
      <c r="Q815" s="6">
        <v>8000</v>
      </c>
      <c r="R815" s="6">
        <v>2093.61</v>
      </c>
      <c r="S815" s="6">
        <v>130000</v>
      </c>
      <c r="T815" s="6">
        <v>589</v>
      </c>
      <c r="U815" s="5">
        <v>672</v>
      </c>
      <c r="V815" s="5">
        <v>0</v>
      </c>
    </row>
    <row r="816" spans="1:22" x14ac:dyDescent="0.25">
      <c r="A816" s="4" t="s">
        <v>889</v>
      </c>
      <c r="B816" s="5">
        <v>52</v>
      </c>
      <c r="C816" s="4" t="s">
        <v>23</v>
      </c>
      <c r="D816" s="4" t="s">
        <v>128</v>
      </c>
      <c r="E816" s="4" t="s">
        <v>63</v>
      </c>
      <c r="F816" s="4" t="s">
        <v>30</v>
      </c>
      <c r="G816" s="6">
        <v>33700</v>
      </c>
      <c r="H816" s="5">
        <v>8</v>
      </c>
      <c r="I816" s="7">
        <v>43254</v>
      </c>
      <c r="J816" s="4" t="s">
        <v>49</v>
      </c>
      <c r="K816" s="5">
        <v>3</v>
      </c>
      <c r="L816" s="6">
        <v>4462.2700000000004</v>
      </c>
      <c r="M816" s="6">
        <v>10357.39</v>
      </c>
      <c r="N816" s="5">
        <v>19</v>
      </c>
      <c r="O816" s="6">
        <v>56.18</v>
      </c>
      <c r="P816" s="5">
        <v>3</v>
      </c>
      <c r="Q816" s="6">
        <v>6500</v>
      </c>
      <c r="R816" s="6">
        <v>1964.18</v>
      </c>
      <c r="S816" s="6">
        <v>0</v>
      </c>
      <c r="T816" s="6">
        <v>0</v>
      </c>
      <c r="U816" s="5">
        <v>651</v>
      </c>
      <c r="V816" s="5">
        <v>0</v>
      </c>
    </row>
    <row r="817" spans="1:22" x14ac:dyDescent="0.25">
      <c r="A817" s="4" t="s">
        <v>890</v>
      </c>
      <c r="B817" s="5">
        <v>49</v>
      </c>
      <c r="C817" s="4" t="s">
        <v>33</v>
      </c>
      <c r="D817" s="4" t="s">
        <v>59</v>
      </c>
      <c r="E817" s="4" t="s">
        <v>42</v>
      </c>
      <c r="F817" s="4" t="s">
        <v>26</v>
      </c>
      <c r="G817" s="6">
        <v>63300</v>
      </c>
      <c r="H817" s="5">
        <v>9</v>
      </c>
      <c r="I817" s="7">
        <v>42907</v>
      </c>
      <c r="J817" s="4" t="s">
        <v>27</v>
      </c>
      <c r="K817" s="5">
        <v>2</v>
      </c>
      <c r="L817" s="6">
        <v>2354.44</v>
      </c>
      <c r="M817" s="6">
        <v>50229</v>
      </c>
      <c r="N817" s="5">
        <v>48</v>
      </c>
      <c r="O817" s="6">
        <v>70.650000000000006</v>
      </c>
      <c r="P817" s="5">
        <v>3</v>
      </c>
      <c r="Q817" s="6">
        <v>7000</v>
      </c>
      <c r="R817" s="6">
        <v>1457.66</v>
      </c>
      <c r="S817" s="6">
        <v>0</v>
      </c>
      <c r="T817" s="6">
        <v>0</v>
      </c>
      <c r="U817" s="5">
        <v>656</v>
      </c>
      <c r="V817" s="5">
        <v>0</v>
      </c>
    </row>
    <row r="818" spans="1:22" x14ac:dyDescent="0.25">
      <c r="A818" s="4" t="s">
        <v>891</v>
      </c>
      <c r="B818" s="5">
        <v>32</v>
      </c>
      <c r="C818" s="4" t="s">
        <v>892</v>
      </c>
      <c r="D818" s="4" t="s">
        <v>37</v>
      </c>
      <c r="E818" s="4" t="s">
        <v>63</v>
      </c>
      <c r="F818" s="4" t="s">
        <v>30</v>
      </c>
      <c r="G818" s="6">
        <v>45300</v>
      </c>
      <c r="H818" s="5">
        <v>2</v>
      </c>
      <c r="I818" s="7">
        <v>45325</v>
      </c>
      <c r="J818" s="4" t="s">
        <v>27</v>
      </c>
      <c r="K818" s="5">
        <v>1</v>
      </c>
      <c r="L818" s="6">
        <v>3068.95</v>
      </c>
      <c r="M818" s="6">
        <v>8443.2199999999993</v>
      </c>
      <c r="N818" s="5">
        <v>36</v>
      </c>
      <c r="O818" s="6">
        <v>50.81</v>
      </c>
      <c r="P818" s="5">
        <v>2</v>
      </c>
      <c r="Q818" s="6">
        <v>0</v>
      </c>
      <c r="R818" s="6">
        <v>0</v>
      </c>
      <c r="S818" s="6">
        <v>178000</v>
      </c>
      <c r="T818" s="6">
        <v>1138</v>
      </c>
      <c r="U818" s="5">
        <v>582</v>
      </c>
      <c r="V818" s="5">
        <v>0</v>
      </c>
    </row>
    <row r="819" spans="1:22" x14ac:dyDescent="0.25">
      <c r="A819" s="4" t="s">
        <v>893</v>
      </c>
      <c r="B819" s="5">
        <v>47</v>
      </c>
      <c r="C819" s="4" t="s">
        <v>23</v>
      </c>
      <c r="D819" s="4" t="s">
        <v>41</v>
      </c>
      <c r="E819" s="4" t="s">
        <v>25</v>
      </c>
      <c r="F819" s="4" t="s">
        <v>48</v>
      </c>
      <c r="G819" s="6">
        <v>22400</v>
      </c>
      <c r="H819" s="5">
        <v>0</v>
      </c>
      <c r="I819" s="7">
        <v>46203</v>
      </c>
      <c r="J819" s="4" t="s">
        <v>27</v>
      </c>
      <c r="K819" s="5">
        <v>2</v>
      </c>
      <c r="L819" s="6">
        <v>2316</v>
      </c>
      <c r="M819" s="6">
        <v>0</v>
      </c>
      <c r="N819" s="5">
        <v>34</v>
      </c>
      <c r="O819" s="6">
        <v>48.67</v>
      </c>
      <c r="P819" s="5">
        <v>2</v>
      </c>
      <c r="Q819" s="6">
        <v>5000</v>
      </c>
      <c r="R819" s="6">
        <v>1160.51</v>
      </c>
      <c r="S819" s="6">
        <v>89000</v>
      </c>
      <c r="T819" s="6">
        <v>654</v>
      </c>
      <c r="U819" s="5">
        <v>529</v>
      </c>
      <c r="V819" s="5">
        <v>0</v>
      </c>
    </row>
    <row r="820" spans="1:22" x14ac:dyDescent="0.25">
      <c r="A820" s="4" t="s">
        <v>894</v>
      </c>
      <c r="B820" s="5">
        <v>65</v>
      </c>
      <c r="C820" s="4" t="s">
        <v>23</v>
      </c>
      <c r="D820" s="4" t="s">
        <v>24</v>
      </c>
      <c r="E820" s="4" t="s">
        <v>42</v>
      </c>
      <c r="F820" s="4" t="s">
        <v>30</v>
      </c>
      <c r="G820" s="6">
        <v>40700</v>
      </c>
      <c r="H820" s="5">
        <v>15</v>
      </c>
      <c r="I820" s="7">
        <v>40462</v>
      </c>
      <c r="J820" s="4" t="s">
        <v>27</v>
      </c>
      <c r="K820" s="5">
        <v>2</v>
      </c>
      <c r="L820" s="6">
        <v>9038.89</v>
      </c>
      <c r="M820" s="6">
        <v>41779.410000000003</v>
      </c>
      <c r="N820" s="5">
        <v>32</v>
      </c>
      <c r="O820" s="6">
        <v>70.13</v>
      </c>
      <c r="P820" s="5">
        <v>1</v>
      </c>
      <c r="Q820" s="6">
        <v>10000</v>
      </c>
      <c r="R820" s="6">
        <v>3729</v>
      </c>
      <c r="S820" s="6">
        <v>0</v>
      </c>
      <c r="T820" s="6">
        <v>0</v>
      </c>
      <c r="U820" s="5">
        <v>691</v>
      </c>
      <c r="V820" s="5">
        <v>0</v>
      </c>
    </row>
    <row r="821" spans="1:22" x14ac:dyDescent="0.25">
      <c r="A821" s="4" t="s">
        <v>895</v>
      </c>
      <c r="B821" s="5">
        <v>30</v>
      </c>
      <c r="C821" s="4" t="s">
        <v>23</v>
      </c>
      <c r="D821" s="4" t="s">
        <v>34</v>
      </c>
      <c r="E821" s="4" t="s">
        <v>42</v>
      </c>
      <c r="F821" s="4" t="s">
        <v>38</v>
      </c>
      <c r="G821" s="6">
        <v>99900</v>
      </c>
      <c r="H821" s="5">
        <v>1</v>
      </c>
      <c r="I821" s="7">
        <v>45908</v>
      </c>
      <c r="J821" s="4" t="s">
        <v>31</v>
      </c>
      <c r="K821" s="5">
        <v>1</v>
      </c>
      <c r="L821" s="6">
        <v>25303.39</v>
      </c>
      <c r="M821" s="6">
        <v>19135.73</v>
      </c>
      <c r="N821" s="5">
        <v>51</v>
      </c>
      <c r="O821" s="6">
        <v>134.77000000000001</v>
      </c>
      <c r="P821" s="5">
        <v>1</v>
      </c>
      <c r="Q821" s="6">
        <v>14000</v>
      </c>
      <c r="R821" s="6">
        <v>2037.97</v>
      </c>
      <c r="S821" s="6">
        <v>400000</v>
      </c>
      <c r="T821" s="6">
        <v>2001</v>
      </c>
      <c r="U821" s="5">
        <v>593</v>
      </c>
      <c r="V821" s="5">
        <v>1</v>
      </c>
    </row>
    <row r="822" spans="1:22" x14ac:dyDescent="0.25">
      <c r="A822" s="4" t="s">
        <v>896</v>
      </c>
      <c r="B822" s="5">
        <v>36</v>
      </c>
      <c r="C822" s="4" t="s">
        <v>23</v>
      </c>
      <c r="D822" s="4" t="s">
        <v>24</v>
      </c>
      <c r="E822" s="4" t="s">
        <v>45</v>
      </c>
      <c r="F822" s="4" t="s">
        <v>30</v>
      </c>
      <c r="G822" s="6">
        <v>26800</v>
      </c>
      <c r="H822" s="5">
        <v>8</v>
      </c>
      <c r="I822" s="7">
        <v>43061</v>
      </c>
      <c r="J822" s="4" t="s">
        <v>31</v>
      </c>
      <c r="K822" s="5">
        <v>3</v>
      </c>
      <c r="L822" s="6">
        <v>2528.5</v>
      </c>
      <c r="M822" s="6">
        <v>26695.45</v>
      </c>
      <c r="N822" s="5">
        <v>27</v>
      </c>
      <c r="O822" s="6">
        <v>72.05</v>
      </c>
      <c r="P822" s="5">
        <v>2</v>
      </c>
      <c r="Q822" s="6">
        <v>3500</v>
      </c>
      <c r="R822" s="6">
        <v>390.49</v>
      </c>
      <c r="S822" s="6">
        <v>0</v>
      </c>
      <c r="T822" s="6">
        <v>0</v>
      </c>
      <c r="U822" s="5">
        <v>581</v>
      </c>
      <c r="V822" s="5">
        <v>0</v>
      </c>
    </row>
    <row r="823" spans="1:22" x14ac:dyDescent="0.25">
      <c r="A823" s="4" t="s">
        <v>897</v>
      </c>
      <c r="B823" s="5">
        <v>51</v>
      </c>
      <c r="C823" s="4" t="s">
        <v>33</v>
      </c>
      <c r="D823" s="4" t="s">
        <v>29</v>
      </c>
      <c r="E823" s="4" t="s">
        <v>45</v>
      </c>
      <c r="F823" s="4" t="s">
        <v>26</v>
      </c>
      <c r="G823" s="6">
        <v>15200</v>
      </c>
      <c r="H823" s="5">
        <v>17</v>
      </c>
      <c r="I823" s="7">
        <v>39943</v>
      </c>
      <c r="J823" s="4" t="s">
        <v>27</v>
      </c>
      <c r="K823" s="5">
        <v>4</v>
      </c>
      <c r="L823" s="6">
        <v>-2160.85</v>
      </c>
      <c r="M823" s="6">
        <v>6916.22</v>
      </c>
      <c r="N823" s="5">
        <v>26</v>
      </c>
      <c r="O823" s="6">
        <v>64.44</v>
      </c>
      <c r="P823" s="5">
        <v>0</v>
      </c>
      <c r="Q823" s="6">
        <v>3500</v>
      </c>
      <c r="R823" s="6">
        <v>1244.8599999999999</v>
      </c>
      <c r="S823" s="6">
        <v>24000</v>
      </c>
      <c r="T823" s="6">
        <v>167</v>
      </c>
      <c r="U823" s="5">
        <v>655</v>
      </c>
      <c r="V823" s="5">
        <v>0</v>
      </c>
    </row>
    <row r="824" spans="1:22" x14ac:dyDescent="0.25">
      <c r="A824" s="4" t="s">
        <v>898</v>
      </c>
      <c r="B824" s="5">
        <v>51</v>
      </c>
      <c r="C824" s="4" t="s">
        <v>33</v>
      </c>
      <c r="D824" s="4" t="s">
        <v>24</v>
      </c>
      <c r="E824" s="4" t="s">
        <v>25</v>
      </c>
      <c r="F824" s="4" t="s">
        <v>48</v>
      </c>
      <c r="G824" s="6">
        <v>40100</v>
      </c>
      <c r="H824" s="5">
        <v>9</v>
      </c>
      <c r="I824" s="7">
        <v>42780</v>
      </c>
      <c r="J824" s="4" t="s">
        <v>27</v>
      </c>
      <c r="K824" s="5">
        <v>4</v>
      </c>
      <c r="L824" s="6">
        <v>2810.78</v>
      </c>
      <c r="M824" s="6">
        <v>11882.19</v>
      </c>
      <c r="N824" s="5">
        <v>44</v>
      </c>
      <c r="O824" s="6">
        <v>86.26</v>
      </c>
      <c r="P824" s="5">
        <v>3</v>
      </c>
      <c r="Q824" s="6">
        <v>7000</v>
      </c>
      <c r="R824" s="6">
        <v>1227.25</v>
      </c>
      <c r="S824" s="6">
        <v>179000</v>
      </c>
      <c r="T824" s="6">
        <v>991</v>
      </c>
      <c r="U824" s="5">
        <v>674</v>
      </c>
      <c r="V824" s="5">
        <v>0</v>
      </c>
    </row>
    <row r="825" spans="1:22" x14ac:dyDescent="0.25">
      <c r="A825" s="4" t="s">
        <v>899</v>
      </c>
      <c r="B825" s="5">
        <v>52</v>
      </c>
      <c r="C825" s="4" t="s">
        <v>23</v>
      </c>
      <c r="D825" s="4" t="s">
        <v>29</v>
      </c>
      <c r="E825" s="4" t="s">
        <v>35</v>
      </c>
      <c r="F825" s="4" t="s">
        <v>30</v>
      </c>
      <c r="G825" s="6">
        <v>61500</v>
      </c>
      <c r="H825" s="5">
        <v>15</v>
      </c>
      <c r="I825" s="7">
        <v>40707</v>
      </c>
      <c r="J825" s="4" t="s">
        <v>31</v>
      </c>
      <c r="K825" s="5">
        <v>2</v>
      </c>
      <c r="L825" s="6">
        <v>4396.21</v>
      </c>
      <c r="M825" s="6">
        <v>0</v>
      </c>
      <c r="N825" s="5">
        <v>37</v>
      </c>
      <c r="O825" s="6">
        <v>84.91</v>
      </c>
      <c r="P825" s="5">
        <v>3</v>
      </c>
      <c r="Q825" s="6">
        <v>6500</v>
      </c>
      <c r="R825" s="6">
        <v>2463.9699999999998</v>
      </c>
      <c r="S825" s="6">
        <v>0</v>
      </c>
      <c r="T825" s="6">
        <v>0</v>
      </c>
      <c r="U825" s="5">
        <v>690</v>
      </c>
      <c r="V825" s="5">
        <v>1</v>
      </c>
    </row>
    <row r="826" spans="1:22" x14ac:dyDescent="0.25">
      <c r="A826" s="4" t="s">
        <v>900</v>
      </c>
      <c r="B826" s="5">
        <v>54</v>
      </c>
      <c r="C826" s="4" t="s">
        <v>23</v>
      </c>
      <c r="D826" s="4" t="s">
        <v>98</v>
      </c>
      <c r="E826" s="4" t="s">
        <v>25</v>
      </c>
      <c r="F826" s="4" t="s">
        <v>30</v>
      </c>
      <c r="G826" s="6">
        <v>27400</v>
      </c>
      <c r="H826" s="5">
        <v>13</v>
      </c>
      <c r="I826" s="7">
        <v>41395</v>
      </c>
      <c r="J826" s="4" t="s">
        <v>39</v>
      </c>
      <c r="K826" s="5">
        <v>3</v>
      </c>
      <c r="L826" s="6">
        <v>2066.5700000000002</v>
      </c>
      <c r="M826" s="6">
        <v>26303.19</v>
      </c>
      <c r="N826" s="5">
        <v>23</v>
      </c>
      <c r="O826" s="6">
        <v>38.25</v>
      </c>
      <c r="P826" s="5">
        <v>5</v>
      </c>
      <c r="Q826" s="6">
        <v>5000</v>
      </c>
      <c r="R826" s="6">
        <v>193.89</v>
      </c>
      <c r="S826" s="6">
        <v>100000</v>
      </c>
      <c r="T826" s="6">
        <v>739</v>
      </c>
      <c r="U826" s="5">
        <v>637</v>
      </c>
      <c r="V826" s="5">
        <v>0</v>
      </c>
    </row>
    <row r="827" spans="1:22" x14ac:dyDescent="0.25">
      <c r="A827" s="4" t="s">
        <v>901</v>
      </c>
      <c r="B827" s="5">
        <v>66</v>
      </c>
      <c r="C827" s="4" t="s">
        <v>23</v>
      </c>
      <c r="D827" s="4" t="s">
        <v>59</v>
      </c>
      <c r="E827" s="4" t="s">
        <v>95</v>
      </c>
      <c r="F827" s="4" t="s">
        <v>48</v>
      </c>
      <c r="G827" s="6">
        <v>20300</v>
      </c>
      <c r="H827" s="5">
        <v>30</v>
      </c>
      <c r="I827" s="7">
        <v>35054</v>
      </c>
      <c r="J827" s="4" t="s">
        <v>39</v>
      </c>
      <c r="K827" s="5">
        <v>2</v>
      </c>
      <c r="L827" s="6">
        <v>3219.41</v>
      </c>
      <c r="M827" s="6">
        <v>43632.9</v>
      </c>
      <c r="N827" s="5">
        <v>16</v>
      </c>
      <c r="O827" s="6">
        <v>32.96</v>
      </c>
      <c r="P827" s="5">
        <v>3</v>
      </c>
      <c r="Q827" s="6">
        <v>0</v>
      </c>
      <c r="R827" s="6">
        <v>0</v>
      </c>
      <c r="S827" s="6">
        <v>0</v>
      </c>
      <c r="T827" s="6">
        <v>0</v>
      </c>
      <c r="U827" s="5">
        <v>692</v>
      </c>
      <c r="V827" s="5">
        <v>0</v>
      </c>
    </row>
    <row r="828" spans="1:22" x14ac:dyDescent="0.25">
      <c r="A828" s="4" t="s">
        <v>902</v>
      </c>
      <c r="B828" s="5">
        <v>19</v>
      </c>
      <c r="C828" s="4" t="s">
        <v>23</v>
      </c>
      <c r="D828" s="4" t="s">
        <v>24</v>
      </c>
      <c r="E828" s="4" t="s">
        <v>117</v>
      </c>
      <c r="F828" s="4" t="s">
        <v>26</v>
      </c>
      <c r="G828" s="6">
        <v>240000</v>
      </c>
      <c r="H828" s="5">
        <v>1</v>
      </c>
      <c r="I828" s="7">
        <v>45902</v>
      </c>
      <c r="J828" s="4" t="s">
        <v>27</v>
      </c>
      <c r="K828" s="5">
        <v>3</v>
      </c>
      <c r="L828" s="6">
        <v>232.74</v>
      </c>
      <c r="M828" s="6">
        <v>1706.4</v>
      </c>
      <c r="N828" s="5">
        <v>24</v>
      </c>
      <c r="O828" s="6">
        <v>28.08</v>
      </c>
      <c r="P828" s="5">
        <v>1</v>
      </c>
      <c r="Q828" s="6">
        <v>1500</v>
      </c>
      <c r="R828" s="6">
        <v>205.16</v>
      </c>
      <c r="S828" s="6">
        <v>0</v>
      </c>
      <c r="T828" s="6">
        <v>0</v>
      </c>
      <c r="U828" s="5">
        <v>574</v>
      </c>
      <c r="V828" s="5">
        <v>1</v>
      </c>
    </row>
    <row r="829" spans="1:22" x14ac:dyDescent="0.25">
      <c r="A829" s="4" t="s">
        <v>903</v>
      </c>
      <c r="B829" s="5">
        <v>52</v>
      </c>
      <c r="C829" s="4" t="s">
        <v>23</v>
      </c>
      <c r="D829" s="4" t="s">
        <v>37</v>
      </c>
      <c r="E829" s="4" t="s">
        <v>25</v>
      </c>
      <c r="F829" s="4" t="s">
        <v>30</v>
      </c>
      <c r="G829" s="6">
        <v>16500</v>
      </c>
      <c r="H829" s="5">
        <v>15</v>
      </c>
      <c r="I829" s="7">
        <v>40757</v>
      </c>
      <c r="J829" s="4" t="s">
        <v>49</v>
      </c>
      <c r="K829" s="5">
        <v>2</v>
      </c>
      <c r="L829" s="6">
        <v>5138.91</v>
      </c>
      <c r="M829" s="6">
        <v>0</v>
      </c>
      <c r="N829" s="5">
        <v>25</v>
      </c>
      <c r="O829" s="6">
        <v>50.03</v>
      </c>
      <c r="P829" s="5">
        <v>3</v>
      </c>
      <c r="Q829" s="6">
        <v>3500</v>
      </c>
      <c r="R829" s="6">
        <v>815.53</v>
      </c>
      <c r="S829" s="6">
        <v>0</v>
      </c>
      <c r="T829" s="6">
        <v>0</v>
      </c>
      <c r="U829" s="5">
        <v>640</v>
      </c>
      <c r="V829" s="5">
        <v>0</v>
      </c>
    </row>
    <row r="830" spans="1:22" x14ac:dyDescent="0.25">
      <c r="A830" s="4" t="s">
        <v>904</v>
      </c>
      <c r="B830" s="5">
        <v>47</v>
      </c>
      <c r="C830" s="4" t="s">
        <v>33</v>
      </c>
      <c r="D830" s="4" t="s">
        <v>44</v>
      </c>
      <c r="E830" s="4" t="s">
        <v>25</v>
      </c>
      <c r="F830" s="4" t="s">
        <v>30</v>
      </c>
      <c r="G830" s="6">
        <v>27800</v>
      </c>
      <c r="H830" s="5">
        <v>16</v>
      </c>
      <c r="I830" s="7">
        <v>40291</v>
      </c>
      <c r="J830" s="4" t="s">
        <v>39</v>
      </c>
      <c r="K830" s="5">
        <v>3</v>
      </c>
      <c r="L830" s="6">
        <v>2585.0700000000002</v>
      </c>
      <c r="M830" s="6">
        <v>23470.73</v>
      </c>
      <c r="N830" s="5">
        <v>32</v>
      </c>
      <c r="O830" s="6">
        <v>42.59</v>
      </c>
      <c r="P830" s="5">
        <v>6</v>
      </c>
      <c r="Q830" s="6">
        <v>0</v>
      </c>
      <c r="R830" s="6">
        <v>0</v>
      </c>
      <c r="S830" s="6">
        <v>45000</v>
      </c>
      <c r="T830" s="6">
        <v>315</v>
      </c>
      <c r="U830" s="5">
        <v>620</v>
      </c>
      <c r="V830" s="5">
        <v>0</v>
      </c>
    </row>
    <row r="831" spans="1:22" x14ac:dyDescent="0.25">
      <c r="A831" s="4" t="s">
        <v>905</v>
      </c>
      <c r="B831" s="5">
        <v>49</v>
      </c>
      <c r="C831" s="4" t="s">
        <v>33</v>
      </c>
      <c r="D831" s="4" t="s">
        <v>57</v>
      </c>
      <c r="E831" s="4" t="s">
        <v>45</v>
      </c>
      <c r="F831" s="4" t="s">
        <v>26</v>
      </c>
      <c r="G831" s="6">
        <v>12900</v>
      </c>
      <c r="H831" s="5">
        <v>3</v>
      </c>
      <c r="I831" s="7">
        <v>44950</v>
      </c>
      <c r="J831" s="4" t="s">
        <v>31</v>
      </c>
      <c r="K831" s="5">
        <v>1</v>
      </c>
      <c r="L831" s="6">
        <v>461.91</v>
      </c>
      <c r="M831" s="6">
        <v>3791.66</v>
      </c>
      <c r="N831" s="5">
        <v>17</v>
      </c>
      <c r="O831" s="6">
        <v>40.549999999999997</v>
      </c>
      <c r="P831" s="5">
        <v>0</v>
      </c>
      <c r="Q831" s="6">
        <v>3000</v>
      </c>
      <c r="R831" s="6">
        <v>1287.03</v>
      </c>
      <c r="S831" s="6">
        <v>0</v>
      </c>
      <c r="T831" s="6">
        <v>0</v>
      </c>
      <c r="U831" s="5">
        <v>603</v>
      </c>
      <c r="V831" s="5">
        <v>0</v>
      </c>
    </row>
    <row r="832" spans="1:22" x14ac:dyDescent="0.25">
      <c r="A832" s="4" t="s">
        <v>906</v>
      </c>
      <c r="B832" s="5">
        <v>49</v>
      </c>
      <c r="C832" s="4" t="s">
        <v>33</v>
      </c>
      <c r="D832" s="4" t="s">
        <v>57</v>
      </c>
      <c r="E832" s="4" t="s">
        <v>90</v>
      </c>
      <c r="F832" s="4" t="s">
        <v>26</v>
      </c>
      <c r="G832" s="6">
        <v>105900</v>
      </c>
      <c r="H832" s="5">
        <v>6</v>
      </c>
      <c r="I832" s="7">
        <v>44056</v>
      </c>
      <c r="J832" s="4" t="s">
        <v>27</v>
      </c>
      <c r="K832" s="5">
        <v>1</v>
      </c>
      <c r="L832" s="6">
        <v>19033.04</v>
      </c>
      <c r="M832" s="6">
        <v>25478.29</v>
      </c>
      <c r="N832" s="5">
        <v>61</v>
      </c>
      <c r="O832" s="6">
        <v>69.39</v>
      </c>
      <c r="P832" s="5">
        <v>4</v>
      </c>
      <c r="Q832" s="6">
        <v>0</v>
      </c>
      <c r="R832" s="6">
        <v>0</v>
      </c>
      <c r="S832" s="6">
        <v>0</v>
      </c>
      <c r="T832" s="6">
        <v>0</v>
      </c>
      <c r="U832" s="5">
        <v>699</v>
      </c>
      <c r="V832" s="5">
        <v>0</v>
      </c>
    </row>
    <row r="833" spans="1:22" x14ac:dyDescent="0.25">
      <c r="A833" s="4" t="s">
        <v>907</v>
      </c>
      <c r="B833" s="5">
        <v>25</v>
      </c>
      <c r="C833" s="4" t="s">
        <v>23</v>
      </c>
      <c r="D833" s="4" t="s">
        <v>108</v>
      </c>
      <c r="E833" s="4" t="s">
        <v>63</v>
      </c>
      <c r="F833" s="4" t="s">
        <v>26</v>
      </c>
      <c r="G833" s="6">
        <v>31600</v>
      </c>
      <c r="H833" s="5">
        <v>4</v>
      </c>
      <c r="I833" s="7">
        <v>44775</v>
      </c>
      <c r="J833" s="4" t="s">
        <v>31</v>
      </c>
      <c r="K833" s="5">
        <v>1</v>
      </c>
      <c r="L833" s="6">
        <v>5557.44</v>
      </c>
      <c r="M833" s="6">
        <v>19362.060000000001</v>
      </c>
      <c r="N833" s="5">
        <v>21</v>
      </c>
      <c r="O833" s="6">
        <v>35.01</v>
      </c>
      <c r="P833" s="5">
        <v>1</v>
      </c>
      <c r="Q833" s="6">
        <v>5500</v>
      </c>
      <c r="R833" s="6">
        <v>1581.66</v>
      </c>
      <c r="S833" s="6">
        <v>0</v>
      </c>
      <c r="T833" s="6">
        <v>0</v>
      </c>
      <c r="U833" s="5">
        <v>622</v>
      </c>
      <c r="V833" s="5">
        <v>0</v>
      </c>
    </row>
    <row r="834" spans="1:22" x14ac:dyDescent="0.25">
      <c r="A834" s="4" t="s">
        <v>908</v>
      </c>
      <c r="B834" s="5">
        <v>56</v>
      </c>
      <c r="C834" s="4" t="s">
        <v>33</v>
      </c>
      <c r="D834" s="4" t="s">
        <v>134</v>
      </c>
      <c r="E834" s="4" t="s">
        <v>90</v>
      </c>
      <c r="F834" s="4" t="s">
        <v>30</v>
      </c>
      <c r="G834" s="6">
        <v>106600</v>
      </c>
      <c r="H834" s="5">
        <v>12</v>
      </c>
      <c r="I834" s="7">
        <v>41814</v>
      </c>
      <c r="J834" s="4" t="s">
        <v>27</v>
      </c>
      <c r="K834" s="5">
        <v>3</v>
      </c>
      <c r="L834" s="6">
        <v>-600.86</v>
      </c>
      <c r="M834" s="6">
        <v>111547.59</v>
      </c>
      <c r="N834" s="5">
        <v>59</v>
      </c>
      <c r="O834" s="6">
        <v>118.27</v>
      </c>
      <c r="P834" s="5">
        <v>2</v>
      </c>
      <c r="Q834" s="6">
        <v>15000</v>
      </c>
      <c r="R834" s="6">
        <v>6402.21</v>
      </c>
      <c r="S834" s="6">
        <v>0</v>
      </c>
      <c r="T834" s="6">
        <v>0</v>
      </c>
      <c r="U834" s="5">
        <v>712</v>
      </c>
      <c r="V834" s="5">
        <v>0</v>
      </c>
    </row>
    <row r="835" spans="1:22" x14ac:dyDescent="0.25">
      <c r="A835" s="4" t="s">
        <v>909</v>
      </c>
      <c r="B835" s="5">
        <v>40</v>
      </c>
      <c r="C835" s="4" t="s">
        <v>23</v>
      </c>
      <c r="D835" s="4" t="s">
        <v>34</v>
      </c>
      <c r="E835" s="4" t="s">
        <v>63</v>
      </c>
      <c r="F835" s="4" t="s">
        <v>26</v>
      </c>
      <c r="G835" s="6">
        <v>40300</v>
      </c>
      <c r="H835" s="5">
        <v>13</v>
      </c>
      <c r="I835" s="7">
        <v>41231</v>
      </c>
      <c r="J835" s="4" t="s">
        <v>39</v>
      </c>
      <c r="K835" s="5">
        <v>3</v>
      </c>
      <c r="L835" s="6">
        <v>6937.38</v>
      </c>
      <c r="M835" s="6">
        <v>0</v>
      </c>
      <c r="N835" s="5">
        <v>30</v>
      </c>
      <c r="O835" s="6">
        <v>14.88</v>
      </c>
      <c r="P835" s="5">
        <v>2</v>
      </c>
      <c r="Q835" s="6">
        <v>0</v>
      </c>
      <c r="R835" s="6">
        <v>0</v>
      </c>
      <c r="S835" s="6">
        <v>104000</v>
      </c>
      <c r="T835" s="6">
        <v>711</v>
      </c>
      <c r="U835" s="5">
        <v>668</v>
      </c>
      <c r="V835" s="5">
        <v>0</v>
      </c>
    </row>
    <row r="836" spans="1:22" x14ac:dyDescent="0.25">
      <c r="A836" s="4" t="s">
        <v>910</v>
      </c>
      <c r="B836" s="5">
        <v>52</v>
      </c>
      <c r="C836" s="4" t="s">
        <v>23</v>
      </c>
      <c r="D836" s="4" t="s">
        <v>41</v>
      </c>
      <c r="E836" s="4" t="s">
        <v>25</v>
      </c>
      <c r="F836" s="4" t="s">
        <v>48</v>
      </c>
      <c r="G836" s="6">
        <v>34800</v>
      </c>
      <c r="H836" s="5">
        <v>7</v>
      </c>
      <c r="I836" s="7">
        <v>43527</v>
      </c>
      <c r="J836" s="4" t="s">
        <v>27</v>
      </c>
      <c r="K836" s="5">
        <v>3</v>
      </c>
      <c r="L836" s="6">
        <v>21955.86</v>
      </c>
      <c r="M836" s="6">
        <v>25453.71</v>
      </c>
      <c r="N836" s="5">
        <v>37</v>
      </c>
      <c r="O836" s="6">
        <v>36.76</v>
      </c>
      <c r="P836" s="5">
        <v>1</v>
      </c>
      <c r="Q836" s="6">
        <v>0</v>
      </c>
      <c r="R836" s="6">
        <v>0</v>
      </c>
      <c r="S836" s="6">
        <v>0</v>
      </c>
      <c r="T836" s="6">
        <v>0</v>
      </c>
      <c r="U836" s="5">
        <v>664</v>
      </c>
      <c r="V836" s="5">
        <v>0</v>
      </c>
    </row>
    <row r="837" spans="1:22" x14ac:dyDescent="0.25">
      <c r="A837" s="4" t="s">
        <v>911</v>
      </c>
      <c r="B837" s="5">
        <v>32</v>
      </c>
      <c r="C837" s="4" t="s">
        <v>23</v>
      </c>
      <c r="D837" s="4" t="s">
        <v>34</v>
      </c>
      <c r="E837" s="4" t="s">
        <v>54</v>
      </c>
      <c r="F837" s="4" t="s">
        <v>26</v>
      </c>
      <c r="G837" s="6">
        <v>19100</v>
      </c>
      <c r="H837" s="5">
        <v>2</v>
      </c>
      <c r="I837" s="7">
        <v>45195</v>
      </c>
      <c r="J837" s="4" t="s">
        <v>27</v>
      </c>
      <c r="K837" s="5">
        <v>1</v>
      </c>
      <c r="L837" s="6">
        <v>1570.21</v>
      </c>
      <c r="M837" s="6">
        <v>4964.0600000000004</v>
      </c>
      <c r="N837" s="5">
        <v>25</v>
      </c>
      <c r="O837" s="6">
        <v>54.93</v>
      </c>
      <c r="P837" s="5">
        <v>0</v>
      </c>
      <c r="Q837" s="6">
        <v>4000</v>
      </c>
      <c r="R837" s="6">
        <v>2358.04</v>
      </c>
      <c r="S837" s="6">
        <v>0</v>
      </c>
      <c r="T837" s="6">
        <v>0</v>
      </c>
      <c r="U837" s="5">
        <v>608</v>
      </c>
      <c r="V837" s="5">
        <v>0</v>
      </c>
    </row>
    <row r="838" spans="1:22" x14ac:dyDescent="0.25">
      <c r="A838" s="4" t="s">
        <v>912</v>
      </c>
      <c r="B838" s="5">
        <v>54</v>
      </c>
      <c r="C838" s="4" t="s">
        <v>33</v>
      </c>
      <c r="D838" s="4" t="s">
        <v>59</v>
      </c>
      <c r="E838" s="4" t="s">
        <v>25</v>
      </c>
      <c r="F838" s="4" t="s">
        <v>30</v>
      </c>
      <c r="G838" s="6">
        <v>33600</v>
      </c>
      <c r="H838" s="5">
        <v>24</v>
      </c>
      <c r="I838" s="7">
        <v>37236</v>
      </c>
      <c r="J838" s="4" t="s">
        <v>31</v>
      </c>
      <c r="K838" s="5">
        <v>2</v>
      </c>
      <c r="L838" s="6">
        <v>880.41</v>
      </c>
      <c r="M838" s="6">
        <v>104199.01</v>
      </c>
      <c r="N838" s="5">
        <v>36</v>
      </c>
      <c r="O838" s="6">
        <v>68.5</v>
      </c>
      <c r="P838" s="5">
        <v>2</v>
      </c>
      <c r="Q838" s="6">
        <v>5000</v>
      </c>
      <c r="R838" s="6">
        <v>1565.32</v>
      </c>
      <c r="S838" s="6">
        <v>146000</v>
      </c>
      <c r="T838" s="6">
        <v>773</v>
      </c>
      <c r="U838" s="5">
        <v>611</v>
      </c>
      <c r="V838" s="5">
        <v>2</v>
      </c>
    </row>
    <row r="839" spans="1:22" x14ac:dyDescent="0.25">
      <c r="A839" s="4" t="s">
        <v>913</v>
      </c>
      <c r="B839" s="5">
        <v>18</v>
      </c>
      <c r="C839" s="4" t="s">
        <v>23</v>
      </c>
      <c r="D839" s="4" t="s">
        <v>24</v>
      </c>
      <c r="E839" s="4" t="s">
        <v>117</v>
      </c>
      <c r="F839" s="4" t="s">
        <v>26</v>
      </c>
      <c r="G839" s="6">
        <v>185000</v>
      </c>
      <c r="H839" s="5">
        <v>0</v>
      </c>
      <c r="I839" s="7">
        <v>46257</v>
      </c>
      <c r="J839" s="4" t="s">
        <v>27</v>
      </c>
      <c r="K839" s="5">
        <v>1</v>
      </c>
      <c r="L839" s="6">
        <v>1391.72</v>
      </c>
      <c r="M839" s="6">
        <v>0</v>
      </c>
      <c r="N839" s="5">
        <v>27</v>
      </c>
      <c r="O839" s="6">
        <v>39.229999999999997</v>
      </c>
      <c r="P839" s="5">
        <v>3</v>
      </c>
      <c r="Q839" s="6">
        <v>0</v>
      </c>
      <c r="R839" s="6">
        <v>0</v>
      </c>
      <c r="S839" s="6">
        <v>0</v>
      </c>
      <c r="T839" s="6">
        <v>0</v>
      </c>
      <c r="U839" s="5">
        <v>546</v>
      </c>
      <c r="V839" s="5">
        <v>0</v>
      </c>
    </row>
    <row r="840" spans="1:22" x14ac:dyDescent="0.25">
      <c r="A840" s="4" t="s">
        <v>914</v>
      </c>
      <c r="B840" s="5">
        <v>83</v>
      </c>
      <c r="C840" s="4" t="s">
        <v>23</v>
      </c>
      <c r="D840" s="4" t="s">
        <v>98</v>
      </c>
      <c r="E840" s="4" t="s">
        <v>95</v>
      </c>
      <c r="F840" s="4" t="s">
        <v>38</v>
      </c>
      <c r="G840" s="6">
        <v>20900</v>
      </c>
      <c r="H840" s="5">
        <v>5</v>
      </c>
      <c r="I840" s="7">
        <v>44440</v>
      </c>
      <c r="J840" s="4" t="s">
        <v>39</v>
      </c>
      <c r="K840" s="5">
        <v>2</v>
      </c>
      <c r="L840" s="6">
        <v>1260.23</v>
      </c>
      <c r="M840" s="6">
        <v>8473.89</v>
      </c>
      <c r="N840" s="5">
        <v>15</v>
      </c>
      <c r="O840" s="6">
        <v>49.9</v>
      </c>
      <c r="P840" s="5">
        <v>6</v>
      </c>
      <c r="Q840" s="6">
        <v>5000</v>
      </c>
      <c r="R840" s="6">
        <v>2444.67</v>
      </c>
      <c r="S840" s="6">
        <v>0</v>
      </c>
      <c r="T840" s="6">
        <v>0</v>
      </c>
      <c r="U840" s="5">
        <v>582</v>
      </c>
      <c r="V840" s="5">
        <v>0</v>
      </c>
    </row>
    <row r="841" spans="1:22" x14ac:dyDescent="0.25">
      <c r="A841" s="4" t="s">
        <v>915</v>
      </c>
      <c r="B841" s="5">
        <v>32</v>
      </c>
      <c r="C841" s="4" t="s">
        <v>23</v>
      </c>
      <c r="D841" s="4" t="s">
        <v>34</v>
      </c>
      <c r="E841" s="4" t="s">
        <v>35</v>
      </c>
      <c r="F841" s="4" t="s">
        <v>26</v>
      </c>
      <c r="G841" s="6">
        <v>69700</v>
      </c>
      <c r="H841" s="5">
        <v>1</v>
      </c>
      <c r="I841" s="7">
        <v>45874</v>
      </c>
      <c r="J841" s="4" t="s">
        <v>27</v>
      </c>
      <c r="K841" s="5">
        <v>1</v>
      </c>
      <c r="L841" s="6">
        <v>4990.92</v>
      </c>
      <c r="M841" s="6">
        <v>17583.68</v>
      </c>
      <c r="N841" s="5">
        <v>38</v>
      </c>
      <c r="O841" s="6">
        <v>126.48</v>
      </c>
      <c r="P841" s="5">
        <v>3</v>
      </c>
      <c r="Q841" s="6">
        <v>15000</v>
      </c>
      <c r="R841" s="6">
        <v>7904.77</v>
      </c>
      <c r="S841" s="6">
        <v>0</v>
      </c>
      <c r="T841" s="6">
        <v>0</v>
      </c>
      <c r="U841" s="5">
        <v>615</v>
      </c>
      <c r="V841" s="5">
        <v>1</v>
      </c>
    </row>
    <row r="842" spans="1:22" x14ac:dyDescent="0.25">
      <c r="A842" s="4" t="s">
        <v>916</v>
      </c>
      <c r="B842" s="5">
        <v>71</v>
      </c>
      <c r="C842" s="4" t="s">
        <v>23</v>
      </c>
      <c r="D842" s="4" t="s">
        <v>98</v>
      </c>
      <c r="E842" s="4" t="s">
        <v>95</v>
      </c>
      <c r="F842" s="4" t="s">
        <v>38</v>
      </c>
      <c r="G842" s="6">
        <v>18100</v>
      </c>
      <c r="H842" s="5">
        <v>29</v>
      </c>
      <c r="I842" s="7">
        <v>35427</v>
      </c>
      <c r="J842" s="4" t="s">
        <v>39</v>
      </c>
      <c r="K842" s="5">
        <v>4</v>
      </c>
      <c r="L842" s="6">
        <v>546.09</v>
      </c>
      <c r="M842" s="6">
        <v>0</v>
      </c>
      <c r="N842" s="5">
        <v>17</v>
      </c>
      <c r="O842" s="6">
        <v>49.6</v>
      </c>
      <c r="P842" s="5">
        <v>5</v>
      </c>
      <c r="Q842" s="6">
        <v>0</v>
      </c>
      <c r="R842" s="6">
        <v>0</v>
      </c>
      <c r="S842" s="6">
        <v>0</v>
      </c>
      <c r="T842" s="6">
        <v>0</v>
      </c>
      <c r="U842" s="5">
        <v>628</v>
      </c>
      <c r="V842" s="5">
        <v>0</v>
      </c>
    </row>
    <row r="843" spans="1:22" x14ac:dyDescent="0.25">
      <c r="A843" s="4" t="s">
        <v>917</v>
      </c>
      <c r="B843" s="5">
        <v>38</v>
      </c>
      <c r="C843" s="4" t="s">
        <v>23</v>
      </c>
      <c r="D843" s="4" t="s">
        <v>98</v>
      </c>
      <c r="E843" s="4" t="s">
        <v>25</v>
      </c>
      <c r="F843" s="4" t="s">
        <v>48</v>
      </c>
      <c r="G843" s="6">
        <v>42300</v>
      </c>
      <c r="H843" s="5">
        <v>2</v>
      </c>
      <c r="I843" s="7">
        <v>45382</v>
      </c>
      <c r="J843" s="4" t="s">
        <v>31</v>
      </c>
      <c r="K843" s="5">
        <v>1</v>
      </c>
      <c r="L843" s="6">
        <v>8196.27</v>
      </c>
      <c r="M843" s="6">
        <v>8414.7199999999993</v>
      </c>
      <c r="N843" s="5">
        <v>43</v>
      </c>
      <c r="O843" s="6">
        <v>36.409999999999997</v>
      </c>
      <c r="P843" s="5">
        <v>2</v>
      </c>
      <c r="Q843" s="6">
        <v>9000</v>
      </c>
      <c r="R843" s="6">
        <v>2058.79</v>
      </c>
      <c r="S843" s="6">
        <v>181000</v>
      </c>
      <c r="T843" s="6">
        <v>1030</v>
      </c>
      <c r="U843" s="5">
        <v>665</v>
      </c>
      <c r="V843" s="5">
        <v>0</v>
      </c>
    </row>
    <row r="844" spans="1:22" x14ac:dyDescent="0.25">
      <c r="A844" s="4" t="s">
        <v>918</v>
      </c>
      <c r="B844" s="5">
        <v>62</v>
      </c>
      <c r="C844" s="4" t="s">
        <v>33</v>
      </c>
      <c r="D844" s="4" t="s">
        <v>72</v>
      </c>
      <c r="E844" s="4" t="s">
        <v>42</v>
      </c>
      <c r="F844" s="4" t="s">
        <v>48</v>
      </c>
      <c r="G844" s="6">
        <v>77700</v>
      </c>
      <c r="H844" s="5">
        <v>9</v>
      </c>
      <c r="I844" s="7">
        <v>42898</v>
      </c>
      <c r="J844" s="4" t="s">
        <v>39</v>
      </c>
      <c r="K844" s="5">
        <v>1</v>
      </c>
      <c r="L844" s="6">
        <v>20022.5</v>
      </c>
      <c r="M844" s="6">
        <v>0</v>
      </c>
      <c r="N844" s="5">
        <v>47</v>
      </c>
      <c r="O844" s="6">
        <v>62.03</v>
      </c>
      <c r="P844" s="5">
        <v>5</v>
      </c>
      <c r="Q844" s="6">
        <v>10500</v>
      </c>
      <c r="R844" s="6">
        <v>1701.88</v>
      </c>
      <c r="S844" s="6">
        <v>0</v>
      </c>
      <c r="T844" s="6">
        <v>0</v>
      </c>
      <c r="U844" s="5">
        <v>721</v>
      </c>
      <c r="V844" s="5">
        <v>0</v>
      </c>
    </row>
    <row r="845" spans="1:22" x14ac:dyDescent="0.25">
      <c r="A845" s="4" t="s">
        <v>919</v>
      </c>
      <c r="B845" s="5">
        <v>43</v>
      </c>
      <c r="C845" s="4" t="s">
        <v>23</v>
      </c>
      <c r="D845" s="4" t="s">
        <v>59</v>
      </c>
      <c r="E845" s="4" t="s">
        <v>90</v>
      </c>
      <c r="F845" s="4" t="s">
        <v>30</v>
      </c>
      <c r="G845" s="6">
        <v>100600</v>
      </c>
      <c r="H845" s="5">
        <v>7</v>
      </c>
      <c r="I845" s="7">
        <v>43615</v>
      </c>
      <c r="J845" s="4" t="s">
        <v>31</v>
      </c>
      <c r="K845" s="5">
        <v>2</v>
      </c>
      <c r="L845" s="6">
        <v>6639.67</v>
      </c>
      <c r="M845" s="6">
        <v>34099.67</v>
      </c>
      <c r="N845" s="5">
        <v>71</v>
      </c>
      <c r="O845" s="6">
        <v>97.26</v>
      </c>
      <c r="P845" s="5">
        <v>0</v>
      </c>
      <c r="Q845" s="6">
        <v>15000</v>
      </c>
      <c r="R845" s="6">
        <v>3325.33</v>
      </c>
      <c r="S845" s="6">
        <v>0</v>
      </c>
      <c r="T845" s="6">
        <v>0</v>
      </c>
      <c r="U845" s="5">
        <v>669</v>
      </c>
      <c r="V845" s="5">
        <v>0</v>
      </c>
    </row>
    <row r="846" spans="1:22" x14ac:dyDescent="0.25">
      <c r="A846" s="4" t="s">
        <v>920</v>
      </c>
      <c r="B846" s="5">
        <v>54</v>
      </c>
      <c r="C846" s="4" t="s">
        <v>23</v>
      </c>
      <c r="D846" s="4" t="s">
        <v>98</v>
      </c>
      <c r="E846" s="4" t="s">
        <v>45</v>
      </c>
      <c r="F846" s="4" t="s">
        <v>30</v>
      </c>
      <c r="G846" s="6">
        <v>36600</v>
      </c>
      <c r="H846" s="5">
        <v>21</v>
      </c>
      <c r="I846" s="7">
        <v>38592</v>
      </c>
      <c r="J846" s="4" t="s">
        <v>31</v>
      </c>
      <c r="K846" s="5">
        <v>3</v>
      </c>
      <c r="L846" s="6">
        <v>12760.09</v>
      </c>
      <c r="M846" s="6">
        <v>0</v>
      </c>
      <c r="N846" s="5">
        <v>27</v>
      </c>
      <c r="O846" s="6">
        <v>56.95</v>
      </c>
      <c r="P846" s="5">
        <v>0</v>
      </c>
      <c r="Q846" s="6">
        <v>7500</v>
      </c>
      <c r="R846" s="6">
        <v>682.56</v>
      </c>
      <c r="S846" s="6">
        <v>0</v>
      </c>
      <c r="T846" s="6">
        <v>0</v>
      </c>
      <c r="U846" s="5">
        <v>701</v>
      </c>
      <c r="V846" s="5">
        <v>2</v>
      </c>
    </row>
    <row r="847" spans="1:22" x14ac:dyDescent="0.25">
      <c r="A847" s="4" t="s">
        <v>921</v>
      </c>
      <c r="B847" s="5">
        <v>37</v>
      </c>
      <c r="C847" s="4" t="s">
        <v>33</v>
      </c>
      <c r="D847" s="4" t="s">
        <v>37</v>
      </c>
      <c r="E847" s="4" t="s">
        <v>25</v>
      </c>
      <c r="F847" s="4" t="s">
        <v>30</v>
      </c>
      <c r="G847" s="6"/>
      <c r="H847" s="5">
        <v>10</v>
      </c>
      <c r="I847" s="7">
        <v>42507</v>
      </c>
      <c r="J847" s="4" t="s">
        <v>31</v>
      </c>
      <c r="K847" s="5">
        <v>4</v>
      </c>
      <c r="L847" s="6">
        <v>4902.8999999999996</v>
      </c>
      <c r="M847" s="6">
        <v>0</v>
      </c>
      <c r="N847" s="5">
        <v>36</v>
      </c>
      <c r="O847" s="6">
        <v>80.08</v>
      </c>
      <c r="P847" s="5">
        <v>2</v>
      </c>
      <c r="Q847" s="6">
        <v>0</v>
      </c>
      <c r="R847" s="6">
        <v>0</v>
      </c>
      <c r="S847" s="6">
        <v>104000</v>
      </c>
      <c r="T847" s="6">
        <v>516</v>
      </c>
      <c r="U847" s="5">
        <v>649</v>
      </c>
      <c r="V847" s="5">
        <v>0</v>
      </c>
    </row>
    <row r="848" spans="1:22" x14ac:dyDescent="0.25">
      <c r="A848" s="4" t="s">
        <v>922</v>
      </c>
      <c r="B848" s="5">
        <v>42</v>
      </c>
      <c r="C848" s="4" t="s">
        <v>23</v>
      </c>
      <c r="D848" s="4" t="s">
        <v>37</v>
      </c>
      <c r="E848" s="4" t="s">
        <v>63</v>
      </c>
      <c r="F848" s="4" t="s">
        <v>26</v>
      </c>
      <c r="G848" s="6">
        <v>16700</v>
      </c>
      <c r="H848" s="5">
        <v>4</v>
      </c>
      <c r="I848" s="7">
        <v>44773</v>
      </c>
      <c r="J848" s="4" t="s">
        <v>27</v>
      </c>
      <c r="K848" s="5">
        <v>4</v>
      </c>
      <c r="L848" s="6">
        <v>1068.74</v>
      </c>
      <c r="M848" s="6">
        <v>4555.34</v>
      </c>
      <c r="N848" s="5">
        <v>32</v>
      </c>
      <c r="O848" s="6">
        <v>32.340000000000003</v>
      </c>
      <c r="P848" s="5">
        <v>3</v>
      </c>
      <c r="Q848" s="6">
        <v>0</v>
      </c>
      <c r="R848" s="6">
        <v>0</v>
      </c>
      <c r="S848" s="6">
        <v>78000</v>
      </c>
      <c r="T848" s="6">
        <v>352</v>
      </c>
      <c r="U848" s="5">
        <v>614</v>
      </c>
      <c r="V848" s="5">
        <v>0</v>
      </c>
    </row>
    <row r="849" spans="1:22" x14ac:dyDescent="0.25">
      <c r="A849" s="4" t="s">
        <v>923</v>
      </c>
      <c r="B849" s="5">
        <v>32</v>
      </c>
      <c r="C849" s="4" t="s">
        <v>33</v>
      </c>
      <c r="D849" s="4" t="s">
        <v>128</v>
      </c>
      <c r="E849" s="4" t="s">
        <v>63</v>
      </c>
      <c r="F849" s="4" t="s">
        <v>30</v>
      </c>
      <c r="G849" s="6">
        <v>39700</v>
      </c>
      <c r="H849" s="5">
        <v>2</v>
      </c>
      <c r="I849" s="7">
        <v>45521</v>
      </c>
      <c r="J849" s="4" t="s">
        <v>27</v>
      </c>
      <c r="K849" s="5">
        <v>2</v>
      </c>
      <c r="L849" s="6">
        <v>1770.12</v>
      </c>
      <c r="M849" s="6">
        <v>20141.82</v>
      </c>
      <c r="N849" s="5">
        <v>42</v>
      </c>
      <c r="O849" s="6">
        <v>64</v>
      </c>
      <c r="P849" s="5">
        <v>4</v>
      </c>
      <c r="Q849" s="6">
        <v>4000</v>
      </c>
      <c r="R849" s="6">
        <v>233.56</v>
      </c>
      <c r="S849" s="6">
        <v>144000</v>
      </c>
      <c r="T849" s="6">
        <v>840</v>
      </c>
      <c r="U849" s="5">
        <v>616</v>
      </c>
      <c r="V849" s="5">
        <v>0</v>
      </c>
    </row>
    <row r="850" spans="1:22" x14ac:dyDescent="0.25">
      <c r="A850" s="4" t="s">
        <v>924</v>
      </c>
      <c r="B850" s="5">
        <v>53</v>
      </c>
      <c r="C850" s="4" t="s">
        <v>33</v>
      </c>
      <c r="D850" s="4" t="s">
        <v>59</v>
      </c>
      <c r="E850" s="4" t="s">
        <v>25</v>
      </c>
      <c r="F850" s="4" t="s">
        <v>26</v>
      </c>
      <c r="G850" s="6">
        <v>79000</v>
      </c>
      <c r="H850" s="5">
        <v>7</v>
      </c>
      <c r="I850" s="7">
        <v>43431</v>
      </c>
      <c r="J850" s="4" t="s">
        <v>31</v>
      </c>
      <c r="K850" s="5">
        <v>2</v>
      </c>
      <c r="L850" s="6">
        <v>2941.22</v>
      </c>
      <c r="M850" s="6">
        <v>0</v>
      </c>
      <c r="N850" s="5">
        <v>30</v>
      </c>
      <c r="O850" s="6">
        <v>78.27</v>
      </c>
      <c r="P850" s="5">
        <v>1</v>
      </c>
      <c r="Q850" s="6">
        <v>9500</v>
      </c>
      <c r="R850" s="6">
        <v>3677.07</v>
      </c>
      <c r="S850" s="6">
        <v>195000</v>
      </c>
      <c r="T850" s="6">
        <v>1272</v>
      </c>
      <c r="U850" s="5">
        <v>616</v>
      </c>
      <c r="V850" s="5">
        <v>0</v>
      </c>
    </row>
    <row r="851" spans="1:22" x14ac:dyDescent="0.25">
      <c r="A851" s="4" t="s">
        <v>925</v>
      </c>
      <c r="B851" s="5">
        <v>53</v>
      </c>
      <c r="C851" s="4" t="s">
        <v>23</v>
      </c>
      <c r="D851" s="4" t="s">
        <v>59</v>
      </c>
      <c r="E851" s="4" t="s">
        <v>25</v>
      </c>
      <c r="F851" s="4" t="s">
        <v>30</v>
      </c>
      <c r="G851" s="6">
        <v>39600</v>
      </c>
      <c r="H851" s="5">
        <v>15</v>
      </c>
      <c r="I851" s="7">
        <v>40652</v>
      </c>
      <c r="J851" s="4" t="s">
        <v>31</v>
      </c>
      <c r="K851" s="5">
        <v>2</v>
      </c>
      <c r="L851" s="6">
        <v>4077.6</v>
      </c>
      <c r="M851" s="6">
        <v>0</v>
      </c>
      <c r="N851" s="5">
        <v>34</v>
      </c>
      <c r="O851" s="6">
        <v>74.36</v>
      </c>
      <c r="P851" s="5">
        <v>1</v>
      </c>
      <c r="Q851" s="6">
        <v>0</v>
      </c>
      <c r="R851" s="6">
        <v>0</v>
      </c>
      <c r="S851" s="6">
        <v>94000</v>
      </c>
      <c r="T851" s="6">
        <v>430</v>
      </c>
      <c r="U851" s="5">
        <v>700</v>
      </c>
      <c r="V851" s="5">
        <v>0</v>
      </c>
    </row>
    <row r="852" spans="1:22" x14ac:dyDescent="0.25">
      <c r="A852" s="4" t="s">
        <v>926</v>
      </c>
      <c r="B852" s="5">
        <v>55</v>
      </c>
      <c r="C852" s="4" t="s">
        <v>33</v>
      </c>
      <c r="D852" s="4" t="s">
        <v>57</v>
      </c>
      <c r="E852" s="4" t="s">
        <v>63</v>
      </c>
      <c r="F852" s="4" t="s">
        <v>30</v>
      </c>
      <c r="G852" s="6">
        <v>48000</v>
      </c>
      <c r="H852" s="5">
        <v>13</v>
      </c>
      <c r="I852" s="7">
        <v>41188</v>
      </c>
      <c r="J852" s="4" t="s">
        <v>27</v>
      </c>
      <c r="K852" s="5">
        <v>3</v>
      </c>
      <c r="L852" s="6">
        <v>1436.44</v>
      </c>
      <c r="M852" s="6">
        <v>0</v>
      </c>
      <c r="N852" s="5">
        <v>32</v>
      </c>
      <c r="O852" s="6">
        <v>68.260000000000005</v>
      </c>
      <c r="P852" s="5">
        <v>1</v>
      </c>
      <c r="Q852" s="6">
        <v>0</v>
      </c>
      <c r="R852" s="6">
        <v>0</v>
      </c>
      <c r="S852" s="6">
        <v>0</v>
      </c>
      <c r="T852" s="6">
        <v>0</v>
      </c>
      <c r="U852" s="5">
        <v>699</v>
      </c>
      <c r="V852" s="5">
        <v>1</v>
      </c>
    </row>
    <row r="853" spans="1:22" x14ac:dyDescent="0.25">
      <c r="A853" s="4" t="s">
        <v>927</v>
      </c>
      <c r="B853" s="5">
        <v>41</v>
      </c>
      <c r="C853" s="4" t="s">
        <v>33</v>
      </c>
      <c r="D853" s="4" t="s">
        <v>24</v>
      </c>
      <c r="E853" s="4" t="s">
        <v>45</v>
      </c>
      <c r="F853" s="4" t="s">
        <v>30</v>
      </c>
      <c r="G853" s="6">
        <v>22800</v>
      </c>
      <c r="H853" s="5">
        <v>10</v>
      </c>
      <c r="I853" s="7">
        <v>42369</v>
      </c>
      <c r="J853" s="4" t="s">
        <v>27</v>
      </c>
      <c r="K853" s="5">
        <v>3</v>
      </c>
      <c r="L853" s="6">
        <v>4040.02</v>
      </c>
      <c r="M853" s="6">
        <v>16319.52</v>
      </c>
      <c r="N853" s="5">
        <v>27</v>
      </c>
      <c r="O853" s="6">
        <v>39.14</v>
      </c>
      <c r="P853" s="5">
        <v>2</v>
      </c>
      <c r="Q853" s="6">
        <v>4500</v>
      </c>
      <c r="R853" s="6">
        <v>23.18</v>
      </c>
      <c r="S853" s="6">
        <v>82000</v>
      </c>
      <c r="T853" s="6">
        <v>520</v>
      </c>
      <c r="U853" s="5">
        <v>655</v>
      </c>
      <c r="V853" s="5">
        <v>0</v>
      </c>
    </row>
    <row r="854" spans="1:22" x14ac:dyDescent="0.25">
      <c r="A854" s="4" t="s">
        <v>928</v>
      </c>
      <c r="B854" s="5">
        <v>59</v>
      </c>
      <c r="C854" s="4" t="s">
        <v>23</v>
      </c>
      <c r="D854" s="4" t="s">
        <v>24</v>
      </c>
      <c r="E854" s="4" t="s">
        <v>63</v>
      </c>
      <c r="F854" s="4" t="s">
        <v>30</v>
      </c>
      <c r="G854" s="6">
        <v>27200</v>
      </c>
      <c r="H854" s="5">
        <v>15</v>
      </c>
      <c r="I854" s="7">
        <v>40674</v>
      </c>
      <c r="J854" s="4" t="s">
        <v>39</v>
      </c>
      <c r="K854" s="5">
        <v>3</v>
      </c>
      <c r="L854" s="6">
        <v>522.79</v>
      </c>
      <c r="M854" s="6">
        <v>38039.1</v>
      </c>
      <c r="N854" s="5">
        <v>20</v>
      </c>
      <c r="O854" s="6">
        <v>32.61</v>
      </c>
      <c r="P854" s="5">
        <v>4</v>
      </c>
      <c r="Q854" s="6">
        <v>3000</v>
      </c>
      <c r="R854" s="6">
        <v>1054.0899999999999</v>
      </c>
      <c r="S854" s="6">
        <v>114000</v>
      </c>
      <c r="T854" s="6">
        <v>586</v>
      </c>
      <c r="U854" s="5">
        <v>603</v>
      </c>
      <c r="V854" s="5">
        <v>1</v>
      </c>
    </row>
    <row r="855" spans="1:22" x14ac:dyDescent="0.25">
      <c r="A855" s="4" t="s">
        <v>929</v>
      </c>
      <c r="B855" s="5">
        <v>30</v>
      </c>
      <c r="C855" s="4" t="s">
        <v>23</v>
      </c>
      <c r="D855" s="4" t="s">
        <v>134</v>
      </c>
      <c r="E855" s="4" t="s">
        <v>90</v>
      </c>
      <c r="F855" s="4" t="s">
        <v>30</v>
      </c>
      <c r="G855" s="6">
        <v>71100</v>
      </c>
      <c r="H855" s="5">
        <v>2</v>
      </c>
      <c r="I855" s="7">
        <v>45497</v>
      </c>
      <c r="J855" s="4" t="s">
        <v>39</v>
      </c>
      <c r="K855" s="5">
        <v>4</v>
      </c>
      <c r="L855" s="6">
        <v>5932.64</v>
      </c>
      <c r="M855" s="6">
        <v>25096.94</v>
      </c>
      <c r="N855" s="5">
        <v>48</v>
      </c>
      <c r="O855" s="6">
        <v>125.56</v>
      </c>
      <c r="P855" s="5">
        <v>5</v>
      </c>
      <c r="Q855" s="6">
        <v>9500</v>
      </c>
      <c r="R855" s="6">
        <v>591.95000000000005</v>
      </c>
      <c r="S855" s="6">
        <v>0</v>
      </c>
      <c r="T855" s="6">
        <v>0</v>
      </c>
      <c r="U855" s="5">
        <v>655</v>
      </c>
      <c r="V855" s="5">
        <v>1</v>
      </c>
    </row>
    <row r="856" spans="1:22" x14ac:dyDescent="0.25">
      <c r="A856" s="4" t="s">
        <v>930</v>
      </c>
      <c r="B856" s="5">
        <v>28</v>
      </c>
      <c r="C856" s="4" t="s">
        <v>23</v>
      </c>
      <c r="D856" s="4" t="s">
        <v>34</v>
      </c>
      <c r="E856" s="4" t="s">
        <v>95</v>
      </c>
      <c r="F856" s="4" t="s">
        <v>48</v>
      </c>
      <c r="G856" s="6">
        <v>29200</v>
      </c>
      <c r="H856" s="5">
        <v>2</v>
      </c>
      <c r="I856" s="7">
        <v>45370</v>
      </c>
      <c r="J856" s="4" t="s">
        <v>27</v>
      </c>
      <c r="K856" s="5">
        <v>2</v>
      </c>
      <c r="L856" s="6">
        <v>3242.3</v>
      </c>
      <c r="M856" s="6">
        <v>10489.42</v>
      </c>
      <c r="N856" s="5">
        <v>37</v>
      </c>
      <c r="O856" s="6">
        <v>130.61000000000001</v>
      </c>
      <c r="P856" s="5">
        <v>3</v>
      </c>
      <c r="Q856" s="6">
        <v>3000</v>
      </c>
      <c r="R856" s="6">
        <v>783.53</v>
      </c>
      <c r="S856" s="6">
        <v>0</v>
      </c>
      <c r="T856" s="6">
        <v>0</v>
      </c>
      <c r="U856" s="5">
        <v>635</v>
      </c>
      <c r="V856" s="5">
        <v>2</v>
      </c>
    </row>
    <row r="857" spans="1:22" x14ac:dyDescent="0.25">
      <c r="A857" s="4" t="s">
        <v>931</v>
      </c>
      <c r="B857" s="5">
        <v>33</v>
      </c>
      <c r="C857" s="4" t="s">
        <v>23</v>
      </c>
      <c r="D857" s="4" t="s">
        <v>70</v>
      </c>
      <c r="E857" s="4" t="s">
        <v>45</v>
      </c>
      <c r="F857" s="4" t="s">
        <v>30</v>
      </c>
      <c r="G857" s="6">
        <v>21000</v>
      </c>
      <c r="H857" s="5">
        <v>8</v>
      </c>
      <c r="I857" s="7">
        <v>43040</v>
      </c>
      <c r="J857" s="4" t="s">
        <v>31</v>
      </c>
      <c r="K857" s="5">
        <v>3</v>
      </c>
      <c r="L857" s="6">
        <v>1651.3</v>
      </c>
      <c r="M857" s="6">
        <v>11674.05</v>
      </c>
      <c r="N857" s="5">
        <v>29</v>
      </c>
      <c r="O857" s="6">
        <v>47.97</v>
      </c>
      <c r="P857" s="5">
        <v>1</v>
      </c>
      <c r="Q857" s="6">
        <v>0</v>
      </c>
      <c r="R857" s="6">
        <v>0</v>
      </c>
      <c r="S857" s="6">
        <v>80000</v>
      </c>
      <c r="T857" s="6">
        <v>417</v>
      </c>
      <c r="U857" s="5">
        <v>611</v>
      </c>
      <c r="V857" s="5">
        <v>1</v>
      </c>
    </row>
    <row r="858" spans="1:22" x14ac:dyDescent="0.25">
      <c r="A858" s="4" t="s">
        <v>932</v>
      </c>
      <c r="B858" s="5">
        <v>48</v>
      </c>
      <c r="C858" s="4" t="s">
        <v>33</v>
      </c>
      <c r="D858" s="4" t="s">
        <v>34</v>
      </c>
      <c r="E858" s="4" t="s">
        <v>45</v>
      </c>
      <c r="F858" s="4" t="s">
        <v>48</v>
      </c>
      <c r="G858" s="6">
        <v>19500</v>
      </c>
      <c r="H858" s="5">
        <v>10</v>
      </c>
      <c r="I858" s="7">
        <v>42494</v>
      </c>
      <c r="J858" s="4" t="s">
        <v>39</v>
      </c>
      <c r="K858" s="5">
        <v>2</v>
      </c>
      <c r="L858" s="6">
        <v>1737.46</v>
      </c>
      <c r="M858" s="6">
        <v>11575.61</v>
      </c>
      <c r="N858" s="5">
        <v>16</v>
      </c>
      <c r="O858" s="6">
        <v>37.409999999999997</v>
      </c>
      <c r="P858" s="5">
        <v>5</v>
      </c>
      <c r="Q858" s="6">
        <v>2500</v>
      </c>
      <c r="R858" s="6">
        <v>458.45</v>
      </c>
      <c r="S858" s="6">
        <v>0</v>
      </c>
      <c r="T858" s="6">
        <v>0</v>
      </c>
      <c r="U858" s="5">
        <v>673</v>
      </c>
      <c r="V858" s="5">
        <v>0</v>
      </c>
    </row>
    <row r="859" spans="1:22" x14ac:dyDescent="0.25">
      <c r="A859" s="4" t="s">
        <v>933</v>
      </c>
      <c r="B859" s="5">
        <v>41</v>
      </c>
      <c r="C859" s="4" t="s">
        <v>33</v>
      </c>
      <c r="D859" s="4" t="s">
        <v>44</v>
      </c>
      <c r="E859" s="4" t="s">
        <v>42</v>
      </c>
      <c r="F859" s="4" t="s">
        <v>30</v>
      </c>
      <c r="G859" s="6">
        <v>62400</v>
      </c>
      <c r="H859" s="5">
        <v>4</v>
      </c>
      <c r="I859" s="7">
        <v>44724</v>
      </c>
      <c r="J859" s="4" t="s">
        <v>31</v>
      </c>
      <c r="K859" s="5">
        <v>4</v>
      </c>
      <c r="L859" s="6">
        <v>5592.79</v>
      </c>
      <c r="M859" s="6">
        <v>12610.37</v>
      </c>
      <c r="N859" s="5">
        <v>34</v>
      </c>
      <c r="O859" s="6">
        <v>63.59</v>
      </c>
      <c r="P859" s="5">
        <v>0</v>
      </c>
      <c r="Q859" s="6">
        <v>10500</v>
      </c>
      <c r="R859" s="6">
        <v>3492.3</v>
      </c>
      <c r="S859" s="6">
        <v>0</v>
      </c>
      <c r="T859" s="6">
        <v>0</v>
      </c>
      <c r="U859" s="5">
        <v>616</v>
      </c>
      <c r="V859" s="5">
        <v>0</v>
      </c>
    </row>
    <row r="860" spans="1:22" x14ac:dyDescent="0.25">
      <c r="A860" s="4" t="s">
        <v>934</v>
      </c>
      <c r="B860" s="5">
        <v>18</v>
      </c>
      <c r="C860" s="4" t="s">
        <v>23</v>
      </c>
      <c r="D860" s="4" t="s">
        <v>134</v>
      </c>
      <c r="E860" s="4" t="s">
        <v>117</v>
      </c>
      <c r="F860" s="4" t="s">
        <v>26</v>
      </c>
      <c r="G860" s="6">
        <v>12700</v>
      </c>
      <c r="H860" s="5">
        <v>0</v>
      </c>
      <c r="I860" s="7">
        <v>46242</v>
      </c>
      <c r="J860" s="4" t="s">
        <v>31</v>
      </c>
      <c r="K860" s="5">
        <v>1</v>
      </c>
      <c r="L860" s="6">
        <v>3602.45</v>
      </c>
      <c r="M860" s="6">
        <v>2426.38</v>
      </c>
      <c r="N860" s="5">
        <v>28</v>
      </c>
      <c r="O860" s="6">
        <v>48.42</v>
      </c>
      <c r="P860" s="5">
        <v>3</v>
      </c>
      <c r="Q860" s="6">
        <v>2000</v>
      </c>
      <c r="R860" s="6">
        <v>115.38</v>
      </c>
      <c r="S860" s="6">
        <v>0</v>
      </c>
      <c r="T860" s="6">
        <v>0</v>
      </c>
      <c r="U860" s="5">
        <v>526</v>
      </c>
      <c r="V860" s="5">
        <v>1</v>
      </c>
    </row>
    <row r="861" spans="1:22" x14ac:dyDescent="0.25">
      <c r="A861" s="4" t="s">
        <v>935</v>
      </c>
      <c r="B861" s="5">
        <v>59</v>
      </c>
      <c r="C861" s="4" t="s">
        <v>23</v>
      </c>
      <c r="D861" s="4" t="s">
        <v>34</v>
      </c>
      <c r="E861" s="4" t="s">
        <v>35</v>
      </c>
      <c r="F861" s="4" t="s">
        <v>30</v>
      </c>
      <c r="G861" s="6">
        <v>41100</v>
      </c>
      <c r="H861" s="5">
        <v>27</v>
      </c>
      <c r="I861" s="7">
        <v>36200</v>
      </c>
      <c r="J861" s="4" t="s">
        <v>39</v>
      </c>
      <c r="K861" s="5">
        <v>4</v>
      </c>
      <c r="L861" s="6">
        <v>8940.75</v>
      </c>
      <c r="M861" s="6">
        <v>75234.460000000006</v>
      </c>
      <c r="N861" s="5">
        <v>22</v>
      </c>
      <c r="O861" s="6">
        <v>89.88</v>
      </c>
      <c r="P861" s="5">
        <v>2</v>
      </c>
      <c r="Q861" s="6">
        <v>7500</v>
      </c>
      <c r="R861" s="6">
        <v>1500.03</v>
      </c>
      <c r="S861" s="6">
        <v>0</v>
      </c>
      <c r="T861" s="6">
        <v>0</v>
      </c>
      <c r="U861" s="5">
        <v>750</v>
      </c>
      <c r="V861" s="5">
        <v>0</v>
      </c>
    </row>
    <row r="862" spans="1:22" x14ac:dyDescent="0.25">
      <c r="A862" s="4" t="s">
        <v>936</v>
      </c>
      <c r="B862" s="5">
        <v>60</v>
      </c>
      <c r="C862" s="4" t="s">
        <v>33</v>
      </c>
      <c r="D862" s="4" t="s">
        <v>57</v>
      </c>
      <c r="E862" s="4" t="s">
        <v>67</v>
      </c>
      <c r="F862" s="4" t="s">
        <v>30</v>
      </c>
      <c r="G862" s="6">
        <v>5300</v>
      </c>
      <c r="H862" s="5">
        <v>13</v>
      </c>
      <c r="I862" s="7">
        <v>41368</v>
      </c>
      <c r="J862" s="4" t="s">
        <v>39</v>
      </c>
      <c r="K862" s="5">
        <v>1</v>
      </c>
      <c r="L862" s="6">
        <v>655.85</v>
      </c>
      <c r="M862" s="6">
        <v>3700.04</v>
      </c>
      <c r="N862" s="5">
        <v>12</v>
      </c>
      <c r="O862" s="6">
        <v>31.92</v>
      </c>
      <c r="P862" s="5">
        <v>2</v>
      </c>
      <c r="Q862" s="6">
        <v>1500</v>
      </c>
      <c r="R862" s="6">
        <v>1210.46</v>
      </c>
      <c r="S862" s="6">
        <v>0</v>
      </c>
      <c r="T862" s="6">
        <v>0</v>
      </c>
      <c r="U862" s="5">
        <v>678</v>
      </c>
      <c r="V862" s="5">
        <v>0</v>
      </c>
    </row>
    <row r="863" spans="1:22" x14ac:dyDescent="0.25">
      <c r="A863" s="4" t="s">
        <v>937</v>
      </c>
      <c r="B863" s="5">
        <v>54</v>
      </c>
      <c r="C863" s="4" t="s">
        <v>33</v>
      </c>
      <c r="D863" s="4" t="s">
        <v>29</v>
      </c>
      <c r="E863" s="4" t="s">
        <v>25</v>
      </c>
      <c r="F863" s="4" t="s">
        <v>30</v>
      </c>
      <c r="G863" s="6">
        <v>26500</v>
      </c>
      <c r="H863" s="5">
        <v>4</v>
      </c>
      <c r="I863" s="7">
        <v>44683</v>
      </c>
      <c r="J863" s="4" t="s">
        <v>31</v>
      </c>
      <c r="K863" s="5">
        <v>1</v>
      </c>
      <c r="L863" s="6">
        <v>1508.24</v>
      </c>
      <c r="M863" s="6">
        <v>10836.2</v>
      </c>
      <c r="N863" s="5">
        <v>36</v>
      </c>
      <c r="O863" s="6">
        <v>56.72</v>
      </c>
      <c r="P863" s="5">
        <v>0</v>
      </c>
      <c r="Q863" s="6">
        <v>0</v>
      </c>
      <c r="R863" s="6">
        <v>0</v>
      </c>
      <c r="S863" s="6">
        <v>0</v>
      </c>
      <c r="T863" s="6">
        <v>0</v>
      </c>
      <c r="U863" s="5">
        <v>727</v>
      </c>
      <c r="V863" s="5">
        <v>0</v>
      </c>
    </row>
    <row r="864" spans="1:22" x14ac:dyDescent="0.25">
      <c r="A864" s="4" t="s">
        <v>938</v>
      </c>
      <c r="B864" s="5">
        <v>21</v>
      </c>
      <c r="C864" s="4" t="s">
        <v>23</v>
      </c>
      <c r="D864" s="4" t="s">
        <v>62</v>
      </c>
      <c r="E864" s="4" t="s">
        <v>25</v>
      </c>
      <c r="F864" s="4" t="s">
        <v>26</v>
      </c>
      <c r="G864" s="6">
        <v>23400</v>
      </c>
      <c r="H864" s="5">
        <v>0</v>
      </c>
      <c r="I864" s="7">
        <v>46250</v>
      </c>
      <c r="J864" s="4" t="s">
        <v>31</v>
      </c>
      <c r="K864" s="5">
        <v>1</v>
      </c>
      <c r="L864" s="6">
        <v>3523.12</v>
      </c>
      <c r="M864" s="6">
        <v>6611.76</v>
      </c>
      <c r="N864" s="5">
        <v>31</v>
      </c>
      <c r="O864" s="6">
        <v>38.97</v>
      </c>
      <c r="P864" s="5">
        <v>2</v>
      </c>
      <c r="Q864" s="6">
        <v>4000</v>
      </c>
      <c r="R864" s="6">
        <v>343.08</v>
      </c>
      <c r="S864" s="6">
        <v>0</v>
      </c>
      <c r="T864" s="6">
        <v>0</v>
      </c>
      <c r="U864" s="5">
        <v>546</v>
      </c>
      <c r="V864" s="5">
        <v>0</v>
      </c>
    </row>
    <row r="865" spans="1:22" x14ac:dyDescent="0.25">
      <c r="A865" s="4" t="s">
        <v>939</v>
      </c>
      <c r="B865" s="5">
        <v>53</v>
      </c>
      <c r="C865" s="4" t="s">
        <v>33</v>
      </c>
      <c r="D865" s="4" t="s">
        <v>24</v>
      </c>
      <c r="E865" s="4" t="s">
        <v>25</v>
      </c>
      <c r="F865" s="4" t="s">
        <v>30</v>
      </c>
      <c r="G865" s="6">
        <v>24300</v>
      </c>
      <c r="H865" s="5">
        <v>18</v>
      </c>
      <c r="I865" s="7">
        <v>39696</v>
      </c>
      <c r="J865" s="4" t="s">
        <v>31</v>
      </c>
      <c r="K865" s="5">
        <v>4</v>
      </c>
      <c r="L865" s="6">
        <v>3621.41</v>
      </c>
      <c r="M865" s="6">
        <v>0</v>
      </c>
      <c r="N865" s="5">
        <v>24</v>
      </c>
      <c r="O865" s="6">
        <v>41.48</v>
      </c>
      <c r="P865" s="5">
        <v>0</v>
      </c>
      <c r="Q865" s="6">
        <v>0</v>
      </c>
      <c r="R865" s="6">
        <v>0</v>
      </c>
      <c r="S865" s="6">
        <v>0</v>
      </c>
      <c r="T865" s="6">
        <v>0</v>
      </c>
      <c r="U865" s="5">
        <v>587</v>
      </c>
      <c r="V865" s="5">
        <v>0</v>
      </c>
    </row>
    <row r="866" spans="1:22" x14ac:dyDescent="0.25">
      <c r="A866" s="4" t="s">
        <v>940</v>
      </c>
      <c r="B866" s="5">
        <v>45</v>
      </c>
      <c r="C866" s="4" t="s">
        <v>33</v>
      </c>
      <c r="D866" s="4" t="s">
        <v>37</v>
      </c>
      <c r="E866" s="4" t="s">
        <v>45</v>
      </c>
      <c r="F866" s="4" t="s">
        <v>26</v>
      </c>
      <c r="G866" s="6">
        <v>16000</v>
      </c>
      <c r="H866" s="5">
        <v>6</v>
      </c>
      <c r="I866" s="7">
        <v>43785</v>
      </c>
      <c r="J866" s="4" t="s">
        <v>39</v>
      </c>
      <c r="K866" s="5">
        <v>1</v>
      </c>
      <c r="L866" s="6">
        <v>2202.25</v>
      </c>
      <c r="M866" s="6">
        <v>15319.07</v>
      </c>
      <c r="N866" s="5">
        <v>16</v>
      </c>
      <c r="O866" s="6">
        <v>65.36</v>
      </c>
      <c r="P866" s="5">
        <v>5</v>
      </c>
      <c r="Q866" s="6">
        <v>0</v>
      </c>
      <c r="R866" s="6">
        <v>0</v>
      </c>
      <c r="S866" s="6">
        <v>59000</v>
      </c>
      <c r="T866" s="6">
        <v>411</v>
      </c>
      <c r="U866" s="5">
        <v>608</v>
      </c>
      <c r="V866" s="5">
        <v>0</v>
      </c>
    </row>
    <row r="867" spans="1:22" x14ac:dyDescent="0.25">
      <c r="A867" s="4" t="s">
        <v>941</v>
      </c>
      <c r="B867" s="5">
        <v>30</v>
      </c>
      <c r="C867" s="4" t="s">
        <v>33</v>
      </c>
      <c r="D867" s="4" t="s">
        <v>72</v>
      </c>
      <c r="E867" s="4" t="s">
        <v>63</v>
      </c>
      <c r="F867" s="4" t="s">
        <v>30</v>
      </c>
      <c r="G867" s="6">
        <v>31600</v>
      </c>
      <c r="H867" s="5">
        <v>1</v>
      </c>
      <c r="I867" s="7">
        <v>45559</v>
      </c>
      <c r="J867" s="4" t="s">
        <v>27</v>
      </c>
      <c r="K867" s="5">
        <v>1</v>
      </c>
      <c r="L867" s="6">
        <v>1191.79</v>
      </c>
      <c r="M867" s="6">
        <v>0</v>
      </c>
      <c r="N867" s="5">
        <v>30</v>
      </c>
      <c r="O867" s="6">
        <v>41.01</v>
      </c>
      <c r="P867" s="5">
        <v>6</v>
      </c>
      <c r="Q867" s="6">
        <v>4000</v>
      </c>
      <c r="R867" s="6">
        <v>1133.83</v>
      </c>
      <c r="S867" s="6">
        <v>0</v>
      </c>
      <c r="T867" s="6">
        <v>0</v>
      </c>
      <c r="U867" s="5">
        <v>614</v>
      </c>
      <c r="V867" s="5">
        <v>0</v>
      </c>
    </row>
    <row r="868" spans="1:22" x14ac:dyDescent="0.25">
      <c r="A868" s="4" t="s">
        <v>942</v>
      </c>
      <c r="B868" s="5">
        <v>51</v>
      </c>
      <c r="C868" s="4" t="s">
        <v>33</v>
      </c>
      <c r="D868" s="4" t="s">
        <v>72</v>
      </c>
      <c r="E868" s="4" t="s">
        <v>25</v>
      </c>
      <c r="F868" s="4" t="s">
        <v>30</v>
      </c>
      <c r="G868" s="6">
        <v>38500</v>
      </c>
      <c r="H868" s="5">
        <v>6</v>
      </c>
      <c r="I868" s="7">
        <v>43883</v>
      </c>
      <c r="J868" s="4" t="s">
        <v>27</v>
      </c>
      <c r="K868" s="5">
        <v>2</v>
      </c>
      <c r="L868" s="6">
        <v>7600.25</v>
      </c>
      <c r="M868" s="6">
        <v>30068.85</v>
      </c>
      <c r="N868" s="5">
        <v>27</v>
      </c>
      <c r="O868" s="6">
        <v>86</v>
      </c>
      <c r="P868" s="5">
        <v>2</v>
      </c>
      <c r="Q868" s="6">
        <v>0</v>
      </c>
      <c r="R868" s="6">
        <v>0</v>
      </c>
      <c r="S868" s="6">
        <v>155000</v>
      </c>
      <c r="T868" s="6">
        <v>1029</v>
      </c>
      <c r="U868" s="5">
        <v>647</v>
      </c>
      <c r="V868" s="5">
        <v>0</v>
      </c>
    </row>
    <row r="869" spans="1:22" x14ac:dyDescent="0.25">
      <c r="A869" s="4" t="s">
        <v>943</v>
      </c>
      <c r="B869" s="5">
        <v>59</v>
      </c>
      <c r="C869" s="4" t="s">
        <v>23</v>
      </c>
      <c r="D869" s="4" t="s">
        <v>59</v>
      </c>
      <c r="E869" s="4" t="s">
        <v>25</v>
      </c>
      <c r="F869" s="4" t="s">
        <v>30</v>
      </c>
      <c r="G869" s="6">
        <v>26000</v>
      </c>
      <c r="H869" s="5">
        <v>32</v>
      </c>
      <c r="I869" s="7">
        <v>34375</v>
      </c>
      <c r="J869" s="4" t="s">
        <v>31</v>
      </c>
      <c r="K869" s="5">
        <v>2</v>
      </c>
      <c r="L869" s="6">
        <v>1202.44</v>
      </c>
      <c r="M869" s="6">
        <v>37603.21</v>
      </c>
      <c r="N869" s="5">
        <v>32</v>
      </c>
      <c r="O869" s="6">
        <v>69.650000000000006</v>
      </c>
      <c r="P869" s="5">
        <v>1</v>
      </c>
      <c r="Q869" s="6">
        <v>6000</v>
      </c>
      <c r="R869" s="6">
        <v>1217.93</v>
      </c>
      <c r="S869" s="6">
        <v>51000</v>
      </c>
      <c r="T869" s="6">
        <v>342</v>
      </c>
      <c r="U869" s="5">
        <v>703</v>
      </c>
      <c r="V869" s="5">
        <v>0</v>
      </c>
    </row>
    <row r="870" spans="1:22" x14ac:dyDescent="0.25">
      <c r="A870" s="4" t="s">
        <v>944</v>
      </c>
      <c r="B870" s="5">
        <v>62</v>
      </c>
      <c r="C870" s="4" t="s">
        <v>23</v>
      </c>
      <c r="D870" s="4" t="s">
        <v>134</v>
      </c>
      <c r="E870" s="4" t="s">
        <v>25</v>
      </c>
      <c r="F870" s="4" t="s">
        <v>38</v>
      </c>
      <c r="G870" s="6">
        <v>35700</v>
      </c>
      <c r="H870" s="5">
        <v>8</v>
      </c>
      <c r="I870" s="7">
        <v>43134</v>
      </c>
      <c r="J870" s="4" t="s">
        <v>27</v>
      </c>
      <c r="K870" s="5">
        <v>1</v>
      </c>
      <c r="L870" s="6">
        <v>889.73</v>
      </c>
      <c r="M870" s="6">
        <v>47232.83</v>
      </c>
      <c r="N870" s="5">
        <v>21</v>
      </c>
      <c r="O870" s="6">
        <v>30.87</v>
      </c>
      <c r="P870" s="5">
        <v>4</v>
      </c>
      <c r="Q870" s="6">
        <v>7500</v>
      </c>
      <c r="R870" s="6">
        <v>1236.54</v>
      </c>
      <c r="S870" s="6">
        <v>0</v>
      </c>
      <c r="T870" s="6">
        <v>0</v>
      </c>
      <c r="U870" s="5">
        <v>562</v>
      </c>
      <c r="V870" s="5">
        <v>2</v>
      </c>
    </row>
    <row r="871" spans="1:22" x14ac:dyDescent="0.25">
      <c r="A871" s="4" t="s">
        <v>945</v>
      </c>
      <c r="B871" s="5">
        <v>69</v>
      </c>
      <c r="C871" s="4" t="s">
        <v>23</v>
      </c>
      <c r="D871" s="4" t="s">
        <v>29</v>
      </c>
      <c r="E871" s="4" t="s">
        <v>95</v>
      </c>
      <c r="F871" s="4" t="s">
        <v>38</v>
      </c>
      <c r="G871" s="6">
        <v>21800</v>
      </c>
      <c r="H871" s="5">
        <v>9</v>
      </c>
      <c r="I871" s="7">
        <v>42984</v>
      </c>
      <c r="J871" s="4" t="s">
        <v>39</v>
      </c>
      <c r="K871" s="5">
        <v>1</v>
      </c>
      <c r="L871" s="6">
        <v>4938.01</v>
      </c>
      <c r="M871" s="6">
        <v>17958.580000000002</v>
      </c>
      <c r="N871" s="5">
        <v>17</v>
      </c>
      <c r="O871" s="6">
        <v>62.41</v>
      </c>
      <c r="P871" s="5">
        <v>3</v>
      </c>
      <c r="Q871" s="6">
        <v>2500</v>
      </c>
      <c r="R871" s="6">
        <v>259.61</v>
      </c>
      <c r="S871" s="6">
        <v>0</v>
      </c>
      <c r="T871" s="6">
        <v>0</v>
      </c>
      <c r="U871" s="5">
        <v>633</v>
      </c>
      <c r="V871" s="5">
        <v>0</v>
      </c>
    </row>
    <row r="872" spans="1:22" x14ac:dyDescent="0.25">
      <c r="A872" s="4" t="s">
        <v>946</v>
      </c>
      <c r="B872" s="5">
        <v>51</v>
      </c>
      <c r="C872" s="4" t="s">
        <v>33</v>
      </c>
      <c r="D872" s="4" t="s">
        <v>59</v>
      </c>
      <c r="E872" s="4" t="s">
        <v>35</v>
      </c>
      <c r="F872" s="4" t="s">
        <v>26</v>
      </c>
      <c r="G872" s="6">
        <v>61500</v>
      </c>
      <c r="H872" s="5">
        <v>4</v>
      </c>
      <c r="I872" s="7">
        <v>44795</v>
      </c>
      <c r="J872" s="4" t="s">
        <v>27</v>
      </c>
      <c r="K872" s="5">
        <v>1</v>
      </c>
      <c r="L872" s="6">
        <v>3907.99</v>
      </c>
      <c r="M872" s="6">
        <v>0</v>
      </c>
      <c r="N872" s="5">
        <v>33</v>
      </c>
      <c r="O872" s="6">
        <v>109.34</v>
      </c>
      <c r="P872" s="5">
        <v>3</v>
      </c>
      <c r="Q872" s="6">
        <v>7500</v>
      </c>
      <c r="R872" s="6">
        <v>2834.31</v>
      </c>
      <c r="S872" s="6">
        <v>0</v>
      </c>
      <c r="T872" s="6">
        <v>0</v>
      </c>
      <c r="U872" s="5">
        <v>656</v>
      </c>
      <c r="V872" s="5">
        <v>0</v>
      </c>
    </row>
    <row r="873" spans="1:22" x14ac:dyDescent="0.25">
      <c r="A873" s="4" t="s">
        <v>947</v>
      </c>
      <c r="B873" s="5">
        <v>60</v>
      </c>
      <c r="C873" s="4" t="s">
        <v>33</v>
      </c>
      <c r="D873" s="4" t="s">
        <v>59</v>
      </c>
      <c r="E873" s="4" t="s">
        <v>25</v>
      </c>
      <c r="F873" s="4" t="s">
        <v>30</v>
      </c>
      <c r="G873" s="6">
        <v>35600</v>
      </c>
      <c r="H873" s="5">
        <v>11</v>
      </c>
      <c r="I873" s="7">
        <v>42099</v>
      </c>
      <c r="J873" s="4" t="s">
        <v>27</v>
      </c>
      <c r="K873" s="5">
        <v>3</v>
      </c>
      <c r="L873" s="6">
        <v>4061.81</v>
      </c>
      <c r="M873" s="6">
        <v>20786.080000000002</v>
      </c>
      <c r="N873" s="5">
        <v>34</v>
      </c>
      <c r="O873" s="6">
        <v>27.15</v>
      </c>
      <c r="P873" s="5">
        <v>2</v>
      </c>
      <c r="Q873" s="6">
        <v>5000</v>
      </c>
      <c r="R873" s="6">
        <v>1438.46</v>
      </c>
      <c r="S873" s="6">
        <v>0</v>
      </c>
      <c r="T873" s="6">
        <v>0</v>
      </c>
      <c r="U873" s="5">
        <v>636</v>
      </c>
      <c r="V873" s="5">
        <v>0</v>
      </c>
    </row>
    <row r="874" spans="1:22" x14ac:dyDescent="0.25">
      <c r="A874" s="4" t="s">
        <v>948</v>
      </c>
      <c r="B874" s="5">
        <v>46</v>
      </c>
      <c r="C874" s="4" t="s">
        <v>23</v>
      </c>
      <c r="D874" s="4" t="s">
        <v>34</v>
      </c>
      <c r="E874" s="4" t="s">
        <v>35</v>
      </c>
      <c r="F874" s="4" t="s">
        <v>30</v>
      </c>
      <c r="G874" s="6">
        <v>57500</v>
      </c>
      <c r="H874" s="5">
        <v>4</v>
      </c>
      <c r="I874" s="7">
        <v>44589</v>
      </c>
      <c r="J874" s="4" t="s">
        <v>27</v>
      </c>
      <c r="K874" s="5">
        <v>2</v>
      </c>
      <c r="L874" s="6">
        <v>4584.75</v>
      </c>
      <c r="M874" s="6">
        <v>0</v>
      </c>
      <c r="N874" s="5">
        <v>25</v>
      </c>
      <c r="O874" s="6">
        <v>64.05</v>
      </c>
      <c r="P874" s="5">
        <v>3</v>
      </c>
      <c r="Q874" s="6">
        <v>8000</v>
      </c>
      <c r="R874" s="6">
        <v>2520.94</v>
      </c>
      <c r="S874" s="6">
        <v>0</v>
      </c>
      <c r="T874" s="6">
        <v>0</v>
      </c>
      <c r="U874" s="5">
        <v>639</v>
      </c>
      <c r="V874" s="5">
        <v>0</v>
      </c>
    </row>
    <row r="875" spans="1:22" x14ac:dyDescent="0.25">
      <c r="A875" s="4" t="s">
        <v>949</v>
      </c>
      <c r="B875" s="5">
        <v>37</v>
      </c>
      <c r="C875" s="4" t="s">
        <v>23</v>
      </c>
      <c r="D875" s="4" t="s">
        <v>34</v>
      </c>
      <c r="E875" s="4" t="s">
        <v>63</v>
      </c>
      <c r="F875" s="4" t="s">
        <v>30</v>
      </c>
      <c r="G875" s="6">
        <v>33900</v>
      </c>
      <c r="H875" s="5">
        <v>6</v>
      </c>
      <c r="I875" s="7">
        <v>43782</v>
      </c>
      <c r="J875" s="4" t="s">
        <v>27</v>
      </c>
      <c r="K875" s="5">
        <v>2</v>
      </c>
      <c r="L875" s="6">
        <v>1604.36</v>
      </c>
      <c r="M875" s="6">
        <v>22998.400000000001</v>
      </c>
      <c r="N875" s="5">
        <v>32</v>
      </c>
      <c r="O875" s="6">
        <v>31.54</v>
      </c>
      <c r="P875" s="5">
        <v>0</v>
      </c>
      <c r="Q875" s="6">
        <v>0</v>
      </c>
      <c r="R875" s="6">
        <v>0</v>
      </c>
      <c r="S875" s="6">
        <v>114000</v>
      </c>
      <c r="T875" s="6">
        <v>805</v>
      </c>
      <c r="U875" s="5">
        <v>572</v>
      </c>
      <c r="V875" s="5">
        <v>0</v>
      </c>
    </row>
    <row r="876" spans="1:22" x14ac:dyDescent="0.25">
      <c r="A876" s="4" t="s">
        <v>950</v>
      </c>
      <c r="B876" s="5">
        <v>51</v>
      </c>
      <c r="C876" s="4" t="s">
        <v>33</v>
      </c>
      <c r="D876" s="4" t="s">
        <v>59</v>
      </c>
      <c r="E876" s="4" t="s">
        <v>45</v>
      </c>
      <c r="F876" s="4" t="s">
        <v>26</v>
      </c>
      <c r="G876" s="6">
        <v>24400</v>
      </c>
      <c r="H876" s="5">
        <v>6</v>
      </c>
      <c r="I876" s="7">
        <v>43928</v>
      </c>
      <c r="J876" s="4" t="s">
        <v>39</v>
      </c>
      <c r="K876" s="5">
        <v>2</v>
      </c>
      <c r="L876" s="6">
        <v>1466.51</v>
      </c>
      <c r="M876" s="6">
        <v>9332.64</v>
      </c>
      <c r="N876" s="5">
        <v>19</v>
      </c>
      <c r="O876" s="6">
        <v>50.31</v>
      </c>
      <c r="P876" s="5">
        <v>6</v>
      </c>
      <c r="Q876" s="6">
        <v>5500</v>
      </c>
      <c r="R876" s="6">
        <v>1096.5999999999999</v>
      </c>
      <c r="S876" s="6">
        <v>120000</v>
      </c>
      <c r="T876" s="6">
        <v>710</v>
      </c>
      <c r="U876" s="5">
        <v>537</v>
      </c>
      <c r="V876" s="5">
        <v>0</v>
      </c>
    </row>
    <row r="877" spans="1:22" x14ac:dyDescent="0.25">
      <c r="A877" s="4" t="s">
        <v>951</v>
      </c>
      <c r="B877" s="5">
        <v>40</v>
      </c>
      <c r="C877" s="4" t="s">
        <v>23</v>
      </c>
      <c r="D877" s="4" t="s">
        <v>37</v>
      </c>
      <c r="E877" s="4" t="s">
        <v>35</v>
      </c>
      <c r="F877" s="4" t="s">
        <v>30</v>
      </c>
      <c r="G877" s="6">
        <v>43700</v>
      </c>
      <c r="H877" s="5">
        <v>6</v>
      </c>
      <c r="I877" s="7">
        <v>43789</v>
      </c>
      <c r="J877" s="4" t="s">
        <v>27</v>
      </c>
      <c r="K877" s="5">
        <v>1</v>
      </c>
      <c r="L877" s="6">
        <v>3865.65</v>
      </c>
      <c r="M877" s="6">
        <v>16083.81</v>
      </c>
      <c r="N877" s="5">
        <v>45</v>
      </c>
      <c r="O877" s="6">
        <v>63.45</v>
      </c>
      <c r="P877" s="5">
        <v>2</v>
      </c>
      <c r="Q877" s="6">
        <v>8000</v>
      </c>
      <c r="R877" s="6">
        <v>3662.6</v>
      </c>
      <c r="S877" s="6">
        <v>196000</v>
      </c>
      <c r="T877" s="6">
        <v>1242</v>
      </c>
      <c r="U877" s="5">
        <v>564</v>
      </c>
      <c r="V877" s="5">
        <v>0</v>
      </c>
    </row>
    <row r="878" spans="1:22" x14ac:dyDescent="0.25">
      <c r="A878" s="4" t="s">
        <v>952</v>
      </c>
      <c r="B878" s="5">
        <v>43</v>
      </c>
      <c r="C878" s="4" t="s">
        <v>33</v>
      </c>
      <c r="D878" s="4" t="s">
        <v>57</v>
      </c>
      <c r="E878" s="4" t="s">
        <v>25</v>
      </c>
      <c r="F878" s="4" t="s">
        <v>30</v>
      </c>
      <c r="G878" s="6">
        <v>31800</v>
      </c>
      <c r="H878" s="5">
        <v>9</v>
      </c>
      <c r="I878" s="7">
        <v>42712</v>
      </c>
      <c r="J878" s="4" t="s">
        <v>39</v>
      </c>
      <c r="K878" s="5">
        <v>3</v>
      </c>
      <c r="L878" s="6">
        <v>3714.31</v>
      </c>
      <c r="M878" s="6">
        <v>0</v>
      </c>
      <c r="N878" s="5">
        <v>24</v>
      </c>
      <c r="O878" s="6">
        <v>67.489999999999995</v>
      </c>
      <c r="P878" s="5">
        <v>6</v>
      </c>
      <c r="Q878" s="6">
        <v>5000</v>
      </c>
      <c r="R878" s="6">
        <v>2197.94</v>
      </c>
      <c r="S878" s="6">
        <v>0</v>
      </c>
      <c r="T878" s="6">
        <v>0</v>
      </c>
      <c r="U878" s="5">
        <v>679</v>
      </c>
      <c r="V878" s="5">
        <v>0</v>
      </c>
    </row>
    <row r="879" spans="1:22" x14ac:dyDescent="0.25">
      <c r="A879" s="4" t="s">
        <v>953</v>
      </c>
      <c r="B879" s="5">
        <v>47</v>
      </c>
      <c r="C879" s="4" t="s">
        <v>23</v>
      </c>
      <c r="D879" s="4" t="s">
        <v>57</v>
      </c>
      <c r="E879" s="4" t="s">
        <v>35</v>
      </c>
      <c r="F879" s="4" t="s">
        <v>30</v>
      </c>
      <c r="G879" s="6">
        <v>48500</v>
      </c>
      <c r="H879" s="5">
        <v>7</v>
      </c>
      <c r="I879" s="7">
        <v>43459</v>
      </c>
      <c r="J879" s="4" t="s">
        <v>27</v>
      </c>
      <c r="K879" s="5">
        <v>2</v>
      </c>
      <c r="L879" s="6">
        <v>10441.06</v>
      </c>
      <c r="M879" s="6">
        <v>0</v>
      </c>
      <c r="N879" s="5">
        <v>33</v>
      </c>
      <c r="O879" s="6">
        <v>87.35</v>
      </c>
      <c r="P879" s="5">
        <v>4</v>
      </c>
      <c r="Q879" s="6">
        <v>8500</v>
      </c>
      <c r="R879" s="6">
        <v>1753.99</v>
      </c>
      <c r="S879" s="6">
        <v>180000</v>
      </c>
      <c r="T879" s="6">
        <v>1105</v>
      </c>
      <c r="U879" s="5">
        <v>626</v>
      </c>
      <c r="V879" s="5">
        <v>1</v>
      </c>
    </row>
    <row r="880" spans="1:22" x14ac:dyDescent="0.25">
      <c r="A880" s="4" t="s">
        <v>954</v>
      </c>
      <c r="B880" s="5">
        <v>47</v>
      </c>
      <c r="C880" s="4" t="s">
        <v>23</v>
      </c>
      <c r="D880" s="4" t="s">
        <v>57</v>
      </c>
      <c r="E880" s="4" t="s">
        <v>25</v>
      </c>
      <c r="F880" s="4" t="s">
        <v>30</v>
      </c>
      <c r="G880" s="6">
        <v>36800</v>
      </c>
      <c r="H880" s="5">
        <v>13</v>
      </c>
      <c r="I880" s="7">
        <v>41212</v>
      </c>
      <c r="J880" s="4" t="s">
        <v>31</v>
      </c>
      <c r="K880" s="5">
        <v>1</v>
      </c>
      <c r="L880" s="6">
        <v>6396.39</v>
      </c>
      <c r="M880" s="6">
        <v>0</v>
      </c>
      <c r="N880" s="5">
        <v>42</v>
      </c>
      <c r="O880" s="6">
        <v>17.13</v>
      </c>
      <c r="P880" s="5">
        <v>2</v>
      </c>
      <c r="Q880" s="6">
        <v>0</v>
      </c>
      <c r="R880" s="6">
        <v>0</v>
      </c>
      <c r="S880" s="6">
        <v>0</v>
      </c>
      <c r="T880" s="6">
        <v>0</v>
      </c>
      <c r="U880" s="5">
        <v>696</v>
      </c>
      <c r="V880" s="5">
        <v>0</v>
      </c>
    </row>
    <row r="881" spans="1:22" x14ac:dyDescent="0.25">
      <c r="A881" s="4" t="s">
        <v>955</v>
      </c>
      <c r="B881" s="5">
        <v>27</v>
      </c>
      <c r="C881" s="4" t="s">
        <v>23</v>
      </c>
      <c r="D881" s="4" t="s">
        <v>108</v>
      </c>
      <c r="E881" s="4" t="s">
        <v>25</v>
      </c>
      <c r="F881" s="4" t="s">
        <v>26</v>
      </c>
      <c r="G881" s="6">
        <v>32800</v>
      </c>
      <c r="H881" s="5">
        <v>2</v>
      </c>
      <c r="I881" s="7">
        <v>45494</v>
      </c>
      <c r="J881" s="4" t="s">
        <v>49</v>
      </c>
      <c r="K881" s="5">
        <v>1</v>
      </c>
      <c r="L881" s="6">
        <v>9249.5400000000009</v>
      </c>
      <c r="M881" s="6">
        <v>9754.75</v>
      </c>
      <c r="N881" s="5">
        <v>14</v>
      </c>
      <c r="O881" s="6">
        <v>39.03</v>
      </c>
      <c r="P881" s="5">
        <v>1</v>
      </c>
      <c r="Q881" s="6">
        <v>3500</v>
      </c>
      <c r="R881" s="6">
        <v>410.09</v>
      </c>
      <c r="S881" s="6">
        <v>0</v>
      </c>
      <c r="T881" s="6">
        <v>0</v>
      </c>
      <c r="U881" s="5">
        <v>599</v>
      </c>
      <c r="V881" s="5">
        <v>0</v>
      </c>
    </row>
    <row r="882" spans="1:22" x14ac:dyDescent="0.25">
      <c r="A882" s="4" t="s">
        <v>956</v>
      </c>
      <c r="B882" s="5">
        <v>43</v>
      </c>
      <c r="C882" s="4" t="s">
        <v>23</v>
      </c>
      <c r="D882" s="4" t="s">
        <v>29</v>
      </c>
      <c r="E882" s="4" t="s">
        <v>42</v>
      </c>
      <c r="F882" s="4" t="s">
        <v>30</v>
      </c>
      <c r="G882" s="6">
        <v>66300</v>
      </c>
      <c r="H882" s="5">
        <v>17</v>
      </c>
      <c r="I882" s="7">
        <v>40029</v>
      </c>
      <c r="J882" s="4" t="s">
        <v>31</v>
      </c>
      <c r="K882" s="5">
        <v>2</v>
      </c>
      <c r="L882" s="6">
        <v>7290.15</v>
      </c>
      <c r="M882" s="6">
        <v>44786.69</v>
      </c>
      <c r="N882" s="5">
        <v>48</v>
      </c>
      <c r="O882" s="6">
        <v>53.42</v>
      </c>
      <c r="P882" s="5">
        <v>2</v>
      </c>
      <c r="Q882" s="6">
        <v>15000</v>
      </c>
      <c r="R882" s="6">
        <v>6902.42</v>
      </c>
      <c r="S882" s="6">
        <v>0</v>
      </c>
      <c r="T882" s="6">
        <v>0</v>
      </c>
      <c r="U882" s="5">
        <v>703</v>
      </c>
      <c r="V882" s="5">
        <v>0</v>
      </c>
    </row>
    <row r="883" spans="1:22" x14ac:dyDescent="0.25">
      <c r="A883" s="4" t="s">
        <v>957</v>
      </c>
      <c r="B883" s="5">
        <v>40</v>
      </c>
      <c r="C883" s="4" t="s">
        <v>33</v>
      </c>
      <c r="D883" s="4" t="s">
        <v>51</v>
      </c>
      <c r="E883" s="4" t="s">
        <v>25</v>
      </c>
      <c r="F883" s="4" t="s">
        <v>30</v>
      </c>
      <c r="G883" s="6">
        <v>27300</v>
      </c>
      <c r="H883" s="5">
        <v>2</v>
      </c>
      <c r="I883" s="7">
        <v>45547</v>
      </c>
      <c r="J883" s="4" t="s">
        <v>31</v>
      </c>
      <c r="K883" s="5">
        <v>1</v>
      </c>
      <c r="L883" s="6">
        <v>7196.5</v>
      </c>
      <c r="M883" s="6">
        <v>0</v>
      </c>
      <c r="N883" s="5">
        <v>33</v>
      </c>
      <c r="O883" s="6">
        <v>55.31</v>
      </c>
      <c r="P883" s="5">
        <v>2</v>
      </c>
      <c r="Q883" s="6">
        <v>0</v>
      </c>
      <c r="R883" s="6">
        <v>0</v>
      </c>
      <c r="S883" s="6">
        <v>0</v>
      </c>
      <c r="T883" s="6">
        <v>0</v>
      </c>
      <c r="U883" s="5">
        <v>589</v>
      </c>
      <c r="V883" s="5">
        <v>0</v>
      </c>
    </row>
    <row r="884" spans="1:22" x14ac:dyDescent="0.25">
      <c r="A884" s="4" t="s">
        <v>958</v>
      </c>
      <c r="B884" s="5">
        <v>53</v>
      </c>
      <c r="C884" s="4" t="s">
        <v>23</v>
      </c>
      <c r="D884" s="4" t="s">
        <v>34</v>
      </c>
      <c r="E884" s="4" t="s">
        <v>63</v>
      </c>
      <c r="F884" s="4" t="s">
        <v>26</v>
      </c>
      <c r="G884" s="6">
        <v>41500</v>
      </c>
      <c r="H884" s="5">
        <v>30</v>
      </c>
      <c r="I884" s="7">
        <v>35013</v>
      </c>
      <c r="J884" s="4" t="s">
        <v>31</v>
      </c>
      <c r="K884" s="5">
        <v>3</v>
      </c>
      <c r="L884" s="6">
        <v>2271.39</v>
      </c>
      <c r="M884" s="6">
        <v>0</v>
      </c>
      <c r="N884" s="5">
        <v>40</v>
      </c>
      <c r="O884" s="6">
        <v>54.78</v>
      </c>
      <c r="P884" s="5">
        <v>2</v>
      </c>
      <c r="Q884" s="6">
        <v>0</v>
      </c>
      <c r="R884" s="6">
        <v>0</v>
      </c>
      <c r="S884" s="6">
        <v>183000</v>
      </c>
      <c r="T884" s="6">
        <v>1086</v>
      </c>
      <c r="U884" s="5">
        <v>658</v>
      </c>
      <c r="V884" s="5">
        <v>1</v>
      </c>
    </row>
    <row r="885" spans="1:22" x14ac:dyDescent="0.25">
      <c r="A885" s="4" t="s">
        <v>959</v>
      </c>
      <c r="B885" s="5">
        <v>45</v>
      </c>
      <c r="C885" s="4" t="s">
        <v>23</v>
      </c>
      <c r="D885" s="4" t="s">
        <v>57</v>
      </c>
      <c r="E885" s="4" t="s">
        <v>35</v>
      </c>
      <c r="F885" s="4" t="s">
        <v>30</v>
      </c>
      <c r="G885" s="6">
        <v>53000</v>
      </c>
      <c r="H885" s="5">
        <v>18</v>
      </c>
      <c r="I885" s="7">
        <v>39340</v>
      </c>
      <c r="J885" s="4" t="s">
        <v>31</v>
      </c>
      <c r="K885" s="5">
        <v>3</v>
      </c>
      <c r="L885" s="6">
        <v>1723.6</v>
      </c>
      <c r="M885" s="6">
        <v>0</v>
      </c>
      <c r="N885" s="5">
        <v>47</v>
      </c>
      <c r="O885" s="6">
        <v>58.67</v>
      </c>
      <c r="P885" s="5">
        <v>1</v>
      </c>
      <c r="Q885" s="6">
        <v>10500</v>
      </c>
      <c r="R885" s="6">
        <v>1168.17</v>
      </c>
      <c r="S885" s="6">
        <v>209000</v>
      </c>
      <c r="T885" s="6">
        <v>1143</v>
      </c>
      <c r="U885" s="5">
        <v>699</v>
      </c>
      <c r="V885" s="5">
        <v>1</v>
      </c>
    </row>
    <row r="886" spans="1:22" x14ac:dyDescent="0.25">
      <c r="A886" s="4" t="s">
        <v>960</v>
      </c>
      <c r="B886" s="5">
        <v>53</v>
      </c>
      <c r="C886" s="4" t="s">
        <v>23</v>
      </c>
      <c r="D886" s="4" t="s">
        <v>72</v>
      </c>
      <c r="E886" s="4" t="s">
        <v>67</v>
      </c>
      <c r="F886" s="4" t="s">
        <v>26</v>
      </c>
      <c r="G886" s="6">
        <v>3600</v>
      </c>
      <c r="H886" s="5">
        <v>3</v>
      </c>
      <c r="I886" s="7">
        <v>45122</v>
      </c>
      <c r="J886" s="4" t="s">
        <v>39</v>
      </c>
      <c r="K886" s="5">
        <v>2</v>
      </c>
      <c r="L886" s="6">
        <v>853.58</v>
      </c>
      <c r="M886" s="6">
        <v>912.21</v>
      </c>
      <c r="N886" s="5">
        <v>11</v>
      </c>
      <c r="O886" s="6">
        <v>29.14</v>
      </c>
      <c r="P886" s="5">
        <v>2</v>
      </c>
      <c r="Q886" s="6">
        <v>0</v>
      </c>
      <c r="R886" s="6">
        <v>0</v>
      </c>
      <c r="S886" s="6">
        <v>0</v>
      </c>
      <c r="T886" s="6">
        <v>0</v>
      </c>
      <c r="U886" s="5">
        <v>568</v>
      </c>
      <c r="V886" s="5">
        <v>0</v>
      </c>
    </row>
    <row r="887" spans="1:22" x14ac:dyDescent="0.25">
      <c r="A887" s="4" t="s">
        <v>961</v>
      </c>
      <c r="B887" s="5">
        <v>40</v>
      </c>
      <c r="C887" s="4" t="s">
        <v>33</v>
      </c>
      <c r="D887" s="4" t="s">
        <v>98</v>
      </c>
      <c r="E887" s="4" t="s">
        <v>25</v>
      </c>
      <c r="F887" s="4" t="s">
        <v>30</v>
      </c>
      <c r="G887" s="6">
        <v>29400</v>
      </c>
      <c r="H887" s="5">
        <v>16</v>
      </c>
      <c r="I887" s="7">
        <v>40099</v>
      </c>
      <c r="J887" s="4" t="s">
        <v>31</v>
      </c>
      <c r="K887" s="5">
        <v>2</v>
      </c>
      <c r="L887" s="6">
        <v>1114.6300000000001</v>
      </c>
      <c r="M887" s="6">
        <v>56023.88</v>
      </c>
      <c r="N887" s="5">
        <v>22</v>
      </c>
      <c r="O887" s="6">
        <v>49.22</v>
      </c>
      <c r="P887" s="5">
        <v>1</v>
      </c>
      <c r="Q887" s="6">
        <v>6000</v>
      </c>
      <c r="R887" s="6">
        <v>1829.94</v>
      </c>
      <c r="S887" s="6">
        <v>0</v>
      </c>
      <c r="T887" s="6">
        <v>0</v>
      </c>
      <c r="U887" s="5">
        <v>616</v>
      </c>
      <c r="V887" s="5">
        <v>0</v>
      </c>
    </row>
    <row r="888" spans="1:22" x14ac:dyDescent="0.25">
      <c r="A888" s="4" t="s">
        <v>962</v>
      </c>
      <c r="B888" s="5">
        <v>23</v>
      </c>
      <c r="C888" s="4" t="s">
        <v>23</v>
      </c>
      <c r="D888" s="4" t="s">
        <v>24</v>
      </c>
      <c r="E888" s="4" t="s">
        <v>45</v>
      </c>
      <c r="F888" s="4" t="s">
        <v>26</v>
      </c>
      <c r="G888" s="6">
        <v>11500</v>
      </c>
      <c r="H888" s="5">
        <v>0</v>
      </c>
      <c r="I888" s="7">
        <v>45980</v>
      </c>
      <c r="J888" s="4" t="s">
        <v>31</v>
      </c>
      <c r="K888" s="5">
        <v>1</v>
      </c>
      <c r="L888" s="6">
        <v>324.60000000000002</v>
      </c>
      <c r="M888" s="6">
        <v>0</v>
      </c>
      <c r="N888" s="5">
        <v>48</v>
      </c>
      <c r="O888" s="6">
        <v>199</v>
      </c>
      <c r="P888" s="5">
        <v>0</v>
      </c>
      <c r="Q888" s="6">
        <v>0</v>
      </c>
      <c r="R888" s="6">
        <v>0</v>
      </c>
      <c r="S888" s="6">
        <v>0</v>
      </c>
      <c r="T888" s="6">
        <v>0</v>
      </c>
      <c r="U888" s="5">
        <v>634</v>
      </c>
      <c r="V888" s="5">
        <v>0</v>
      </c>
    </row>
    <row r="889" spans="1:22" x14ac:dyDescent="0.25">
      <c r="A889" s="4" t="s">
        <v>963</v>
      </c>
      <c r="B889" s="5">
        <v>48</v>
      </c>
      <c r="C889" s="4" t="s">
        <v>33</v>
      </c>
      <c r="D889" s="4" t="s">
        <v>41</v>
      </c>
      <c r="E889" s="4" t="s">
        <v>45</v>
      </c>
      <c r="F889" s="4" t="s">
        <v>26</v>
      </c>
      <c r="G889" s="6">
        <v>29300</v>
      </c>
      <c r="H889" s="5">
        <v>15</v>
      </c>
      <c r="I889" s="7">
        <v>40447</v>
      </c>
      <c r="J889" s="4" t="s">
        <v>27</v>
      </c>
      <c r="K889" s="5">
        <v>2</v>
      </c>
      <c r="L889" s="6">
        <v>1950.36</v>
      </c>
      <c r="M889" s="6">
        <v>44384.77</v>
      </c>
      <c r="N889" s="5">
        <v>23</v>
      </c>
      <c r="O889" s="6">
        <v>60.05</v>
      </c>
      <c r="P889" s="5">
        <v>4</v>
      </c>
      <c r="Q889" s="6">
        <v>6500</v>
      </c>
      <c r="R889" s="6">
        <v>3307.18</v>
      </c>
      <c r="S889" s="6">
        <v>95000</v>
      </c>
      <c r="T889" s="6">
        <v>694</v>
      </c>
      <c r="U889" s="5">
        <v>636</v>
      </c>
      <c r="V889" s="5">
        <v>0</v>
      </c>
    </row>
    <row r="890" spans="1:22" x14ac:dyDescent="0.25">
      <c r="A890" s="4" t="s">
        <v>964</v>
      </c>
      <c r="B890" s="5">
        <v>29</v>
      </c>
      <c r="C890" s="4" t="s">
        <v>33</v>
      </c>
      <c r="D890" s="4" t="s">
        <v>436</v>
      </c>
      <c r="E890" s="4" t="s">
        <v>35</v>
      </c>
      <c r="F890" s="4" t="s">
        <v>30</v>
      </c>
      <c r="G890" s="6">
        <v>84000</v>
      </c>
      <c r="H890" s="5">
        <v>5</v>
      </c>
      <c r="I890" s="7">
        <v>44292</v>
      </c>
      <c r="J890" s="4" t="s">
        <v>39</v>
      </c>
      <c r="K890" s="5">
        <v>1</v>
      </c>
      <c r="L890" s="6">
        <v>6952.4</v>
      </c>
      <c r="M890" s="6">
        <v>58569.65</v>
      </c>
      <c r="N890" s="5">
        <v>31</v>
      </c>
      <c r="O890" s="6">
        <v>92.16</v>
      </c>
      <c r="P890" s="5">
        <v>2</v>
      </c>
      <c r="Q890" s="6">
        <v>15000</v>
      </c>
      <c r="R890" s="6">
        <v>4899.6499999999996</v>
      </c>
      <c r="S890" s="6">
        <v>0</v>
      </c>
      <c r="T890" s="6">
        <v>0</v>
      </c>
      <c r="U890" s="5">
        <v>595</v>
      </c>
      <c r="V890" s="5">
        <v>1</v>
      </c>
    </row>
    <row r="891" spans="1:22" x14ac:dyDescent="0.25">
      <c r="A891" s="4" t="s">
        <v>965</v>
      </c>
      <c r="B891" s="5">
        <v>69</v>
      </c>
      <c r="C891" s="4" t="s">
        <v>23</v>
      </c>
      <c r="D891" s="4" t="s">
        <v>75</v>
      </c>
      <c r="E891" s="4" t="s">
        <v>95</v>
      </c>
      <c r="F891" s="4" t="s">
        <v>30</v>
      </c>
      <c r="G891" s="6">
        <v>29300</v>
      </c>
      <c r="H891" s="5">
        <v>25</v>
      </c>
      <c r="I891" s="7">
        <v>36804</v>
      </c>
      <c r="J891" s="4" t="s">
        <v>39</v>
      </c>
      <c r="K891" s="5">
        <v>3</v>
      </c>
      <c r="L891" s="6">
        <v>2184.13</v>
      </c>
      <c r="M891" s="6">
        <v>17614.36</v>
      </c>
      <c r="N891" s="5">
        <v>27</v>
      </c>
      <c r="O891" s="6">
        <v>54.76</v>
      </c>
      <c r="P891" s="5">
        <v>4</v>
      </c>
      <c r="Q891" s="6">
        <v>4500</v>
      </c>
      <c r="R891" s="6">
        <v>2325.46</v>
      </c>
      <c r="S891" s="6">
        <v>0</v>
      </c>
      <c r="T891" s="6">
        <v>0</v>
      </c>
      <c r="U891" s="5">
        <v>673</v>
      </c>
      <c r="V891" s="5">
        <v>0</v>
      </c>
    </row>
    <row r="892" spans="1:22" x14ac:dyDescent="0.25">
      <c r="A892" s="4" t="s">
        <v>966</v>
      </c>
      <c r="B892" s="5">
        <v>52</v>
      </c>
      <c r="C892" s="4" t="s">
        <v>23</v>
      </c>
      <c r="D892" s="4" t="s">
        <v>128</v>
      </c>
      <c r="E892" s="4" t="s">
        <v>25</v>
      </c>
      <c r="F892" s="4" t="s">
        <v>48</v>
      </c>
      <c r="G892" s="6">
        <v>22300</v>
      </c>
      <c r="H892" s="5">
        <v>13</v>
      </c>
      <c r="I892" s="7">
        <v>41380</v>
      </c>
      <c r="J892" s="4" t="s">
        <v>27</v>
      </c>
      <c r="K892" s="5">
        <v>3</v>
      </c>
      <c r="L892" s="6">
        <v>6259.26</v>
      </c>
      <c r="M892" s="6">
        <v>0</v>
      </c>
      <c r="N892" s="5">
        <v>30</v>
      </c>
      <c r="O892" s="6">
        <v>62.21</v>
      </c>
      <c r="P892" s="5">
        <v>2</v>
      </c>
      <c r="Q892" s="6">
        <v>3000</v>
      </c>
      <c r="R892" s="6">
        <v>1007.17</v>
      </c>
      <c r="S892" s="6">
        <v>67000</v>
      </c>
      <c r="T892" s="6">
        <v>349</v>
      </c>
      <c r="U892" s="5">
        <v>606</v>
      </c>
      <c r="V892" s="5">
        <v>1</v>
      </c>
    </row>
    <row r="893" spans="1:22" x14ac:dyDescent="0.25">
      <c r="A893" s="4" t="s">
        <v>967</v>
      </c>
      <c r="B893" s="5">
        <v>78</v>
      </c>
      <c r="C893" s="4" t="s">
        <v>33</v>
      </c>
      <c r="D893" s="4" t="s">
        <v>34</v>
      </c>
      <c r="E893" s="4" t="s">
        <v>95</v>
      </c>
      <c r="F893" s="4" t="s">
        <v>38</v>
      </c>
      <c r="G893" s="6">
        <v>16900</v>
      </c>
      <c r="H893" s="5">
        <v>25</v>
      </c>
      <c r="I893" s="7">
        <v>37039</v>
      </c>
      <c r="J893" s="4" t="s">
        <v>49</v>
      </c>
      <c r="K893" s="5">
        <v>3</v>
      </c>
      <c r="L893" s="6">
        <v>2649.31</v>
      </c>
      <c r="M893" s="6">
        <v>47079.98</v>
      </c>
      <c r="N893" s="5">
        <v>28</v>
      </c>
      <c r="O893" s="6">
        <v>37.61</v>
      </c>
      <c r="P893" s="5">
        <v>3</v>
      </c>
      <c r="Q893" s="6">
        <v>4000</v>
      </c>
      <c r="R893" s="6">
        <v>1579.28</v>
      </c>
      <c r="S893" s="6">
        <v>51000</v>
      </c>
      <c r="T893" s="6">
        <v>248</v>
      </c>
      <c r="U893" s="5">
        <v>651</v>
      </c>
      <c r="V893" s="5">
        <v>1</v>
      </c>
    </row>
    <row r="894" spans="1:22" x14ac:dyDescent="0.25">
      <c r="A894" s="4" t="s">
        <v>968</v>
      </c>
      <c r="B894" s="5">
        <v>61</v>
      </c>
      <c r="C894" s="4" t="s">
        <v>23</v>
      </c>
      <c r="D894" s="4" t="s">
        <v>72</v>
      </c>
      <c r="E894" s="4" t="s">
        <v>45</v>
      </c>
      <c r="F894" s="4" t="s">
        <v>30</v>
      </c>
      <c r="G894" s="6">
        <v>26800</v>
      </c>
      <c r="H894" s="5">
        <v>2</v>
      </c>
      <c r="I894" s="7">
        <v>45458</v>
      </c>
      <c r="J894" s="4" t="s">
        <v>27</v>
      </c>
      <c r="K894" s="5">
        <v>1</v>
      </c>
      <c r="L894" s="6">
        <v>4572.1400000000003</v>
      </c>
      <c r="M894" s="6">
        <v>6816.5</v>
      </c>
      <c r="N894" s="5">
        <v>35</v>
      </c>
      <c r="O894" s="6">
        <v>48.99</v>
      </c>
      <c r="P894" s="5">
        <v>3</v>
      </c>
      <c r="Q894" s="6">
        <v>3000</v>
      </c>
      <c r="R894" s="6">
        <v>688.55</v>
      </c>
      <c r="S894" s="6">
        <v>0</v>
      </c>
      <c r="T894" s="6">
        <v>0</v>
      </c>
      <c r="U894" s="5">
        <v>537</v>
      </c>
      <c r="V894" s="5">
        <v>0</v>
      </c>
    </row>
    <row r="895" spans="1:22" x14ac:dyDescent="0.25">
      <c r="A895" s="4" t="s">
        <v>969</v>
      </c>
      <c r="B895" s="5">
        <v>49</v>
      </c>
      <c r="C895" s="4" t="s">
        <v>33</v>
      </c>
      <c r="D895" s="4" t="s">
        <v>72</v>
      </c>
      <c r="E895" s="4" t="s">
        <v>90</v>
      </c>
      <c r="F895" s="4" t="s">
        <v>30</v>
      </c>
      <c r="G895" s="6">
        <v>84700</v>
      </c>
      <c r="H895" s="5">
        <v>13</v>
      </c>
      <c r="I895" s="7">
        <v>41376</v>
      </c>
      <c r="J895" s="4" t="s">
        <v>39</v>
      </c>
      <c r="K895" s="5">
        <v>3</v>
      </c>
      <c r="L895" s="6">
        <v>3675.81</v>
      </c>
      <c r="M895" s="6">
        <v>51067.040000000001</v>
      </c>
      <c r="N895" s="5">
        <v>42</v>
      </c>
      <c r="O895" s="6">
        <v>82.93</v>
      </c>
      <c r="P895" s="5">
        <v>8</v>
      </c>
      <c r="Q895" s="6">
        <v>14500</v>
      </c>
      <c r="R895" s="6">
        <v>6507.04</v>
      </c>
      <c r="S895" s="6">
        <v>0</v>
      </c>
      <c r="T895" s="6">
        <v>0</v>
      </c>
      <c r="U895" s="5">
        <v>717</v>
      </c>
      <c r="V895" s="5">
        <v>0</v>
      </c>
    </row>
    <row r="896" spans="1:22" x14ac:dyDescent="0.25">
      <c r="A896" s="4" t="s">
        <v>970</v>
      </c>
      <c r="B896" s="5">
        <v>31</v>
      </c>
      <c r="C896" s="4" t="s">
        <v>33</v>
      </c>
      <c r="D896" s="4" t="s">
        <v>59</v>
      </c>
      <c r="E896" s="4" t="s">
        <v>45</v>
      </c>
      <c r="F896" s="4" t="s">
        <v>30</v>
      </c>
      <c r="G896" s="6">
        <v>17400</v>
      </c>
      <c r="H896" s="5">
        <v>2</v>
      </c>
      <c r="I896" s="7">
        <v>45467</v>
      </c>
      <c r="J896" s="4" t="s">
        <v>31</v>
      </c>
      <c r="K896" s="5">
        <v>2</v>
      </c>
      <c r="L896" s="6">
        <v>4666.6499999999996</v>
      </c>
      <c r="M896" s="6">
        <v>5754.36</v>
      </c>
      <c r="N896" s="5">
        <v>21</v>
      </c>
      <c r="O896" s="6">
        <v>34.159999999999997</v>
      </c>
      <c r="P896" s="5">
        <v>1</v>
      </c>
      <c r="Q896" s="6">
        <v>3000</v>
      </c>
      <c r="R896" s="6">
        <v>1353.35</v>
      </c>
      <c r="S896" s="6">
        <v>0</v>
      </c>
      <c r="T896" s="6">
        <v>0</v>
      </c>
      <c r="U896" s="5">
        <v>618</v>
      </c>
      <c r="V896" s="5">
        <v>0</v>
      </c>
    </row>
    <row r="897" spans="1:22" x14ac:dyDescent="0.25">
      <c r="A897" s="4" t="s">
        <v>971</v>
      </c>
      <c r="B897" s="5">
        <v>26</v>
      </c>
      <c r="C897" s="4" t="s">
        <v>33</v>
      </c>
      <c r="D897" s="4" t="s">
        <v>98</v>
      </c>
      <c r="E897" s="4" t="s">
        <v>45</v>
      </c>
      <c r="F897" s="4" t="s">
        <v>26</v>
      </c>
      <c r="G897" s="6">
        <v>35500</v>
      </c>
      <c r="H897" s="5">
        <v>3</v>
      </c>
      <c r="I897" s="7">
        <v>45024</v>
      </c>
      <c r="J897" s="4" t="s">
        <v>31</v>
      </c>
      <c r="K897" s="5">
        <v>1</v>
      </c>
      <c r="L897" s="6">
        <v>6947.67</v>
      </c>
      <c r="M897" s="6">
        <v>9730.99</v>
      </c>
      <c r="N897" s="5">
        <v>34</v>
      </c>
      <c r="O897" s="6">
        <v>64.88</v>
      </c>
      <c r="P897" s="5">
        <v>1</v>
      </c>
      <c r="Q897" s="6">
        <v>4500</v>
      </c>
      <c r="R897" s="6">
        <v>468.15</v>
      </c>
      <c r="S897" s="6">
        <v>0</v>
      </c>
      <c r="T897" s="6">
        <v>0</v>
      </c>
      <c r="U897" s="5">
        <v>623</v>
      </c>
      <c r="V897" s="5">
        <v>0</v>
      </c>
    </row>
    <row r="898" spans="1:22" x14ac:dyDescent="0.25">
      <c r="A898" s="4" t="s">
        <v>972</v>
      </c>
      <c r="B898" s="5">
        <v>23</v>
      </c>
      <c r="C898" s="4" t="s">
        <v>23</v>
      </c>
      <c r="D898" s="4" t="s">
        <v>24</v>
      </c>
      <c r="E898" s="4" t="s">
        <v>45</v>
      </c>
      <c r="F898" s="4" t="s">
        <v>26</v>
      </c>
      <c r="G898" s="6">
        <v>10900</v>
      </c>
      <c r="H898" s="5">
        <v>0</v>
      </c>
      <c r="I898" s="7">
        <v>45979</v>
      </c>
      <c r="J898" s="4" t="s">
        <v>31</v>
      </c>
      <c r="K898" s="5">
        <v>1</v>
      </c>
      <c r="L898" s="6">
        <v>708.87</v>
      </c>
      <c r="M898" s="6">
        <v>0</v>
      </c>
      <c r="N898" s="5">
        <v>48</v>
      </c>
      <c r="O898" s="6">
        <v>199</v>
      </c>
      <c r="P898" s="5">
        <v>0</v>
      </c>
      <c r="Q898" s="6">
        <v>0</v>
      </c>
      <c r="R898" s="6">
        <v>0</v>
      </c>
      <c r="S898" s="6">
        <v>0</v>
      </c>
      <c r="T898" s="6">
        <v>0</v>
      </c>
      <c r="U898" s="5">
        <v>624</v>
      </c>
      <c r="V898" s="5">
        <v>0</v>
      </c>
    </row>
    <row r="899" spans="1:22" x14ac:dyDescent="0.25">
      <c r="A899" s="4" t="s">
        <v>973</v>
      </c>
      <c r="B899" s="5">
        <v>51</v>
      </c>
      <c r="C899" s="4" t="s">
        <v>23</v>
      </c>
      <c r="D899" s="4" t="s">
        <v>59</v>
      </c>
      <c r="E899" s="4" t="s">
        <v>35</v>
      </c>
      <c r="F899" s="4" t="s">
        <v>48</v>
      </c>
      <c r="G899" s="6">
        <v>47700</v>
      </c>
      <c r="H899" s="5">
        <v>12</v>
      </c>
      <c r="I899" s="7">
        <v>41562</v>
      </c>
      <c r="J899" s="4" t="s">
        <v>31</v>
      </c>
      <c r="K899" s="5">
        <v>4</v>
      </c>
      <c r="L899" s="6">
        <v>4835.97</v>
      </c>
      <c r="M899" s="6">
        <v>71892.25</v>
      </c>
      <c r="N899" s="5">
        <v>50</v>
      </c>
      <c r="O899" s="6">
        <v>61.18</v>
      </c>
      <c r="P899" s="5">
        <v>0</v>
      </c>
      <c r="Q899" s="6">
        <v>9500</v>
      </c>
      <c r="R899" s="6">
        <v>4535.01</v>
      </c>
      <c r="S899" s="6">
        <v>0</v>
      </c>
      <c r="T899" s="6">
        <v>0</v>
      </c>
      <c r="U899" s="5">
        <v>691</v>
      </c>
      <c r="V899" s="5">
        <v>0</v>
      </c>
    </row>
    <row r="900" spans="1:22" x14ac:dyDescent="0.25">
      <c r="A900" s="4" t="s">
        <v>974</v>
      </c>
      <c r="B900" s="5">
        <v>41</v>
      </c>
      <c r="C900" s="4" t="s">
        <v>23</v>
      </c>
      <c r="D900" s="4" t="s">
        <v>72</v>
      </c>
      <c r="E900" s="4" t="s">
        <v>25</v>
      </c>
      <c r="F900" s="4" t="s">
        <v>30</v>
      </c>
      <c r="G900" s="6">
        <v>35100</v>
      </c>
      <c r="H900" s="5">
        <v>12</v>
      </c>
      <c r="I900" s="7">
        <v>41706</v>
      </c>
      <c r="J900" s="4" t="s">
        <v>39</v>
      </c>
      <c r="K900" s="5">
        <v>2</v>
      </c>
      <c r="L900" s="6">
        <v>1377.13</v>
      </c>
      <c r="M900" s="6">
        <v>14790.46</v>
      </c>
      <c r="N900" s="5">
        <v>20</v>
      </c>
      <c r="O900" s="6">
        <v>43.1</v>
      </c>
      <c r="P900" s="5">
        <v>3</v>
      </c>
      <c r="Q900" s="6">
        <v>5000</v>
      </c>
      <c r="R900" s="6">
        <v>990.45</v>
      </c>
      <c r="S900" s="6">
        <v>0</v>
      </c>
      <c r="T900" s="6">
        <v>0</v>
      </c>
      <c r="U900" s="5">
        <v>662</v>
      </c>
      <c r="V900" s="5">
        <v>0</v>
      </c>
    </row>
    <row r="901" spans="1:22" x14ac:dyDescent="0.25">
      <c r="A901" s="4" t="s">
        <v>975</v>
      </c>
      <c r="B901" s="5">
        <v>63</v>
      </c>
      <c r="C901" s="4" t="s">
        <v>23</v>
      </c>
      <c r="D901" s="4" t="s">
        <v>59</v>
      </c>
      <c r="E901" s="4" t="s">
        <v>45</v>
      </c>
      <c r="F901" s="4" t="s">
        <v>38</v>
      </c>
      <c r="G901" s="6">
        <v>23000</v>
      </c>
      <c r="H901" s="5">
        <v>14</v>
      </c>
      <c r="I901" s="7">
        <v>41045</v>
      </c>
      <c r="J901" s="4" t="s">
        <v>39</v>
      </c>
      <c r="K901" s="5">
        <v>2</v>
      </c>
      <c r="L901" s="6">
        <v>2349.31</v>
      </c>
      <c r="M901" s="6">
        <v>0</v>
      </c>
      <c r="N901" s="5">
        <v>17</v>
      </c>
      <c r="O901" s="6">
        <v>29.35</v>
      </c>
      <c r="P901" s="5">
        <v>4</v>
      </c>
      <c r="Q901" s="6">
        <v>3000</v>
      </c>
      <c r="R901" s="6">
        <v>649.66999999999996</v>
      </c>
      <c r="S901" s="6">
        <v>0</v>
      </c>
      <c r="T901" s="6">
        <v>0</v>
      </c>
      <c r="U901" s="5">
        <v>617</v>
      </c>
      <c r="V901" s="5">
        <v>0</v>
      </c>
    </row>
    <row r="902" spans="1:22" x14ac:dyDescent="0.25">
      <c r="A902" s="4" t="s">
        <v>976</v>
      </c>
      <c r="B902" s="5">
        <v>52</v>
      </c>
      <c r="C902" s="4" t="s">
        <v>33</v>
      </c>
      <c r="D902" s="4" t="s">
        <v>98</v>
      </c>
      <c r="E902" s="4" t="s">
        <v>45</v>
      </c>
      <c r="F902" s="4" t="s">
        <v>26</v>
      </c>
      <c r="G902" s="6">
        <v>17400</v>
      </c>
      <c r="H902" s="5">
        <v>23</v>
      </c>
      <c r="I902" s="7">
        <v>43599</v>
      </c>
      <c r="J902" s="4" t="s">
        <v>31</v>
      </c>
      <c r="K902" s="5">
        <v>2</v>
      </c>
      <c r="L902" s="6">
        <v>1226.44</v>
      </c>
      <c r="M902" s="6">
        <v>26099.33</v>
      </c>
      <c r="N902" s="5">
        <v>33</v>
      </c>
      <c r="O902" s="6">
        <v>39.950000000000003</v>
      </c>
      <c r="P902" s="5">
        <v>2</v>
      </c>
      <c r="Q902" s="6">
        <v>3000</v>
      </c>
      <c r="R902" s="6">
        <v>241.35</v>
      </c>
      <c r="S902" s="6">
        <v>0</v>
      </c>
      <c r="T902" s="6">
        <v>0</v>
      </c>
      <c r="U902" s="5">
        <v>607</v>
      </c>
      <c r="V902" s="5">
        <v>0</v>
      </c>
    </row>
    <row r="903" spans="1:22" x14ac:dyDescent="0.25">
      <c r="A903" s="4" t="s">
        <v>977</v>
      </c>
      <c r="B903" s="5">
        <v>38</v>
      </c>
      <c r="C903" s="4" t="s">
        <v>33</v>
      </c>
      <c r="D903" s="4" t="s">
        <v>41</v>
      </c>
      <c r="E903" s="4" t="s">
        <v>35</v>
      </c>
      <c r="F903" s="4" t="s">
        <v>30</v>
      </c>
      <c r="G903" s="6">
        <v>50900</v>
      </c>
      <c r="H903" s="5">
        <v>13</v>
      </c>
      <c r="I903" s="7">
        <v>41327</v>
      </c>
      <c r="J903" s="4" t="s">
        <v>31</v>
      </c>
      <c r="K903" s="5">
        <v>3</v>
      </c>
      <c r="L903" s="6">
        <v>3990.04</v>
      </c>
      <c r="M903" s="6">
        <v>0</v>
      </c>
      <c r="N903" s="5">
        <v>33</v>
      </c>
      <c r="O903" s="6">
        <v>41.37</v>
      </c>
      <c r="P903" s="5">
        <v>1</v>
      </c>
      <c r="Q903" s="6">
        <v>0</v>
      </c>
      <c r="R903" s="6">
        <v>0</v>
      </c>
      <c r="S903" s="6">
        <v>0</v>
      </c>
      <c r="T903" s="6">
        <v>0</v>
      </c>
      <c r="U903" s="5">
        <v>645</v>
      </c>
      <c r="V903" s="5">
        <v>0</v>
      </c>
    </row>
    <row r="904" spans="1:22" x14ac:dyDescent="0.25">
      <c r="A904" s="4" t="s">
        <v>978</v>
      </c>
      <c r="B904" s="5">
        <v>37</v>
      </c>
      <c r="C904" s="4" t="s">
        <v>23</v>
      </c>
      <c r="D904" s="4" t="s">
        <v>34</v>
      </c>
      <c r="E904" s="4" t="s">
        <v>45</v>
      </c>
      <c r="F904" s="4" t="s">
        <v>48</v>
      </c>
      <c r="G904" s="6">
        <v>22500</v>
      </c>
      <c r="H904" s="5">
        <v>9</v>
      </c>
      <c r="I904" s="7">
        <v>42813</v>
      </c>
      <c r="J904" s="4" t="s">
        <v>39</v>
      </c>
      <c r="K904" s="5">
        <v>3</v>
      </c>
      <c r="L904" s="6">
        <v>2844.53</v>
      </c>
      <c r="M904" s="6">
        <v>0</v>
      </c>
      <c r="N904" s="5">
        <v>22</v>
      </c>
      <c r="O904" s="6">
        <v>40.700000000000003</v>
      </c>
      <c r="P904" s="5">
        <v>6</v>
      </c>
      <c r="Q904" s="6">
        <v>4500</v>
      </c>
      <c r="R904" s="6">
        <v>610.72</v>
      </c>
      <c r="S904" s="6">
        <v>74000</v>
      </c>
      <c r="T904" s="6">
        <v>495</v>
      </c>
      <c r="U904" s="5">
        <v>586</v>
      </c>
      <c r="V904" s="5">
        <v>0</v>
      </c>
    </row>
    <row r="905" spans="1:22" x14ac:dyDescent="0.25">
      <c r="A905" s="4" t="s">
        <v>979</v>
      </c>
      <c r="B905" s="5">
        <v>67</v>
      </c>
      <c r="C905" s="4" t="s">
        <v>23</v>
      </c>
      <c r="D905" s="4" t="s">
        <v>57</v>
      </c>
      <c r="E905" s="4" t="s">
        <v>95</v>
      </c>
      <c r="F905" s="4" t="s">
        <v>38</v>
      </c>
      <c r="G905" s="6">
        <v>15100</v>
      </c>
      <c r="H905" s="5">
        <v>19</v>
      </c>
      <c r="I905" s="7">
        <v>39017</v>
      </c>
      <c r="J905" s="4" t="s">
        <v>39</v>
      </c>
      <c r="K905" s="5">
        <v>5</v>
      </c>
      <c r="L905" s="6">
        <v>325.33</v>
      </c>
      <c r="M905" s="6">
        <v>0</v>
      </c>
      <c r="N905" s="5">
        <v>21</v>
      </c>
      <c r="O905" s="6">
        <v>34.96</v>
      </c>
      <c r="P905" s="5">
        <v>1</v>
      </c>
      <c r="Q905" s="6">
        <v>3000</v>
      </c>
      <c r="R905" s="6">
        <v>257.44</v>
      </c>
      <c r="S905" s="6">
        <v>0</v>
      </c>
      <c r="T905" s="6">
        <v>0</v>
      </c>
      <c r="U905" s="5">
        <v>680</v>
      </c>
      <c r="V905" s="5">
        <v>1</v>
      </c>
    </row>
    <row r="906" spans="1:22" x14ac:dyDescent="0.25">
      <c r="A906" s="4" t="s">
        <v>980</v>
      </c>
      <c r="B906" s="5">
        <v>41</v>
      </c>
      <c r="C906" s="4" t="s">
        <v>23</v>
      </c>
      <c r="D906" s="4" t="s">
        <v>436</v>
      </c>
      <c r="E906" s="4" t="s">
        <v>25</v>
      </c>
      <c r="F906" s="4" t="s">
        <v>30</v>
      </c>
      <c r="G906" s="6">
        <v>50800</v>
      </c>
      <c r="H906" s="5">
        <v>6</v>
      </c>
      <c r="I906" s="7">
        <v>43802</v>
      </c>
      <c r="J906" s="4" t="s">
        <v>27</v>
      </c>
      <c r="K906" s="5">
        <v>2</v>
      </c>
      <c r="L906" s="6">
        <v>6154.67</v>
      </c>
      <c r="M906" s="6">
        <v>0</v>
      </c>
      <c r="N906" s="5">
        <v>38</v>
      </c>
      <c r="O906" s="6">
        <v>53.89</v>
      </c>
      <c r="P906" s="5">
        <v>4</v>
      </c>
      <c r="Q906" s="6">
        <v>9000</v>
      </c>
      <c r="R906" s="6">
        <v>3784.53</v>
      </c>
      <c r="S906" s="6">
        <v>0</v>
      </c>
      <c r="T906" s="6">
        <v>0</v>
      </c>
      <c r="U906" s="5">
        <v>670</v>
      </c>
      <c r="V906" s="5">
        <v>0</v>
      </c>
    </row>
    <row r="907" spans="1:22" x14ac:dyDescent="0.25">
      <c r="A907" s="4" t="s">
        <v>981</v>
      </c>
      <c r="B907" s="5">
        <v>18</v>
      </c>
      <c r="C907" s="4" t="s">
        <v>23</v>
      </c>
      <c r="D907" s="4" t="s">
        <v>34</v>
      </c>
      <c r="E907" s="4" t="s">
        <v>67</v>
      </c>
      <c r="F907" s="4" t="s">
        <v>26</v>
      </c>
      <c r="G907" s="6">
        <v>4200</v>
      </c>
      <c r="H907" s="5">
        <v>0</v>
      </c>
      <c r="I907" s="7">
        <v>46062</v>
      </c>
      <c r="J907" s="4" t="s">
        <v>31</v>
      </c>
      <c r="K907" s="5">
        <v>2</v>
      </c>
      <c r="L907" s="6">
        <v>252.81</v>
      </c>
      <c r="M907" s="6">
        <v>533.54999999999995</v>
      </c>
      <c r="N907" s="5">
        <v>22</v>
      </c>
      <c r="O907" s="6">
        <v>59.03</v>
      </c>
      <c r="P907" s="5">
        <v>1</v>
      </c>
      <c r="Q907" s="6">
        <v>0</v>
      </c>
      <c r="R907" s="6">
        <v>0</v>
      </c>
      <c r="S907" s="6">
        <v>0</v>
      </c>
      <c r="T907" s="6">
        <v>0</v>
      </c>
      <c r="U907" s="5">
        <v>478</v>
      </c>
      <c r="V907" s="5">
        <v>1</v>
      </c>
    </row>
    <row r="908" spans="1:22" x14ac:dyDescent="0.25">
      <c r="A908" s="4" t="s">
        <v>982</v>
      </c>
      <c r="B908" s="5">
        <v>71</v>
      </c>
      <c r="C908" s="4" t="s">
        <v>33</v>
      </c>
      <c r="D908" s="4" t="s">
        <v>34</v>
      </c>
      <c r="E908" s="4" t="s">
        <v>95</v>
      </c>
      <c r="F908" s="4" t="s">
        <v>30</v>
      </c>
      <c r="G908" s="6">
        <v>26200</v>
      </c>
      <c r="H908" s="5">
        <v>22</v>
      </c>
      <c r="I908" s="7">
        <v>37926</v>
      </c>
      <c r="J908" s="4" t="s">
        <v>39</v>
      </c>
      <c r="K908" s="5">
        <v>3</v>
      </c>
      <c r="L908" s="6">
        <v>1807.34</v>
      </c>
      <c r="M908" s="6">
        <v>73648.73</v>
      </c>
      <c r="N908" s="5">
        <v>18</v>
      </c>
      <c r="O908" s="6">
        <v>42.5</v>
      </c>
      <c r="P908" s="5">
        <v>1</v>
      </c>
      <c r="Q908" s="6">
        <v>0</v>
      </c>
      <c r="R908" s="6">
        <v>0</v>
      </c>
      <c r="S908" s="6">
        <v>0</v>
      </c>
      <c r="T908" s="6">
        <v>0</v>
      </c>
      <c r="U908" s="5">
        <v>682</v>
      </c>
      <c r="V908" s="5">
        <v>0</v>
      </c>
    </row>
    <row r="909" spans="1:22" x14ac:dyDescent="0.25">
      <c r="A909" s="4" t="s">
        <v>983</v>
      </c>
      <c r="B909" s="5">
        <v>18</v>
      </c>
      <c r="C909" s="4" t="s">
        <v>23</v>
      </c>
      <c r="D909" s="4" t="s">
        <v>34</v>
      </c>
      <c r="E909" s="4" t="s">
        <v>45</v>
      </c>
      <c r="F909" s="4" t="s">
        <v>26</v>
      </c>
      <c r="G909" s="6">
        <v>22100</v>
      </c>
      <c r="H909" s="5">
        <v>0</v>
      </c>
      <c r="I909" s="7">
        <v>45931</v>
      </c>
      <c r="J909" s="4" t="s">
        <v>49</v>
      </c>
      <c r="K909" s="5">
        <v>1</v>
      </c>
      <c r="L909" s="6">
        <v>1407.5</v>
      </c>
      <c r="M909" s="6">
        <v>0</v>
      </c>
      <c r="N909" s="5">
        <v>29</v>
      </c>
      <c r="O909" s="6">
        <v>55.99</v>
      </c>
      <c r="P909" s="5">
        <v>4</v>
      </c>
      <c r="Q909" s="6">
        <v>5000</v>
      </c>
      <c r="R909" s="6">
        <v>485.58</v>
      </c>
      <c r="S909" s="6">
        <v>0</v>
      </c>
      <c r="T909" s="6">
        <v>0</v>
      </c>
      <c r="U909" s="5">
        <v>646</v>
      </c>
      <c r="V909" s="5">
        <v>0</v>
      </c>
    </row>
    <row r="910" spans="1:22" x14ac:dyDescent="0.25">
      <c r="A910" s="4" t="s">
        <v>984</v>
      </c>
      <c r="B910" s="5">
        <v>57</v>
      </c>
      <c r="C910" s="4" t="s">
        <v>33</v>
      </c>
      <c r="D910" s="4" t="s">
        <v>41</v>
      </c>
      <c r="E910" s="4" t="s">
        <v>35</v>
      </c>
      <c r="F910" s="4" t="s">
        <v>48</v>
      </c>
      <c r="G910" s="6">
        <v>56500</v>
      </c>
      <c r="H910" s="5">
        <v>2</v>
      </c>
      <c r="I910" s="7">
        <v>45275</v>
      </c>
      <c r="J910" s="4" t="s">
        <v>39</v>
      </c>
      <c r="K910" s="5">
        <v>1</v>
      </c>
      <c r="L910" s="6">
        <v>14575.65</v>
      </c>
      <c r="M910" s="6">
        <v>18636.18</v>
      </c>
      <c r="N910" s="5">
        <v>36</v>
      </c>
      <c r="O910" s="6">
        <v>36.200000000000003</v>
      </c>
      <c r="P910" s="5">
        <v>6</v>
      </c>
      <c r="Q910" s="6">
        <v>12500</v>
      </c>
      <c r="R910" s="6">
        <v>7910.6</v>
      </c>
      <c r="S910" s="6">
        <v>0</v>
      </c>
      <c r="T910" s="6">
        <v>0</v>
      </c>
      <c r="U910" s="5">
        <v>592</v>
      </c>
      <c r="V910" s="5">
        <v>0</v>
      </c>
    </row>
    <row r="911" spans="1:22" x14ac:dyDescent="0.25">
      <c r="A911" s="4" t="s">
        <v>985</v>
      </c>
      <c r="B911" s="5">
        <v>57</v>
      </c>
      <c r="C911" s="4" t="s">
        <v>23</v>
      </c>
      <c r="D911" s="4" t="s">
        <v>24</v>
      </c>
      <c r="E911" s="4" t="s">
        <v>63</v>
      </c>
      <c r="F911" s="4" t="s">
        <v>48</v>
      </c>
      <c r="G911" s="6">
        <v>33600</v>
      </c>
      <c r="H911" s="5">
        <v>22</v>
      </c>
      <c r="I911" s="7">
        <v>37991</v>
      </c>
      <c r="J911" s="4" t="s">
        <v>27</v>
      </c>
      <c r="K911" s="5">
        <v>1</v>
      </c>
      <c r="L911" s="6">
        <v>1986.29</v>
      </c>
      <c r="M911" s="6">
        <v>61273.599999999999</v>
      </c>
      <c r="N911" s="5">
        <v>36</v>
      </c>
      <c r="O911" s="6">
        <v>47.1</v>
      </c>
      <c r="P911" s="5">
        <v>2</v>
      </c>
      <c r="Q911" s="6">
        <v>7000</v>
      </c>
      <c r="R911" s="6">
        <v>1136.05</v>
      </c>
      <c r="S911" s="6">
        <v>90000</v>
      </c>
      <c r="T911" s="6">
        <v>539</v>
      </c>
      <c r="U911" s="5">
        <v>666</v>
      </c>
      <c r="V911" s="5">
        <v>0</v>
      </c>
    </row>
    <row r="912" spans="1:22" x14ac:dyDescent="0.25">
      <c r="A912" s="4" t="s">
        <v>986</v>
      </c>
      <c r="B912" s="5">
        <v>57</v>
      </c>
      <c r="C912" s="4" t="s">
        <v>23</v>
      </c>
      <c r="D912" s="4" t="s">
        <v>44</v>
      </c>
      <c r="E912" s="4" t="s">
        <v>25</v>
      </c>
      <c r="F912" s="4" t="s">
        <v>26</v>
      </c>
      <c r="G912" s="6">
        <v>45600</v>
      </c>
      <c r="H912" s="5">
        <v>29</v>
      </c>
      <c r="I912" s="7">
        <v>35383</v>
      </c>
      <c r="J912" s="4" t="s">
        <v>39</v>
      </c>
      <c r="K912" s="5">
        <v>3</v>
      </c>
      <c r="L912" s="6">
        <v>1804.74</v>
      </c>
      <c r="M912" s="6">
        <v>97851.26</v>
      </c>
      <c r="N912" s="5">
        <v>31</v>
      </c>
      <c r="O912" s="6">
        <v>40.53</v>
      </c>
      <c r="P912" s="5">
        <v>6</v>
      </c>
      <c r="Q912" s="6">
        <v>6500</v>
      </c>
      <c r="R912" s="6">
        <v>1341.1</v>
      </c>
      <c r="S912" s="6">
        <v>0</v>
      </c>
      <c r="T912" s="6">
        <v>0</v>
      </c>
      <c r="U912" s="5">
        <v>662</v>
      </c>
      <c r="V912" s="5">
        <v>0</v>
      </c>
    </row>
    <row r="913" spans="1:22" x14ac:dyDescent="0.25">
      <c r="A913" s="4" t="s">
        <v>987</v>
      </c>
      <c r="B913" s="5">
        <v>38</v>
      </c>
      <c r="C913" s="4" t="s">
        <v>33</v>
      </c>
      <c r="D913" s="4" t="s">
        <v>108</v>
      </c>
      <c r="E913" s="4" t="s">
        <v>25</v>
      </c>
      <c r="F913" s="4" t="s">
        <v>30</v>
      </c>
      <c r="G913" s="6">
        <v>17800</v>
      </c>
      <c r="H913" s="5">
        <v>6</v>
      </c>
      <c r="I913" s="7">
        <v>43767</v>
      </c>
      <c r="J913" s="4" t="s">
        <v>27</v>
      </c>
      <c r="K913" s="5">
        <v>4</v>
      </c>
      <c r="L913" s="6">
        <v>1635.46</v>
      </c>
      <c r="M913" s="6">
        <v>6775.83</v>
      </c>
      <c r="N913" s="5">
        <v>20</v>
      </c>
      <c r="O913" s="6">
        <v>48.98</v>
      </c>
      <c r="P913" s="5">
        <v>6</v>
      </c>
      <c r="Q913" s="6">
        <v>2000</v>
      </c>
      <c r="R913" s="6">
        <v>638.74</v>
      </c>
      <c r="S913" s="6">
        <v>0</v>
      </c>
      <c r="T913" s="6">
        <v>0</v>
      </c>
      <c r="U913" s="5">
        <v>579</v>
      </c>
      <c r="V913" s="5">
        <v>1</v>
      </c>
    </row>
    <row r="914" spans="1:22" x14ac:dyDescent="0.25">
      <c r="A914" s="4" t="s">
        <v>988</v>
      </c>
      <c r="B914" s="5">
        <v>24</v>
      </c>
      <c r="C914" s="4" t="s">
        <v>33</v>
      </c>
      <c r="D914" s="4" t="s">
        <v>29</v>
      </c>
      <c r="E914" s="4" t="s">
        <v>35</v>
      </c>
      <c r="F914" s="4" t="s">
        <v>26</v>
      </c>
      <c r="G914" s="6">
        <v>39500</v>
      </c>
      <c r="H914" s="5">
        <v>2</v>
      </c>
      <c r="I914" s="7">
        <v>45195</v>
      </c>
      <c r="J914" s="4" t="s">
        <v>31</v>
      </c>
      <c r="K914" s="5">
        <v>2</v>
      </c>
      <c r="L914" s="6">
        <v>6142.26</v>
      </c>
      <c r="M914" s="6">
        <v>10363.469999999999</v>
      </c>
      <c r="N914" s="5">
        <v>27</v>
      </c>
      <c r="O914" s="6">
        <v>71.88</v>
      </c>
      <c r="P914" s="5">
        <v>0</v>
      </c>
      <c r="Q914" s="6">
        <v>4000</v>
      </c>
      <c r="R914" s="6">
        <v>1342.49</v>
      </c>
      <c r="S914" s="6">
        <v>0</v>
      </c>
      <c r="T914" s="6">
        <v>0</v>
      </c>
      <c r="U914" s="5">
        <v>655</v>
      </c>
      <c r="V914" s="5">
        <v>1</v>
      </c>
    </row>
    <row r="915" spans="1:22" x14ac:dyDescent="0.25">
      <c r="A915" s="4" t="s">
        <v>989</v>
      </c>
      <c r="B915" s="5">
        <v>53</v>
      </c>
      <c r="C915" s="4" t="s">
        <v>23</v>
      </c>
      <c r="D915" s="4" t="s">
        <v>98</v>
      </c>
      <c r="E915" s="4" t="s">
        <v>25</v>
      </c>
      <c r="F915" s="4" t="s">
        <v>30</v>
      </c>
      <c r="G915" s="6">
        <v>30500</v>
      </c>
      <c r="H915" s="5">
        <v>6</v>
      </c>
      <c r="I915" s="7">
        <v>43768</v>
      </c>
      <c r="J915" s="4" t="s">
        <v>39</v>
      </c>
      <c r="K915" s="5">
        <v>4</v>
      </c>
      <c r="L915" s="6">
        <v>2059.4899999999998</v>
      </c>
      <c r="M915" s="6">
        <v>10950.35</v>
      </c>
      <c r="N915" s="5">
        <v>16</v>
      </c>
      <c r="O915" s="6">
        <v>36.81</v>
      </c>
      <c r="P915" s="5">
        <v>3</v>
      </c>
      <c r="Q915" s="6">
        <v>0</v>
      </c>
      <c r="R915" s="6">
        <v>0</v>
      </c>
      <c r="S915" s="6">
        <v>145000</v>
      </c>
      <c r="T915" s="6">
        <v>871</v>
      </c>
      <c r="U915" s="5">
        <v>629</v>
      </c>
      <c r="V915" s="5">
        <v>0</v>
      </c>
    </row>
    <row r="916" spans="1:22" x14ac:dyDescent="0.25">
      <c r="A916" s="4" t="s">
        <v>990</v>
      </c>
      <c r="B916" s="5">
        <v>37</v>
      </c>
      <c r="C916" s="4" t="s">
        <v>33</v>
      </c>
      <c r="D916" s="4" t="s">
        <v>29</v>
      </c>
      <c r="E916" s="4" t="s">
        <v>45</v>
      </c>
      <c r="F916" s="4" t="s">
        <v>30</v>
      </c>
      <c r="G916" s="6">
        <v>18400</v>
      </c>
      <c r="H916" s="5">
        <v>6</v>
      </c>
      <c r="I916" s="7">
        <v>43754</v>
      </c>
      <c r="J916" s="4" t="s">
        <v>27</v>
      </c>
      <c r="K916" s="5">
        <v>3</v>
      </c>
      <c r="L916" s="6">
        <v>1308.51</v>
      </c>
      <c r="M916" s="6">
        <v>7690.39</v>
      </c>
      <c r="N916" s="5">
        <v>25</v>
      </c>
      <c r="O916" s="6">
        <v>28.69</v>
      </c>
      <c r="P916" s="5">
        <v>3</v>
      </c>
      <c r="Q916" s="6">
        <v>2500</v>
      </c>
      <c r="R916" s="6">
        <v>760.94</v>
      </c>
      <c r="S916" s="6">
        <v>77000</v>
      </c>
      <c r="T916" s="6">
        <v>384</v>
      </c>
      <c r="U916" s="5">
        <v>525</v>
      </c>
      <c r="V916" s="5">
        <v>0</v>
      </c>
    </row>
    <row r="917" spans="1:22" x14ac:dyDescent="0.25">
      <c r="A917" s="4" t="s">
        <v>991</v>
      </c>
      <c r="B917" s="5">
        <v>66</v>
      </c>
      <c r="C917" s="4" t="s">
        <v>23</v>
      </c>
      <c r="D917" s="4" t="s">
        <v>57</v>
      </c>
      <c r="E917" s="4" t="s">
        <v>95</v>
      </c>
      <c r="F917" s="4" t="s">
        <v>30</v>
      </c>
      <c r="G917" s="6">
        <v>22100</v>
      </c>
      <c r="H917" s="5">
        <v>7</v>
      </c>
      <c r="I917" s="7">
        <v>43705</v>
      </c>
      <c r="J917" s="4" t="s">
        <v>39</v>
      </c>
      <c r="K917" s="5">
        <v>6</v>
      </c>
      <c r="L917" s="6">
        <v>2686.91</v>
      </c>
      <c r="M917" s="6">
        <v>11314.3</v>
      </c>
      <c r="N917" s="5">
        <v>20</v>
      </c>
      <c r="O917" s="6">
        <v>45.04</v>
      </c>
      <c r="P917" s="5">
        <v>8</v>
      </c>
      <c r="Q917" s="6">
        <v>2500</v>
      </c>
      <c r="R917" s="6">
        <v>1159.21</v>
      </c>
      <c r="S917" s="6">
        <v>0</v>
      </c>
      <c r="T917" s="6">
        <v>0</v>
      </c>
      <c r="U917" s="5">
        <v>514</v>
      </c>
      <c r="V917" s="5">
        <v>0</v>
      </c>
    </row>
    <row r="918" spans="1:22" x14ac:dyDescent="0.25">
      <c r="A918" s="4" t="s">
        <v>992</v>
      </c>
      <c r="B918" s="5">
        <v>39</v>
      </c>
      <c r="C918" s="4" t="s">
        <v>33</v>
      </c>
      <c r="D918" s="4" t="s">
        <v>29</v>
      </c>
      <c r="E918" s="4" t="s">
        <v>54</v>
      </c>
      <c r="F918" s="4" t="s">
        <v>30</v>
      </c>
      <c r="G918" s="6">
        <v>32200</v>
      </c>
      <c r="H918" s="5">
        <v>6</v>
      </c>
      <c r="I918" s="7">
        <v>43975</v>
      </c>
      <c r="J918" s="4" t="s">
        <v>39</v>
      </c>
      <c r="K918" s="5">
        <v>3</v>
      </c>
      <c r="L918" s="6">
        <v>2760.93</v>
      </c>
      <c r="M918" s="6">
        <v>0</v>
      </c>
      <c r="N918" s="5">
        <v>33</v>
      </c>
      <c r="O918" s="6">
        <v>78.569999999999993</v>
      </c>
      <c r="P918" s="5">
        <v>5</v>
      </c>
      <c r="Q918" s="6">
        <v>4500</v>
      </c>
      <c r="R918" s="6">
        <v>1651.67</v>
      </c>
      <c r="S918" s="6">
        <v>125000</v>
      </c>
      <c r="T918" s="6">
        <v>613</v>
      </c>
      <c r="U918" s="5">
        <v>698</v>
      </c>
      <c r="V918" s="5">
        <v>0</v>
      </c>
    </row>
    <row r="919" spans="1:22" x14ac:dyDescent="0.25">
      <c r="A919" s="4" t="s">
        <v>993</v>
      </c>
      <c r="B919" s="5">
        <v>49</v>
      </c>
      <c r="C919" s="4" t="s">
        <v>23</v>
      </c>
      <c r="D919" s="4" t="s">
        <v>34</v>
      </c>
      <c r="E919" s="4" t="s">
        <v>63</v>
      </c>
      <c r="F919" s="4" t="s">
        <v>26</v>
      </c>
      <c r="G919" s="6">
        <v>46400</v>
      </c>
      <c r="H919" s="5">
        <v>11</v>
      </c>
      <c r="I919" s="7">
        <v>41949</v>
      </c>
      <c r="J919" s="4" t="s">
        <v>31</v>
      </c>
      <c r="K919" s="5">
        <v>1</v>
      </c>
      <c r="L919" s="6">
        <v>5462.61</v>
      </c>
      <c r="M919" s="6">
        <v>0</v>
      </c>
      <c r="N919" s="5">
        <v>39</v>
      </c>
      <c r="O919" s="6">
        <v>54.68</v>
      </c>
      <c r="P919" s="5">
        <v>1</v>
      </c>
      <c r="Q919" s="6">
        <v>0</v>
      </c>
      <c r="R919" s="6">
        <v>0</v>
      </c>
      <c r="S919" s="6">
        <v>190000</v>
      </c>
      <c r="T919" s="6">
        <v>941</v>
      </c>
      <c r="U919" s="5">
        <v>716</v>
      </c>
      <c r="V919" s="5">
        <v>0</v>
      </c>
    </row>
    <row r="920" spans="1:22" x14ac:dyDescent="0.25">
      <c r="A920" s="4" t="s">
        <v>994</v>
      </c>
      <c r="B920" s="5">
        <v>71</v>
      </c>
      <c r="C920" s="4" t="s">
        <v>33</v>
      </c>
      <c r="D920" s="4" t="s">
        <v>59</v>
      </c>
      <c r="E920" s="4" t="s">
        <v>95</v>
      </c>
      <c r="F920" s="4" t="s">
        <v>38</v>
      </c>
      <c r="G920" s="6">
        <v>30800</v>
      </c>
      <c r="H920" s="5">
        <v>19</v>
      </c>
      <c r="I920" s="7">
        <v>39094</v>
      </c>
      <c r="J920" s="4" t="s">
        <v>39</v>
      </c>
      <c r="K920" s="5">
        <v>3</v>
      </c>
      <c r="L920" s="6">
        <v>3527.46</v>
      </c>
      <c r="M920" s="6">
        <v>67534.720000000001</v>
      </c>
      <c r="N920" s="5">
        <v>27</v>
      </c>
      <c r="O920" s="6">
        <v>79.14</v>
      </c>
      <c r="P920" s="5">
        <v>3</v>
      </c>
      <c r="Q920" s="6">
        <v>4000</v>
      </c>
      <c r="R920" s="6">
        <v>1298.55</v>
      </c>
      <c r="S920" s="6">
        <v>0</v>
      </c>
      <c r="T920" s="6">
        <v>0</v>
      </c>
      <c r="U920" s="5">
        <v>680</v>
      </c>
      <c r="V920" s="5">
        <v>0</v>
      </c>
    </row>
    <row r="921" spans="1:22" x14ac:dyDescent="0.25">
      <c r="A921" s="4" t="s">
        <v>995</v>
      </c>
      <c r="B921" s="5">
        <v>19</v>
      </c>
      <c r="C921" s="4" t="s">
        <v>33</v>
      </c>
      <c r="D921" s="4" t="s">
        <v>34</v>
      </c>
      <c r="E921" s="4" t="s">
        <v>67</v>
      </c>
      <c r="F921" s="4" t="s">
        <v>26</v>
      </c>
      <c r="G921" s="6">
        <v>3900</v>
      </c>
      <c r="H921" s="5">
        <v>0</v>
      </c>
      <c r="I921" s="7">
        <v>46166</v>
      </c>
      <c r="J921" s="4" t="s">
        <v>31</v>
      </c>
      <c r="K921" s="5">
        <v>1</v>
      </c>
      <c r="L921" s="6">
        <v>213.17</v>
      </c>
      <c r="M921" s="6">
        <v>399.69</v>
      </c>
      <c r="N921" s="5">
        <v>22</v>
      </c>
      <c r="O921" s="6">
        <v>39.32</v>
      </c>
      <c r="P921" s="5">
        <v>4</v>
      </c>
      <c r="Q921" s="6">
        <v>1000</v>
      </c>
      <c r="R921" s="6">
        <v>404.48</v>
      </c>
      <c r="S921" s="6">
        <v>0</v>
      </c>
      <c r="T921" s="6">
        <v>0</v>
      </c>
      <c r="U921" s="5">
        <v>520</v>
      </c>
      <c r="V921" s="5">
        <v>0</v>
      </c>
    </row>
    <row r="922" spans="1:22" x14ac:dyDescent="0.25">
      <c r="A922" s="4" t="s">
        <v>996</v>
      </c>
      <c r="B922" s="5">
        <v>46</v>
      </c>
      <c r="C922" s="4" t="s">
        <v>33</v>
      </c>
      <c r="D922" s="4" t="s">
        <v>98</v>
      </c>
      <c r="E922" s="4" t="s">
        <v>25</v>
      </c>
      <c r="F922" s="4" t="s">
        <v>26</v>
      </c>
      <c r="G922" s="6">
        <v>27500</v>
      </c>
      <c r="H922" s="5">
        <v>19</v>
      </c>
      <c r="I922" s="7">
        <v>39110</v>
      </c>
      <c r="J922" s="4" t="s">
        <v>27</v>
      </c>
      <c r="K922" s="5">
        <v>1</v>
      </c>
      <c r="L922" s="6">
        <v>3414.85</v>
      </c>
      <c r="M922" s="6">
        <v>0</v>
      </c>
      <c r="N922" s="5">
        <v>35</v>
      </c>
      <c r="O922" s="6">
        <v>83.12</v>
      </c>
      <c r="P922" s="5">
        <v>4</v>
      </c>
      <c r="Q922" s="6">
        <v>3500</v>
      </c>
      <c r="R922" s="6">
        <v>1001.15</v>
      </c>
      <c r="S922" s="6">
        <v>0</v>
      </c>
      <c r="T922" s="6">
        <v>0</v>
      </c>
      <c r="U922" s="5">
        <v>678</v>
      </c>
      <c r="V922" s="5">
        <v>0</v>
      </c>
    </row>
    <row r="923" spans="1:22" x14ac:dyDescent="0.25">
      <c r="A923" s="4" t="s">
        <v>997</v>
      </c>
      <c r="B923" s="5">
        <v>49</v>
      </c>
      <c r="C923" s="4" t="s">
        <v>33</v>
      </c>
      <c r="D923" s="4" t="s">
        <v>24</v>
      </c>
      <c r="E923" s="4" t="s">
        <v>35</v>
      </c>
      <c r="F923" s="4" t="s">
        <v>30</v>
      </c>
      <c r="G923" s="6">
        <v>29500</v>
      </c>
      <c r="H923" s="5">
        <v>9</v>
      </c>
      <c r="I923" s="7">
        <v>42691</v>
      </c>
      <c r="J923" s="4" t="s">
        <v>31</v>
      </c>
      <c r="K923" s="5">
        <v>2</v>
      </c>
      <c r="L923" s="6">
        <v>1094.3699999999999</v>
      </c>
      <c r="M923" s="6">
        <v>12343.88</v>
      </c>
      <c r="N923" s="5">
        <v>32</v>
      </c>
      <c r="O923" s="6">
        <v>77.349999999999994</v>
      </c>
      <c r="P923" s="5">
        <v>2</v>
      </c>
      <c r="Q923" s="6">
        <v>4000</v>
      </c>
      <c r="R923" s="6">
        <v>438.51</v>
      </c>
      <c r="S923" s="6">
        <v>0</v>
      </c>
      <c r="T923" s="6">
        <v>0</v>
      </c>
      <c r="U923" s="5">
        <v>640</v>
      </c>
      <c r="V923" s="5">
        <v>1</v>
      </c>
    </row>
    <row r="924" spans="1:22" x14ac:dyDescent="0.25">
      <c r="A924" s="4" t="s">
        <v>998</v>
      </c>
      <c r="B924" s="5">
        <v>41</v>
      </c>
      <c r="C924" s="4" t="s">
        <v>23</v>
      </c>
      <c r="D924" s="4" t="s">
        <v>59</v>
      </c>
      <c r="E924" s="4" t="s">
        <v>45</v>
      </c>
      <c r="F924" s="4" t="s">
        <v>30</v>
      </c>
      <c r="G924" s="6">
        <v>22400</v>
      </c>
      <c r="H924" s="5">
        <v>6</v>
      </c>
      <c r="I924" s="7">
        <v>43999</v>
      </c>
      <c r="J924" s="4" t="s">
        <v>39</v>
      </c>
      <c r="K924" s="5">
        <v>1</v>
      </c>
      <c r="L924" s="6">
        <v>1798.88</v>
      </c>
      <c r="M924" s="6">
        <v>18526.990000000002</v>
      </c>
      <c r="N924" s="5">
        <v>18</v>
      </c>
      <c r="O924" s="6">
        <v>24.81</v>
      </c>
      <c r="P924" s="5">
        <v>9</v>
      </c>
      <c r="Q924" s="6">
        <v>5500</v>
      </c>
      <c r="R924" s="6">
        <v>1522.92</v>
      </c>
      <c r="S924" s="6">
        <v>0</v>
      </c>
      <c r="T924" s="6">
        <v>0</v>
      </c>
      <c r="U924" s="5">
        <v>628</v>
      </c>
      <c r="V924" s="5">
        <v>0</v>
      </c>
    </row>
    <row r="925" spans="1:22" x14ac:dyDescent="0.25">
      <c r="A925" s="4" t="s">
        <v>999</v>
      </c>
      <c r="B925" s="5">
        <v>36</v>
      </c>
      <c r="C925" s="4" t="s">
        <v>23</v>
      </c>
      <c r="D925" s="4" t="s">
        <v>29</v>
      </c>
      <c r="E925" s="4" t="s">
        <v>35</v>
      </c>
      <c r="F925" s="4" t="s">
        <v>30</v>
      </c>
      <c r="G925" s="6">
        <v>60100</v>
      </c>
      <c r="H925" s="5">
        <v>15</v>
      </c>
      <c r="I925" s="7">
        <v>40666</v>
      </c>
      <c r="J925" s="4" t="s">
        <v>27</v>
      </c>
      <c r="K925" s="5">
        <v>5</v>
      </c>
      <c r="L925" s="6">
        <v>2115.37</v>
      </c>
      <c r="M925" s="6">
        <v>45531.31</v>
      </c>
      <c r="N925" s="5">
        <v>38</v>
      </c>
      <c r="O925" s="6">
        <v>68.61</v>
      </c>
      <c r="P925" s="5">
        <v>3</v>
      </c>
      <c r="Q925" s="6">
        <v>12000</v>
      </c>
      <c r="R925" s="6">
        <v>2439.33</v>
      </c>
      <c r="S925" s="6">
        <v>271000</v>
      </c>
      <c r="T925" s="6">
        <v>0</v>
      </c>
      <c r="U925" s="5">
        <v>635</v>
      </c>
      <c r="V925" s="5">
        <v>0</v>
      </c>
    </row>
    <row r="926" spans="1:22" x14ac:dyDescent="0.25">
      <c r="A926" s="4" t="s">
        <v>1000</v>
      </c>
      <c r="B926" s="5">
        <v>49</v>
      </c>
      <c r="C926" s="4" t="s">
        <v>23</v>
      </c>
      <c r="D926" s="4" t="s">
        <v>98</v>
      </c>
      <c r="E926" s="4" t="s">
        <v>90</v>
      </c>
      <c r="F926" s="4" t="s">
        <v>30</v>
      </c>
      <c r="G926" s="6">
        <v>97400</v>
      </c>
      <c r="H926" s="5">
        <v>14</v>
      </c>
      <c r="I926" s="7">
        <v>40894</v>
      </c>
      <c r="J926" s="4" t="s">
        <v>27</v>
      </c>
      <c r="K926" s="5">
        <v>3</v>
      </c>
      <c r="L926" s="6">
        <v>11216.56</v>
      </c>
      <c r="M926" s="6">
        <v>140011.23000000001</v>
      </c>
      <c r="N926" s="5">
        <v>58</v>
      </c>
      <c r="O926" s="6">
        <v>165.63</v>
      </c>
      <c r="P926" s="5">
        <v>1</v>
      </c>
      <c r="Q926" s="6">
        <v>0</v>
      </c>
      <c r="R926" s="6">
        <v>0</v>
      </c>
      <c r="S926" s="6">
        <v>0</v>
      </c>
      <c r="T926" s="6">
        <v>0</v>
      </c>
      <c r="U926" s="5">
        <v>669</v>
      </c>
      <c r="V926" s="5">
        <v>1</v>
      </c>
    </row>
    <row r="927" spans="1:22" x14ac:dyDescent="0.25">
      <c r="A927" s="4" t="s">
        <v>1001</v>
      </c>
      <c r="B927" s="5">
        <v>43</v>
      </c>
      <c r="C927" s="4" t="s">
        <v>33</v>
      </c>
      <c r="D927" s="4" t="s">
        <v>59</v>
      </c>
      <c r="E927" s="4" t="s">
        <v>35</v>
      </c>
      <c r="F927" s="4" t="s">
        <v>30</v>
      </c>
      <c r="G927" s="6">
        <v>59500</v>
      </c>
      <c r="H927" s="5">
        <v>11</v>
      </c>
      <c r="I927" s="7">
        <v>42082</v>
      </c>
      <c r="J927" s="4" t="s">
        <v>27</v>
      </c>
      <c r="K927" s="5">
        <v>1</v>
      </c>
      <c r="L927" s="6">
        <v>2688.46</v>
      </c>
      <c r="M927" s="6">
        <v>42259.27</v>
      </c>
      <c r="N927" s="5">
        <v>39</v>
      </c>
      <c r="O927" s="6">
        <v>75.23</v>
      </c>
      <c r="P927" s="5">
        <v>2</v>
      </c>
      <c r="Q927" s="6">
        <v>8500</v>
      </c>
      <c r="R927" s="6">
        <v>894.02</v>
      </c>
      <c r="S927" s="6">
        <v>138000</v>
      </c>
      <c r="T927" s="6">
        <v>1014</v>
      </c>
      <c r="U927" s="5">
        <v>736</v>
      </c>
      <c r="V927" s="5">
        <v>0</v>
      </c>
    </row>
    <row r="928" spans="1:22" x14ac:dyDescent="0.25">
      <c r="A928" s="4" t="s">
        <v>1002</v>
      </c>
      <c r="B928" s="5">
        <v>44</v>
      </c>
      <c r="C928" s="4" t="s">
        <v>33</v>
      </c>
      <c r="D928" s="4" t="s">
        <v>34</v>
      </c>
      <c r="E928" s="4" t="s">
        <v>25</v>
      </c>
      <c r="F928" s="4" t="s">
        <v>30</v>
      </c>
      <c r="G928" s="6">
        <v>27400</v>
      </c>
      <c r="H928" s="5">
        <v>16</v>
      </c>
      <c r="I928" s="7">
        <v>40318</v>
      </c>
      <c r="J928" s="4" t="s">
        <v>27</v>
      </c>
      <c r="K928" s="5">
        <v>3</v>
      </c>
      <c r="L928" s="6">
        <v>1853.17</v>
      </c>
      <c r="M928" s="6">
        <v>63533.98</v>
      </c>
      <c r="N928" s="5">
        <v>30</v>
      </c>
      <c r="O928" s="6">
        <v>55.75</v>
      </c>
      <c r="P928" s="5">
        <v>2</v>
      </c>
      <c r="Q928" s="6">
        <v>6000</v>
      </c>
      <c r="R928" s="6">
        <v>3963.05</v>
      </c>
      <c r="S928" s="6">
        <v>78000</v>
      </c>
      <c r="T928" s="6">
        <v>428</v>
      </c>
      <c r="U928" s="5">
        <v>602</v>
      </c>
      <c r="V928" s="5">
        <v>0</v>
      </c>
    </row>
    <row r="929" spans="1:22" x14ac:dyDescent="0.25">
      <c r="A929" s="4" t="s">
        <v>1003</v>
      </c>
      <c r="B929" s="5">
        <v>70</v>
      </c>
      <c r="C929" s="4" t="s">
        <v>23</v>
      </c>
      <c r="D929" s="4" t="s">
        <v>51</v>
      </c>
      <c r="E929" s="4" t="s">
        <v>95</v>
      </c>
      <c r="F929" s="4" t="s">
        <v>38</v>
      </c>
      <c r="G929" s="6">
        <v>27</v>
      </c>
      <c r="H929" s="5">
        <v>23</v>
      </c>
      <c r="I929" s="7">
        <v>37642</v>
      </c>
      <c r="J929" s="4" t="s">
        <v>39</v>
      </c>
      <c r="K929" s="5">
        <v>4</v>
      </c>
      <c r="L929" s="6">
        <v>6450.95</v>
      </c>
      <c r="M929" s="6">
        <v>52074.3</v>
      </c>
      <c r="N929" s="5">
        <v>18</v>
      </c>
      <c r="O929" s="6">
        <v>51.3</v>
      </c>
      <c r="P929" s="5">
        <v>6</v>
      </c>
      <c r="Q929" s="6">
        <v>3500</v>
      </c>
      <c r="R929" s="6">
        <v>2209.12</v>
      </c>
      <c r="S929" s="6">
        <v>0</v>
      </c>
      <c r="T929" s="6">
        <v>0</v>
      </c>
      <c r="U929" s="5">
        <v>696</v>
      </c>
      <c r="V929" s="5">
        <v>0</v>
      </c>
    </row>
    <row r="930" spans="1:22" x14ac:dyDescent="0.25">
      <c r="A930" s="4" t="s">
        <v>1004</v>
      </c>
      <c r="B930" s="5">
        <v>59</v>
      </c>
      <c r="C930" s="4" t="s">
        <v>23</v>
      </c>
      <c r="D930" s="4" t="s">
        <v>34</v>
      </c>
      <c r="E930" s="4" t="s">
        <v>25</v>
      </c>
      <c r="F930" s="4" t="s">
        <v>30</v>
      </c>
      <c r="G930" s="6">
        <v>35000</v>
      </c>
      <c r="H930" s="5">
        <v>8</v>
      </c>
      <c r="I930" s="7">
        <v>43301</v>
      </c>
      <c r="J930" s="4" t="s">
        <v>27</v>
      </c>
      <c r="K930" s="5">
        <v>1</v>
      </c>
      <c r="L930" s="6">
        <v>3184.38</v>
      </c>
      <c r="M930" s="6">
        <v>51418.51</v>
      </c>
      <c r="N930" s="5">
        <v>40</v>
      </c>
      <c r="O930" s="6">
        <v>41.29</v>
      </c>
      <c r="P930" s="5">
        <v>5</v>
      </c>
      <c r="Q930" s="6">
        <v>4000</v>
      </c>
      <c r="R930" s="6">
        <v>799.75</v>
      </c>
      <c r="S930" s="6">
        <v>155000</v>
      </c>
      <c r="T930" s="6">
        <v>916</v>
      </c>
      <c r="U930" s="5">
        <v>620</v>
      </c>
      <c r="V930" s="5">
        <v>1</v>
      </c>
    </row>
    <row r="931" spans="1:22" x14ac:dyDescent="0.25">
      <c r="A931" s="4" t="s">
        <v>1005</v>
      </c>
      <c r="B931" s="5">
        <v>50</v>
      </c>
      <c r="C931" s="4" t="s">
        <v>33</v>
      </c>
      <c r="D931" s="4" t="s">
        <v>34</v>
      </c>
      <c r="E931" s="4" t="s">
        <v>63</v>
      </c>
      <c r="F931" s="4" t="s">
        <v>30</v>
      </c>
      <c r="G931" s="6">
        <v>29200</v>
      </c>
      <c r="H931" s="5">
        <v>6</v>
      </c>
      <c r="I931" s="7">
        <v>43738</v>
      </c>
      <c r="J931" s="4" t="s">
        <v>39</v>
      </c>
      <c r="K931" s="5">
        <v>2</v>
      </c>
      <c r="L931" s="6">
        <v>8244.42</v>
      </c>
      <c r="M931" s="6">
        <v>9937.93</v>
      </c>
      <c r="N931" s="5">
        <v>16</v>
      </c>
      <c r="O931" s="6">
        <v>46.45</v>
      </c>
      <c r="P931" s="5">
        <v>6</v>
      </c>
      <c r="Q931" s="6">
        <v>4500</v>
      </c>
      <c r="R931" s="6">
        <v>611.15</v>
      </c>
      <c r="S931" s="6">
        <v>140000</v>
      </c>
      <c r="T931" s="6">
        <v>730</v>
      </c>
      <c r="U931" s="5">
        <v>631</v>
      </c>
      <c r="V931" s="5">
        <v>0</v>
      </c>
    </row>
    <row r="932" spans="1:22" x14ac:dyDescent="0.25">
      <c r="A932" s="4" t="s">
        <v>1006</v>
      </c>
      <c r="B932" s="5">
        <v>66</v>
      </c>
      <c r="C932" s="4" t="s">
        <v>33</v>
      </c>
      <c r="D932" s="4" t="s">
        <v>37</v>
      </c>
      <c r="E932" s="4" t="s">
        <v>95</v>
      </c>
      <c r="F932" s="4" t="s">
        <v>30</v>
      </c>
      <c r="G932" s="6">
        <v>41300</v>
      </c>
      <c r="H932" s="5">
        <v>13</v>
      </c>
      <c r="I932" s="7">
        <v>41368</v>
      </c>
      <c r="J932" s="4" t="s">
        <v>49</v>
      </c>
      <c r="K932" s="5">
        <v>3</v>
      </c>
      <c r="L932" s="6">
        <v>3850.92</v>
      </c>
      <c r="M932" s="6">
        <v>0</v>
      </c>
      <c r="N932" s="5">
        <v>22</v>
      </c>
      <c r="O932" s="6">
        <v>78.05</v>
      </c>
      <c r="P932" s="5">
        <v>4</v>
      </c>
      <c r="Q932" s="6">
        <v>0</v>
      </c>
      <c r="R932" s="6">
        <v>0</v>
      </c>
      <c r="S932" s="6">
        <v>0</v>
      </c>
      <c r="T932" s="6">
        <v>0</v>
      </c>
      <c r="U932" s="5">
        <v>750</v>
      </c>
      <c r="V932" s="5">
        <v>0</v>
      </c>
    </row>
    <row r="933" spans="1:22" x14ac:dyDescent="0.25">
      <c r="A933" s="4" t="s">
        <v>1007</v>
      </c>
      <c r="B933" s="5">
        <v>53</v>
      </c>
      <c r="C933" s="4" t="s">
        <v>23</v>
      </c>
      <c r="D933" s="4" t="s">
        <v>34</v>
      </c>
      <c r="E933" s="4" t="s">
        <v>90</v>
      </c>
      <c r="F933" s="4" t="s">
        <v>30</v>
      </c>
      <c r="G933" s="6">
        <v>148400</v>
      </c>
      <c r="H933" s="5">
        <v>3</v>
      </c>
      <c r="I933" s="7">
        <v>44949</v>
      </c>
      <c r="J933" s="4" t="s">
        <v>39</v>
      </c>
      <c r="K933" s="5">
        <v>2</v>
      </c>
      <c r="L933" s="6">
        <v>-218.06</v>
      </c>
      <c r="M933" s="6">
        <v>116194.13</v>
      </c>
      <c r="N933" s="5">
        <v>70</v>
      </c>
      <c r="O933" s="6">
        <v>84.73</v>
      </c>
      <c r="P933" s="5">
        <v>0</v>
      </c>
      <c r="Q933" s="6">
        <v>15000</v>
      </c>
      <c r="R933" s="6">
        <v>3076.63</v>
      </c>
      <c r="S933" s="6">
        <v>376000</v>
      </c>
      <c r="T933" s="6">
        <v>2271</v>
      </c>
      <c r="U933" s="5">
        <v>733</v>
      </c>
      <c r="V933" s="5">
        <v>0</v>
      </c>
    </row>
    <row r="934" spans="1:22" x14ac:dyDescent="0.25">
      <c r="A934" s="4" t="s">
        <v>1008</v>
      </c>
      <c r="B934" s="5">
        <v>48</v>
      </c>
      <c r="C934" s="4" t="s">
        <v>23</v>
      </c>
      <c r="D934" s="4" t="s">
        <v>108</v>
      </c>
      <c r="E934" s="4" t="s">
        <v>45</v>
      </c>
      <c r="F934" s="4" t="s">
        <v>30</v>
      </c>
      <c r="G934" s="6">
        <v>20500</v>
      </c>
      <c r="H934" s="5">
        <v>2</v>
      </c>
      <c r="I934" s="7">
        <v>45450</v>
      </c>
      <c r="J934" s="4" t="s">
        <v>39</v>
      </c>
      <c r="K934" s="5">
        <v>3</v>
      </c>
      <c r="L934" s="6">
        <v>1731.3</v>
      </c>
      <c r="M934" s="6">
        <v>0</v>
      </c>
      <c r="N934" s="5">
        <v>15</v>
      </c>
      <c r="O934" s="6">
        <v>52.34</v>
      </c>
      <c r="P934" s="5">
        <v>4</v>
      </c>
      <c r="Q934" s="6">
        <v>4500</v>
      </c>
      <c r="R934" s="6">
        <v>787.41</v>
      </c>
      <c r="S934" s="6">
        <v>59000</v>
      </c>
      <c r="T934" s="6">
        <v>290</v>
      </c>
      <c r="U934" s="5">
        <v>542</v>
      </c>
      <c r="V934" s="5">
        <v>1</v>
      </c>
    </row>
    <row r="935" spans="1:22" x14ac:dyDescent="0.25">
      <c r="A935" s="4" t="s">
        <v>1009</v>
      </c>
      <c r="B935" s="5">
        <v>38</v>
      </c>
      <c r="C935" s="4" t="s">
        <v>33</v>
      </c>
      <c r="D935" s="4" t="s">
        <v>57</v>
      </c>
      <c r="E935" s="4" t="s">
        <v>45</v>
      </c>
      <c r="F935" s="4" t="s">
        <v>30</v>
      </c>
      <c r="G935" s="6">
        <v>24500</v>
      </c>
      <c r="H935" s="5">
        <v>2</v>
      </c>
      <c r="I935" s="7">
        <v>45414</v>
      </c>
      <c r="J935" s="4" t="s">
        <v>31</v>
      </c>
      <c r="K935" s="5">
        <v>4</v>
      </c>
      <c r="L935" s="6">
        <v>3795.79</v>
      </c>
      <c r="M935" s="6">
        <v>0</v>
      </c>
      <c r="N935" s="5">
        <v>39</v>
      </c>
      <c r="O935" s="6">
        <v>34.119999999999997</v>
      </c>
      <c r="P935" s="5">
        <v>2</v>
      </c>
      <c r="Q935" s="6">
        <v>4500</v>
      </c>
      <c r="R935" s="6">
        <v>1837.4</v>
      </c>
      <c r="S935" s="6">
        <v>0</v>
      </c>
      <c r="T935" s="6">
        <v>0</v>
      </c>
      <c r="U935" s="5">
        <v>523</v>
      </c>
      <c r="V935" s="5">
        <v>0</v>
      </c>
    </row>
    <row r="936" spans="1:22" x14ac:dyDescent="0.25">
      <c r="A936" s="4" t="s">
        <v>1010</v>
      </c>
      <c r="B936" s="5">
        <v>37</v>
      </c>
      <c r="C936" s="4" t="s">
        <v>33</v>
      </c>
      <c r="D936" s="4" t="s">
        <v>24</v>
      </c>
      <c r="E936" s="4" t="s">
        <v>42</v>
      </c>
      <c r="F936" s="4" t="s">
        <v>30</v>
      </c>
      <c r="G936" s="6">
        <v>57200</v>
      </c>
      <c r="H936" s="5">
        <v>0</v>
      </c>
      <c r="I936" s="7">
        <v>45926</v>
      </c>
      <c r="J936" s="4" t="s">
        <v>27</v>
      </c>
      <c r="K936" s="5">
        <v>1</v>
      </c>
      <c r="L936" s="6">
        <v>17612.82</v>
      </c>
      <c r="M936" s="6">
        <v>12064.45</v>
      </c>
      <c r="N936" s="5">
        <v>28</v>
      </c>
      <c r="O936" s="6">
        <v>77.66</v>
      </c>
      <c r="P936" s="5">
        <v>3</v>
      </c>
      <c r="Q936" s="6">
        <v>0</v>
      </c>
      <c r="R936" s="6">
        <v>0</v>
      </c>
      <c r="S936" s="6">
        <v>281000</v>
      </c>
      <c r="T936" s="6">
        <v>1997</v>
      </c>
      <c r="U936" s="5">
        <v>548</v>
      </c>
      <c r="V936" s="5">
        <v>0</v>
      </c>
    </row>
    <row r="937" spans="1:22" x14ac:dyDescent="0.25">
      <c r="A937" s="4" t="s">
        <v>1011</v>
      </c>
      <c r="B937" s="5">
        <v>34</v>
      </c>
      <c r="C937" s="4" t="s">
        <v>23</v>
      </c>
      <c r="D937" s="4" t="s">
        <v>34</v>
      </c>
      <c r="E937" s="4" t="s">
        <v>42</v>
      </c>
      <c r="F937" s="4" t="s">
        <v>30</v>
      </c>
      <c r="G937" s="6">
        <v>79800</v>
      </c>
      <c r="H937" s="5">
        <v>7</v>
      </c>
      <c r="I937" s="7">
        <v>43525</v>
      </c>
      <c r="J937" s="4" t="s">
        <v>31</v>
      </c>
      <c r="K937" s="5">
        <v>2</v>
      </c>
      <c r="L937" s="6">
        <v>7938.82</v>
      </c>
      <c r="M937" s="6">
        <v>0</v>
      </c>
      <c r="N937" s="5">
        <v>37</v>
      </c>
      <c r="O937" s="6">
        <v>39.94</v>
      </c>
      <c r="P937" s="5">
        <v>3</v>
      </c>
      <c r="Q937" s="6">
        <v>15000</v>
      </c>
      <c r="R937" s="6">
        <v>3045.61</v>
      </c>
      <c r="S937" s="6">
        <v>0</v>
      </c>
      <c r="T937" s="6">
        <v>0</v>
      </c>
      <c r="U937" s="5">
        <v>630</v>
      </c>
      <c r="V937" s="5">
        <v>1</v>
      </c>
    </row>
    <row r="938" spans="1:22" x14ac:dyDescent="0.25">
      <c r="A938" s="4" t="s">
        <v>1012</v>
      </c>
      <c r="B938" s="5">
        <v>45</v>
      </c>
      <c r="C938" s="4" t="s">
        <v>23</v>
      </c>
      <c r="D938" s="4" t="s">
        <v>57</v>
      </c>
      <c r="E938" s="4" t="s">
        <v>35</v>
      </c>
      <c r="F938" s="4" t="s">
        <v>30</v>
      </c>
      <c r="G938" s="6">
        <v>57600</v>
      </c>
      <c r="H938" s="5">
        <v>12</v>
      </c>
      <c r="I938" s="7">
        <v>41539</v>
      </c>
      <c r="J938" s="4" t="s">
        <v>31</v>
      </c>
      <c r="K938" s="5">
        <v>3</v>
      </c>
      <c r="L938" s="6">
        <v>7965.93</v>
      </c>
      <c r="M938" s="6">
        <v>26814.98</v>
      </c>
      <c r="N938" s="5">
        <v>44</v>
      </c>
      <c r="O938" s="6">
        <v>55.88</v>
      </c>
      <c r="P938" s="5">
        <v>1</v>
      </c>
      <c r="Q938" s="6">
        <v>13500</v>
      </c>
      <c r="R938" s="6">
        <v>2530.9899999999998</v>
      </c>
      <c r="S938" s="6">
        <v>0</v>
      </c>
      <c r="T938" s="6">
        <v>0</v>
      </c>
      <c r="U938" s="5">
        <v>647</v>
      </c>
      <c r="V938" s="5">
        <v>1</v>
      </c>
    </row>
    <row r="939" spans="1:22" x14ac:dyDescent="0.25">
      <c r="A939" s="4" t="s">
        <v>1013</v>
      </c>
      <c r="B939" s="5">
        <v>53</v>
      </c>
      <c r="C939" s="4" t="s">
        <v>33</v>
      </c>
      <c r="D939" s="4" t="s">
        <v>29</v>
      </c>
      <c r="E939" s="4" t="s">
        <v>45</v>
      </c>
      <c r="F939" s="4" t="s">
        <v>30</v>
      </c>
      <c r="G939" s="6">
        <v>20100</v>
      </c>
      <c r="H939" s="5">
        <v>7</v>
      </c>
      <c r="I939" s="7">
        <v>43529</v>
      </c>
      <c r="J939" s="4" t="s">
        <v>49</v>
      </c>
      <c r="K939" s="5">
        <v>1</v>
      </c>
      <c r="L939" s="6">
        <v>2482.85</v>
      </c>
      <c r="M939" s="6">
        <v>8705.2099999999991</v>
      </c>
      <c r="N939" s="5">
        <v>18</v>
      </c>
      <c r="O939" s="6">
        <v>35.270000000000003</v>
      </c>
      <c r="P939" s="5">
        <v>1</v>
      </c>
      <c r="Q939" s="6">
        <v>3500</v>
      </c>
      <c r="R939" s="6">
        <v>373.47</v>
      </c>
      <c r="S939" s="6">
        <v>0</v>
      </c>
      <c r="T939" s="6">
        <v>0</v>
      </c>
      <c r="U939" s="5">
        <v>740</v>
      </c>
      <c r="V939" s="5">
        <v>0</v>
      </c>
    </row>
    <row r="940" spans="1:22" x14ac:dyDescent="0.25">
      <c r="A940" s="4" t="s">
        <v>1014</v>
      </c>
      <c r="B940" s="5">
        <v>34</v>
      </c>
      <c r="C940" s="4" t="s">
        <v>33</v>
      </c>
      <c r="D940" s="4" t="s">
        <v>108</v>
      </c>
      <c r="E940" s="4" t="s">
        <v>54</v>
      </c>
      <c r="F940" s="4" t="s">
        <v>48</v>
      </c>
      <c r="G940" s="6">
        <v>65900</v>
      </c>
      <c r="H940" s="5">
        <v>4</v>
      </c>
      <c r="I940" s="7">
        <v>44526</v>
      </c>
      <c r="J940" s="4" t="s">
        <v>31</v>
      </c>
      <c r="K940" s="5">
        <v>3</v>
      </c>
      <c r="L940" s="6">
        <v>5393.39</v>
      </c>
      <c r="M940" s="6">
        <v>0</v>
      </c>
      <c r="N940" s="5">
        <v>37</v>
      </c>
      <c r="O940" s="6">
        <v>61.46</v>
      </c>
      <c r="P940" s="5">
        <v>2</v>
      </c>
      <c r="Q940" s="6">
        <v>13000</v>
      </c>
      <c r="R940" s="6">
        <v>9963.8799999999992</v>
      </c>
      <c r="S940" s="6">
        <v>0</v>
      </c>
      <c r="T940" s="6">
        <v>0</v>
      </c>
      <c r="U940" s="5">
        <v>701</v>
      </c>
      <c r="V940" s="5">
        <v>0</v>
      </c>
    </row>
    <row r="941" spans="1:22" x14ac:dyDescent="0.25">
      <c r="A941" s="4" t="s">
        <v>1015</v>
      </c>
      <c r="B941" s="5">
        <v>53</v>
      </c>
      <c r="C941" s="4" t="s">
        <v>23</v>
      </c>
      <c r="D941" s="4" t="s">
        <v>24</v>
      </c>
      <c r="E941" s="4" t="s">
        <v>63</v>
      </c>
      <c r="F941" s="4" t="s">
        <v>30</v>
      </c>
      <c r="G941" s="6">
        <v>28100</v>
      </c>
      <c r="H941" s="5">
        <v>7</v>
      </c>
      <c r="I941" s="7">
        <v>43364</v>
      </c>
      <c r="J941" s="4" t="s">
        <v>31</v>
      </c>
      <c r="K941" s="5">
        <v>2</v>
      </c>
      <c r="L941" s="6">
        <v>3530.88</v>
      </c>
      <c r="M941" s="6">
        <v>14714.3</v>
      </c>
      <c r="N941" s="5">
        <v>26</v>
      </c>
      <c r="O941" s="6">
        <v>65.180000000000007</v>
      </c>
      <c r="P941" s="5">
        <v>3</v>
      </c>
      <c r="Q941" s="6">
        <v>3000</v>
      </c>
      <c r="R941" s="6">
        <v>500.67</v>
      </c>
      <c r="S941" s="6">
        <v>0</v>
      </c>
      <c r="T941" s="6">
        <v>0</v>
      </c>
      <c r="U941" s="5">
        <v>618</v>
      </c>
      <c r="V941" s="5">
        <v>0</v>
      </c>
    </row>
    <row r="942" spans="1:22" x14ac:dyDescent="0.25">
      <c r="A942" s="4" t="s">
        <v>1016</v>
      </c>
      <c r="B942" s="5">
        <v>65</v>
      </c>
      <c r="C942" s="4" t="s">
        <v>33</v>
      </c>
      <c r="D942" s="4" t="s">
        <v>70</v>
      </c>
      <c r="E942" s="4" t="s">
        <v>45</v>
      </c>
      <c r="F942" s="4" t="s">
        <v>30</v>
      </c>
      <c r="G942" s="6">
        <v>17600</v>
      </c>
      <c r="H942" s="5">
        <v>25</v>
      </c>
      <c r="I942" s="7">
        <v>37098</v>
      </c>
      <c r="J942" s="4" t="s">
        <v>49</v>
      </c>
      <c r="K942" s="5">
        <v>4</v>
      </c>
      <c r="L942" s="6">
        <v>1850.27</v>
      </c>
      <c r="M942" s="6">
        <v>54089.2</v>
      </c>
      <c r="N942" s="5">
        <v>11</v>
      </c>
      <c r="O942" s="6">
        <v>25.72</v>
      </c>
      <c r="P942" s="5">
        <v>4</v>
      </c>
      <c r="Q942" s="6">
        <v>0</v>
      </c>
      <c r="R942" s="6">
        <v>0</v>
      </c>
      <c r="S942" s="6">
        <v>0</v>
      </c>
      <c r="T942" s="6">
        <v>0</v>
      </c>
      <c r="U942" s="5">
        <v>619</v>
      </c>
      <c r="V942" s="5">
        <v>1</v>
      </c>
    </row>
    <row r="943" spans="1:22" x14ac:dyDescent="0.25">
      <c r="A943" s="4" t="s">
        <v>1017</v>
      </c>
      <c r="B943" s="5">
        <v>999</v>
      </c>
      <c r="C943" s="4" t="s">
        <v>33</v>
      </c>
      <c r="D943" s="4" t="s">
        <v>44</v>
      </c>
      <c r="E943" s="4" t="s">
        <v>45</v>
      </c>
      <c r="F943" s="4" t="s">
        <v>48</v>
      </c>
      <c r="G943" s="6">
        <v>13300</v>
      </c>
      <c r="H943" s="5">
        <v>9</v>
      </c>
      <c r="I943" s="7">
        <v>42648</v>
      </c>
      <c r="J943" s="4" t="s">
        <v>49</v>
      </c>
      <c r="K943" s="5">
        <v>4</v>
      </c>
      <c r="L943" s="6">
        <v>649.63</v>
      </c>
      <c r="M943" s="6">
        <v>15866.41</v>
      </c>
      <c r="N943" s="5">
        <v>17</v>
      </c>
      <c r="O943" s="6">
        <v>23.67</v>
      </c>
      <c r="P943" s="5">
        <v>3</v>
      </c>
      <c r="Q943" s="6">
        <v>2500</v>
      </c>
      <c r="R943" s="6">
        <v>261.23</v>
      </c>
      <c r="S943" s="6">
        <v>0</v>
      </c>
      <c r="T943" s="6">
        <v>0</v>
      </c>
      <c r="U943" s="5">
        <v>651</v>
      </c>
      <c r="V943" s="5">
        <v>0</v>
      </c>
    </row>
    <row r="944" spans="1:22" x14ac:dyDescent="0.25">
      <c r="A944" s="4" t="s">
        <v>1018</v>
      </c>
      <c r="B944" s="5">
        <v>48</v>
      </c>
      <c r="C944" s="4" t="s">
        <v>33</v>
      </c>
      <c r="D944" s="4" t="s">
        <v>59</v>
      </c>
      <c r="E944" s="4" t="s">
        <v>25</v>
      </c>
      <c r="F944" s="4" t="s">
        <v>26</v>
      </c>
      <c r="G944" s="6">
        <v>30300</v>
      </c>
      <c r="H944" s="5">
        <v>17</v>
      </c>
      <c r="I944" s="7">
        <v>39975</v>
      </c>
      <c r="J944" s="4" t="s">
        <v>31</v>
      </c>
      <c r="K944" s="5">
        <v>1</v>
      </c>
      <c r="L944" s="6">
        <v>3410.24</v>
      </c>
      <c r="M944" s="6">
        <v>74436.479999999996</v>
      </c>
      <c r="N944" s="5">
        <v>29</v>
      </c>
      <c r="O944" s="6">
        <v>49.92</v>
      </c>
      <c r="P944" s="5">
        <v>0</v>
      </c>
      <c r="Q944" s="6">
        <v>3000</v>
      </c>
      <c r="R944" s="6">
        <v>1135.19</v>
      </c>
      <c r="S944" s="6">
        <v>106000</v>
      </c>
      <c r="T944" s="6">
        <v>778</v>
      </c>
      <c r="U944" s="5">
        <v>636</v>
      </c>
      <c r="V944" s="5">
        <v>1</v>
      </c>
    </row>
    <row r="945" spans="1:22" x14ac:dyDescent="0.25">
      <c r="A945" s="4" t="s">
        <v>1019</v>
      </c>
      <c r="B945" s="5">
        <v>97</v>
      </c>
      <c r="C945" s="4" t="s">
        <v>33</v>
      </c>
      <c r="D945" s="4" t="s">
        <v>34</v>
      </c>
      <c r="E945" s="4" t="s">
        <v>95</v>
      </c>
      <c r="F945" s="4" t="s">
        <v>38</v>
      </c>
      <c r="G945" s="6">
        <v>27200</v>
      </c>
      <c r="H945" s="5">
        <v>44</v>
      </c>
      <c r="I945" s="7">
        <v>30126</v>
      </c>
      <c r="J945" s="4" t="s">
        <v>39</v>
      </c>
      <c r="K945" s="5">
        <v>3</v>
      </c>
      <c r="L945" s="6">
        <v>1761.84</v>
      </c>
      <c r="M945" s="6">
        <v>15386.98</v>
      </c>
      <c r="N945" s="5">
        <v>14</v>
      </c>
      <c r="O945" s="6">
        <v>40.29</v>
      </c>
      <c r="P945" s="5">
        <v>2</v>
      </c>
      <c r="Q945" s="6">
        <v>4500</v>
      </c>
      <c r="R945" s="6">
        <v>694.65</v>
      </c>
      <c r="S945" s="6">
        <v>0</v>
      </c>
      <c r="T945" s="6">
        <v>0</v>
      </c>
      <c r="U945" s="5">
        <v>705</v>
      </c>
      <c r="V945" s="5">
        <v>0</v>
      </c>
    </row>
    <row r="946" spans="1:22" x14ac:dyDescent="0.25">
      <c r="A946" s="4" t="s">
        <v>1020</v>
      </c>
      <c r="B946" s="5">
        <v>42</v>
      </c>
      <c r="C946" s="4" t="s">
        <v>33</v>
      </c>
      <c r="D946" s="4" t="s">
        <v>29</v>
      </c>
      <c r="E946" s="4" t="s">
        <v>35</v>
      </c>
      <c r="F946" s="4" t="s">
        <v>26</v>
      </c>
      <c r="G946" s="6">
        <v>42000</v>
      </c>
      <c r="H946" s="5">
        <v>4</v>
      </c>
      <c r="I946" s="7">
        <v>44596</v>
      </c>
      <c r="J946" s="4" t="s">
        <v>49</v>
      </c>
      <c r="K946" s="5">
        <v>2</v>
      </c>
      <c r="L946" s="6">
        <v>5260.45</v>
      </c>
      <c r="M946" s="6">
        <v>0</v>
      </c>
      <c r="N946" s="5">
        <v>31</v>
      </c>
      <c r="O946" s="6">
        <v>35.44</v>
      </c>
      <c r="P946" s="5">
        <v>0</v>
      </c>
      <c r="Q946" s="6">
        <v>0</v>
      </c>
      <c r="R946" s="6">
        <v>0</v>
      </c>
      <c r="S946" s="6">
        <v>0</v>
      </c>
      <c r="T946" s="6">
        <v>0</v>
      </c>
      <c r="U946" s="5">
        <v>653</v>
      </c>
      <c r="V946" s="5">
        <v>1</v>
      </c>
    </row>
    <row r="947" spans="1:22" x14ac:dyDescent="0.25">
      <c r="A947" s="4" t="s">
        <v>1021</v>
      </c>
      <c r="B947" s="5">
        <v>18</v>
      </c>
      <c r="C947" s="4" t="s">
        <v>33</v>
      </c>
      <c r="D947" s="4" t="s">
        <v>72</v>
      </c>
      <c r="E947" s="4" t="s">
        <v>117</v>
      </c>
      <c r="F947" s="4" t="s">
        <v>26</v>
      </c>
      <c r="G947" s="6">
        <v>7500</v>
      </c>
      <c r="H947" s="5">
        <v>0</v>
      </c>
      <c r="I947" s="7">
        <v>45933</v>
      </c>
      <c r="J947" s="4" t="s">
        <v>31</v>
      </c>
      <c r="K947" s="5">
        <v>1</v>
      </c>
      <c r="L947" s="6">
        <v>469.26</v>
      </c>
      <c r="M947" s="6">
        <v>0</v>
      </c>
      <c r="N947" s="5">
        <v>24</v>
      </c>
      <c r="O947" s="6">
        <v>44.78</v>
      </c>
      <c r="P947" s="5">
        <v>3</v>
      </c>
      <c r="Q947" s="6">
        <v>0</v>
      </c>
      <c r="R947" s="6">
        <v>0</v>
      </c>
      <c r="S947" s="6">
        <v>0</v>
      </c>
      <c r="T947" s="6">
        <v>0</v>
      </c>
      <c r="U947" s="5">
        <v>518</v>
      </c>
      <c r="V947" s="5">
        <v>0</v>
      </c>
    </row>
    <row r="948" spans="1:22" x14ac:dyDescent="0.25">
      <c r="A948" s="4" t="s">
        <v>1022</v>
      </c>
      <c r="B948" s="5">
        <v>31</v>
      </c>
      <c r="C948" s="4" t="s">
        <v>33</v>
      </c>
      <c r="D948" s="4" t="s">
        <v>108</v>
      </c>
      <c r="E948" s="4" t="s">
        <v>63</v>
      </c>
      <c r="F948" s="4" t="s">
        <v>26</v>
      </c>
      <c r="G948" s="6">
        <v>33700</v>
      </c>
      <c r="H948" s="5">
        <v>6</v>
      </c>
      <c r="I948" s="7">
        <v>43744</v>
      </c>
      <c r="J948" s="4" t="s">
        <v>31</v>
      </c>
      <c r="K948" s="5">
        <v>3</v>
      </c>
      <c r="L948" s="6">
        <v>4472.97</v>
      </c>
      <c r="M948" s="6">
        <v>0</v>
      </c>
      <c r="N948" s="5">
        <v>38</v>
      </c>
      <c r="O948" s="6">
        <v>43.29</v>
      </c>
      <c r="P948" s="5">
        <v>3</v>
      </c>
      <c r="Q948" s="6">
        <v>6000</v>
      </c>
      <c r="R948" s="6">
        <v>1861.93</v>
      </c>
      <c r="S948" s="6">
        <v>0</v>
      </c>
      <c r="T948" s="6">
        <v>0</v>
      </c>
      <c r="U948" s="5">
        <v>628</v>
      </c>
      <c r="V948" s="5">
        <v>0</v>
      </c>
    </row>
    <row r="949" spans="1:22" x14ac:dyDescent="0.25">
      <c r="A949" s="4" t="s">
        <v>1023</v>
      </c>
      <c r="B949" s="5">
        <v>47</v>
      </c>
      <c r="C949" s="4" t="s">
        <v>23</v>
      </c>
      <c r="D949" s="4" t="s">
        <v>29</v>
      </c>
      <c r="E949" s="4" t="s">
        <v>25</v>
      </c>
      <c r="F949" s="4" t="s">
        <v>30</v>
      </c>
      <c r="G949" s="6">
        <v>40300</v>
      </c>
      <c r="H949" s="5">
        <v>10</v>
      </c>
      <c r="I949" s="7">
        <v>42533</v>
      </c>
      <c r="J949" s="4" t="s">
        <v>31</v>
      </c>
      <c r="K949" s="5">
        <v>1</v>
      </c>
      <c r="L949" s="6">
        <v>5426.57</v>
      </c>
      <c r="M949" s="6">
        <v>17972.03</v>
      </c>
      <c r="N949" s="5">
        <v>36</v>
      </c>
      <c r="O949" s="6">
        <v>44.88</v>
      </c>
      <c r="P949" s="5">
        <v>0</v>
      </c>
      <c r="Q949" s="6">
        <v>9500</v>
      </c>
      <c r="R949" s="6">
        <v>5066.91</v>
      </c>
      <c r="S949" s="6">
        <v>109000</v>
      </c>
      <c r="T949" s="6">
        <v>778</v>
      </c>
      <c r="U949" s="5">
        <v>635</v>
      </c>
      <c r="V949" s="5">
        <v>0</v>
      </c>
    </row>
    <row r="950" spans="1:22" x14ac:dyDescent="0.25">
      <c r="A950" s="4" t="s">
        <v>1024</v>
      </c>
      <c r="B950" s="5">
        <v>38</v>
      </c>
      <c r="C950" s="4" t="s">
        <v>33</v>
      </c>
      <c r="D950" s="4" t="s">
        <v>108</v>
      </c>
      <c r="E950" s="4" t="s">
        <v>67</v>
      </c>
      <c r="F950" s="4" t="s">
        <v>26</v>
      </c>
      <c r="G950" s="6">
        <v>2700</v>
      </c>
      <c r="H950" s="5">
        <v>7</v>
      </c>
      <c r="I950" s="7">
        <v>43541</v>
      </c>
      <c r="J950" s="4" t="s">
        <v>27</v>
      </c>
      <c r="K950" s="5">
        <v>3</v>
      </c>
      <c r="L950" s="6">
        <v>426.84</v>
      </c>
      <c r="M950" s="6">
        <v>1182.02</v>
      </c>
      <c r="N950" s="5">
        <v>22</v>
      </c>
      <c r="O950" s="6">
        <v>34.630000000000003</v>
      </c>
      <c r="P950" s="5">
        <v>6</v>
      </c>
      <c r="Q950" s="6">
        <v>500</v>
      </c>
      <c r="R950" s="6">
        <v>47.55</v>
      </c>
      <c r="S950" s="6">
        <v>0</v>
      </c>
      <c r="T950" s="6">
        <v>0</v>
      </c>
      <c r="U950" s="5">
        <v>552</v>
      </c>
      <c r="V950" s="5">
        <v>0</v>
      </c>
    </row>
    <row r="951" spans="1:22" x14ac:dyDescent="0.25">
      <c r="A951" s="4" t="s">
        <v>1025</v>
      </c>
      <c r="B951" s="5">
        <v>38</v>
      </c>
      <c r="C951" s="4" t="s">
        <v>23</v>
      </c>
      <c r="D951" s="4" t="s">
        <v>59</v>
      </c>
      <c r="E951" s="4" t="s">
        <v>35</v>
      </c>
      <c r="F951" s="4" t="s">
        <v>30</v>
      </c>
      <c r="G951" s="6">
        <v>61000</v>
      </c>
      <c r="H951" s="5">
        <v>13</v>
      </c>
      <c r="I951" s="7">
        <v>41256</v>
      </c>
      <c r="J951" s="4" t="s">
        <v>27</v>
      </c>
      <c r="K951" s="5">
        <v>2</v>
      </c>
      <c r="L951" s="6">
        <v>-847.74</v>
      </c>
      <c r="M951" s="6">
        <v>0</v>
      </c>
      <c r="N951" s="5">
        <v>49</v>
      </c>
      <c r="O951" s="6">
        <v>52.34</v>
      </c>
      <c r="P951" s="5">
        <v>1</v>
      </c>
      <c r="Q951" s="6">
        <v>10500</v>
      </c>
      <c r="R951" s="6">
        <v>2271.19</v>
      </c>
      <c r="S951" s="6">
        <v>125000</v>
      </c>
      <c r="T951" s="6">
        <v>705</v>
      </c>
      <c r="U951" s="5">
        <v>725</v>
      </c>
      <c r="V951" s="5">
        <v>1</v>
      </c>
    </row>
    <row r="952" spans="1:22" x14ac:dyDescent="0.25">
      <c r="A952" s="4" t="s">
        <v>1026</v>
      </c>
      <c r="B952" s="5">
        <v>49</v>
      </c>
      <c r="C952" s="4" t="s">
        <v>33</v>
      </c>
      <c r="D952" s="4" t="s">
        <v>98</v>
      </c>
      <c r="E952" s="4" t="s">
        <v>25</v>
      </c>
      <c r="F952" s="4" t="s">
        <v>30</v>
      </c>
      <c r="G952" s="6">
        <v>41100</v>
      </c>
      <c r="H952" s="5">
        <v>3</v>
      </c>
      <c r="I952" s="7">
        <v>44983</v>
      </c>
      <c r="J952" s="4" t="s">
        <v>39</v>
      </c>
      <c r="K952" s="5">
        <v>1</v>
      </c>
      <c r="L952" s="6">
        <v>5350.61</v>
      </c>
      <c r="M952" s="6">
        <v>18082.62</v>
      </c>
      <c r="N952" s="5">
        <v>20</v>
      </c>
      <c r="O952" s="6">
        <v>36.25</v>
      </c>
      <c r="P952" s="5">
        <v>4</v>
      </c>
      <c r="Q952" s="6">
        <v>0</v>
      </c>
      <c r="R952" s="6">
        <v>0</v>
      </c>
      <c r="S952" s="6">
        <v>0</v>
      </c>
      <c r="T952" s="6">
        <v>0</v>
      </c>
      <c r="U952" s="5">
        <v>690</v>
      </c>
      <c r="V952" s="5">
        <v>0</v>
      </c>
    </row>
    <row r="953" spans="1:22" x14ac:dyDescent="0.25">
      <c r="A953" s="4" t="s">
        <v>1027</v>
      </c>
      <c r="B953" s="5">
        <v>49</v>
      </c>
      <c r="C953" s="4" t="s">
        <v>33</v>
      </c>
      <c r="D953" s="4" t="s">
        <v>436</v>
      </c>
      <c r="E953" s="4" t="s">
        <v>45</v>
      </c>
      <c r="F953" s="4" t="s">
        <v>30</v>
      </c>
      <c r="G953" s="6">
        <v>17200</v>
      </c>
      <c r="H953" s="5">
        <v>27</v>
      </c>
      <c r="I953" s="7">
        <v>36183</v>
      </c>
      <c r="J953" s="4" t="s">
        <v>49</v>
      </c>
      <c r="K953" s="5">
        <v>5</v>
      </c>
      <c r="L953" s="6">
        <v>718.73</v>
      </c>
      <c r="M953" s="6">
        <v>31858.1</v>
      </c>
      <c r="N953" s="5">
        <v>19</v>
      </c>
      <c r="O953" s="6">
        <v>39.979999999999997</v>
      </c>
      <c r="P953" s="5">
        <v>2</v>
      </c>
      <c r="Q953" s="6">
        <v>2500</v>
      </c>
      <c r="R953" s="6">
        <v>470.88</v>
      </c>
      <c r="S953" s="6">
        <v>57000</v>
      </c>
      <c r="T953" s="6">
        <v>422</v>
      </c>
      <c r="U953" s="5">
        <v>661</v>
      </c>
      <c r="V953" s="5">
        <v>0</v>
      </c>
    </row>
    <row r="954" spans="1:22" x14ac:dyDescent="0.25">
      <c r="A954" s="4" t="s">
        <v>1028</v>
      </c>
      <c r="B954" s="5">
        <v>43</v>
      </c>
      <c r="C954" s="4" t="s">
        <v>23</v>
      </c>
      <c r="D954" s="4" t="s">
        <v>134</v>
      </c>
      <c r="E954" s="4" t="s">
        <v>90</v>
      </c>
      <c r="F954" s="4" t="s">
        <v>48</v>
      </c>
      <c r="G954" s="6">
        <v>136600</v>
      </c>
      <c r="H954" s="5">
        <v>12</v>
      </c>
      <c r="I954" s="7">
        <v>41724</v>
      </c>
      <c r="J954" s="4" t="s">
        <v>31</v>
      </c>
      <c r="K954" s="5">
        <v>4</v>
      </c>
      <c r="L954" s="6">
        <v>16051.33</v>
      </c>
      <c r="M954" s="6">
        <v>0</v>
      </c>
      <c r="N954" s="5">
        <v>70</v>
      </c>
      <c r="O954" s="6">
        <v>146.91999999999999</v>
      </c>
      <c r="P954" s="5">
        <v>2</v>
      </c>
      <c r="Q954" s="6">
        <v>0</v>
      </c>
      <c r="R954" s="6">
        <v>0</v>
      </c>
      <c r="S954" s="6">
        <v>210000</v>
      </c>
      <c r="T954" s="6">
        <v>1288</v>
      </c>
      <c r="U954" s="5">
        <v>692</v>
      </c>
      <c r="V954" s="5">
        <v>0</v>
      </c>
    </row>
    <row r="955" spans="1:22" x14ac:dyDescent="0.25">
      <c r="A955" s="4" t="s">
        <v>1029</v>
      </c>
      <c r="B955" s="5">
        <v>54</v>
      </c>
      <c r="C955" s="4" t="s">
        <v>23</v>
      </c>
      <c r="D955" s="4" t="s">
        <v>70</v>
      </c>
      <c r="E955" s="4" t="s">
        <v>42</v>
      </c>
      <c r="F955" s="4" t="s">
        <v>30</v>
      </c>
      <c r="G955" s="6">
        <v>48500</v>
      </c>
      <c r="H955" s="5">
        <v>28</v>
      </c>
      <c r="I955" s="7">
        <v>36015</v>
      </c>
      <c r="J955" s="4" t="s">
        <v>27</v>
      </c>
      <c r="K955" s="5">
        <v>4</v>
      </c>
      <c r="L955" s="6">
        <v>2924.04</v>
      </c>
      <c r="M955" s="6">
        <v>106211.44</v>
      </c>
      <c r="N955" s="5">
        <v>420</v>
      </c>
      <c r="O955" s="6">
        <v>39.880000000000003</v>
      </c>
      <c r="P955" s="5">
        <v>1</v>
      </c>
      <c r="Q955" s="6">
        <v>9500</v>
      </c>
      <c r="R955" s="6">
        <v>4054.89</v>
      </c>
      <c r="S955" s="6">
        <v>213000</v>
      </c>
      <c r="T955" s="6">
        <v>1116</v>
      </c>
      <c r="U955" s="5">
        <v>680</v>
      </c>
      <c r="V955" s="5">
        <v>0</v>
      </c>
    </row>
    <row r="956" spans="1:22" x14ac:dyDescent="0.25">
      <c r="A956" s="4" t="s">
        <v>1030</v>
      </c>
      <c r="B956" s="5">
        <v>45</v>
      </c>
      <c r="C956" s="4" t="s">
        <v>33</v>
      </c>
      <c r="D956" s="4" t="s">
        <v>24</v>
      </c>
      <c r="E956" s="4" t="s">
        <v>35</v>
      </c>
      <c r="F956" s="4" t="s">
        <v>26</v>
      </c>
      <c r="G956" s="6">
        <v>49300</v>
      </c>
      <c r="H956" s="5">
        <v>10</v>
      </c>
      <c r="I956" s="7">
        <v>42422</v>
      </c>
      <c r="J956" s="4" t="s">
        <v>39</v>
      </c>
      <c r="K956" s="5">
        <v>3</v>
      </c>
      <c r="L956" s="6">
        <v>4592.42</v>
      </c>
      <c r="M956" s="6">
        <v>46612.2</v>
      </c>
      <c r="N956" s="5">
        <v>20</v>
      </c>
      <c r="O956" s="6">
        <v>72.97</v>
      </c>
      <c r="P956" s="5">
        <v>4</v>
      </c>
      <c r="Q956" s="6">
        <v>8000</v>
      </c>
      <c r="R956" s="6">
        <v>3882.7</v>
      </c>
      <c r="S956" s="6">
        <v>0</v>
      </c>
      <c r="T956" s="6">
        <v>0</v>
      </c>
      <c r="U956" s="5">
        <v>659</v>
      </c>
      <c r="V956" s="5">
        <v>0</v>
      </c>
    </row>
    <row r="957" spans="1:22" x14ac:dyDescent="0.25">
      <c r="A957" s="4" t="s">
        <v>1031</v>
      </c>
      <c r="B957" s="5">
        <v>45</v>
      </c>
      <c r="C957" s="4" t="s">
        <v>33</v>
      </c>
      <c r="D957" s="4" t="s">
        <v>29</v>
      </c>
      <c r="E957" s="4" t="s">
        <v>25</v>
      </c>
      <c r="F957" s="4" t="s">
        <v>26</v>
      </c>
      <c r="G957" s="6">
        <v>43100</v>
      </c>
      <c r="H957" s="5">
        <v>21</v>
      </c>
      <c r="I957" s="7">
        <v>38522</v>
      </c>
      <c r="J957" s="4" t="s">
        <v>31</v>
      </c>
      <c r="K957" s="5">
        <v>2</v>
      </c>
      <c r="L957" s="6">
        <v>1643.08</v>
      </c>
      <c r="M957" s="6">
        <v>139505.46</v>
      </c>
      <c r="N957" s="5">
        <v>36</v>
      </c>
      <c r="O957" s="6">
        <v>47.02</v>
      </c>
      <c r="P957" s="5">
        <v>0</v>
      </c>
      <c r="Q957" s="6">
        <v>6000</v>
      </c>
      <c r="R957" s="6">
        <v>2012.3</v>
      </c>
      <c r="S957" s="6">
        <v>0</v>
      </c>
      <c r="T957" s="6">
        <v>0</v>
      </c>
      <c r="U957" s="5">
        <v>733</v>
      </c>
      <c r="V957" s="5">
        <v>0</v>
      </c>
    </row>
    <row r="958" spans="1:22" x14ac:dyDescent="0.25">
      <c r="A958" s="4" t="s">
        <v>1032</v>
      </c>
      <c r="B958" s="5">
        <v>62</v>
      </c>
      <c r="C958" s="4" t="s">
        <v>33</v>
      </c>
      <c r="D958" s="4" t="s">
        <v>62</v>
      </c>
      <c r="E958" s="4" t="s">
        <v>35</v>
      </c>
      <c r="F958" s="4" t="s">
        <v>30</v>
      </c>
      <c r="G958" s="6">
        <v>35500</v>
      </c>
      <c r="H958" s="5">
        <v>31</v>
      </c>
      <c r="I958" s="7">
        <v>34652</v>
      </c>
      <c r="J958" s="4" t="s">
        <v>27</v>
      </c>
      <c r="K958" s="5">
        <v>2</v>
      </c>
      <c r="L958" s="6">
        <v>3302.43</v>
      </c>
      <c r="M958" s="6">
        <v>65639</v>
      </c>
      <c r="N958" s="5">
        <v>24</v>
      </c>
      <c r="O958" s="6">
        <v>31.65</v>
      </c>
      <c r="P958" s="5">
        <v>1</v>
      </c>
      <c r="Q958" s="6">
        <v>0</v>
      </c>
      <c r="R958" s="6">
        <v>0</v>
      </c>
      <c r="S958" s="6">
        <v>0</v>
      </c>
      <c r="T958" s="6">
        <v>0</v>
      </c>
      <c r="U958" s="5">
        <v>703</v>
      </c>
      <c r="V958" s="5">
        <v>0</v>
      </c>
    </row>
    <row r="959" spans="1:22" x14ac:dyDescent="0.25">
      <c r="A959" s="4" t="s">
        <v>1033</v>
      </c>
      <c r="B959" s="5">
        <v>31</v>
      </c>
      <c r="C959" s="4" t="s">
        <v>23</v>
      </c>
      <c r="D959" s="4" t="s">
        <v>59</v>
      </c>
      <c r="E959" s="4" t="s">
        <v>25</v>
      </c>
      <c r="F959" s="4" t="s">
        <v>30</v>
      </c>
      <c r="G959" s="6">
        <v>28300</v>
      </c>
      <c r="H959" s="5">
        <v>4</v>
      </c>
      <c r="I959" s="7">
        <v>44571</v>
      </c>
      <c r="J959" s="4" t="s">
        <v>31</v>
      </c>
      <c r="K959" s="5">
        <v>3</v>
      </c>
      <c r="L959" s="6">
        <v>664.16</v>
      </c>
      <c r="M959" s="6">
        <v>0</v>
      </c>
      <c r="N959" s="5">
        <v>23</v>
      </c>
      <c r="O959" s="6">
        <v>59.28</v>
      </c>
      <c r="P959" s="5">
        <v>2</v>
      </c>
      <c r="Q959" s="6">
        <v>6000</v>
      </c>
      <c r="R959" s="6">
        <v>850.88</v>
      </c>
      <c r="S959" s="6">
        <v>47000</v>
      </c>
      <c r="T959" s="6">
        <v>266</v>
      </c>
      <c r="U959" s="5">
        <v>613</v>
      </c>
      <c r="V959" s="5">
        <v>1</v>
      </c>
    </row>
    <row r="960" spans="1:22" x14ac:dyDescent="0.25">
      <c r="A960" s="4" t="s">
        <v>1034</v>
      </c>
      <c r="B960" s="5">
        <v>40</v>
      </c>
      <c r="C960" s="4" t="s">
        <v>23</v>
      </c>
      <c r="D960" s="4" t="s">
        <v>34</v>
      </c>
      <c r="E960" s="4" t="s">
        <v>25</v>
      </c>
      <c r="F960" s="4" t="s">
        <v>30</v>
      </c>
      <c r="G960" s="6">
        <v>33900</v>
      </c>
      <c r="H960" s="5">
        <v>5</v>
      </c>
      <c r="I960" s="7">
        <v>44312</v>
      </c>
      <c r="J960" s="4" t="s">
        <v>39</v>
      </c>
      <c r="K960" s="5">
        <v>1</v>
      </c>
      <c r="L960" s="6">
        <v>6024.51</v>
      </c>
      <c r="M960" s="6">
        <v>15778.35</v>
      </c>
      <c r="N960" s="5">
        <v>31</v>
      </c>
      <c r="O960" s="6">
        <v>85.23</v>
      </c>
      <c r="P960" s="5">
        <v>2</v>
      </c>
      <c r="Q960" s="6">
        <v>7500</v>
      </c>
      <c r="R960" s="6">
        <v>349.6</v>
      </c>
      <c r="S960" s="6">
        <v>0</v>
      </c>
      <c r="T960" s="6">
        <v>0</v>
      </c>
      <c r="U960" s="5">
        <v>669</v>
      </c>
      <c r="V960" s="5">
        <v>0</v>
      </c>
    </row>
    <row r="961" spans="1:22" x14ac:dyDescent="0.25">
      <c r="A961" s="4" t="s">
        <v>1035</v>
      </c>
      <c r="B961" s="5">
        <v>47</v>
      </c>
      <c r="C961" s="4" t="s">
        <v>33</v>
      </c>
      <c r="D961" s="4" t="s">
        <v>29</v>
      </c>
      <c r="E961" s="4" t="s">
        <v>25</v>
      </c>
      <c r="F961" s="4" t="s">
        <v>30</v>
      </c>
      <c r="G961" s="6">
        <v>44300</v>
      </c>
      <c r="H961" s="5">
        <v>13</v>
      </c>
      <c r="I961" s="7">
        <v>41254</v>
      </c>
      <c r="J961" s="4" t="s">
        <v>39</v>
      </c>
      <c r="K961" s="5">
        <v>4</v>
      </c>
      <c r="L961" s="6">
        <v>4627.93</v>
      </c>
      <c r="M961" s="6">
        <v>0</v>
      </c>
      <c r="N961" s="5">
        <v>29</v>
      </c>
      <c r="O961" s="6">
        <v>62.31</v>
      </c>
      <c r="P961" s="5">
        <v>4</v>
      </c>
      <c r="Q961" s="6">
        <v>10000</v>
      </c>
      <c r="R961" s="6">
        <v>5454.34</v>
      </c>
      <c r="S961" s="6">
        <v>0</v>
      </c>
      <c r="T961" s="6">
        <v>0</v>
      </c>
      <c r="U961" s="5">
        <v>744</v>
      </c>
      <c r="V961" s="5">
        <v>1</v>
      </c>
    </row>
    <row r="962" spans="1:22" x14ac:dyDescent="0.25">
      <c r="A962" s="4" t="s">
        <v>1036</v>
      </c>
      <c r="B962" s="5">
        <v>53</v>
      </c>
      <c r="C962" s="4" t="s">
        <v>23</v>
      </c>
      <c r="D962" s="4" t="s">
        <v>59</v>
      </c>
      <c r="E962" s="4" t="s">
        <v>63</v>
      </c>
      <c r="F962" s="4" t="s">
        <v>30</v>
      </c>
      <c r="G962" s="6">
        <v>34400</v>
      </c>
      <c r="H962" s="5">
        <v>15</v>
      </c>
      <c r="I962" s="7">
        <v>40532</v>
      </c>
      <c r="J962" s="4" t="s">
        <v>27</v>
      </c>
      <c r="K962" s="5">
        <v>4</v>
      </c>
      <c r="L962" s="6">
        <v>2644.04</v>
      </c>
      <c r="M962" s="6">
        <v>52920.93</v>
      </c>
      <c r="N962" s="5">
        <v>35</v>
      </c>
      <c r="O962" s="6">
        <v>37.42</v>
      </c>
      <c r="P962" s="5">
        <v>3</v>
      </c>
      <c r="Q962" s="6">
        <v>7500</v>
      </c>
      <c r="R962" s="6">
        <v>3183</v>
      </c>
      <c r="S962" s="6">
        <v>171000</v>
      </c>
      <c r="T962" s="6">
        <v>1146</v>
      </c>
      <c r="U962" s="5">
        <v>641</v>
      </c>
      <c r="V962" s="5">
        <v>0</v>
      </c>
    </row>
    <row r="963" spans="1:22" x14ac:dyDescent="0.25">
      <c r="A963" s="4" t="s">
        <v>1037</v>
      </c>
      <c r="B963" s="5">
        <v>75</v>
      </c>
      <c r="C963" s="4" t="s">
        <v>33</v>
      </c>
      <c r="D963" s="4" t="s">
        <v>24</v>
      </c>
      <c r="E963" s="4" t="s">
        <v>95</v>
      </c>
      <c r="F963" s="4" t="s">
        <v>26</v>
      </c>
      <c r="G963" s="6">
        <v>20900</v>
      </c>
      <c r="H963" s="5">
        <v>10</v>
      </c>
      <c r="I963" s="7">
        <v>42529</v>
      </c>
      <c r="J963" s="4" t="s">
        <v>27</v>
      </c>
      <c r="K963" s="5">
        <v>1</v>
      </c>
      <c r="L963" s="6">
        <v>2522.62</v>
      </c>
      <c r="M963" s="6">
        <v>23004.59</v>
      </c>
      <c r="N963" s="5">
        <v>25</v>
      </c>
      <c r="O963" s="6">
        <v>27.05</v>
      </c>
      <c r="P963" s="5">
        <v>1</v>
      </c>
      <c r="Q963" s="6">
        <v>5000</v>
      </c>
      <c r="R963" s="6">
        <v>1106.6199999999999</v>
      </c>
      <c r="S963" s="6">
        <v>0</v>
      </c>
      <c r="T963" s="6">
        <v>0</v>
      </c>
      <c r="U963" s="5">
        <v>747</v>
      </c>
      <c r="V963" s="5">
        <v>0</v>
      </c>
    </row>
    <row r="964" spans="1:22" x14ac:dyDescent="0.25">
      <c r="A964" s="4" t="s">
        <v>1038</v>
      </c>
      <c r="B964" s="5">
        <v>18</v>
      </c>
      <c r="C964" s="4" t="s">
        <v>33</v>
      </c>
      <c r="D964" s="4" t="s">
        <v>34</v>
      </c>
      <c r="E964" s="4" t="s">
        <v>117</v>
      </c>
      <c r="F964" s="4" t="s">
        <v>26</v>
      </c>
      <c r="G964" s="6">
        <v>6000</v>
      </c>
      <c r="H964" s="5">
        <v>0</v>
      </c>
      <c r="I964" s="7">
        <v>45933</v>
      </c>
      <c r="J964" s="4" t="s">
        <v>27</v>
      </c>
      <c r="K964" s="5">
        <v>1</v>
      </c>
      <c r="L964" s="6">
        <v>233.69</v>
      </c>
      <c r="M964" s="6">
        <v>1023.26</v>
      </c>
      <c r="N964" s="5">
        <v>21</v>
      </c>
      <c r="O964" s="6">
        <v>58.17</v>
      </c>
      <c r="P964" s="5">
        <v>2</v>
      </c>
      <c r="Q964" s="6">
        <v>1500</v>
      </c>
      <c r="R964" s="6">
        <v>203.41</v>
      </c>
      <c r="S964" s="6">
        <v>0</v>
      </c>
      <c r="T964" s="6">
        <v>0</v>
      </c>
      <c r="U964" s="5">
        <v>569</v>
      </c>
      <c r="V964" s="5">
        <v>0</v>
      </c>
    </row>
    <row r="965" spans="1:22" x14ac:dyDescent="0.25">
      <c r="A965" s="4" t="s">
        <v>1039</v>
      </c>
      <c r="B965" s="5">
        <v>45</v>
      </c>
      <c r="C965" s="4" t="s">
        <v>23</v>
      </c>
      <c r="D965" s="4" t="s">
        <v>108</v>
      </c>
      <c r="E965" s="4" t="s">
        <v>45</v>
      </c>
      <c r="F965" s="4" t="s">
        <v>48</v>
      </c>
      <c r="G965" s="6">
        <v>24800</v>
      </c>
      <c r="H965" s="5">
        <v>18</v>
      </c>
      <c r="I965" s="7">
        <v>39662</v>
      </c>
      <c r="J965" s="4" t="s">
        <v>39</v>
      </c>
      <c r="K965" s="5">
        <v>2</v>
      </c>
      <c r="L965" s="6">
        <v>1166.26</v>
      </c>
      <c r="M965" s="6">
        <v>27046.36</v>
      </c>
      <c r="N965" s="5">
        <v>22</v>
      </c>
      <c r="O965" s="6">
        <v>44.04</v>
      </c>
      <c r="P965" s="5">
        <v>3</v>
      </c>
      <c r="Q965" s="6">
        <v>0</v>
      </c>
      <c r="R965" s="6">
        <v>0</v>
      </c>
      <c r="S965" s="6">
        <v>0</v>
      </c>
      <c r="T965" s="6">
        <v>0</v>
      </c>
      <c r="U965" s="5">
        <v>631</v>
      </c>
      <c r="V965" s="5">
        <v>0</v>
      </c>
    </row>
    <row r="966" spans="1:22" x14ac:dyDescent="0.25">
      <c r="A966" s="4" t="s">
        <v>1040</v>
      </c>
      <c r="B966" s="5">
        <v>46</v>
      </c>
      <c r="C966" s="4" t="s">
        <v>33</v>
      </c>
      <c r="D966" s="4" t="s">
        <v>37</v>
      </c>
      <c r="E966" s="4" t="s">
        <v>45</v>
      </c>
      <c r="F966" s="4" t="s">
        <v>26</v>
      </c>
      <c r="G966" s="6">
        <v>17200</v>
      </c>
      <c r="H966" s="5">
        <v>20</v>
      </c>
      <c r="I966" s="7">
        <v>38822</v>
      </c>
      <c r="J966" s="4" t="s">
        <v>39</v>
      </c>
      <c r="K966" s="5">
        <v>2</v>
      </c>
      <c r="L966" s="6">
        <v>720.58</v>
      </c>
      <c r="M966" s="6">
        <v>24529.79</v>
      </c>
      <c r="N966" s="5">
        <v>12</v>
      </c>
      <c r="O966" s="6">
        <v>44.62</v>
      </c>
      <c r="P966" s="5">
        <v>3</v>
      </c>
      <c r="Q966" s="6">
        <v>2500</v>
      </c>
      <c r="R966" s="6">
        <v>675.16</v>
      </c>
      <c r="S966" s="6">
        <v>28000</v>
      </c>
      <c r="T966" s="6">
        <v>132</v>
      </c>
      <c r="U966" s="5">
        <v>672</v>
      </c>
      <c r="V966" s="5">
        <v>0</v>
      </c>
    </row>
    <row r="967" spans="1:22" x14ac:dyDescent="0.25">
      <c r="A967" s="4" t="s">
        <v>1041</v>
      </c>
      <c r="B967" s="5">
        <v>33</v>
      </c>
      <c r="C967" s="4" t="s">
        <v>33</v>
      </c>
      <c r="D967" s="4" t="s">
        <v>57</v>
      </c>
      <c r="E967" s="4" t="s">
        <v>45</v>
      </c>
      <c r="F967" s="4" t="s">
        <v>30</v>
      </c>
      <c r="G967" s="6">
        <v>24800</v>
      </c>
      <c r="H967" s="5">
        <v>11</v>
      </c>
      <c r="I967" s="7">
        <v>42125</v>
      </c>
      <c r="J967" s="4" t="s">
        <v>27</v>
      </c>
      <c r="K967" s="5">
        <v>4</v>
      </c>
      <c r="L967" s="6">
        <v>980.72</v>
      </c>
      <c r="M967" s="6">
        <v>13140.38</v>
      </c>
      <c r="N967" s="5">
        <v>24</v>
      </c>
      <c r="O967" s="6">
        <v>62.95</v>
      </c>
      <c r="P967" s="5">
        <v>2</v>
      </c>
      <c r="Q967" s="6">
        <v>6000</v>
      </c>
      <c r="R967" s="6">
        <v>426.2</v>
      </c>
      <c r="S967" s="6">
        <v>124000</v>
      </c>
      <c r="T967" s="6">
        <v>559</v>
      </c>
      <c r="U967" s="5">
        <v>573</v>
      </c>
      <c r="V967" s="5">
        <v>0</v>
      </c>
    </row>
    <row r="968" spans="1:22" x14ac:dyDescent="0.25">
      <c r="A968" s="4" t="s">
        <v>1042</v>
      </c>
      <c r="B968" s="5">
        <v>51</v>
      </c>
      <c r="C968" s="4" t="s">
        <v>23</v>
      </c>
      <c r="D968" s="4" t="s">
        <v>34</v>
      </c>
      <c r="E968" s="4" t="s">
        <v>25</v>
      </c>
      <c r="F968" s="4" t="s">
        <v>30</v>
      </c>
      <c r="G968" s="6">
        <v>22500</v>
      </c>
      <c r="H968" s="5">
        <v>21</v>
      </c>
      <c r="I968" s="7">
        <v>38336</v>
      </c>
      <c r="J968" s="4" t="s">
        <v>27</v>
      </c>
      <c r="K968" s="5">
        <v>2</v>
      </c>
      <c r="L968" s="6">
        <v>1073.19</v>
      </c>
      <c r="M968" s="6">
        <v>0</v>
      </c>
      <c r="N968" s="5">
        <v>24</v>
      </c>
      <c r="O968" s="6">
        <v>41.1</v>
      </c>
      <c r="P968" s="5">
        <v>2</v>
      </c>
      <c r="Q968" s="6">
        <v>4500</v>
      </c>
      <c r="R968" s="6">
        <v>419.98</v>
      </c>
      <c r="S968" s="6">
        <v>41000</v>
      </c>
      <c r="T968" s="6">
        <v>239</v>
      </c>
      <c r="U968" s="5">
        <v>700</v>
      </c>
      <c r="V968" s="5">
        <v>0</v>
      </c>
    </row>
    <row r="969" spans="1:22" x14ac:dyDescent="0.25">
      <c r="A969" s="4" t="s">
        <v>1043</v>
      </c>
      <c r="B969" s="5">
        <v>26</v>
      </c>
      <c r="C969" s="4" t="s">
        <v>33</v>
      </c>
      <c r="D969" s="4" t="s">
        <v>24</v>
      </c>
      <c r="E969" s="4" t="s">
        <v>67</v>
      </c>
      <c r="F969" s="4" t="s">
        <v>26</v>
      </c>
      <c r="G969" s="6">
        <v>10200</v>
      </c>
      <c r="H969" s="5">
        <v>0</v>
      </c>
      <c r="I969" s="7">
        <v>45976</v>
      </c>
      <c r="J969" s="4" t="s">
        <v>31</v>
      </c>
      <c r="K969" s="5">
        <v>1</v>
      </c>
      <c r="L969" s="6">
        <v>436.97</v>
      </c>
      <c r="M969" s="6">
        <v>0</v>
      </c>
      <c r="N969" s="5">
        <v>48</v>
      </c>
      <c r="O969" s="6">
        <v>199</v>
      </c>
      <c r="P969" s="5">
        <v>0</v>
      </c>
      <c r="Q969" s="6">
        <v>0</v>
      </c>
      <c r="R969" s="6">
        <v>0</v>
      </c>
      <c r="S969" s="6">
        <v>0</v>
      </c>
      <c r="T969" s="6">
        <v>0</v>
      </c>
      <c r="U969" s="5">
        <v>646</v>
      </c>
      <c r="V969" s="5">
        <v>0</v>
      </c>
    </row>
    <row r="970" spans="1:22" x14ac:dyDescent="0.25">
      <c r="A970" s="4" t="s">
        <v>1044</v>
      </c>
      <c r="B970" s="5">
        <v>40</v>
      </c>
      <c r="C970" s="4" t="s">
        <v>33</v>
      </c>
      <c r="D970" s="4" t="s">
        <v>29</v>
      </c>
      <c r="E970" s="4" t="s">
        <v>25</v>
      </c>
      <c r="F970" s="4" t="s">
        <v>30</v>
      </c>
      <c r="G970" s="6">
        <v>36500</v>
      </c>
      <c r="H970" s="5">
        <v>13</v>
      </c>
      <c r="I970" s="7">
        <v>41181</v>
      </c>
      <c r="J970" s="4" t="s">
        <v>31</v>
      </c>
      <c r="K970" s="5">
        <v>1</v>
      </c>
      <c r="L970" s="6">
        <v>1964.18</v>
      </c>
      <c r="M970" s="6">
        <v>28428.57</v>
      </c>
      <c r="N970" s="5">
        <v>31</v>
      </c>
      <c r="O970" s="6">
        <v>76.2</v>
      </c>
      <c r="P970" s="5">
        <v>1</v>
      </c>
      <c r="Q970" s="6">
        <v>6000</v>
      </c>
      <c r="R970" s="6">
        <v>1281.0999999999999</v>
      </c>
      <c r="S970" s="6">
        <v>0</v>
      </c>
      <c r="T970" s="6">
        <v>0</v>
      </c>
      <c r="U970" s="5">
        <v>693</v>
      </c>
      <c r="V970" s="5">
        <v>0</v>
      </c>
    </row>
    <row r="971" spans="1:22" x14ac:dyDescent="0.25">
      <c r="A971" s="4" t="s">
        <v>1045</v>
      </c>
      <c r="B971" s="5">
        <v>36</v>
      </c>
      <c r="C971" s="4" t="s">
        <v>33</v>
      </c>
      <c r="D971" s="4" t="s">
        <v>57</v>
      </c>
      <c r="E971" s="4" t="s">
        <v>25</v>
      </c>
      <c r="F971" s="4" t="s">
        <v>30</v>
      </c>
      <c r="G971" s="6">
        <v>35400</v>
      </c>
      <c r="H971" s="5">
        <v>5</v>
      </c>
      <c r="I971" s="7">
        <v>44095</v>
      </c>
      <c r="J971" s="4" t="s">
        <v>31</v>
      </c>
      <c r="K971" s="5">
        <v>1</v>
      </c>
      <c r="L971" s="6">
        <v>1974.67</v>
      </c>
      <c r="M971" s="6">
        <v>0</v>
      </c>
      <c r="N971" s="5">
        <v>27</v>
      </c>
      <c r="O971" s="6">
        <v>41.45</v>
      </c>
      <c r="P971" s="5">
        <v>0</v>
      </c>
      <c r="Q971" s="6">
        <v>7500</v>
      </c>
      <c r="R971" s="6">
        <v>991.46</v>
      </c>
      <c r="S971" s="6">
        <v>0</v>
      </c>
      <c r="T971" s="6">
        <v>0</v>
      </c>
      <c r="U971" s="5">
        <v>672</v>
      </c>
      <c r="V971" s="5">
        <v>0</v>
      </c>
    </row>
    <row r="972" spans="1:22" x14ac:dyDescent="0.25">
      <c r="A972" s="4" t="s">
        <v>1046</v>
      </c>
      <c r="B972" s="5">
        <v>51</v>
      </c>
      <c r="C972" s="4" t="s">
        <v>23</v>
      </c>
      <c r="D972" s="4" t="s">
        <v>59</v>
      </c>
      <c r="E972" s="4" t="s">
        <v>90</v>
      </c>
      <c r="F972" s="4" t="s">
        <v>30</v>
      </c>
      <c r="G972" s="6">
        <v>65600</v>
      </c>
      <c r="H972" s="5">
        <v>9</v>
      </c>
      <c r="I972" s="7">
        <v>42712</v>
      </c>
      <c r="J972" s="4" t="s">
        <v>31</v>
      </c>
      <c r="K972" s="5">
        <v>2</v>
      </c>
      <c r="L972" s="6">
        <v>8293.2800000000007</v>
      </c>
      <c r="M972" s="6">
        <v>66400.240000000005</v>
      </c>
      <c r="N972" s="5">
        <v>40</v>
      </c>
      <c r="O972" s="6">
        <v>104.52</v>
      </c>
      <c r="P972" s="5">
        <v>3</v>
      </c>
      <c r="Q972" s="6">
        <v>15000</v>
      </c>
      <c r="R972" s="6">
        <v>3170.75</v>
      </c>
      <c r="S972" s="6">
        <v>0</v>
      </c>
      <c r="T972" s="6">
        <v>0</v>
      </c>
      <c r="U972" s="5">
        <v>649</v>
      </c>
      <c r="V972" s="5">
        <v>0</v>
      </c>
    </row>
    <row r="973" spans="1:22" x14ac:dyDescent="0.25">
      <c r="A973" s="4" t="s">
        <v>1047</v>
      </c>
      <c r="B973" s="5">
        <v>35</v>
      </c>
      <c r="C973" s="4" t="s">
        <v>23</v>
      </c>
      <c r="D973" s="4" t="s">
        <v>134</v>
      </c>
      <c r="E973" s="4" t="s">
        <v>54</v>
      </c>
      <c r="F973" s="4" t="s">
        <v>30</v>
      </c>
      <c r="G973" s="6">
        <v>15600</v>
      </c>
      <c r="H973" s="5">
        <v>6</v>
      </c>
      <c r="I973" s="7">
        <v>43776</v>
      </c>
      <c r="J973" s="4" t="s">
        <v>27</v>
      </c>
      <c r="K973" s="5">
        <v>1</v>
      </c>
      <c r="L973" s="6">
        <v>2156.91</v>
      </c>
      <c r="M973" s="6">
        <v>4986.66</v>
      </c>
      <c r="N973" s="5">
        <v>27</v>
      </c>
      <c r="O973" s="6">
        <v>30.76</v>
      </c>
      <c r="P973" s="5">
        <v>0</v>
      </c>
      <c r="Q973" s="6">
        <v>0</v>
      </c>
      <c r="R973" s="6">
        <v>0</v>
      </c>
      <c r="S973" s="6">
        <v>37000</v>
      </c>
      <c r="T973" s="6">
        <v>248</v>
      </c>
      <c r="U973" s="5">
        <v>601</v>
      </c>
      <c r="V973" s="5">
        <v>1</v>
      </c>
    </row>
    <row r="974" spans="1:22" x14ac:dyDescent="0.25">
      <c r="A974" s="4" t="s">
        <v>1048</v>
      </c>
      <c r="B974" s="5">
        <v>34</v>
      </c>
      <c r="C974" s="4" t="s">
        <v>33</v>
      </c>
      <c r="D974" s="4" t="s">
        <v>62</v>
      </c>
      <c r="E974" s="4" t="s">
        <v>90</v>
      </c>
      <c r="F974" s="4" t="s">
        <v>30</v>
      </c>
      <c r="G974" s="6">
        <v>84200</v>
      </c>
      <c r="H974" s="5">
        <v>7</v>
      </c>
      <c r="I974" s="7">
        <v>43551</v>
      </c>
      <c r="J974" s="4" t="s">
        <v>39</v>
      </c>
      <c r="K974" s="5">
        <v>1</v>
      </c>
      <c r="L974" s="6">
        <v>2976.74</v>
      </c>
      <c r="M974" s="6">
        <v>0</v>
      </c>
      <c r="N974" s="5">
        <v>45</v>
      </c>
      <c r="O974" s="6">
        <v>66.61</v>
      </c>
      <c r="P974" s="5">
        <v>4</v>
      </c>
      <c r="Q974" s="6">
        <v>0</v>
      </c>
      <c r="R974" s="6">
        <v>0</v>
      </c>
      <c r="S974" s="6">
        <v>0</v>
      </c>
      <c r="T974" s="6">
        <v>0</v>
      </c>
      <c r="U974" s="5">
        <v>704</v>
      </c>
      <c r="V974" s="5">
        <v>0</v>
      </c>
    </row>
    <row r="975" spans="1:22" x14ac:dyDescent="0.25">
      <c r="A975" s="4" t="s">
        <v>1049</v>
      </c>
      <c r="B975" s="5">
        <v>85</v>
      </c>
      <c r="C975" s="4" t="s">
        <v>23</v>
      </c>
      <c r="D975" s="4" t="s">
        <v>37</v>
      </c>
      <c r="E975" s="4" t="s">
        <v>95</v>
      </c>
      <c r="F975" s="4" t="s">
        <v>30</v>
      </c>
      <c r="G975" s="6">
        <v>19200</v>
      </c>
      <c r="H975" s="5">
        <v>31</v>
      </c>
      <c r="I975" s="7">
        <v>34823</v>
      </c>
      <c r="J975" s="4" t="s">
        <v>49</v>
      </c>
      <c r="K975" s="5">
        <v>2</v>
      </c>
      <c r="L975" s="6">
        <v>401.47</v>
      </c>
      <c r="M975" s="6">
        <v>54631.8</v>
      </c>
      <c r="N975" s="5">
        <v>16</v>
      </c>
      <c r="O975" s="6">
        <v>21.03</v>
      </c>
      <c r="P975" s="5">
        <v>1</v>
      </c>
      <c r="Q975" s="6">
        <v>3500</v>
      </c>
      <c r="R975" s="6">
        <v>235.86</v>
      </c>
      <c r="S975" s="6">
        <v>0</v>
      </c>
      <c r="T975" s="6">
        <v>0</v>
      </c>
      <c r="U975" s="5">
        <v>765</v>
      </c>
      <c r="V975" s="5">
        <v>0</v>
      </c>
    </row>
    <row r="976" spans="1:22" x14ac:dyDescent="0.25">
      <c r="A976" s="4" t="s">
        <v>1050</v>
      </c>
      <c r="B976" s="5">
        <v>44</v>
      </c>
      <c r="C976" s="4" t="s">
        <v>23</v>
      </c>
      <c r="D976" s="4" t="s">
        <v>34</v>
      </c>
      <c r="E976" s="4" t="s">
        <v>35</v>
      </c>
      <c r="F976" s="4" t="s">
        <v>30</v>
      </c>
      <c r="G976" s="6">
        <v>62100</v>
      </c>
      <c r="H976" s="5">
        <v>13</v>
      </c>
      <c r="I976" s="7">
        <v>41285</v>
      </c>
      <c r="J976" s="4" t="s">
        <v>49</v>
      </c>
      <c r="K976" s="5">
        <v>3</v>
      </c>
      <c r="L976" s="6">
        <v>3021.69</v>
      </c>
      <c r="M976" s="6">
        <v>71433.47</v>
      </c>
      <c r="N976" s="5">
        <v>43</v>
      </c>
      <c r="O976" s="6">
        <v>59.91</v>
      </c>
      <c r="P976" s="5">
        <v>5</v>
      </c>
      <c r="Q976" s="6">
        <v>10500</v>
      </c>
      <c r="R976" s="6">
        <v>3749.56</v>
      </c>
      <c r="S976" s="6">
        <v>0</v>
      </c>
      <c r="T976" s="6">
        <v>0</v>
      </c>
      <c r="U976" s="5">
        <v>622</v>
      </c>
      <c r="V976" s="5">
        <v>1</v>
      </c>
    </row>
    <row r="977" spans="1:22" x14ac:dyDescent="0.25">
      <c r="A977" s="4" t="s">
        <v>1051</v>
      </c>
      <c r="B977" s="5">
        <v>62</v>
      </c>
      <c r="C977" s="4" t="s">
        <v>23</v>
      </c>
      <c r="D977" s="4" t="s">
        <v>41</v>
      </c>
      <c r="E977" s="4" t="s">
        <v>25</v>
      </c>
      <c r="F977" s="4" t="s">
        <v>30</v>
      </c>
      <c r="G977" s="6">
        <v>32400</v>
      </c>
      <c r="H977" s="5">
        <v>12</v>
      </c>
      <c r="I977" s="7">
        <v>41679</v>
      </c>
      <c r="J977" s="4" t="s">
        <v>27</v>
      </c>
      <c r="K977" s="5">
        <v>2</v>
      </c>
      <c r="L977" s="6">
        <v>769.4</v>
      </c>
      <c r="M977" s="6">
        <v>19156.22</v>
      </c>
      <c r="N977" s="5">
        <v>30</v>
      </c>
      <c r="O977" s="6">
        <v>45.19</v>
      </c>
      <c r="P977" s="5">
        <v>4</v>
      </c>
      <c r="Q977" s="6">
        <v>7500</v>
      </c>
      <c r="R977" s="6">
        <v>5522.55</v>
      </c>
      <c r="S977" s="6">
        <v>0</v>
      </c>
      <c r="T977" s="6">
        <v>0</v>
      </c>
      <c r="U977" s="5">
        <v>712</v>
      </c>
      <c r="V977" s="5">
        <v>0</v>
      </c>
    </row>
    <row r="978" spans="1:22" x14ac:dyDescent="0.25">
      <c r="A978" s="4" t="s">
        <v>1052</v>
      </c>
      <c r="B978" s="5">
        <v>47</v>
      </c>
      <c r="C978" s="4" t="s">
        <v>23</v>
      </c>
      <c r="D978" s="4" t="s">
        <v>34</v>
      </c>
      <c r="E978" s="4" t="s">
        <v>25</v>
      </c>
      <c r="F978" s="4" t="s">
        <v>30</v>
      </c>
      <c r="G978" s="6">
        <v>25900</v>
      </c>
      <c r="H978" s="5">
        <v>10</v>
      </c>
      <c r="I978" s="7">
        <v>42341</v>
      </c>
      <c r="J978" s="4" t="s">
        <v>39</v>
      </c>
      <c r="K978" s="5">
        <v>1</v>
      </c>
      <c r="L978" s="6">
        <v>3613.77</v>
      </c>
      <c r="M978" s="6"/>
      <c r="N978" s="5">
        <v>24</v>
      </c>
      <c r="O978" s="6">
        <v>35.159999999999997</v>
      </c>
      <c r="P978" s="5">
        <v>5</v>
      </c>
      <c r="Q978" s="6">
        <v>5000</v>
      </c>
      <c r="R978" s="6">
        <v>1545.91</v>
      </c>
      <c r="S978" s="6">
        <v>67000</v>
      </c>
      <c r="T978" s="6">
        <v>402</v>
      </c>
      <c r="U978" s="5">
        <v>620</v>
      </c>
      <c r="V978" s="5">
        <v>0</v>
      </c>
    </row>
    <row r="979" spans="1:22" x14ac:dyDescent="0.25">
      <c r="A979" s="4" t="s">
        <v>1053</v>
      </c>
      <c r="B979" s="5">
        <v>47</v>
      </c>
      <c r="C979" s="4" t="s">
        <v>23</v>
      </c>
      <c r="D979" s="4" t="s">
        <v>24</v>
      </c>
      <c r="E979" s="4" t="s">
        <v>63</v>
      </c>
      <c r="F979" s="4" t="s">
        <v>30</v>
      </c>
      <c r="G979" s="6">
        <v>37800</v>
      </c>
      <c r="H979" s="5">
        <v>13</v>
      </c>
      <c r="I979" s="7">
        <v>41371</v>
      </c>
      <c r="J979" s="4" t="s">
        <v>39</v>
      </c>
      <c r="K979" s="5">
        <v>1</v>
      </c>
      <c r="L979" s="6">
        <v>1301.17</v>
      </c>
      <c r="M979" s="6">
        <v>0</v>
      </c>
      <c r="N979" s="5">
        <v>25</v>
      </c>
      <c r="O979" s="6">
        <v>23.41</v>
      </c>
      <c r="P979" s="5">
        <v>5</v>
      </c>
      <c r="Q979" s="6">
        <v>5000</v>
      </c>
      <c r="R979" s="6">
        <v>1270.69</v>
      </c>
      <c r="S979" s="6">
        <v>0</v>
      </c>
      <c r="T979" s="6">
        <v>0</v>
      </c>
      <c r="U979" s="5">
        <v>676</v>
      </c>
      <c r="V979" s="5">
        <v>0</v>
      </c>
    </row>
    <row r="980" spans="1:22" x14ac:dyDescent="0.25">
      <c r="A980" s="4" t="s">
        <v>1054</v>
      </c>
      <c r="B980" s="5">
        <v>43</v>
      </c>
      <c r="C980" s="4" t="s">
        <v>23</v>
      </c>
      <c r="D980" s="4" t="s">
        <v>70</v>
      </c>
      <c r="E980" s="4" t="s">
        <v>25</v>
      </c>
      <c r="F980" s="4" t="s">
        <v>26</v>
      </c>
      <c r="G980" s="6">
        <v>24400</v>
      </c>
      <c r="H980" s="5">
        <v>3</v>
      </c>
      <c r="I980" s="7">
        <v>44850</v>
      </c>
      <c r="J980" s="4" t="s">
        <v>39</v>
      </c>
      <c r="K980" s="5">
        <v>2</v>
      </c>
      <c r="L980" s="6">
        <v>3242.74</v>
      </c>
      <c r="M980" s="6">
        <v>0</v>
      </c>
      <c r="N980" s="5">
        <v>13</v>
      </c>
      <c r="O980" s="6">
        <v>66.37</v>
      </c>
      <c r="P980" s="5">
        <v>7</v>
      </c>
      <c r="Q980" s="6">
        <v>0</v>
      </c>
      <c r="R980" s="6">
        <v>0</v>
      </c>
      <c r="S980" s="6">
        <v>118000</v>
      </c>
      <c r="T980" s="6">
        <v>781</v>
      </c>
      <c r="U980" s="5">
        <v>632</v>
      </c>
      <c r="V980" s="5">
        <v>0</v>
      </c>
    </row>
    <row r="981" spans="1:22" x14ac:dyDescent="0.25">
      <c r="A981" s="4" t="s">
        <v>1055</v>
      </c>
      <c r="B981" s="5">
        <v>52</v>
      </c>
      <c r="C981" s="4" t="s">
        <v>33</v>
      </c>
      <c r="D981" s="4" t="s">
        <v>57</v>
      </c>
      <c r="E981" s="4" t="s">
        <v>35</v>
      </c>
      <c r="F981" s="4" t="s">
        <v>30</v>
      </c>
      <c r="G981" s="6">
        <v>52200</v>
      </c>
      <c r="H981" s="5">
        <v>9</v>
      </c>
      <c r="I981" s="7">
        <v>42727</v>
      </c>
      <c r="J981" s="4" t="s">
        <v>31</v>
      </c>
      <c r="K981" s="5">
        <v>2</v>
      </c>
      <c r="L981" s="6">
        <v>13234.18</v>
      </c>
      <c r="M981" s="6">
        <v>0</v>
      </c>
      <c r="N981" s="5">
        <v>34</v>
      </c>
      <c r="O981" s="6">
        <v>81.22</v>
      </c>
      <c r="P981" s="5">
        <v>2</v>
      </c>
      <c r="Q981" s="6">
        <v>5500</v>
      </c>
      <c r="R981" s="6">
        <v>886.05</v>
      </c>
      <c r="S981" s="6">
        <v>158000</v>
      </c>
      <c r="T981" s="6">
        <v>1048</v>
      </c>
      <c r="U981" s="5">
        <v>656</v>
      </c>
      <c r="V981" s="5">
        <v>0</v>
      </c>
    </row>
    <row r="982" spans="1:22" x14ac:dyDescent="0.25">
      <c r="A982" s="4" t="s">
        <v>1056</v>
      </c>
      <c r="B982" s="5">
        <v>37</v>
      </c>
      <c r="C982" s="4" t="s">
        <v>23</v>
      </c>
      <c r="D982" s="4" t="s">
        <v>41</v>
      </c>
      <c r="E982" s="4" t="s">
        <v>45</v>
      </c>
      <c r="F982" s="4" t="s">
        <v>30</v>
      </c>
      <c r="G982" s="6">
        <v>18900</v>
      </c>
      <c r="H982" s="5">
        <v>10</v>
      </c>
      <c r="I982" s="7">
        <v>42410</v>
      </c>
      <c r="J982" s="4" t="s">
        <v>31</v>
      </c>
      <c r="K982" s="5">
        <v>1</v>
      </c>
      <c r="L982" s="6">
        <v>1006.11</v>
      </c>
      <c r="M982" s="6">
        <v>0</v>
      </c>
      <c r="N982" s="5">
        <v>26</v>
      </c>
      <c r="O982" s="6">
        <v>61.19</v>
      </c>
      <c r="P982" s="5">
        <v>0</v>
      </c>
      <c r="Q982" s="6">
        <v>4500</v>
      </c>
      <c r="R982" s="6">
        <v>743.61</v>
      </c>
      <c r="S982" s="6">
        <v>52000</v>
      </c>
      <c r="T982" s="6">
        <v>357</v>
      </c>
      <c r="U982" s="5">
        <v>617</v>
      </c>
      <c r="V982" s="5">
        <v>0</v>
      </c>
    </row>
    <row r="983" spans="1:22" x14ac:dyDescent="0.25">
      <c r="A983" s="4" t="s">
        <v>1057</v>
      </c>
      <c r="B983" s="5">
        <v>63</v>
      </c>
      <c r="C983" s="4" t="s">
        <v>33</v>
      </c>
      <c r="D983" s="4" t="s">
        <v>34</v>
      </c>
      <c r="E983" s="4" t="s">
        <v>90</v>
      </c>
      <c r="F983" s="4" t="s">
        <v>30</v>
      </c>
      <c r="G983" s="6">
        <v>177200</v>
      </c>
      <c r="H983" s="5">
        <v>16</v>
      </c>
      <c r="I983" s="7">
        <v>40085</v>
      </c>
      <c r="J983" s="4" t="s">
        <v>27</v>
      </c>
      <c r="K983" s="5">
        <v>5</v>
      </c>
      <c r="L983" s="6">
        <v>11005.75</v>
      </c>
      <c r="M983" s="6">
        <v>2400000</v>
      </c>
      <c r="N983" s="5">
        <v>63</v>
      </c>
      <c r="O983" s="6">
        <v>178.15</v>
      </c>
      <c r="P983" s="5">
        <v>1</v>
      </c>
      <c r="Q983" s="6">
        <v>15000</v>
      </c>
      <c r="R983" s="6">
        <v>1878.89</v>
      </c>
      <c r="S983" s="6">
        <v>0</v>
      </c>
      <c r="T983" s="6">
        <v>0</v>
      </c>
      <c r="U983" s="5">
        <v>828</v>
      </c>
      <c r="V983" s="5">
        <v>0</v>
      </c>
    </row>
    <row r="984" spans="1:22" x14ac:dyDescent="0.25">
      <c r="A984" s="4" t="s">
        <v>1058</v>
      </c>
      <c r="B984" s="5">
        <v>69</v>
      </c>
      <c r="C984" s="4" t="s">
        <v>23</v>
      </c>
      <c r="D984" s="4" t="s">
        <v>44</v>
      </c>
      <c r="E984" s="4" t="s">
        <v>95</v>
      </c>
      <c r="F984" s="4" t="s">
        <v>30</v>
      </c>
      <c r="G984" s="6">
        <v>35200</v>
      </c>
      <c r="H984" s="5">
        <v>31</v>
      </c>
      <c r="I984" s="7">
        <v>34780</v>
      </c>
      <c r="J984" s="4" t="s">
        <v>27</v>
      </c>
      <c r="K984" s="5">
        <v>1</v>
      </c>
      <c r="L984" s="6">
        <v>3852.52</v>
      </c>
      <c r="M984" s="6">
        <v>0</v>
      </c>
      <c r="N984" s="5">
        <v>24</v>
      </c>
      <c r="O984" s="6">
        <v>24.94</v>
      </c>
      <c r="P984" s="5">
        <v>3</v>
      </c>
      <c r="Q984" s="6">
        <v>5500</v>
      </c>
      <c r="R984" s="6">
        <v>2883.83</v>
      </c>
      <c r="S984" s="6">
        <v>0</v>
      </c>
      <c r="T984" s="6">
        <v>0</v>
      </c>
      <c r="U984" s="5">
        <v>612</v>
      </c>
      <c r="V984" s="5">
        <v>1</v>
      </c>
    </row>
    <row r="985" spans="1:22" x14ac:dyDescent="0.25">
      <c r="A985" s="4" t="s">
        <v>1059</v>
      </c>
      <c r="B985" s="5">
        <v>62</v>
      </c>
      <c r="C985" s="4" t="s">
        <v>23</v>
      </c>
      <c r="D985" s="4" t="s">
        <v>59</v>
      </c>
      <c r="E985" s="4" t="s">
        <v>90</v>
      </c>
      <c r="F985" s="4" t="s">
        <v>30</v>
      </c>
      <c r="G985" s="6">
        <v>1350000</v>
      </c>
      <c r="H985" s="5">
        <v>26</v>
      </c>
      <c r="I985" s="7">
        <v>36763</v>
      </c>
      <c r="J985" s="4" t="s">
        <v>39</v>
      </c>
      <c r="K985" s="5">
        <v>3</v>
      </c>
      <c r="L985" s="6">
        <v>135000</v>
      </c>
      <c r="M985" s="6">
        <v>2558000</v>
      </c>
      <c r="N985" s="5">
        <v>63</v>
      </c>
      <c r="O985" s="6">
        <v>111.43</v>
      </c>
      <c r="P985" s="5">
        <v>2</v>
      </c>
      <c r="Q985" s="6">
        <v>15000</v>
      </c>
      <c r="R985" s="6">
        <v>5416.1</v>
      </c>
      <c r="S985" s="6">
        <v>0</v>
      </c>
      <c r="T985" s="6">
        <v>0</v>
      </c>
      <c r="U985" s="5">
        <v>838</v>
      </c>
      <c r="V985" s="5">
        <v>0</v>
      </c>
    </row>
    <row r="986" spans="1:22" x14ac:dyDescent="0.25">
      <c r="A986" s="4" t="s">
        <v>1060</v>
      </c>
      <c r="B986" s="5">
        <v>40</v>
      </c>
      <c r="C986" s="4" t="s">
        <v>23</v>
      </c>
      <c r="D986" s="4" t="s">
        <v>24</v>
      </c>
      <c r="E986" s="4" t="s">
        <v>35</v>
      </c>
      <c r="F986" s="4" t="s">
        <v>26</v>
      </c>
      <c r="G986" s="6">
        <v>28500</v>
      </c>
      <c r="H986" s="5">
        <v>14</v>
      </c>
      <c r="I986" s="7">
        <v>41098</v>
      </c>
      <c r="J986" s="4" t="s">
        <v>49</v>
      </c>
      <c r="K986" s="5">
        <v>3</v>
      </c>
      <c r="L986" s="6">
        <v>1142.5899999999999</v>
      </c>
      <c r="M986" s="6">
        <v>0</v>
      </c>
      <c r="N986" s="5">
        <v>24</v>
      </c>
      <c r="O986" s="6">
        <v>38</v>
      </c>
      <c r="P986" s="5">
        <v>2</v>
      </c>
      <c r="Q986" s="6">
        <v>6500</v>
      </c>
      <c r="R986" s="6">
        <v>286.16000000000003</v>
      </c>
      <c r="S986" s="6">
        <v>0</v>
      </c>
      <c r="T986" s="6">
        <v>0</v>
      </c>
      <c r="U986" s="5">
        <v>697</v>
      </c>
      <c r="V986" s="5">
        <v>0</v>
      </c>
    </row>
    <row r="987" spans="1:22" x14ac:dyDescent="0.25">
      <c r="A987" s="4" t="s">
        <v>1061</v>
      </c>
      <c r="B987" s="5">
        <v>39</v>
      </c>
      <c r="C987" s="4" t="s">
        <v>33</v>
      </c>
      <c r="D987" s="4" t="s">
        <v>59</v>
      </c>
      <c r="E987" s="4" t="s">
        <v>45</v>
      </c>
      <c r="F987" s="4" t="s">
        <v>26</v>
      </c>
      <c r="G987" s="6">
        <v>17700</v>
      </c>
      <c r="H987" s="5">
        <v>4</v>
      </c>
      <c r="I987" s="7">
        <v>44528</v>
      </c>
      <c r="J987" s="4" t="s">
        <v>31</v>
      </c>
      <c r="K987" s="5">
        <v>1</v>
      </c>
      <c r="L987" s="6">
        <v>1207.17</v>
      </c>
      <c r="M987" s="6">
        <v>0</v>
      </c>
      <c r="N987" s="5">
        <v>32</v>
      </c>
      <c r="O987" s="6">
        <v>35.340000000000003</v>
      </c>
      <c r="P987" s="5">
        <v>0</v>
      </c>
      <c r="Q987" s="6">
        <v>2500</v>
      </c>
      <c r="R987" s="6">
        <v>544.42999999999995</v>
      </c>
      <c r="S987" s="6">
        <v>0</v>
      </c>
      <c r="T987" s="6">
        <v>0</v>
      </c>
      <c r="U987" s="5">
        <v>564</v>
      </c>
      <c r="V987" s="5">
        <v>1</v>
      </c>
    </row>
    <row r="988" spans="1:22" x14ac:dyDescent="0.25">
      <c r="A988" s="4" t="s">
        <v>1062</v>
      </c>
      <c r="B988" s="5">
        <v>35</v>
      </c>
      <c r="C988" s="4" t="s">
        <v>23</v>
      </c>
      <c r="D988" s="4" t="s">
        <v>29</v>
      </c>
      <c r="E988" s="4" t="s">
        <v>54</v>
      </c>
      <c r="F988" s="4" t="s">
        <v>30</v>
      </c>
      <c r="G988" s="6">
        <v>36900</v>
      </c>
      <c r="H988" s="5">
        <v>2</v>
      </c>
      <c r="I988" s="7">
        <v>45516</v>
      </c>
      <c r="J988" s="4" t="s">
        <v>27</v>
      </c>
      <c r="K988" s="5">
        <v>2</v>
      </c>
      <c r="L988" s="6">
        <v>5893.67</v>
      </c>
      <c r="M988" s="6">
        <v>13655.56</v>
      </c>
      <c r="N988" s="5">
        <v>34</v>
      </c>
      <c r="O988" s="6">
        <v>35.130000000000003</v>
      </c>
      <c r="P988" s="5">
        <v>2</v>
      </c>
      <c r="Q988" s="6">
        <v>8000</v>
      </c>
      <c r="R988" s="6">
        <v>1966.65</v>
      </c>
      <c r="S988" s="6">
        <v>0</v>
      </c>
      <c r="T988" s="6">
        <v>0</v>
      </c>
      <c r="U988" s="5">
        <v>576</v>
      </c>
      <c r="V988" s="5">
        <v>1</v>
      </c>
    </row>
    <row r="989" spans="1:22" x14ac:dyDescent="0.25">
      <c r="A989" s="4" t="s">
        <v>1063</v>
      </c>
      <c r="B989" s="5">
        <v>36</v>
      </c>
      <c r="C989" s="4" t="s">
        <v>23</v>
      </c>
      <c r="D989" s="4" t="s">
        <v>37</v>
      </c>
      <c r="E989" s="4" t="s">
        <v>25</v>
      </c>
      <c r="F989" s="4" t="s">
        <v>30</v>
      </c>
      <c r="G989" s="6">
        <v>25700</v>
      </c>
      <c r="H989" s="5">
        <v>4</v>
      </c>
      <c r="I989" s="7">
        <v>44651</v>
      </c>
      <c r="J989" s="4" t="s">
        <v>31</v>
      </c>
      <c r="K989" s="5">
        <v>2</v>
      </c>
      <c r="L989" s="6">
        <v>1163.56</v>
      </c>
      <c r="M989" s="6">
        <v>8657.6299999999992</v>
      </c>
      <c r="N989" s="5">
        <v>33</v>
      </c>
      <c r="O989" s="6">
        <v>37.270000000000003</v>
      </c>
      <c r="P989" s="5">
        <v>1</v>
      </c>
      <c r="Q989" s="6">
        <v>0</v>
      </c>
      <c r="R989" s="6">
        <v>0</v>
      </c>
      <c r="S989" s="6">
        <v>0</v>
      </c>
      <c r="T989" s="6">
        <v>0</v>
      </c>
      <c r="U989" s="5">
        <v>633</v>
      </c>
      <c r="V989" s="5">
        <v>0</v>
      </c>
    </row>
    <row r="990" spans="1:22" x14ac:dyDescent="0.25">
      <c r="A990" s="4" t="s">
        <v>1064</v>
      </c>
      <c r="B990" s="5">
        <v>41</v>
      </c>
      <c r="C990" s="4" t="s">
        <v>33</v>
      </c>
      <c r="D990" s="4" t="s">
        <v>59</v>
      </c>
      <c r="E990" s="4" t="s">
        <v>90</v>
      </c>
      <c r="F990" s="4" t="s">
        <v>48</v>
      </c>
      <c r="G990" s="6">
        <v>113400</v>
      </c>
      <c r="H990" s="5">
        <v>10</v>
      </c>
      <c r="I990" s="7">
        <v>42283</v>
      </c>
      <c r="J990" s="4" t="s">
        <v>49</v>
      </c>
      <c r="K990" s="5">
        <v>5</v>
      </c>
      <c r="L990" s="6">
        <v>16412.68</v>
      </c>
      <c r="M990" s="6">
        <v>78487.399999999994</v>
      </c>
      <c r="N990" s="5">
        <v>51</v>
      </c>
      <c r="O990" s="6">
        <v>131.33000000000001</v>
      </c>
      <c r="P990" s="5">
        <v>5</v>
      </c>
      <c r="Q990" s="6">
        <v>11500</v>
      </c>
      <c r="R990" s="6">
        <v>4077.39</v>
      </c>
      <c r="S990" s="6">
        <v>234000</v>
      </c>
      <c r="T990" s="6">
        <v>1241</v>
      </c>
      <c r="U990" s="5">
        <v>721</v>
      </c>
      <c r="V990" s="5">
        <v>0</v>
      </c>
    </row>
    <row r="991" spans="1:22" x14ac:dyDescent="0.25">
      <c r="A991" s="4" t="s">
        <v>1065</v>
      </c>
      <c r="B991" s="5">
        <v>36</v>
      </c>
      <c r="C991" s="4" t="s">
        <v>33</v>
      </c>
      <c r="D991" s="4" t="s">
        <v>108</v>
      </c>
      <c r="E991" s="4" t="s">
        <v>25</v>
      </c>
      <c r="F991" s="4" t="s">
        <v>30</v>
      </c>
      <c r="G991" s="6">
        <v>44300</v>
      </c>
      <c r="H991" s="5">
        <v>5</v>
      </c>
      <c r="I991" s="7">
        <v>44186</v>
      </c>
      <c r="J991" s="4" t="s">
        <v>27</v>
      </c>
      <c r="K991" s="5">
        <v>1</v>
      </c>
      <c r="L991" s="6">
        <v>2450.81</v>
      </c>
      <c r="M991" s="6">
        <v>14270.6</v>
      </c>
      <c r="N991" s="5">
        <v>32</v>
      </c>
      <c r="O991" s="6">
        <v>64.2</v>
      </c>
      <c r="P991" s="5">
        <v>1</v>
      </c>
      <c r="Q991" s="6">
        <v>5000</v>
      </c>
      <c r="R991" s="6">
        <v>2796.58</v>
      </c>
      <c r="S991" s="6">
        <v>0</v>
      </c>
      <c r="T991" s="6">
        <v>0</v>
      </c>
      <c r="U991" s="5">
        <v>554</v>
      </c>
      <c r="V991" s="5">
        <v>0</v>
      </c>
    </row>
    <row r="992" spans="1:22" x14ac:dyDescent="0.25">
      <c r="A992" s="4" t="s">
        <v>1066</v>
      </c>
      <c r="B992" s="5">
        <v>51</v>
      </c>
      <c r="C992" s="4" t="s">
        <v>23</v>
      </c>
      <c r="D992" s="4" t="s">
        <v>34</v>
      </c>
      <c r="E992" s="4" t="s">
        <v>54</v>
      </c>
      <c r="F992" s="4" t="s">
        <v>48</v>
      </c>
      <c r="G992" s="6">
        <v>42800</v>
      </c>
      <c r="H992" s="5">
        <v>25</v>
      </c>
      <c r="I992" s="7">
        <v>37004</v>
      </c>
      <c r="J992" s="4" t="s">
        <v>31</v>
      </c>
      <c r="K992" s="5">
        <v>2</v>
      </c>
      <c r="L992" s="6">
        <v>9172.31</v>
      </c>
      <c r="M992" s="6">
        <v>81599.16</v>
      </c>
      <c r="N992" s="5">
        <v>27</v>
      </c>
      <c r="O992" s="6">
        <v>67.86</v>
      </c>
      <c r="P992" s="5">
        <v>2</v>
      </c>
      <c r="Q992" s="6">
        <v>10000</v>
      </c>
      <c r="R992" s="6">
        <v>351.02</v>
      </c>
      <c r="S992" s="6">
        <v>104000</v>
      </c>
      <c r="T992" s="6">
        <v>722</v>
      </c>
      <c r="U992" s="5">
        <v>668</v>
      </c>
      <c r="V992" s="5">
        <v>1</v>
      </c>
    </row>
    <row r="993" spans="1:22" x14ac:dyDescent="0.25">
      <c r="A993" s="4" t="s">
        <v>1067</v>
      </c>
      <c r="B993" s="5">
        <v>68</v>
      </c>
      <c r="C993" s="4" t="s">
        <v>33</v>
      </c>
      <c r="D993" s="4" t="s">
        <v>29</v>
      </c>
      <c r="E993" s="4" t="s">
        <v>95</v>
      </c>
      <c r="F993" s="4" t="s">
        <v>30</v>
      </c>
      <c r="G993" s="6">
        <v>20200</v>
      </c>
      <c r="H993" s="5">
        <v>2</v>
      </c>
      <c r="I993" s="7">
        <v>45462</v>
      </c>
      <c r="J993" s="4" t="s">
        <v>39</v>
      </c>
      <c r="K993" s="5">
        <v>2</v>
      </c>
      <c r="L993" s="6">
        <v>3026.69</v>
      </c>
      <c r="M993" s="6">
        <v>5136.87</v>
      </c>
      <c r="N993" s="5">
        <v>24</v>
      </c>
      <c r="O993" s="6">
        <v>90.82</v>
      </c>
      <c r="P993" s="5">
        <v>3</v>
      </c>
      <c r="Q993" s="6">
        <v>2000</v>
      </c>
      <c r="R993" s="6">
        <v>306.48</v>
      </c>
      <c r="S993" s="6">
        <v>0</v>
      </c>
      <c r="T993" s="6">
        <v>0</v>
      </c>
      <c r="U993" s="5">
        <v>600</v>
      </c>
      <c r="V993" s="5">
        <v>0</v>
      </c>
    </row>
    <row r="994" spans="1:22" x14ac:dyDescent="0.25">
      <c r="A994" s="4" t="s">
        <v>1068</v>
      </c>
      <c r="B994" s="5">
        <v>47</v>
      </c>
      <c r="C994" s="4" t="s">
        <v>23</v>
      </c>
      <c r="D994" s="4" t="s">
        <v>72</v>
      </c>
      <c r="E994" s="4" t="s">
        <v>25</v>
      </c>
      <c r="F994" s="4" t="s">
        <v>30</v>
      </c>
      <c r="G994" s="6">
        <v>35100</v>
      </c>
      <c r="H994" s="5">
        <v>5</v>
      </c>
      <c r="I994" s="7">
        <v>44345</v>
      </c>
      <c r="J994" s="4" t="s">
        <v>27</v>
      </c>
      <c r="K994" s="5">
        <v>1</v>
      </c>
      <c r="L994" s="6">
        <v>12647.5</v>
      </c>
      <c r="M994" s="6">
        <v>0</v>
      </c>
      <c r="N994" s="5">
        <v>26</v>
      </c>
      <c r="O994" s="6">
        <v>60.43</v>
      </c>
      <c r="P994" s="5">
        <v>4</v>
      </c>
      <c r="Q994" s="6">
        <v>0</v>
      </c>
      <c r="R994" s="6">
        <v>0</v>
      </c>
      <c r="S994" s="6">
        <v>0</v>
      </c>
      <c r="T994" s="6">
        <v>0</v>
      </c>
      <c r="U994" s="5">
        <v>593</v>
      </c>
      <c r="V994" s="5">
        <v>0</v>
      </c>
    </row>
    <row r="995" spans="1:22" x14ac:dyDescent="0.25">
      <c r="A995" s="4" t="s">
        <v>1069</v>
      </c>
      <c r="B995" s="5">
        <v>36</v>
      </c>
      <c r="C995" s="4" t="s">
        <v>33</v>
      </c>
      <c r="D995" s="4" t="s">
        <v>34</v>
      </c>
      <c r="E995" s="4" t="s">
        <v>25</v>
      </c>
      <c r="F995" s="4" t="s">
        <v>30</v>
      </c>
      <c r="G995" s="6">
        <v>31200</v>
      </c>
      <c r="H995" s="5">
        <v>13</v>
      </c>
      <c r="I995" s="7">
        <v>41233</v>
      </c>
      <c r="J995" s="4" t="s">
        <v>27</v>
      </c>
      <c r="K995" s="5">
        <v>1</v>
      </c>
      <c r="L995" s="6">
        <v>-1071.32</v>
      </c>
      <c r="M995" s="6">
        <v>42052.160000000003</v>
      </c>
      <c r="N995" s="5">
        <v>29</v>
      </c>
      <c r="O995" s="6">
        <v>40.950000000000003</v>
      </c>
      <c r="P995" s="5">
        <v>3</v>
      </c>
      <c r="Q995" s="6">
        <v>7500</v>
      </c>
      <c r="R995" s="6">
        <v>474.27</v>
      </c>
      <c r="S995" s="6">
        <v>0</v>
      </c>
      <c r="T995" s="6">
        <v>0</v>
      </c>
      <c r="U995" s="5">
        <v>658</v>
      </c>
      <c r="V995" s="5">
        <v>0</v>
      </c>
    </row>
    <row r="996" spans="1:22" x14ac:dyDescent="0.25">
      <c r="A996" s="4" t="s">
        <v>1070</v>
      </c>
      <c r="B996" s="5">
        <v>54</v>
      </c>
      <c r="C996" s="4" t="s">
        <v>23</v>
      </c>
      <c r="D996" s="4" t="s">
        <v>134</v>
      </c>
      <c r="E996" s="4" t="s">
        <v>35</v>
      </c>
      <c r="F996" s="4" t="s">
        <v>30</v>
      </c>
      <c r="G996" s="6">
        <v>66600</v>
      </c>
      <c r="H996" s="5">
        <v>20</v>
      </c>
      <c r="I996" s="7">
        <v>38894</v>
      </c>
      <c r="J996" s="4" t="s">
        <v>27</v>
      </c>
      <c r="K996" s="5">
        <v>1</v>
      </c>
      <c r="L996" s="6">
        <v>5816.64</v>
      </c>
      <c r="M996" s="6">
        <v>63935.95</v>
      </c>
      <c r="N996" s="5">
        <v>36</v>
      </c>
      <c r="O996" s="6">
        <v>95.44</v>
      </c>
      <c r="P996" s="5">
        <v>2</v>
      </c>
      <c r="Q996" s="6">
        <v>14500</v>
      </c>
      <c r="R996" s="6">
        <v>8128.73</v>
      </c>
      <c r="S996" s="6">
        <v>127000</v>
      </c>
      <c r="T996" s="6">
        <v>762</v>
      </c>
      <c r="U996" s="5">
        <v>769</v>
      </c>
      <c r="V996" s="5">
        <v>0</v>
      </c>
    </row>
    <row r="997" spans="1:22" x14ac:dyDescent="0.25">
      <c r="A997" s="4" t="s">
        <v>1071</v>
      </c>
      <c r="B997" s="5">
        <v>50</v>
      </c>
      <c r="C997" s="4" t="s">
        <v>23</v>
      </c>
      <c r="D997" s="4" t="s">
        <v>34</v>
      </c>
      <c r="E997" s="4" t="s">
        <v>63</v>
      </c>
      <c r="F997" s="4" t="s">
        <v>30</v>
      </c>
      <c r="G997" s="6">
        <v>26500</v>
      </c>
      <c r="H997" s="5">
        <v>25</v>
      </c>
      <c r="I997" s="7">
        <v>37040</v>
      </c>
      <c r="J997" s="4" t="s">
        <v>31</v>
      </c>
      <c r="K997" s="5">
        <v>2</v>
      </c>
      <c r="L997" s="6">
        <v>5671.15</v>
      </c>
      <c r="M997" s="6">
        <v>37841.33</v>
      </c>
      <c r="N997" s="5">
        <v>22</v>
      </c>
      <c r="O997" s="6">
        <v>61.81</v>
      </c>
      <c r="P997" s="5">
        <v>4</v>
      </c>
      <c r="Q997" s="6">
        <v>0</v>
      </c>
      <c r="R997" s="6">
        <v>0</v>
      </c>
      <c r="S997" s="6">
        <v>130000</v>
      </c>
      <c r="T997" s="6">
        <v>846</v>
      </c>
      <c r="U997" s="5">
        <v>748</v>
      </c>
      <c r="V997" s="5">
        <v>0</v>
      </c>
    </row>
    <row r="998" spans="1:22" x14ac:dyDescent="0.25">
      <c r="A998" s="4" t="s">
        <v>1072</v>
      </c>
      <c r="B998" s="5">
        <v>50</v>
      </c>
      <c r="C998" s="4" t="s">
        <v>33</v>
      </c>
      <c r="D998" s="4" t="s">
        <v>59</v>
      </c>
      <c r="E998" s="4" t="s">
        <v>54</v>
      </c>
      <c r="F998" s="4" t="s">
        <v>30</v>
      </c>
      <c r="G998" s="6">
        <v>33200</v>
      </c>
      <c r="H998" s="5">
        <v>19</v>
      </c>
      <c r="I998" s="7">
        <v>39125</v>
      </c>
      <c r="J998" s="4" t="s">
        <v>39</v>
      </c>
      <c r="K998" s="5">
        <v>5</v>
      </c>
      <c r="L998" s="6">
        <v>15229.18</v>
      </c>
      <c r="M998" s="6">
        <v>36086.21</v>
      </c>
      <c r="N998" s="5">
        <v>21</v>
      </c>
      <c r="O998" s="6">
        <v>74.319999999999993</v>
      </c>
      <c r="P998" s="5">
        <v>4</v>
      </c>
      <c r="Q998" s="6">
        <v>4000</v>
      </c>
      <c r="R998" s="6">
        <v>697.77</v>
      </c>
      <c r="S998" s="6">
        <v>0</v>
      </c>
      <c r="T998" s="6">
        <v>0</v>
      </c>
      <c r="U998" s="5">
        <v>670</v>
      </c>
      <c r="V998" s="5">
        <v>0</v>
      </c>
    </row>
    <row r="999" spans="1:22" x14ac:dyDescent="0.25">
      <c r="A999" s="4" t="s">
        <v>1073</v>
      </c>
      <c r="B999" s="5">
        <v>59</v>
      </c>
      <c r="C999" s="4" t="s">
        <v>33</v>
      </c>
      <c r="D999" s="4" t="s">
        <v>44</v>
      </c>
      <c r="E999" s="4" t="s">
        <v>25</v>
      </c>
      <c r="F999" s="4" t="s">
        <v>30</v>
      </c>
      <c r="G999" s="6">
        <v>33200</v>
      </c>
      <c r="H999" s="5">
        <v>10</v>
      </c>
      <c r="I999" s="7">
        <v>42396</v>
      </c>
      <c r="J999" s="4" t="s">
        <v>27</v>
      </c>
      <c r="K999" s="5">
        <v>2</v>
      </c>
      <c r="L999" s="6">
        <v>5150</v>
      </c>
      <c r="M999" s="6">
        <v>10951.72</v>
      </c>
      <c r="N999" s="5">
        <v>35</v>
      </c>
      <c r="O999" s="6">
        <v>67.23</v>
      </c>
      <c r="P999" s="5">
        <v>1</v>
      </c>
      <c r="Q999" s="6">
        <v>5500</v>
      </c>
      <c r="R999" s="6">
        <v>624.17999999999995</v>
      </c>
      <c r="S999" s="6">
        <v>0</v>
      </c>
      <c r="T999" s="6">
        <v>0</v>
      </c>
      <c r="U999" s="5">
        <v>620</v>
      </c>
      <c r="V999" s="5">
        <v>0</v>
      </c>
    </row>
    <row r="1000" spans="1:22" x14ac:dyDescent="0.25">
      <c r="A1000" s="4" t="s">
        <v>1074</v>
      </c>
      <c r="B1000" s="5">
        <v>62</v>
      </c>
      <c r="C1000" s="4" t="s">
        <v>23</v>
      </c>
      <c r="D1000" s="4" t="s">
        <v>98</v>
      </c>
      <c r="E1000" s="4" t="s">
        <v>35</v>
      </c>
      <c r="F1000" s="4" t="s">
        <v>30</v>
      </c>
      <c r="G1000" s="6">
        <v>46900</v>
      </c>
      <c r="H1000" s="5">
        <v>23</v>
      </c>
      <c r="I1000" s="7">
        <v>37522</v>
      </c>
      <c r="J1000" s="4" t="s">
        <v>27</v>
      </c>
      <c r="K1000" s="5">
        <v>3</v>
      </c>
      <c r="L1000" s="6">
        <v>9276</v>
      </c>
      <c r="M1000" s="6">
        <v>103939.83</v>
      </c>
      <c r="N1000" s="5">
        <v>32</v>
      </c>
      <c r="O1000" s="6">
        <v>37.799999999999997</v>
      </c>
      <c r="P1000" s="5">
        <v>3</v>
      </c>
      <c r="Q1000" s="6">
        <v>6000</v>
      </c>
      <c r="R1000" s="6">
        <v>403.69</v>
      </c>
      <c r="S1000" s="6">
        <v>0</v>
      </c>
      <c r="T1000" s="6">
        <v>0</v>
      </c>
      <c r="U1000" s="5">
        <v>632</v>
      </c>
      <c r="V1000" s="5">
        <v>0</v>
      </c>
    </row>
    <row r="1001" spans="1:22" x14ac:dyDescent="0.25">
      <c r="A1001" s="4" t="s">
        <v>1075</v>
      </c>
      <c r="B1001" s="5">
        <v>58</v>
      </c>
      <c r="C1001" s="4" t="s">
        <v>33</v>
      </c>
      <c r="D1001" s="4" t="s">
        <v>57</v>
      </c>
      <c r="E1001" s="4" t="s">
        <v>35</v>
      </c>
      <c r="F1001" s="4" t="s">
        <v>30</v>
      </c>
      <c r="G1001" s="6">
        <v>54300</v>
      </c>
      <c r="H1001" s="5">
        <v>11</v>
      </c>
      <c r="I1001" s="7">
        <v>42009</v>
      </c>
      <c r="J1001" s="4" t="s">
        <v>39</v>
      </c>
      <c r="K1001" s="5">
        <v>3</v>
      </c>
      <c r="L1001" s="6">
        <v>1777.35</v>
      </c>
      <c r="M1001" s="6">
        <v>47727.63</v>
      </c>
      <c r="N1001" s="5">
        <v>25</v>
      </c>
      <c r="O1001" s="6">
        <v>108.97</v>
      </c>
      <c r="P1001" s="5">
        <v>6</v>
      </c>
      <c r="Q1001" s="6">
        <v>7500</v>
      </c>
      <c r="R1001" s="6">
        <v>1604.74</v>
      </c>
      <c r="S1001" s="6">
        <v>155000</v>
      </c>
      <c r="T1001" s="6">
        <v>852</v>
      </c>
      <c r="U1001" s="5">
        <v>556</v>
      </c>
      <c r="V1001" s="5">
        <v>1</v>
      </c>
    </row>
  </sheetData>
  <autoFilter ref="A1:V10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zoomScaleNormal="100" workbookViewId="0">
      <pane ySplit="4" topLeftCell="A5" activePane="bottomLeft" state="frozen"/>
      <selection pane="bottomLeft"/>
    </sheetView>
  </sheetViews>
  <sheetFormatPr defaultColWidth="8.7109375" defaultRowHeight="15" x14ac:dyDescent="0.25"/>
  <cols>
    <col min="1" max="1" width="30" customWidth="1"/>
    <col min="2" max="2" width="12" customWidth="1"/>
    <col min="3" max="3" width="62" customWidth="1"/>
    <col min="4" max="4" width="52" customWidth="1"/>
  </cols>
  <sheetData>
    <row r="1" spans="1:4" ht="16.5" x14ac:dyDescent="0.25">
      <c r="A1" s="8" t="s">
        <v>1076</v>
      </c>
    </row>
    <row r="2" spans="1:4" ht="45" customHeight="1" x14ac:dyDescent="0.25">
      <c r="A2" s="2" t="s">
        <v>1077</v>
      </c>
      <c r="B2" s="2"/>
      <c r="C2" s="2"/>
      <c r="D2" s="2"/>
    </row>
    <row r="4" spans="1:4" x14ac:dyDescent="0.25">
      <c r="A4" s="3" t="s">
        <v>1078</v>
      </c>
      <c r="B4" s="3" t="s">
        <v>1079</v>
      </c>
      <c r="C4" s="3" t="s">
        <v>1080</v>
      </c>
      <c r="D4" s="3" t="s">
        <v>1081</v>
      </c>
    </row>
    <row r="5" spans="1:4" x14ac:dyDescent="0.25">
      <c r="A5" s="9" t="s">
        <v>0</v>
      </c>
      <c r="B5" s="10" t="s">
        <v>1082</v>
      </c>
      <c r="C5" s="10" t="s">
        <v>1083</v>
      </c>
      <c r="D5" s="10" t="s">
        <v>1084</v>
      </c>
    </row>
    <row r="6" spans="1:4" x14ac:dyDescent="0.25">
      <c r="A6" s="9" t="s">
        <v>1</v>
      </c>
      <c r="B6" s="10" t="s">
        <v>1085</v>
      </c>
      <c r="C6" s="10" t="s">
        <v>1086</v>
      </c>
      <c r="D6" s="10" t="s">
        <v>1087</v>
      </c>
    </row>
    <row r="7" spans="1:4" x14ac:dyDescent="0.25">
      <c r="A7" s="9" t="s">
        <v>2</v>
      </c>
      <c r="B7" s="10" t="s">
        <v>1088</v>
      </c>
      <c r="C7" s="10" t="s">
        <v>1089</v>
      </c>
      <c r="D7" s="10" t="s">
        <v>1090</v>
      </c>
    </row>
    <row r="8" spans="1:4" x14ac:dyDescent="0.25">
      <c r="A8" s="9" t="s">
        <v>3</v>
      </c>
      <c r="B8" s="10" t="s">
        <v>1088</v>
      </c>
      <c r="C8" s="10" t="s">
        <v>1091</v>
      </c>
      <c r="D8" s="10" t="s">
        <v>1092</v>
      </c>
    </row>
    <row r="9" spans="1:4" ht="38.25" x14ac:dyDescent="0.25">
      <c r="A9" s="9" t="s">
        <v>4</v>
      </c>
      <c r="B9" s="10" t="s">
        <v>1088</v>
      </c>
      <c r="C9" s="10" t="s">
        <v>1093</v>
      </c>
      <c r="D9" s="10" t="s">
        <v>1094</v>
      </c>
    </row>
    <row r="10" spans="1:4" x14ac:dyDescent="0.25">
      <c r="A10" s="9" t="s">
        <v>5</v>
      </c>
      <c r="B10" s="10" t="s">
        <v>1088</v>
      </c>
      <c r="C10" s="10" t="s">
        <v>1095</v>
      </c>
      <c r="D10" s="10" t="s">
        <v>1096</v>
      </c>
    </row>
    <row r="11" spans="1:4" x14ac:dyDescent="0.25">
      <c r="A11" s="9" t="s">
        <v>6</v>
      </c>
      <c r="B11" s="10" t="s">
        <v>1097</v>
      </c>
      <c r="C11" s="10" t="s">
        <v>1098</v>
      </c>
      <c r="D11" s="10" t="s">
        <v>1099</v>
      </c>
    </row>
    <row r="12" spans="1:4" x14ac:dyDescent="0.25">
      <c r="A12" s="9" t="s">
        <v>7</v>
      </c>
      <c r="B12" s="10" t="s">
        <v>1085</v>
      </c>
      <c r="C12" s="10" t="s">
        <v>1100</v>
      </c>
      <c r="D12" s="10" t="s">
        <v>1101</v>
      </c>
    </row>
    <row r="13" spans="1:4" ht="25.5" x14ac:dyDescent="0.25">
      <c r="A13" s="9" t="s">
        <v>8</v>
      </c>
      <c r="B13" s="10" t="s">
        <v>1102</v>
      </c>
      <c r="C13" s="10" t="s">
        <v>1103</v>
      </c>
      <c r="D13" s="10" t="s">
        <v>1104</v>
      </c>
    </row>
    <row r="14" spans="1:4" x14ac:dyDescent="0.25">
      <c r="A14" s="9" t="s">
        <v>9</v>
      </c>
      <c r="B14" s="10" t="s">
        <v>1088</v>
      </c>
      <c r="C14" s="10" t="s">
        <v>1105</v>
      </c>
      <c r="D14" s="10" t="s">
        <v>1106</v>
      </c>
    </row>
    <row r="15" spans="1:4" x14ac:dyDescent="0.25">
      <c r="A15" s="9" t="s">
        <v>10</v>
      </c>
      <c r="B15" s="10" t="s">
        <v>1085</v>
      </c>
      <c r="C15" s="10" t="s">
        <v>1107</v>
      </c>
      <c r="D15" s="10" t="s">
        <v>1108</v>
      </c>
    </row>
    <row r="16" spans="1:4" ht="25.5" x14ac:dyDescent="0.25">
      <c r="A16" s="9" t="s">
        <v>11</v>
      </c>
      <c r="B16" s="10" t="s">
        <v>1097</v>
      </c>
      <c r="C16" s="10" t="s">
        <v>1109</v>
      </c>
      <c r="D16" s="10" t="s">
        <v>1110</v>
      </c>
    </row>
    <row r="17" spans="1:4" x14ac:dyDescent="0.25">
      <c r="A17" s="9" t="s">
        <v>12</v>
      </c>
      <c r="B17" s="10" t="s">
        <v>1097</v>
      </c>
      <c r="C17" s="10" t="s">
        <v>1111</v>
      </c>
      <c r="D17" s="10" t="s">
        <v>1112</v>
      </c>
    </row>
    <row r="18" spans="1:4" x14ac:dyDescent="0.25">
      <c r="A18" s="9" t="s">
        <v>13</v>
      </c>
      <c r="B18" s="10" t="s">
        <v>1085</v>
      </c>
      <c r="C18" s="10" t="s">
        <v>1113</v>
      </c>
      <c r="D18" s="10" t="s">
        <v>1114</v>
      </c>
    </row>
    <row r="19" spans="1:4" x14ac:dyDescent="0.25">
      <c r="A19" s="9" t="s">
        <v>14</v>
      </c>
      <c r="B19" s="10" t="s">
        <v>1097</v>
      </c>
      <c r="C19" s="10" t="s">
        <v>1115</v>
      </c>
      <c r="D19" s="10" t="s">
        <v>1116</v>
      </c>
    </row>
    <row r="20" spans="1:4" x14ac:dyDescent="0.25">
      <c r="A20" s="9" t="s">
        <v>15</v>
      </c>
      <c r="B20" s="10" t="s">
        <v>1085</v>
      </c>
      <c r="C20" s="10" t="s">
        <v>1117</v>
      </c>
      <c r="D20" s="10" t="s">
        <v>1118</v>
      </c>
    </row>
    <row r="21" spans="1:4" x14ac:dyDescent="0.25">
      <c r="A21" s="9" t="s">
        <v>16</v>
      </c>
      <c r="B21" s="10" t="s">
        <v>1097</v>
      </c>
      <c r="C21" s="10" t="s">
        <v>1119</v>
      </c>
      <c r="D21" s="10" t="s">
        <v>1120</v>
      </c>
    </row>
    <row r="22" spans="1:4" x14ac:dyDescent="0.25">
      <c r="A22" s="9" t="s">
        <v>17</v>
      </c>
      <c r="B22" s="10" t="s">
        <v>1097</v>
      </c>
      <c r="C22" s="10" t="s">
        <v>1121</v>
      </c>
      <c r="D22" s="10" t="s">
        <v>1122</v>
      </c>
    </row>
    <row r="23" spans="1:4" x14ac:dyDescent="0.25">
      <c r="A23" s="9" t="s">
        <v>18</v>
      </c>
      <c r="B23" s="10" t="s">
        <v>1097</v>
      </c>
      <c r="C23" s="10" t="s">
        <v>1123</v>
      </c>
      <c r="D23" s="10" t="s">
        <v>1112</v>
      </c>
    </row>
    <row r="24" spans="1:4" ht="25.5" x14ac:dyDescent="0.25">
      <c r="A24" s="9" t="s">
        <v>19</v>
      </c>
      <c r="B24" s="10" t="s">
        <v>1097</v>
      </c>
      <c r="C24" s="10" t="s">
        <v>1124</v>
      </c>
      <c r="D24" s="10" t="s">
        <v>1125</v>
      </c>
    </row>
    <row r="25" spans="1:4" x14ac:dyDescent="0.25">
      <c r="A25" s="9" t="s">
        <v>20</v>
      </c>
      <c r="B25" s="10" t="s">
        <v>1085</v>
      </c>
      <c r="C25" s="10" t="s">
        <v>1126</v>
      </c>
      <c r="D25" s="10" t="s">
        <v>1127</v>
      </c>
    </row>
    <row r="26" spans="1:4" x14ac:dyDescent="0.25">
      <c r="A26" s="9" t="s">
        <v>21</v>
      </c>
      <c r="B26" s="10" t="s">
        <v>1085</v>
      </c>
      <c r="C26" s="10" t="s">
        <v>1128</v>
      </c>
      <c r="D26" s="10" t="s">
        <v>1129</v>
      </c>
    </row>
  </sheetData>
  <mergeCells count="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1"/>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36" customWidth="1"/>
    <col min="2" max="16" width="16" customWidth="1"/>
  </cols>
  <sheetData>
    <row r="1" spans="1:16" ht="16.5" x14ac:dyDescent="0.25">
      <c r="A1" s="8" t="s">
        <v>1130</v>
      </c>
    </row>
    <row r="2" spans="1:16" ht="45" customHeight="1" x14ac:dyDescent="0.25">
      <c r="A2" s="2" t="s">
        <v>1131</v>
      </c>
      <c r="B2" s="2"/>
      <c r="C2" s="2"/>
      <c r="D2" s="2"/>
      <c r="E2" s="2"/>
      <c r="F2" s="2"/>
      <c r="G2" s="2"/>
      <c r="H2" s="2"/>
      <c r="I2" s="2"/>
      <c r="J2" s="2"/>
      <c r="K2" s="2"/>
      <c r="L2" s="2"/>
      <c r="M2" s="2"/>
      <c r="N2" s="2"/>
      <c r="O2" s="2"/>
      <c r="P2" s="2"/>
    </row>
    <row r="3" spans="1:16" ht="42" customHeight="1" x14ac:dyDescent="0.25">
      <c r="A3" s="11" t="s">
        <v>1132</v>
      </c>
      <c r="B3" s="11" t="s">
        <v>1</v>
      </c>
      <c r="C3" s="11" t="s">
        <v>6</v>
      </c>
      <c r="D3" s="11" t="s">
        <v>7</v>
      </c>
      <c r="E3" s="11" t="s">
        <v>10</v>
      </c>
      <c r="F3" s="11" t="s">
        <v>11</v>
      </c>
      <c r="G3" s="11" t="s">
        <v>12</v>
      </c>
      <c r="H3" s="11" t="s">
        <v>13</v>
      </c>
      <c r="I3" s="11" t="s">
        <v>14</v>
      </c>
      <c r="J3" s="11" t="s">
        <v>15</v>
      </c>
      <c r="K3" s="11" t="s">
        <v>16</v>
      </c>
      <c r="L3" s="11" t="s">
        <v>17</v>
      </c>
      <c r="M3" s="11" t="s">
        <v>18</v>
      </c>
      <c r="N3" s="11" t="s">
        <v>19</v>
      </c>
      <c r="O3" s="11" t="s">
        <v>20</v>
      </c>
      <c r="P3" s="11" t="s">
        <v>21</v>
      </c>
    </row>
    <row r="4" spans="1:16" x14ac:dyDescent="0.25">
      <c r="A4" s="12" t="s">
        <v>1133</v>
      </c>
      <c r="B4" s="13" t="s">
        <v>1134</v>
      </c>
      <c r="C4" s="13" t="s">
        <v>1135</v>
      </c>
      <c r="D4" s="13" t="s">
        <v>1136</v>
      </c>
      <c r="E4" s="13" t="s">
        <v>1137</v>
      </c>
      <c r="F4" s="13" t="s">
        <v>1138</v>
      </c>
      <c r="G4" s="13" t="s">
        <v>23</v>
      </c>
      <c r="H4" s="13" t="s">
        <v>1139</v>
      </c>
      <c r="I4" s="13" t="s">
        <v>1140</v>
      </c>
      <c r="J4" s="13" t="s">
        <v>1141</v>
      </c>
      <c r="K4" s="13" t="s">
        <v>1142</v>
      </c>
      <c r="L4" s="13" t="s">
        <v>1143</v>
      </c>
      <c r="M4" s="13" t="s">
        <v>1144</v>
      </c>
      <c r="N4" s="13" t="s">
        <v>1145</v>
      </c>
      <c r="O4" s="13" t="s">
        <v>1146</v>
      </c>
      <c r="P4" s="13" t="s">
        <v>1147</v>
      </c>
    </row>
    <row r="5" spans="1:16" x14ac:dyDescent="0.25">
      <c r="A5" s="14" t="s">
        <v>1148</v>
      </c>
      <c r="B5" s="15">
        <f>COUNT(Customers!$B$2:$B$1001)</f>
        <v>1000</v>
      </c>
      <c r="C5" s="15">
        <f>COUNT(Customers!$G$2:$G$1001)</f>
        <v>997</v>
      </c>
      <c r="D5" s="15">
        <f>COUNT(Customers!$H$2:$H$1001)</f>
        <v>1000</v>
      </c>
      <c r="E5" s="15">
        <f>COUNT(Customers!$K$2:$K$1001)</f>
        <v>1000</v>
      </c>
      <c r="F5" s="15">
        <f>COUNT(Customers!$L$2:$L$1001)</f>
        <v>1000</v>
      </c>
      <c r="G5" s="15">
        <f>COUNT(Customers!$M$2:$M$1001)</f>
        <v>997</v>
      </c>
      <c r="H5" s="15">
        <f>COUNT(Customers!$N$2:$N$1001)</f>
        <v>1000</v>
      </c>
      <c r="I5" s="15">
        <f>COUNT(Customers!$O$2:$O$1001)</f>
        <v>1000</v>
      </c>
      <c r="J5" s="15">
        <f>COUNT(Customers!$P$2:$P$1001)</f>
        <v>1000</v>
      </c>
      <c r="K5" s="15">
        <f>COUNT(Customers!$Q$2:$Q$1001)</f>
        <v>1000</v>
      </c>
      <c r="L5" s="15">
        <f>COUNT(Customers!$R$2:$R$1001)</f>
        <v>1000</v>
      </c>
      <c r="M5" s="15">
        <f>COUNT(Customers!$S$2:$S$1001)</f>
        <v>1000</v>
      </c>
      <c r="N5" s="15">
        <f>COUNT(Customers!$T$2:$T$1001)</f>
        <v>1000</v>
      </c>
      <c r="O5" s="15">
        <f>COUNT(Customers!$U$2:$U$1001)</f>
        <v>1000</v>
      </c>
      <c r="P5" s="15">
        <f>COUNT(Customers!$V$2:$V$1001)</f>
        <v>1000</v>
      </c>
    </row>
    <row r="6" spans="1:16" x14ac:dyDescent="0.25">
      <c r="A6" s="14" t="s">
        <v>1149</v>
      </c>
      <c r="B6" s="15">
        <f>COUNTBLANK(Customers!$B$2:$B$1001)</f>
        <v>0</v>
      </c>
      <c r="C6" s="15">
        <f>COUNTBLANK(Customers!$G$2:$G$1001)</f>
        <v>3</v>
      </c>
      <c r="D6" s="15">
        <f>COUNTBLANK(Customers!$H$2:$H$1001)</f>
        <v>0</v>
      </c>
      <c r="E6" s="15">
        <f>COUNTBLANK(Customers!$K$2:$K$1001)</f>
        <v>0</v>
      </c>
      <c r="F6" s="15">
        <f>COUNTBLANK(Customers!$L$2:$L$1001)</f>
        <v>0</v>
      </c>
      <c r="G6" s="15">
        <f>COUNTBLANK(Customers!$M$2:$M$1001)</f>
        <v>3</v>
      </c>
      <c r="H6" s="15">
        <f>COUNTBLANK(Customers!$N$2:$N$1001)</f>
        <v>0</v>
      </c>
      <c r="I6" s="15">
        <f>COUNTBLANK(Customers!$O$2:$O$1001)</f>
        <v>0</v>
      </c>
      <c r="J6" s="15">
        <f>COUNTBLANK(Customers!$P$2:$P$1001)</f>
        <v>0</v>
      </c>
      <c r="K6" s="15">
        <f>COUNTBLANK(Customers!$Q$2:$Q$1001)</f>
        <v>0</v>
      </c>
      <c r="L6" s="15">
        <f>COUNTBLANK(Customers!$R$2:$R$1001)</f>
        <v>0</v>
      </c>
      <c r="M6" s="15">
        <f>COUNTBLANK(Customers!$S$2:$S$1001)</f>
        <v>0</v>
      </c>
      <c r="N6" s="15">
        <f>COUNTBLANK(Customers!$T$2:$T$1001)</f>
        <v>0</v>
      </c>
      <c r="O6" s="15">
        <f>COUNTBLANK(Customers!$U$2:$U$1001)</f>
        <v>0</v>
      </c>
      <c r="P6" s="15">
        <f>COUNTBLANK(Customers!$V$2:$V$1001)</f>
        <v>0</v>
      </c>
    </row>
    <row r="7" spans="1:16" x14ac:dyDescent="0.25">
      <c r="A7" s="14" t="s">
        <v>1150</v>
      </c>
      <c r="B7" s="16">
        <f>AVERAGE(Customers!$B$2:$B$1001)</f>
        <v>48.534999999999997</v>
      </c>
      <c r="C7" s="16">
        <f>AVERAGE(Customers!$G$2:$G$1001)</f>
        <v>72479.411233701103</v>
      </c>
      <c r="D7" s="16">
        <f>AVERAGE(Customers!$H$2:$H$1001)</f>
        <v>10.762</v>
      </c>
      <c r="E7" s="16">
        <f>AVERAGE(Customers!$K$2:$K$1001)</f>
        <v>2.2919999999999998</v>
      </c>
      <c r="F7" s="16">
        <f>AVERAGE(Customers!$L$2:$L$1001)</f>
        <v>3355.9521399999999</v>
      </c>
      <c r="G7" s="16">
        <f>AVERAGE(Customers!$M$2:$M$1001)</f>
        <v>35090.563319959874</v>
      </c>
      <c r="H7" s="16">
        <f>AVERAGE(Customers!$N$2:$N$1001)</f>
        <v>30.157</v>
      </c>
      <c r="I7" s="16">
        <f>AVERAGE(Customers!$O$2:$O$1001)</f>
        <v>60.020129999999973</v>
      </c>
      <c r="J7" s="16">
        <f>AVERAGE(Customers!$P$2:$P$1001)</f>
        <v>2.996</v>
      </c>
      <c r="K7" s="16">
        <f>AVERAGE(Customers!$Q$2:$Q$1001)</f>
        <v>4650.5</v>
      </c>
      <c r="L7" s="16">
        <f>AVERAGE(Customers!$R$2:$R$1001)</f>
        <v>1316.40155</v>
      </c>
      <c r="M7" s="16">
        <f>AVERAGE(Customers!$S$2:$S$1001)</f>
        <v>39135</v>
      </c>
      <c r="N7" s="16">
        <f>AVERAGE(Customers!$T$2:$T$1001)</f>
        <v>236.239</v>
      </c>
      <c r="O7" s="16">
        <f>AVERAGE(Customers!$U$2:$U$1001)</f>
        <v>662.65</v>
      </c>
      <c r="P7" s="16">
        <f>AVERAGE(Customers!$V$2:$V$1001)</f>
        <v>0.26400000000000001</v>
      </c>
    </row>
    <row r="8" spans="1:16" x14ac:dyDescent="0.25">
      <c r="A8" s="14" t="s">
        <v>1151</v>
      </c>
      <c r="B8" s="16">
        <f>MEDIAN(Customers!$B$2:$B$1001)</f>
        <v>47</v>
      </c>
      <c r="C8" s="16">
        <f>MEDIAN(Customers!$G$2:$G$1001)</f>
        <v>30000</v>
      </c>
      <c r="D8" s="16">
        <f>MEDIAN(Customers!$H$2:$H$1001)</f>
        <v>9</v>
      </c>
      <c r="E8" s="16">
        <f>MEDIAN(Customers!$K$2:$K$1001)</f>
        <v>2</v>
      </c>
      <c r="F8" s="16">
        <f>MEDIAN(Customers!$L$2:$L$1001)</f>
        <v>2586.5349999999999</v>
      </c>
      <c r="G8" s="16">
        <f>MEDIAN(Customers!$M$2:$M$1001)</f>
        <v>12208.93</v>
      </c>
      <c r="H8" s="16">
        <f>MEDIAN(Customers!$N$2:$N$1001)</f>
        <v>27</v>
      </c>
      <c r="I8" s="16">
        <f>MEDIAN(Customers!$O$2:$O$1001)</f>
        <v>52.34</v>
      </c>
      <c r="J8" s="16">
        <f>MEDIAN(Customers!$P$2:$P$1001)</f>
        <v>3</v>
      </c>
      <c r="K8" s="16">
        <f>MEDIAN(Customers!$Q$2:$Q$1001)</f>
        <v>4000</v>
      </c>
      <c r="L8" s="16">
        <f>MEDIAN(Customers!$R$2:$R$1001)</f>
        <v>763.63000000000011</v>
      </c>
      <c r="M8" s="16">
        <f>MEDIAN(Customers!$S$2:$S$1001)</f>
        <v>0</v>
      </c>
      <c r="N8" s="16">
        <f>MEDIAN(Customers!$T$2:$T$1001)</f>
        <v>0</v>
      </c>
      <c r="O8" s="16">
        <f>MEDIAN(Customers!$U$2:$U$1001)</f>
        <v>635</v>
      </c>
      <c r="P8" s="16">
        <f>MEDIAN(Customers!$V$2:$V$1001)</f>
        <v>0</v>
      </c>
    </row>
    <row r="9" spans="1:16" x14ac:dyDescent="0.25">
      <c r="A9" s="14" t="s">
        <v>1152</v>
      </c>
      <c r="B9" s="16">
        <f>STDEV(Customers!$B$2:$B$1001)</f>
        <v>44.967286240464098</v>
      </c>
      <c r="C9" s="16">
        <f>STDEV(Customers!$G$2:$G$1001)</f>
        <v>1015307.3776998364</v>
      </c>
      <c r="D9" s="16">
        <f>STDEV(Customers!$H$2:$H$1001)</f>
        <v>7.7556112270733051</v>
      </c>
      <c r="E9" s="16">
        <f>STDEV(Customers!$K$2:$K$1001)</f>
        <v>1.2042367650035379</v>
      </c>
      <c r="F9" s="16">
        <f>STDEV(Customers!$L$2:$L$1001)</f>
        <v>28382.347750032906</v>
      </c>
      <c r="G9" s="16">
        <f>STDEV(Customers!$M$2:$M$1001)</f>
        <v>176152.27559211702</v>
      </c>
      <c r="H9" s="16">
        <f>STDEV(Customers!$N$2:$N$1001)</f>
        <v>24.869918855192591</v>
      </c>
      <c r="I9" s="16">
        <f>STDEV(Customers!$O$2:$O$1001)</f>
        <v>31.477909773153439</v>
      </c>
      <c r="J9" s="16">
        <f>STDEV(Customers!$P$2:$P$1001)</f>
        <v>2.1855801885908375</v>
      </c>
      <c r="K9" s="16">
        <f>STDEV(Customers!$Q$2:$Q$1001)</f>
        <v>4700.9785097306021</v>
      </c>
      <c r="L9" s="16">
        <f>STDEV(Customers!$R$2:$R$1001)</f>
        <v>1663.5113499247382</v>
      </c>
      <c r="M9" s="16">
        <f>STDEV(Customers!$S$2:$S$1001)</f>
        <v>76448.447597973762</v>
      </c>
      <c r="N9" s="16">
        <f>STDEV(Customers!$T$2:$T$1001)</f>
        <v>470.06818013238563</v>
      </c>
      <c r="O9" s="16">
        <f>STDEV(Customers!$U$2:$U$1001)</f>
        <v>516.40549196550194</v>
      </c>
      <c r="P9" s="16">
        <f>STDEV(Customers!$V$2:$V$1001)</f>
        <v>0.67138271854044229</v>
      </c>
    </row>
    <row r="10" spans="1:16" x14ac:dyDescent="0.25">
      <c r="A10" s="14" t="s">
        <v>1153</v>
      </c>
      <c r="B10" s="16">
        <f>MIN(Customers!$B$2:$B$1001)</f>
        <v>-3</v>
      </c>
      <c r="C10" s="16">
        <f>MIN(Customers!$G$2:$G$1001)</f>
        <v>-999</v>
      </c>
      <c r="D10" s="16">
        <f>MIN(Customers!$H$2:$H$1001)</f>
        <v>0</v>
      </c>
      <c r="E10" s="16">
        <f>MIN(Customers!$K$2:$K$1001)</f>
        <v>1</v>
      </c>
      <c r="F10" s="16">
        <f>MIN(Customers!$L$2:$L$1001)</f>
        <v>-850000</v>
      </c>
      <c r="G10" s="16">
        <f>MIN(Customers!$M$2:$M$1001)</f>
        <v>0</v>
      </c>
      <c r="H10" s="16">
        <f>MIN(Customers!$N$2:$N$1001)</f>
        <v>8</v>
      </c>
      <c r="I10" s="16">
        <f>MIN(Customers!$O$2:$O$1001)</f>
        <v>14.58</v>
      </c>
      <c r="J10" s="16">
        <f>MIN(Customers!$P$2:$P$1001)</f>
        <v>-2</v>
      </c>
      <c r="K10" s="16">
        <f>MIN(Customers!$Q$2:$Q$1001)</f>
        <v>0</v>
      </c>
      <c r="L10" s="16">
        <f>MIN(Customers!$R$2:$R$1001)</f>
        <v>0</v>
      </c>
      <c r="M10" s="16">
        <f>MIN(Customers!$S$2:$S$1001)</f>
        <v>0</v>
      </c>
      <c r="N10" s="16">
        <f>MIN(Customers!$T$2:$T$1001)</f>
        <v>0</v>
      </c>
      <c r="O10" s="16">
        <f>MIN(Customers!$U$2:$U$1001)</f>
        <v>150</v>
      </c>
      <c r="P10" s="16">
        <f>MIN(Customers!$V$2:$V$1001)</f>
        <v>0</v>
      </c>
    </row>
    <row r="11" spans="1:16" x14ac:dyDescent="0.25">
      <c r="A11" s="14" t="s">
        <v>1154</v>
      </c>
      <c r="B11" s="16">
        <f>MAX(Customers!$B$2:$B$1001)</f>
        <v>999</v>
      </c>
      <c r="C11" s="16">
        <f>MAX(Customers!$G$2:$G$1001)</f>
        <v>32000000</v>
      </c>
      <c r="D11" s="16">
        <f>MAX(Customers!$H$2:$H$1001)</f>
        <v>44</v>
      </c>
      <c r="E11" s="16">
        <f>MAX(Customers!$K$2:$K$1001)</f>
        <v>6</v>
      </c>
      <c r="F11" s="16">
        <f>MAX(Customers!$L$2:$L$1001)</f>
        <v>185000</v>
      </c>
      <c r="G11" s="16">
        <f>MAX(Customers!$M$2:$M$1001)</f>
        <v>3100000</v>
      </c>
      <c r="H11" s="16">
        <f>MAX(Customers!$N$2:$N$1001)</f>
        <v>615</v>
      </c>
      <c r="I11" s="16">
        <f>MAX(Customers!$O$2:$O$1001)</f>
        <v>257.18</v>
      </c>
      <c r="J11" s="16">
        <f>MAX(Customers!$P$2:$P$1001)</f>
        <v>12</v>
      </c>
      <c r="K11" s="16">
        <f>MAX(Customers!$Q$2:$Q$1001)</f>
        <v>60000</v>
      </c>
      <c r="L11" s="16">
        <f>MAX(Customers!$R$2:$R$1001)</f>
        <v>12500</v>
      </c>
      <c r="M11" s="16">
        <f>MAX(Customers!$S$2:$S$1001)</f>
        <v>520000</v>
      </c>
      <c r="N11" s="16">
        <f>MAX(Customers!$T$2:$T$1001)</f>
        <v>3800</v>
      </c>
      <c r="O11" s="16">
        <f>MAX(Customers!$U$2:$U$1001)</f>
        <v>9999</v>
      </c>
      <c r="P11" s="16">
        <f>MAX(Customers!$V$2:$V$1001)</f>
        <v>14</v>
      </c>
    </row>
    <row r="12" spans="1:16" x14ac:dyDescent="0.25">
      <c r="A12" s="14" t="s">
        <v>1155</v>
      </c>
      <c r="B12" s="16">
        <f>QUARTILE(Customers!$B$2:$B$1001,1)</f>
        <v>37</v>
      </c>
      <c r="C12" s="16">
        <f>QUARTILE(Customers!$G$2:$G$1001,1)</f>
        <v>21000</v>
      </c>
      <c r="D12" s="16">
        <f>QUARTILE(Customers!$H$2:$H$1001,1)</f>
        <v>5</v>
      </c>
      <c r="E12" s="16">
        <f>QUARTILE(Customers!$K$2:$K$1001,1)</f>
        <v>1</v>
      </c>
      <c r="F12" s="16">
        <f>QUARTILE(Customers!$L$2:$L$1001,1)</f>
        <v>1226.1375</v>
      </c>
      <c r="G12" s="16">
        <f>QUARTILE(Customers!$M$2:$M$1001,1)</f>
        <v>0</v>
      </c>
      <c r="H12" s="16">
        <f>QUARTILE(Customers!$N$2:$N$1001,1)</f>
        <v>21</v>
      </c>
      <c r="I12" s="16">
        <f>QUARTILE(Customers!$O$2:$O$1001,1)</f>
        <v>39.364999999999995</v>
      </c>
      <c r="J12" s="16">
        <f>QUARTILE(Customers!$P$2:$P$1001,1)</f>
        <v>1</v>
      </c>
      <c r="K12" s="16">
        <f>QUARTILE(Customers!$Q$2:$Q$1001,1)</f>
        <v>0</v>
      </c>
      <c r="L12" s="16">
        <f>QUARTILE(Customers!$R$2:$R$1001,1)</f>
        <v>0</v>
      </c>
      <c r="M12" s="16">
        <f>QUARTILE(Customers!$S$2:$S$1001,1)</f>
        <v>0</v>
      </c>
      <c r="N12" s="16">
        <f>QUARTILE(Customers!$T$2:$T$1001,1)</f>
        <v>0</v>
      </c>
      <c r="O12" s="16">
        <f>QUARTILE(Customers!$U$2:$U$1001,1)</f>
        <v>595</v>
      </c>
      <c r="P12" s="16">
        <f>QUARTILE(Customers!$V$2:$V$1001,1)</f>
        <v>0</v>
      </c>
    </row>
    <row r="13" spans="1:16" x14ac:dyDescent="0.25">
      <c r="A13" s="14" t="s">
        <v>1156</v>
      </c>
      <c r="B13" s="16">
        <f>QUARTILE(Customers!$B$2:$B$1001,3)</f>
        <v>56</v>
      </c>
      <c r="C13" s="16">
        <f>QUARTILE(Customers!$G$2:$G$1001,3)</f>
        <v>44200</v>
      </c>
      <c r="D13" s="16">
        <f>QUARTILE(Customers!$H$2:$H$1001,3)</f>
        <v>15</v>
      </c>
      <c r="E13" s="16">
        <f>QUARTILE(Customers!$K$2:$K$1001,3)</f>
        <v>3</v>
      </c>
      <c r="F13" s="16">
        <f>QUARTILE(Customers!$L$2:$L$1001,3)</f>
        <v>4978.71</v>
      </c>
      <c r="G13" s="16">
        <f>QUARTILE(Customers!$M$2:$M$1001,3)</f>
        <v>30591.65</v>
      </c>
      <c r="H13" s="16">
        <f>QUARTILE(Customers!$N$2:$N$1001,3)</f>
        <v>35</v>
      </c>
      <c r="I13" s="16">
        <f>QUARTILE(Customers!$O$2:$O$1001,3)</f>
        <v>71.672499999999999</v>
      </c>
      <c r="J13" s="16">
        <f>QUARTILE(Customers!$P$2:$P$1001,3)</f>
        <v>4</v>
      </c>
      <c r="K13" s="16">
        <f>QUARTILE(Customers!$Q$2:$Q$1001,3)</f>
        <v>7000</v>
      </c>
      <c r="L13" s="16">
        <f>QUARTILE(Customers!$R$2:$R$1001,3)</f>
        <v>1967.355</v>
      </c>
      <c r="M13" s="16">
        <f>QUARTILE(Customers!$S$2:$S$1001,3)</f>
        <v>56000</v>
      </c>
      <c r="N13" s="16">
        <f>QUARTILE(Customers!$T$2:$T$1001,3)</f>
        <v>326</v>
      </c>
      <c r="O13" s="16">
        <f>QUARTILE(Customers!$U$2:$U$1001,3)</f>
        <v>675</v>
      </c>
      <c r="P13" s="16">
        <f>QUARTILE(Customers!$V$2:$V$1001,3)</f>
        <v>0</v>
      </c>
    </row>
    <row r="14" spans="1:16" x14ac:dyDescent="0.25">
      <c r="A14" s="14" t="s">
        <v>1157</v>
      </c>
      <c r="B14" s="16">
        <f t="shared" ref="B14:P14" si="0">B13-B12</f>
        <v>19</v>
      </c>
      <c r="C14" s="16">
        <f t="shared" si="0"/>
        <v>23200</v>
      </c>
      <c r="D14" s="16">
        <f t="shared" si="0"/>
        <v>10</v>
      </c>
      <c r="E14" s="16">
        <f t="shared" si="0"/>
        <v>2</v>
      </c>
      <c r="F14" s="16">
        <f t="shared" si="0"/>
        <v>3752.5725000000002</v>
      </c>
      <c r="G14" s="16">
        <f t="shared" si="0"/>
        <v>30591.65</v>
      </c>
      <c r="H14" s="16">
        <f t="shared" si="0"/>
        <v>14</v>
      </c>
      <c r="I14" s="16">
        <f t="shared" si="0"/>
        <v>32.307500000000005</v>
      </c>
      <c r="J14" s="16">
        <f t="shared" si="0"/>
        <v>3</v>
      </c>
      <c r="K14" s="16">
        <f t="shared" si="0"/>
        <v>7000</v>
      </c>
      <c r="L14" s="16">
        <f t="shared" si="0"/>
        <v>1967.355</v>
      </c>
      <c r="M14" s="16">
        <f t="shared" si="0"/>
        <v>56000</v>
      </c>
      <c r="N14" s="16">
        <f t="shared" si="0"/>
        <v>326</v>
      </c>
      <c r="O14" s="16">
        <f t="shared" si="0"/>
        <v>80</v>
      </c>
      <c r="P14" s="16">
        <f t="shared" si="0"/>
        <v>0</v>
      </c>
    </row>
    <row r="15" spans="1:16" x14ac:dyDescent="0.25">
      <c r="A15" s="14" t="s">
        <v>1158</v>
      </c>
      <c r="B15" s="17">
        <f t="shared" ref="B15:P15" si="1">B12-1.5*B14</f>
        <v>8.5</v>
      </c>
      <c r="C15" s="17">
        <f t="shared" si="1"/>
        <v>-13800</v>
      </c>
      <c r="D15" s="17">
        <f t="shared" si="1"/>
        <v>-10</v>
      </c>
      <c r="E15" s="17">
        <f t="shared" si="1"/>
        <v>-2</v>
      </c>
      <c r="F15" s="17">
        <f t="shared" si="1"/>
        <v>-4402.7212500000005</v>
      </c>
      <c r="G15" s="17">
        <f t="shared" si="1"/>
        <v>-45887.475000000006</v>
      </c>
      <c r="H15" s="17">
        <f t="shared" si="1"/>
        <v>0</v>
      </c>
      <c r="I15" s="17">
        <f t="shared" si="1"/>
        <v>-9.0962500000000119</v>
      </c>
      <c r="J15" s="17">
        <f t="shared" si="1"/>
        <v>-3.5</v>
      </c>
      <c r="K15" s="17">
        <f t="shared" si="1"/>
        <v>-10500</v>
      </c>
      <c r="L15" s="17">
        <f t="shared" si="1"/>
        <v>-2951.0325000000003</v>
      </c>
      <c r="M15" s="17">
        <f t="shared" si="1"/>
        <v>-84000</v>
      </c>
      <c r="N15" s="17">
        <f t="shared" si="1"/>
        <v>-489</v>
      </c>
      <c r="O15" s="17">
        <f t="shared" si="1"/>
        <v>475</v>
      </c>
      <c r="P15" s="17">
        <f t="shared" si="1"/>
        <v>0</v>
      </c>
    </row>
    <row r="16" spans="1:16" x14ac:dyDescent="0.25">
      <c r="A16" s="14" t="s">
        <v>1159</v>
      </c>
      <c r="B16" s="17">
        <f t="shared" ref="B16:P16" si="2">B13+1.5*B14</f>
        <v>84.5</v>
      </c>
      <c r="C16" s="17">
        <f t="shared" si="2"/>
        <v>79000</v>
      </c>
      <c r="D16" s="17">
        <f t="shared" si="2"/>
        <v>30</v>
      </c>
      <c r="E16" s="17">
        <f t="shared" si="2"/>
        <v>6</v>
      </c>
      <c r="F16" s="17">
        <f t="shared" si="2"/>
        <v>10607.56875</v>
      </c>
      <c r="G16" s="17">
        <f t="shared" si="2"/>
        <v>76479.125</v>
      </c>
      <c r="H16" s="17">
        <f t="shared" si="2"/>
        <v>56</v>
      </c>
      <c r="I16" s="17">
        <f t="shared" si="2"/>
        <v>120.13375000000001</v>
      </c>
      <c r="J16" s="17">
        <f t="shared" si="2"/>
        <v>8.5</v>
      </c>
      <c r="K16" s="17">
        <f t="shared" si="2"/>
        <v>17500</v>
      </c>
      <c r="L16" s="17">
        <f t="shared" si="2"/>
        <v>4918.3875000000007</v>
      </c>
      <c r="M16" s="17">
        <f t="shared" si="2"/>
        <v>140000</v>
      </c>
      <c r="N16" s="17">
        <f t="shared" si="2"/>
        <v>815</v>
      </c>
      <c r="O16" s="17">
        <f t="shared" si="2"/>
        <v>795</v>
      </c>
      <c r="P16" s="17">
        <f t="shared" si="2"/>
        <v>0</v>
      </c>
    </row>
    <row r="17" spans="1:16" x14ac:dyDescent="0.25">
      <c r="A17" s="14" t="s">
        <v>1160</v>
      </c>
      <c r="B17" s="18">
        <f>COUNTIF(Customers!$B$2:$B$1001,"&lt;"&amp;B15)</f>
        <v>2</v>
      </c>
      <c r="C17" s="18">
        <f>COUNTIF(Customers!$G$2:$G$1001,"&lt;"&amp;C15)</f>
        <v>0</v>
      </c>
      <c r="D17" s="18">
        <f>COUNTIF(Customers!$H$2:$H$1001,"&lt;"&amp;D15)</f>
        <v>0</v>
      </c>
      <c r="E17" s="18">
        <f>COUNTIF(Customers!$K$2:$K$1001,"&lt;"&amp;E15)</f>
        <v>0</v>
      </c>
      <c r="F17" s="18">
        <f>COUNTIF(Customers!$L$2:$L$1001,"&lt;"&amp;F15)</f>
        <v>1</v>
      </c>
      <c r="G17" s="18">
        <f>COUNTIF(Customers!$M$2:$M$1001,"&lt;"&amp;G15)</f>
        <v>0</v>
      </c>
      <c r="H17" s="18">
        <f>COUNTIF(Customers!$N$2:$N$1001,"&lt;"&amp;H15)</f>
        <v>0</v>
      </c>
      <c r="I17" s="18">
        <f>COUNTIF(Customers!$O$2:$O$1001,"&lt;"&amp;I15)</f>
        <v>0</v>
      </c>
      <c r="J17" s="18">
        <f>COUNTIF(Customers!$P$2:$P$1001,"&lt;"&amp;J15)</f>
        <v>0</v>
      </c>
      <c r="K17" s="18">
        <f>COUNTIF(Customers!$Q$2:$Q$1001,"&lt;"&amp;K15)</f>
        <v>0</v>
      </c>
      <c r="L17" s="18">
        <f>COUNTIF(Customers!$R$2:$R$1001,"&lt;"&amp;L15)</f>
        <v>0</v>
      </c>
      <c r="M17" s="18">
        <f>COUNTIF(Customers!$S$2:$S$1001,"&lt;"&amp;M15)</f>
        <v>0</v>
      </c>
      <c r="N17" s="18">
        <f>COUNTIF(Customers!$T$2:$T$1001,"&lt;"&amp;N15)</f>
        <v>0</v>
      </c>
      <c r="O17" s="18">
        <f>COUNTIF(Customers!$U$2:$U$1001,"&lt;"&amp;O15)</f>
        <v>8</v>
      </c>
      <c r="P17" s="18">
        <f>COUNTIF(Customers!$V$2:$V$1001,"&lt;"&amp;P15)</f>
        <v>0</v>
      </c>
    </row>
    <row r="18" spans="1:16" x14ac:dyDescent="0.25">
      <c r="A18" s="14" t="s">
        <v>1161</v>
      </c>
      <c r="B18" s="18">
        <f>COUNTIF(Customers!$B$2:$B$1001,"&gt;"&amp;B16)</f>
        <v>6</v>
      </c>
      <c r="C18" s="18">
        <f>COUNTIF(Customers!$G$2:$G$1001,"&gt;"&amp;C16)</f>
        <v>74</v>
      </c>
      <c r="D18" s="18">
        <f>COUNTIF(Customers!$H$2:$H$1001,"&gt;"&amp;D16)</f>
        <v>18</v>
      </c>
      <c r="E18" s="18">
        <f>COUNTIF(Customers!$K$2:$K$1001,"&gt;"&amp;E16)</f>
        <v>0</v>
      </c>
      <c r="F18" s="18">
        <f>COUNTIF(Customers!$L$2:$L$1001,"&gt;"&amp;F16)</f>
        <v>62</v>
      </c>
      <c r="G18" s="18">
        <f>COUNTIF(Customers!$M$2:$M$1001,"&gt;"&amp;G16)</f>
        <v>55</v>
      </c>
      <c r="H18" s="18">
        <f>COUNTIF(Customers!$N$2:$N$1001,"&gt;"&amp;H16)</f>
        <v>31</v>
      </c>
      <c r="I18" s="18">
        <f>COUNTIF(Customers!$O$2:$O$1001,"&gt;"&amp;I16)</f>
        <v>49</v>
      </c>
      <c r="J18" s="18">
        <f>COUNTIF(Customers!$P$2:$P$1001,"&gt;"&amp;J16)</f>
        <v>16</v>
      </c>
      <c r="K18" s="18">
        <f>COUNTIF(Customers!$Q$2:$Q$1001,"&gt;"&amp;K16)</f>
        <v>2</v>
      </c>
      <c r="L18" s="18">
        <f>COUNTIF(Customers!$R$2:$R$1001,"&gt;"&amp;L16)</f>
        <v>42</v>
      </c>
      <c r="M18" s="18">
        <f>COUNTIF(Customers!$S$2:$S$1001,"&gt;"&amp;M16)</f>
        <v>100</v>
      </c>
      <c r="N18" s="18">
        <f>COUNTIF(Customers!$T$2:$T$1001,"&gt;"&amp;N16)</f>
        <v>100</v>
      </c>
      <c r="O18" s="18">
        <f>COUNTIF(Customers!$U$2:$U$1001,"&gt;"&amp;O16)</f>
        <v>8</v>
      </c>
      <c r="P18" s="18">
        <f>COUNTIF(Customers!$V$2:$V$1001,"&gt;"&amp;P16)</f>
        <v>220</v>
      </c>
    </row>
    <row r="19" spans="1:16" x14ac:dyDescent="0.25">
      <c r="A19" s="14" t="s">
        <v>1162</v>
      </c>
      <c r="B19" s="17">
        <f t="shared" ref="B19:P19" si="3">B7-3*B9</f>
        <v>-86.366858721392305</v>
      </c>
      <c r="C19" s="17">
        <f t="shared" si="3"/>
        <v>-2973442.7218658081</v>
      </c>
      <c r="D19" s="17">
        <f t="shared" si="3"/>
        <v>-12.504833681219914</v>
      </c>
      <c r="E19" s="17">
        <f t="shared" si="3"/>
        <v>-1.3207102950106142</v>
      </c>
      <c r="F19" s="17">
        <f t="shared" si="3"/>
        <v>-81791.091110098729</v>
      </c>
      <c r="G19" s="17">
        <f t="shared" si="3"/>
        <v>-493366.26345639123</v>
      </c>
      <c r="H19" s="17">
        <f t="shared" si="3"/>
        <v>-44.452756565577772</v>
      </c>
      <c r="I19" s="17">
        <f t="shared" si="3"/>
        <v>-34.413599319460339</v>
      </c>
      <c r="J19" s="17">
        <f t="shared" si="3"/>
        <v>-3.5607405657725129</v>
      </c>
      <c r="K19" s="17">
        <f t="shared" si="3"/>
        <v>-9452.4355291918073</v>
      </c>
      <c r="L19" s="17">
        <f t="shared" si="3"/>
        <v>-3674.1324997742145</v>
      </c>
      <c r="M19" s="17">
        <f t="shared" si="3"/>
        <v>-190210.3427939213</v>
      </c>
      <c r="N19" s="17">
        <f t="shared" si="3"/>
        <v>-1173.9655403971569</v>
      </c>
      <c r="O19" s="17">
        <f t="shared" si="3"/>
        <v>-886.56647589650595</v>
      </c>
      <c r="P19" s="17">
        <f t="shared" si="3"/>
        <v>-1.750148155621327</v>
      </c>
    </row>
    <row r="20" spans="1:16" x14ac:dyDescent="0.25">
      <c r="A20" s="14" t="s">
        <v>1163</v>
      </c>
      <c r="B20" s="17">
        <f t="shared" ref="B20:P20" si="4">B7+3*B9</f>
        <v>183.4368587213923</v>
      </c>
      <c r="C20" s="17">
        <f t="shared" si="4"/>
        <v>3118401.5443332107</v>
      </c>
      <c r="D20" s="17">
        <f t="shared" si="4"/>
        <v>34.028833681219915</v>
      </c>
      <c r="E20" s="17">
        <f t="shared" si="4"/>
        <v>5.9047102950106138</v>
      </c>
      <c r="F20" s="17">
        <f t="shared" si="4"/>
        <v>88502.995390098717</v>
      </c>
      <c r="G20" s="17">
        <f t="shared" si="4"/>
        <v>563547.39009631099</v>
      </c>
      <c r="H20" s="17">
        <f t="shared" si="4"/>
        <v>104.76675656557777</v>
      </c>
      <c r="I20" s="17">
        <f t="shared" si="4"/>
        <v>154.45385931946029</v>
      </c>
      <c r="J20" s="17">
        <f t="shared" si="4"/>
        <v>9.5527405657725133</v>
      </c>
      <c r="K20" s="17">
        <f t="shared" si="4"/>
        <v>18753.435529191807</v>
      </c>
      <c r="L20" s="17">
        <f t="shared" si="4"/>
        <v>6306.935599774215</v>
      </c>
      <c r="M20" s="17">
        <f t="shared" si="4"/>
        <v>268480.3427939213</v>
      </c>
      <c r="N20" s="17">
        <f t="shared" si="4"/>
        <v>1646.443540397157</v>
      </c>
      <c r="O20" s="17">
        <f t="shared" si="4"/>
        <v>2211.866475896506</v>
      </c>
      <c r="P20" s="17">
        <f t="shared" si="4"/>
        <v>2.2781481556213272</v>
      </c>
    </row>
    <row r="21" spans="1:16" x14ac:dyDescent="0.25">
      <c r="A21" s="14" t="s">
        <v>1164</v>
      </c>
      <c r="B21" s="18">
        <f>COUNTIF(Customers!$B$2:$B$1001,"&lt;"&amp;B19)+COUNTIF(Customers!$B$2:$B$1001,"&gt;"&amp;B20)</f>
        <v>3</v>
      </c>
      <c r="C21" s="18">
        <f>COUNTIF(Customers!$G$2:$G$1001,"&lt;"&amp;C19)+COUNTIF(Customers!$G$2:$G$1001,"&gt;"&amp;C20)</f>
        <v>1</v>
      </c>
      <c r="D21" s="18">
        <f>COUNTIF(Customers!$H$2:$H$1001,"&lt;"&amp;D19)+COUNTIF(Customers!$H$2:$H$1001,"&gt;"&amp;D20)</f>
        <v>3</v>
      </c>
      <c r="E21" s="18">
        <f>COUNTIF(Customers!$K$2:$K$1001,"&lt;"&amp;E19)+COUNTIF(Customers!$K$2:$K$1001,"&gt;"&amp;E20)</f>
        <v>13</v>
      </c>
      <c r="F21" s="18">
        <f>COUNTIF(Customers!$L$2:$L$1001,"&lt;"&amp;F19)+COUNTIF(Customers!$L$2:$L$1001,"&gt;"&amp;F20)</f>
        <v>3</v>
      </c>
      <c r="G21" s="18">
        <f>COUNTIF(Customers!$M$2:$M$1001,"&lt;"&amp;G19)+COUNTIF(Customers!$M$2:$M$1001,"&gt;"&amp;G20)</f>
        <v>7</v>
      </c>
      <c r="H21" s="18">
        <f>COUNTIF(Customers!$N$2:$N$1001,"&lt;"&amp;H19)+COUNTIF(Customers!$N$2:$N$1001,"&gt;"&amp;H20)</f>
        <v>2</v>
      </c>
      <c r="I21" s="18">
        <f>COUNTIF(Customers!$O$2:$O$1001,"&lt;"&amp;I19)+COUNTIF(Customers!$O$2:$O$1001,"&gt;"&amp;I20)</f>
        <v>19</v>
      </c>
      <c r="J21" s="18">
        <f>COUNTIF(Customers!$P$2:$P$1001,"&lt;"&amp;J19)+COUNTIF(Customers!$P$2:$P$1001,"&gt;"&amp;J20)</f>
        <v>8</v>
      </c>
      <c r="K21" s="18">
        <f>COUNTIF(Customers!$Q$2:$Q$1001,"&lt;"&amp;K19)+COUNTIF(Customers!$Q$2:$Q$1001,"&gt;"&amp;K20)</f>
        <v>2</v>
      </c>
      <c r="L21" s="18">
        <f>COUNTIF(Customers!$R$2:$R$1001,"&lt;"&amp;L19)+COUNTIF(Customers!$R$2:$R$1001,"&gt;"&amp;L20)</f>
        <v>22</v>
      </c>
      <c r="M21" s="18">
        <f>COUNTIF(Customers!$S$2:$S$1001,"&lt;"&amp;M19)+COUNTIF(Customers!$S$2:$S$1001,"&gt;"&amp;M20)</f>
        <v>24</v>
      </c>
      <c r="N21" s="18">
        <f>COUNTIF(Customers!$T$2:$T$1001,"&lt;"&amp;N19)+COUNTIF(Customers!$T$2:$T$1001,"&gt;"&amp;N20)</f>
        <v>27</v>
      </c>
      <c r="O21" s="18">
        <f>COUNTIF(Customers!$U$2:$U$1001,"&lt;"&amp;O19)+COUNTIF(Customers!$U$2:$U$1001,"&gt;"&amp;O20)</f>
        <v>3</v>
      </c>
      <c r="P21" s="18">
        <f>COUNTIF(Customers!$V$2:$V$1001,"&lt;"&amp;P19)+COUNTIF(Customers!$V$2:$V$1001,"&gt;"&amp;P20)</f>
        <v>5</v>
      </c>
    </row>
  </sheetData>
  <mergeCells count="1">
    <mergeCell ref="A2:P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2" width="12" customWidth="1"/>
    <col min="3" max="15" width="20" customWidth="1"/>
    <col min="16" max="16" width="12" customWidth="1"/>
    <col min="18" max="18" width="34" customWidth="1"/>
    <col min="19" max="19" width="10" customWidth="1"/>
  </cols>
  <sheetData>
    <row r="1" spans="1:19" ht="42" customHeight="1" x14ac:dyDescent="0.25">
      <c r="A1" s="11" t="s">
        <v>0</v>
      </c>
      <c r="B1" s="11" t="s">
        <v>1165</v>
      </c>
      <c r="C1" s="11" t="s">
        <v>1166</v>
      </c>
      <c r="D1" s="11" t="s">
        <v>1167</v>
      </c>
      <c r="E1" s="11" t="s">
        <v>1168</v>
      </c>
      <c r="F1" s="11" t="s">
        <v>1169</v>
      </c>
      <c r="G1" s="11" t="s">
        <v>1170</v>
      </c>
      <c r="H1" s="11" t="s">
        <v>1171</v>
      </c>
      <c r="I1" s="11" t="s">
        <v>1172</v>
      </c>
      <c r="J1" s="11" t="s">
        <v>1173</v>
      </c>
      <c r="K1" s="11" t="s">
        <v>1174</v>
      </c>
      <c r="L1" s="11" t="s">
        <v>1175</v>
      </c>
      <c r="M1" s="11" t="s">
        <v>1176</v>
      </c>
      <c r="N1" s="11" t="s">
        <v>1177</v>
      </c>
      <c r="O1" s="11" t="s">
        <v>1178</v>
      </c>
      <c r="P1" s="11" t="s">
        <v>1179</v>
      </c>
      <c r="R1" s="1" t="s">
        <v>1180</v>
      </c>
      <c r="S1" s="1"/>
    </row>
    <row r="2" spans="1:19" x14ac:dyDescent="0.25">
      <c r="A2" s="4" t="str">
        <f>Customers!A2</f>
        <v>CL00001</v>
      </c>
      <c r="B2" s="20">
        <f>IF(Customers!G2="","",(Customers!G2-Statistics!$C$7)/Statistics!$C$9)</f>
        <v>-4.5877152335114572E-2</v>
      </c>
      <c r="C2" s="4" t="str">
        <f>IF(Customers!G2="","",IF(OR(Customers!G2&lt;Statistics!$C$15,Customers!G2&gt;Statistics!$C$16),"Outside 1.5·IQR",""))</f>
        <v/>
      </c>
      <c r="D2" s="4" t="str">
        <f>IF(OR(Customers!B2&lt;18,Customers!B2&gt;100),"Implausible age","")</f>
        <v/>
      </c>
      <c r="E2" s="4" t="str">
        <f>IF(Customers!H2&gt;Customers!B2-18,"Tenure &gt; age-18","")</f>
        <v/>
      </c>
      <c r="F2" s="4" t="str">
        <f>IF(Customers!R2&gt;Customers!Q2,"Card spend &gt; limit","")</f>
        <v/>
      </c>
      <c r="G2" s="4" t="str">
        <f>IF(OR(AND(Customers!S2&gt;0,Customers!T2=0),AND(Customers!S2=0,Customers!T2&gt;0)),"Mortgage/payment inconsistent","")</f>
        <v/>
      </c>
      <c r="H2" s="4" t="str">
        <f>IF(AND(Customers!G2&lt;&gt;"",Customers!G2&gt;0,Customers!T2&gt;Customers!G2/12),"Payment &gt; monthly income","")</f>
        <v/>
      </c>
      <c r="I2" s="4" t="str">
        <f>IF(OR(Customers!I2&gt;DATE(2026,9,13),YEAR(Customers!I2)&lt;1980),"Implausible date","")</f>
        <v/>
      </c>
      <c r="J2" s="4" t="str">
        <f>IF(Customers!I2&gt;DATE(2026,9,13),"",IF(ABS(INT((DATE(2026,9,13)-Customers!I2)/365.25)-Customers!H2)&gt;1,"Date/tenure inconsistent",""))</f>
        <v/>
      </c>
      <c r="K2" s="4" t="str">
        <f>IF(COUNTIF(Customers!$A$2:$A$1001,Customers!A2)&gt;1,"Duplicate ID","")</f>
        <v/>
      </c>
      <c r="L2" s="4" t="str">
        <f>IF(COUNTIFS(Customers!$B$2:$B$1001,Customers!B2,Customers!$D$2:$D$1001,Customers!D2,Customers!$G$2:$G$1001,Customers!G2,Customers!$I$2:$I$1001,Customers!I2,Customers!$L$2:$L$1001,Customers!L2)&gt;1,"Duplicate record","")</f>
        <v/>
      </c>
      <c r="M2" s="4" t="str">
        <f>IF(OR(Customers!U2&lt;300,Customers!U2&gt;850),"Score out of range","")</f>
        <v/>
      </c>
      <c r="N2" s="4" t="str">
        <f>IF(AND(Customers!G2&lt;&gt;"",Customers!G2&lt;=0),"Income ≤ 0","")</f>
        <v/>
      </c>
      <c r="O2" s="4" t="str">
        <f>IF(OR(Customers!G2="",Customers!M2=""),"Missing value","")</f>
        <v/>
      </c>
      <c r="P2" s="4">
        <f t="shared" ref="P2:P65" si="0">SUMPRODUCT(--(C2:O2&lt;&gt;""))</f>
        <v>0</v>
      </c>
      <c r="R2" s="21" t="s">
        <v>1181</v>
      </c>
      <c r="S2" s="21" t="s">
        <v>1182</v>
      </c>
    </row>
    <row r="3" spans="1:19" x14ac:dyDescent="0.25">
      <c r="A3" s="4" t="str">
        <f>Customers!A3</f>
        <v>CL00002</v>
      </c>
      <c r="B3" s="20">
        <f>IF(Customers!G3="","",(Customers!G3-Statistics!$C$7)/Statistics!$C$9)</f>
        <v>-5.4445985962335644E-2</v>
      </c>
      <c r="C3" s="4" t="str">
        <f>IF(Customers!G3="","",IF(OR(Customers!G3&lt;Statistics!$C$15,Customers!G3&gt;Statistics!$C$16),"Outside 1.5·IQR",""))</f>
        <v/>
      </c>
      <c r="D3" s="4" t="str">
        <f>IF(OR(Customers!B3&lt;18,Customers!B3&gt;100),"Implausible age","")</f>
        <v/>
      </c>
      <c r="E3" s="4" t="str">
        <f>IF(Customers!H3&gt;Customers!B3-18,"Tenure &gt; age-18","")</f>
        <v/>
      </c>
      <c r="F3" s="4" t="str">
        <f>IF(Customers!R3&gt;Customers!Q3,"Card spend &gt; limit","")</f>
        <v/>
      </c>
      <c r="G3" s="4" t="str">
        <f>IF(OR(AND(Customers!S3&gt;0,Customers!T3=0),AND(Customers!S3=0,Customers!T3&gt;0)),"Mortgage/payment inconsistent","")</f>
        <v/>
      </c>
      <c r="H3" s="4" t="str">
        <f>IF(AND(Customers!G3&lt;&gt;"",Customers!G3&gt;0,Customers!T3&gt;Customers!G3/12),"Payment &gt; monthly income","")</f>
        <v/>
      </c>
      <c r="I3" s="4" t="str">
        <f>IF(OR(Customers!I3&gt;DATE(2026,9,13),YEAR(Customers!I3)&lt;1980),"Implausible date","")</f>
        <v/>
      </c>
      <c r="J3" s="4" t="str">
        <f>IF(Customers!I3&gt;DATE(2026,9,13),"",IF(ABS(INT((DATE(2026,9,13)-Customers!I3)/365.25)-Customers!H3)&gt;1,"Date/tenure inconsistent",""))</f>
        <v/>
      </c>
      <c r="K3" s="4" t="str">
        <f>IF(COUNTIF(Customers!$A$2:$A$1001,Customers!A3)&gt;1,"Duplicate ID","")</f>
        <v/>
      </c>
      <c r="L3" s="4" t="str">
        <f>IF(COUNTIFS(Customers!$B$2:$B$1001,Customers!B3,Customers!$D$2:$D$1001,Customers!D3,Customers!$G$2:$G$1001,Customers!G3,Customers!$I$2:$I$1001,Customers!I3,Customers!$L$2:$L$1001,Customers!L3)&gt;1,"Duplicate record","")</f>
        <v/>
      </c>
      <c r="M3" s="4" t="str">
        <f>IF(OR(Customers!U3&lt;300,Customers!U3&gt;850),"Score out of range","")</f>
        <v/>
      </c>
      <c r="N3" s="4" t="str">
        <f>IF(AND(Customers!G3&lt;&gt;"",Customers!G3&lt;=0),"Income ≤ 0","")</f>
        <v/>
      </c>
      <c r="O3" s="4" t="str">
        <f>IF(OR(Customers!G3="",Customers!M3=""),"Missing value","")</f>
        <v/>
      </c>
      <c r="P3" s="4">
        <f t="shared" si="0"/>
        <v>0</v>
      </c>
      <c r="R3" s="14" t="s">
        <v>1183</v>
      </c>
      <c r="S3" s="12">
        <f>COUNTIF(B$2:B$1001,"&gt;3")+COUNTIF(B$2:B$1001,"&lt;-3")</f>
        <v>1</v>
      </c>
    </row>
    <row r="4" spans="1:19" x14ac:dyDescent="0.25">
      <c r="A4" s="4" t="str">
        <f>Customers!A4</f>
        <v>CL00003</v>
      </c>
      <c r="B4" s="20">
        <f>IF(Customers!G4="","",(Customers!G4-Statistics!$C$7)/Statistics!$C$9)</f>
        <v>-1.1109356123516446E-2</v>
      </c>
      <c r="C4" s="4" t="str">
        <f>IF(Customers!G4="","",IF(OR(Customers!G4&lt;Statistics!$C$15,Customers!G4&gt;Statistics!$C$16),"Outside 1.5·IQR",""))</f>
        <v/>
      </c>
      <c r="D4" s="4" t="str">
        <f>IF(OR(Customers!B4&lt;18,Customers!B4&gt;100),"Implausible age","")</f>
        <v/>
      </c>
      <c r="E4" s="4" t="str">
        <f>IF(Customers!H4&gt;Customers!B4-18,"Tenure &gt; age-18","")</f>
        <v/>
      </c>
      <c r="F4" s="4" t="str">
        <f>IF(Customers!R4&gt;Customers!Q4,"Card spend &gt; limit","")</f>
        <v/>
      </c>
      <c r="G4" s="4" t="str">
        <f>IF(OR(AND(Customers!S4&gt;0,Customers!T4=0),AND(Customers!S4=0,Customers!T4&gt;0)),"Mortgage/payment inconsistent","")</f>
        <v/>
      </c>
      <c r="H4" s="4" t="str">
        <f>IF(AND(Customers!G4&lt;&gt;"",Customers!G4&gt;0,Customers!T4&gt;Customers!G4/12),"Payment &gt; monthly income","")</f>
        <v/>
      </c>
      <c r="I4" s="4" t="str">
        <f>IF(OR(Customers!I4&gt;DATE(2026,9,13),YEAR(Customers!I4)&lt;1980),"Implausible date","")</f>
        <v/>
      </c>
      <c r="J4" s="4" t="str">
        <f>IF(Customers!I4&gt;DATE(2026,9,13),"",IF(ABS(INT((DATE(2026,9,13)-Customers!I4)/365.25)-Customers!H4)&gt;1,"Date/tenure inconsistent",""))</f>
        <v/>
      </c>
      <c r="K4" s="4" t="str">
        <f>IF(COUNTIF(Customers!$A$2:$A$1001,Customers!A4)&gt;1,"Duplicate ID","")</f>
        <v/>
      </c>
      <c r="L4" s="4" t="str">
        <f>IF(COUNTIFS(Customers!$B$2:$B$1001,Customers!B4,Customers!$D$2:$D$1001,Customers!D4,Customers!$G$2:$G$1001,Customers!G4,Customers!$I$2:$I$1001,Customers!I4,Customers!$L$2:$L$1001,Customers!L4)&gt;1,"Duplicate record","")</f>
        <v/>
      </c>
      <c r="M4" s="4" t="str">
        <f>IF(OR(Customers!U4&lt;300,Customers!U4&gt;850),"Score out of range","")</f>
        <v/>
      </c>
      <c r="N4" s="4" t="str">
        <f>IF(AND(Customers!G4&lt;&gt;"",Customers!G4&lt;=0),"Income ≤ 0","")</f>
        <v/>
      </c>
      <c r="O4" s="4" t="str">
        <f>IF(OR(Customers!G4="",Customers!M4=""),"Missing value","")</f>
        <v/>
      </c>
      <c r="P4" s="4">
        <f t="shared" si="0"/>
        <v>0</v>
      </c>
      <c r="R4" s="14" t="s">
        <v>1166</v>
      </c>
      <c r="S4" s="12">
        <f>SUMPRODUCT(--(C$2:C$1001&lt;&gt;""))</f>
        <v>74</v>
      </c>
    </row>
    <row r="5" spans="1:19" x14ac:dyDescent="0.25">
      <c r="A5" s="4" t="str">
        <f>Customers!A5</f>
        <v>CL00004</v>
      </c>
      <c r="B5" s="20">
        <f>IF(Customers!G5="","",(Customers!G5-Statistics!$C$7)/Statistics!$C$9)</f>
        <v>-4.5680167654029033E-2</v>
      </c>
      <c r="C5" s="4" t="str">
        <f>IF(Customers!G5="","",IF(OR(Customers!G5&lt;Statistics!$C$15,Customers!G5&gt;Statistics!$C$16),"Outside 1.5·IQR",""))</f>
        <v/>
      </c>
      <c r="D5" s="4" t="str">
        <f>IF(OR(Customers!B5&lt;18,Customers!B5&gt;100),"Implausible age","")</f>
        <v/>
      </c>
      <c r="E5" s="4" t="str">
        <f>IF(Customers!H5&gt;Customers!B5-18,"Tenure &gt; age-18","")</f>
        <v/>
      </c>
      <c r="F5" s="4" t="str">
        <f>IF(Customers!R5&gt;Customers!Q5,"Card spend &gt; limit","")</f>
        <v/>
      </c>
      <c r="G5" s="4" t="str">
        <f>IF(OR(AND(Customers!S5&gt;0,Customers!T5=0),AND(Customers!S5=0,Customers!T5&gt;0)),"Mortgage/payment inconsistent","")</f>
        <v/>
      </c>
      <c r="H5" s="4" t="str">
        <f>IF(AND(Customers!G5&lt;&gt;"",Customers!G5&gt;0,Customers!T5&gt;Customers!G5/12),"Payment &gt; monthly income","")</f>
        <v/>
      </c>
      <c r="I5" s="4" t="str">
        <f>IF(OR(Customers!I5&gt;DATE(2026,9,13),YEAR(Customers!I5)&lt;1980),"Implausible date","")</f>
        <v/>
      </c>
      <c r="J5" s="4" t="str">
        <f>IF(Customers!I5&gt;DATE(2026,9,13),"",IF(ABS(INT((DATE(2026,9,13)-Customers!I5)/365.25)-Customers!H5)&gt;1,"Date/tenure inconsistent",""))</f>
        <v/>
      </c>
      <c r="K5" s="4" t="str">
        <f>IF(COUNTIF(Customers!$A$2:$A$1001,Customers!A5)&gt;1,"Duplicate ID","")</f>
        <v/>
      </c>
      <c r="L5" s="4" t="str">
        <f>IF(COUNTIFS(Customers!$B$2:$B$1001,Customers!B5,Customers!$D$2:$D$1001,Customers!D5,Customers!$G$2:$G$1001,Customers!G5,Customers!$I$2:$I$1001,Customers!I5,Customers!$L$2:$L$1001,Customers!L5)&gt;1,"Duplicate record","")</f>
        <v/>
      </c>
      <c r="M5" s="4" t="str">
        <f>IF(OR(Customers!U5&lt;300,Customers!U5&gt;850),"Score out of range","")</f>
        <v/>
      </c>
      <c r="N5" s="4" t="str">
        <f>IF(AND(Customers!G5&lt;&gt;"",Customers!G5&lt;=0),"Income ≤ 0","")</f>
        <v/>
      </c>
      <c r="O5" s="4" t="str">
        <f>IF(OR(Customers!G5="",Customers!M5=""),"Missing value","")</f>
        <v/>
      </c>
      <c r="P5" s="4">
        <f t="shared" si="0"/>
        <v>0</v>
      </c>
      <c r="R5" s="14" t="s">
        <v>1167</v>
      </c>
      <c r="S5" s="12">
        <f>SUMPRODUCT(--(D$2:D$1001&lt;&gt;""))</f>
        <v>5</v>
      </c>
    </row>
    <row r="6" spans="1:19" x14ac:dyDescent="0.25">
      <c r="A6" s="4" t="str">
        <f>Customers!A6</f>
        <v>CL00005</v>
      </c>
      <c r="B6" s="20">
        <f>IF(Customers!G6="","",(Customers!G6-Statistics!$C$7)/Statistics!$C$9)</f>
        <v>1.7650407314972655E-2</v>
      </c>
      <c r="C6" s="4" t="str">
        <f>IF(Customers!G6="","",IF(OR(Customers!G6&lt;Statistics!$C$15,Customers!G6&gt;Statistics!$C$16),"Outside 1.5·IQR",""))</f>
        <v>Outside 1.5·IQR</v>
      </c>
      <c r="D6" s="4" t="str">
        <f>IF(OR(Customers!B6&lt;18,Customers!B6&gt;100),"Implausible age","")</f>
        <v/>
      </c>
      <c r="E6" s="4" t="str">
        <f>IF(Customers!H6&gt;Customers!B6-18,"Tenure &gt; age-18","")</f>
        <v/>
      </c>
      <c r="F6" s="4" t="str">
        <f>IF(Customers!R6&gt;Customers!Q6,"Card spend &gt; limit","")</f>
        <v/>
      </c>
      <c r="G6" s="4" t="str">
        <f>IF(OR(AND(Customers!S6&gt;0,Customers!T6=0),AND(Customers!S6=0,Customers!T6&gt;0)),"Mortgage/payment inconsistent","")</f>
        <v/>
      </c>
      <c r="H6" s="4" t="str">
        <f>IF(AND(Customers!G6&lt;&gt;"",Customers!G6&gt;0,Customers!T6&gt;Customers!G6/12),"Payment &gt; monthly income","")</f>
        <v/>
      </c>
      <c r="I6" s="4" t="str">
        <f>IF(OR(Customers!I6&gt;DATE(2026,9,13),YEAR(Customers!I6)&lt;1980),"Implausible date","")</f>
        <v/>
      </c>
      <c r="J6" s="4" t="str">
        <f>IF(Customers!I6&gt;DATE(2026,9,13),"",IF(ABS(INT((DATE(2026,9,13)-Customers!I6)/365.25)-Customers!H6)&gt;1,"Date/tenure inconsistent",""))</f>
        <v/>
      </c>
      <c r="K6" s="4" t="str">
        <f>IF(COUNTIF(Customers!$A$2:$A$1001,Customers!A6)&gt;1,"Duplicate ID","")</f>
        <v/>
      </c>
      <c r="L6" s="4" t="str">
        <f>IF(COUNTIFS(Customers!$B$2:$B$1001,Customers!B6,Customers!$D$2:$D$1001,Customers!D6,Customers!$G$2:$G$1001,Customers!G6,Customers!$I$2:$I$1001,Customers!I6,Customers!$L$2:$L$1001,Customers!L6)&gt;1,"Duplicate record","")</f>
        <v/>
      </c>
      <c r="M6" s="4" t="str">
        <f>IF(OR(Customers!U6&lt;300,Customers!U6&gt;850),"Score out of range","")</f>
        <v/>
      </c>
      <c r="N6" s="4" t="str">
        <f>IF(AND(Customers!G6&lt;&gt;"",Customers!G6&lt;=0),"Income ≤ 0","")</f>
        <v/>
      </c>
      <c r="O6" s="4" t="str">
        <f>IF(OR(Customers!G6="",Customers!M6=""),"Missing value","")</f>
        <v/>
      </c>
      <c r="P6" s="4">
        <f t="shared" si="0"/>
        <v>1</v>
      </c>
      <c r="R6" s="14" t="s">
        <v>1168</v>
      </c>
      <c r="S6" s="12">
        <f>SUMPRODUCT(--(E$2:E$1001&lt;&gt;""))</f>
        <v>5</v>
      </c>
    </row>
    <row r="7" spans="1:19" x14ac:dyDescent="0.25">
      <c r="A7" s="4" t="str">
        <f>Customers!A7</f>
        <v>CL00006</v>
      </c>
      <c r="B7" s="20">
        <f>IF(Customers!G7="","",(Customers!G7-Statistics!$C$7)/Statistics!$C$9)</f>
        <v>-4.6271121697285658E-2</v>
      </c>
      <c r="C7" s="4" t="str">
        <f>IF(Customers!G7="","",IF(OR(Customers!G7&lt;Statistics!$C$15,Customers!G7&gt;Statistics!$C$16),"Outside 1.5·IQR",""))</f>
        <v/>
      </c>
      <c r="D7" s="4" t="str">
        <f>IF(OR(Customers!B7&lt;18,Customers!B7&gt;100),"Implausible age","")</f>
        <v/>
      </c>
      <c r="E7" s="4" t="str">
        <f>IF(Customers!H7&gt;Customers!B7-18,"Tenure &gt; age-18","")</f>
        <v/>
      </c>
      <c r="F7" s="4" t="str">
        <f>IF(Customers!R7&gt;Customers!Q7,"Card spend &gt; limit","")</f>
        <v/>
      </c>
      <c r="G7" s="4" t="str">
        <f>IF(OR(AND(Customers!S7&gt;0,Customers!T7=0),AND(Customers!S7=0,Customers!T7&gt;0)),"Mortgage/payment inconsistent","")</f>
        <v/>
      </c>
      <c r="H7" s="4" t="str">
        <f>IF(AND(Customers!G7&lt;&gt;"",Customers!G7&gt;0,Customers!T7&gt;Customers!G7/12),"Payment &gt; monthly income","")</f>
        <v/>
      </c>
      <c r="I7" s="4" t="str">
        <f>IF(OR(Customers!I7&gt;DATE(2026,9,13),YEAR(Customers!I7)&lt;1980),"Implausible date","")</f>
        <v/>
      </c>
      <c r="J7" s="4" t="str">
        <f>IF(Customers!I7&gt;DATE(2026,9,13),"",IF(ABS(INT((DATE(2026,9,13)-Customers!I7)/365.25)-Customers!H7)&gt;1,"Date/tenure inconsistent",""))</f>
        <v/>
      </c>
      <c r="K7" s="4" t="str">
        <f>IF(COUNTIF(Customers!$A$2:$A$1001,Customers!A7)&gt;1,"Duplicate ID","")</f>
        <v/>
      </c>
      <c r="L7" s="4" t="str">
        <f>IF(COUNTIFS(Customers!$B$2:$B$1001,Customers!B7,Customers!$D$2:$D$1001,Customers!D7,Customers!$G$2:$G$1001,Customers!G7,Customers!$I$2:$I$1001,Customers!I7,Customers!$L$2:$L$1001,Customers!L7)&gt;1,"Duplicate record","")</f>
        <v/>
      </c>
      <c r="M7" s="4" t="str">
        <f>IF(OR(Customers!U7&lt;300,Customers!U7&gt;850),"Score out of range","")</f>
        <v/>
      </c>
      <c r="N7" s="4" t="str">
        <f>IF(AND(Customers!G7&lt;&gt;"",Customers!G7&lt;=0),"Income ≤ 0","")</f>
        <v/>
      </c>
      <c r="O7" s="4" t="str">
        <f>IF(OR(Customers!G7="",Customers!M7=""),"Missing value","")</f>
        <v/>
      </c>
      <c r="P7" s="4">
        <f t="shared" si="0"/>
        <v>0</v>
      </c>
      <c r="R7" s="14" t="s">
        <v>1169</v>
      </c>
      <c r="S7" s="12">
        <f>SUMPRODUCT(--(F$2:F$1001&lt;&gt;""))</f>
        <v>3</v>
      </c>
    </row>
    <row r="8" spans="1:19" x14ac:dyDescent="0.25">
      <c r="A8" s="4" t="str">
        <f>Customers!A8</f>
        <v>CL00007</v>
      </c>
      <c r="B8" s="20">
        <f>IF(Customers!G8="","",(Customers!G8-Statistics!$C$7)/Statistics!$C$9)</f>
        <v>-3.6618872324094109E-2</v>
      </c>
      <c r="C8" s="4" t="str">
        <f>IF(Customers!G8="","",IF(OR(Customers!G8&lt;Statistics!$C$15,Customers!G8&gt;Statistics!$C$16),"Outside 1.5·IQR",""))</f>
        <v/>
      </c>
      <c r="D8" s="4" t="str">
        <f>IF(OR(Customers!B8&lt;18,Customers!B8&gt;100),"Implausible age","")</f>
        <v/>
      </c>
      <c r="E8" s="4" t="str">
        <f>IF(Customers!H8&gt;Customers!B8-18,"Tenure &gt; age-18","")</f>
        <v/>
      </c>
      <c r="F8" s="4" t="str">
        <f>IF(Customers!R8&gt;Customers!Q8,"Card spend &gt; limit","")</f>
        <v/>
      </c>
      <c r="G8" s="4" t="str">
        <f>IF(OR(AND(Customers!S8&gt;0,Customers!T8=0),AND(Customers!S8=0,Customers!T8&gt;0)),"Mortgage/payment inconsistent","")</f>
        <v/>
      </c>
      <c r="H8" s="4" t="str">
        <f>IF(AND(Customers!G8&lt;&gt;"",Customers!G8&gt;0,Customers!T8&gt;Customers!G8/12),"Payment &gt; monthly income","")</f>
        <v/>
      </c>
      <c r="I8" s="4" t="str">
        <f>IF(OR(Customers!I8&gt;DATE(2026,9,13),YEAR(Customers!I8)&lt;1980),"Implausible date","")</f>
        <v/>
      </c>
      <c r="J8" s="4" t="str">
        <f>IF(Customers!I8&gt;DATE(2026,9,13),"",IF(ABS(INT((DATE(2026,9,13)-Customers!I8)/365.25)-Customers!H8)&gt;1,"Date/tenure inconsistent",""))</f>
        <v/>
      </c>
      <c r="K8" s="4" t="str">
        <f>IF(COUNTIF(Customers!$A$2:$A$1001,Customers!A8)&gt;1,"Duplicate ID","")</f>
        <v/>
      </c>
      <c r="L8" s="4" t="str">
        <f>IF(COUNTIFS(Customers!$B$2:$B$1001,Customers!B8,Customers!$D$2:$D$1001,Customers!D8,Customers!$G$2:$G$1001,Customers!G8,Customers!$I$2:$I$1001,Customers!I8,Customers!$L$2:$L$1001,Customers!L8)&gt;1,"Duplicate record","")</f>
        <v/>
      </c>
      <c r="M8" s="4" t="str">
        <f>IF(OR(Customers!U8&lt;300,Customers!U8&gt;850),"Score out of range","")</f>
        <v/>
      </c>
      <c r="N8" s="4" t="str">
        <f>IF(AND(Customers!G8&lt;&gt;"",Customers!G8&lt;=0),"Income ≤ 0","")</f>
        <v/>
      </c>
      <c r="O8" s="4" t="str">
        <f>IF(OR(Customers!G8="",Customers!M8=""),"Missing value","")</f>
        <v/>
      </c>
      <c r="P8" s="4">
        <f t="shared" si="0"/>
        <v>0</v>
      </c>
      <c r="R8" s="14" t="s">
        <v>1170</v>
      </c>
      <c r="S8" s="12">
        <f>SUMPRODUCT(--(G$2:G$1001&lt;&gt;""))</f>
        <v>4</v>
      </c>
    </row>
    <row r="9" spans="1:19" x14ac:dyDescent="0.25">
      <c r="A9" s="4" t="str">
        <f>Customers!A9</f>
        <v>CL00008</v>
      </c>
      <c r="B9" s="20">
        <f>IF(Customers!G9="","",(Customers!G9-Statistics!$C$7)/Statistics!$C$9)</f>
        <v>-1.2094279528944155E-2</v>
      </c>
      <c r="C9" s="4" t="str">
        <f>IF(Customers!G9="","",IF(OR(Customers!G9&lt;Statistics!$C$15,Customers!G9&gt;Statistics!$C$16),"Outside 1.5·IQR",""))</f>
        <v/>
      </c>
      <c r="D9" s="4" t="str">
        <f>IF(OR(Customers!B9&lt;18,Customers!B9&gt;100),"Implausible age","")</f>
        <v/>
      </c>
      <c r="E9" s="4" t="str">
        <f>IF(Customers!H9&gt;Customers!B9-18,"Tenure &gt; age-18","")</f>
        <v/>
      </c>
      <c r="F9" s="4" t="str">
        <f>IF(Customers!R9&gt;Customers!Q9,"Card spend &gt; limit","")</f>
        <v/>
      </c>
      <c r="G9" s="4" t="str">
        <f>IF(OR(AND(Customers!S9&gt;0,Customers!T9=0),AND(Customers!S9=0,Customers!T9&gt;0)),"Mortgage/payment inconsistent","")</f>
        <v/>
      </c>
      <c r="H9" s="4" t="str">
        <f>IF(AND(Customers!G9&lt;&gt;"",Customers!G9&gt;0,Customers!T9&gt;Customers!G9/12),"Payment &gt; monthly income","")</f>
        <v/>
      </c>
      <c r="I9" s="4" t="str">
        <f>IF(OR(Customers!I9&gt;DATE(2026,9,13),YEAR(Customers!I9)&lt;1980),"Implausible date","")</f>
        <v/>
      </c>
      <c r="J9" s="4" t="str">
        <f>IF(Customers!I9&gt;DATE(2026,9,13),"",IF(ABS(INT((DATE(2026,9,13)-Customers!I9)/365.25)-Customers!H9)&gt;1,"Date/tenure inconsistent",""))</f>
        <v/>
      </c>
      <c r="K9" s="4" t="str">
        <f>IF(COUNTIF(Customers!$A$2:$A$1001,Customers!A9)&gt;1,"Duplicate ID","")</f>
        <v/>
      </c>
      <c r="L9" s="4" t="str">
        <f>IF(COUNTIFS(Customers!$B$2:$B$1001,Customers!B9,Customers!$D$2:$D$1001,Customers!D9,Customers!$G$2:$G$1001,Customers!G9,Customers!$I$2:$I$1001,Customers!I9,Customers!$L$2:$L$1001,Customers!L9)&gt;1,"Duplicate record","")</f>
        <v/>
      </c>
      <c r="M9" s="4" t="str">
        <f>IF(OR(Customers!U9&lt;300,Customers!U9&gt;850),"Score out of range","")</f>
        <v/>
      </c>
      <c r="N9" s="4" t="str">
        <f>IF(AND(Customers!G9&lt;&gt;"",Customers!G9&lt;=0),"Income ≤ 0","")</f>
        <v/>
      </c>
      <c r="O9" s="4" t="str">
        <f>IF(OR(Customers!G9="",Customers!M9=""),"Missing value","")</f>
        <v/>
      </c>
      <c r="P9" s="4">
        <f t="shared" si="0"/>
        <v>0</v>
      </c>
      <c r="R9" s="14" t="s">
        <v>1171</v>
      </c>
      <c r="S9" s="12">
        <f>SUMPRODUCT(--(H$2:H$1001&lt;&gt;""))</f>
        <v>3</v>
      </c>
    </row>
    <row r="10" spans="1:19" x14ac:dyDescent="0.25">
      <c r="A10" s="4" t="str">
        <f>Customers!A10</f>
        <v>CL00009</v>
      </c>
      <c r="B10" s="20">
        <f>IF(Customers!G10="","",(Customers!G10-Statistics!$C$7)/Statistics!$C$9)</f>
        <v>-5.2968600854194081E-2</v>
      </c>
      <c r="C10" s="4" t="str">
        <f>IF(Customers!G10="","",IF(OR(Customers!G10&lt;Statistics!$C$15,Customers!G10&gt;Statistics!$C$16),"Outside 1.5·IQR",""))</f>
        <v/>
      </c>
      <c r="D10" s="4" t="str">
        <f>IF(OR(Customers!B10&lt;18,Customers!B10&gt;100),"Implausible age","")</f>
        <v/>
      </c>
      <c r="E10" s="4" t="str">
        <f>IF(Customers!H10&gt;Customers!B10-18,"Tenure &gt; age-18","")</f>
        <v/>
      </c>
      <c r="F10" s="4" t="str">
        <f>IF(Customers!R10&gt;Customers!Q10,"Card spend &gt; limit","")</f>
        <v/>
      </c>
      <c r="G10" s="4" t="str">
        <f>IF(OR(AND(Customers!S10&gt;0,Customers!T10=0),AND(Customers!S10=0,Customers!T10&gt;0)),"Mortgage/payment inconsistent","")</f>
        <v/>
      </c>
      <c r="H10" s="4" t="str">
        <f>IF(AND(Customers!G10&lt;&gt;"",Customers!G10&gt;0,Customers!T10&gt;Customers!G10/12),"Payment &gt; monthly income","")</f>
        <v/>
      </c>
      <c r="I10" s="4" t="str">
        <f>IF(OR(Customers!I10&gt;DATE(2026,9,13),YEAR(Customers!I10)&lt;1980),"Implausible date","")</f>
        <v/>
      </c>
      <c r="J10" s="4" t="str">
        <f>IF(Customers!I10&gt;DATE(2026,9,13),"",IF(ABS(INT((DATE(2026,9,13)-Customers!I10)/365.25)-Customers!H10)&gt;1,"Date/tenure inconsistent",""))</f>
        <v/>
      </c>
      <c r="K10" s="4" t="str">
        <f>IF(COUNTIF(Customers!$A$2:$A$1001,Customers!A10)&gt;1,"Duplicate ID","")</f>
        <v/>
      </c>
      <c r="L10" s="4" t="str">
        <f>IF(COUNTIFS(Customers!$B$2:$B$1001,Customers!B10,Customers!$D$2:$D$1001,Customers!D10,Customers!$G$2:$G$1001,Customers!G10,Customers!$I$2:$I$1001,Customers!I10,Customers!$L$2:$L$1001,Customers!L10)&gt;1,"Duplicate record","")</f>
        <v/>
      </c>
      <c r="M10" s="4" t="str">
        <f>IF(OR(Customers!U10&lt;300,Customers!U10&gt;850),"Score out of range","")</f>
        <v/>
      </c>
      <c r="N10" s="4" t="str">
        <f>IF(AND(Customers!G10&lt;&gt;"",Customers!G10&lt;=0),"Income ≤ 0","")</f>
        <v/>
      </c>
      <c r="O10" s="4" t="str">
        <f>IF(OR(Customers!G10="",Customers!M10=""),"Missing value","")</f>
        <v/>
      </c>
      <c r="P10" s="4">
        <f t="shared" si="0"/>
        <v>0</v>
      </c>
      <c r="R10" s="14" t="s">
        <v>1172</v>
      </c>
      <c r="S10" s="12">
        <f>SUMPRODUCT(--(I$2:I$1001&lt;&gt;""))</f>
        <v>4</v>
      </c>
    </row>
    <row r="11" spans="1:19" x14ac:dyDescent="0.25">
      <c r="A11" s="4" t="str">
        <f>Customers!A11</f>
        <v>CL00010</v>
      </c>
      <c r="B11" s="20">
        <f>IF(Customers!G11="","",(Customers!G11-Statistics!$C$7)/Statistics!$C$9)</f>
        <v>-5.1097246383881433E-2</v>
      </c>
      <c r="C11" s="4" t="str">
        <f>IF(Customers!G11="","",IF(OR(Customers!G11&lt;Statistics!$C$15,Customers!G11&gt;Statistics!$C$16),"Outside 1.5·IQR",""))</f>
        <v/>
      </c>
      <c r="D11" s="4" t="str">
        <f>IF(OR(Customers!B11&lt;18,Customers!B11&gt;100),"Implausible age","")</f>
        <v/>
      </c>
      <c r="E11" s="4" t="str">
        <f>IF(Customers!H11&gt;Customers!B11-18,"Tenure &gt; age-18","")</f>
        <v/>
      </c>
      <c r="F11" s="4" t="str">
        <f>IF(Customers!R11&gt;Customers!Q11,"Card spend &gt; limit","")</f>
        <v/>
      </c>
      <c r="G11" s="4" t="str">
        <f>IF(OR(AND(Customers!S11&gt;0,Customers!T11=0),AND(Customers!S11=0,Customers!T11&gt;0)),"Mortgage/payment inconsistent","")</f>
        <v/>
      </c>
      <c r="H11" s="4" t="str">
        <f>IF(AND(Customers!G11&lt;&gt;"",Customers!G11&gt;0,Customers!T11&gt;Customers!G11/12),"Payment &gt; monthly income","")</f>
        <v/>
      </c>
      <c r="I11" s="4" t="str">
        <f>IF(OR(Customers!I11&gt;DATE(2026,9,13),YEAR(Customers!I11)&lt;1980),"Implausible date","")</f>
        <v/>
      </c>
      <c r="J11" s="4" t="str">
        <f>IF(Customers!I11&gt;DATE(2026,9,13),"",IF(ABS(INT((DATE(2026,9,13)-Customers!I11)/365.25)-Customers!H11)&gt;1,"Date/tenure inconsistent",""))</f>
        <v/>
      </c>
      <c r="K11" s="4" t="str">
        <f>IF(COUNTIF(Customers!$A$2:$A$1001,Customers!A11)&gt;1,"Duplicate ID","")</f>
        <v/>
      </c>
      <c r="L11" s="4" t="str">
        <f>IF(COUNTIFS(Customers!$B$2:$B$1001,Customers!B11,Customers!$D$2:$D$1001,Customers!D11,Customers!$G$2:$G$1001,Customers!G11,Customers!$I$2:$I$1001,Customers!I11,Customers!$L$2:$L$1001,Customers!L11)&gt;1,"Duplicate record","")</f>
        <v/>
      </c>
      <c r="M11" s="4" t="str">
        <f>IF(OR(Customers!U11&lt;300,Customers!U11&gt;850),"Score out of range","")</f>
        <v/>
      </c>
      <c r="N11" s="4" t="str">
        <f>IF(AND(Customers!G11&lt;&gt;"",Customers!G11&lt;=0),"Income ≤ 0","")</f>
        <v/>
      </c>
      <c r="O11" s="4" t="str">
        <f>IF(OR(Customers!G11="",Customers!M11=""),"Missing value","")</f>
        <v/>
      </c>
      <c r="P11" s="4">
        <f t="shared" si="0"/>
        <v>0</v>
      </c>
      <c r="R11" s="14" t="s">
        <v>1173</v>
      </c>
      <c r="S11" s="12">
        <f>SUMPRODUCT(--(J$2:J$1001&lt;&gt;""))</f>
        <v>4</v>
      </c>
    </row>
    <row r="12" spans="1:19" x14ac:dyDescent="0.25">
      <c r="A12" s="4" t="str">
        <f>Customers!A12</f>
        <v>CL00011</v>
      </c>
      <c r="B12" s="20">
        <f>IF(Customers!G12="","",(Customers!G12-Statistics!$C$7)/Statistics!$C$9)</f>
        <v>-4.4596751908058549E-2</v>
      </c>
      <c r="C12" s="4" t="str">
        <f>IF(Customers!G12="","",IF(OR(Customers!G12&lt;Statistics!$C$15,Customers!G12&gt;Statistics!$C$16),"Outside 1.5·IQR",""))</f>
        <v/>
      </c>
      <c r="D12" s="4" t="str">
        <f>IF(OR(Customers!B12&lt;18,Customers!B12&gt;100),"Implausible age","")</f>
        <v/>
      </c>
      <c r="E12" s="4" t="str">
        <f>IF(Customers!H12&gt;Customers!B12-18,"Tenure &gt; age-18","")</f>
        <v/>
      </c>
      <c r="F12" s="4" t="str">
        <f>IF(Customers!R12&gt;Customers!Q12,"Card spend &gt; limit","")</f>
        <v/>
      </c>
      <c r="G12" s="4" t="str">
        <f>IF(OR(AND(Customers!S12&gt;0,Customers!T12=0),AND(Customers!S12=0,Customers!T12&gt;0)),"Mortgage/payment inconsistent","")</f>
        <v/>
      </c>
      <c r="H12" s="4" t="str">
        <f>IF(AND(Customers!G12&lt;&gt;"",Customers!G12&gt;0,Customers!T12&gt;Customers!G12/12),"Payment &gt; monthly income","")</f>
        <v/>
      </c>
      <c r="I12" s="4" t="str">
        <f>IF(OR(Customers!I12&gt;DATE(2026,9,13),YEAR(Customers!I12)&lt;1980),"Implausible date","")</f>
        <v/>
      </c>
      <c r="J12" s="4" t="str">
        <f>IF(Customers!I12&gt;DATE(2026,9,13),"",IF(ABS(INT((DATE(2026,9,13)-Customers!I12)/365.25)-Customers!H12)&gt;1,"Date/tenure inconsistent",""))</f>
        <v/>
      </c>
      <c r="K12" s="4" t="str">
        <f>IF(COUNTIF(Customers!$A$2:$A$1001,Customers!A12)&gt;1,"Duplicate ID","")</f>
        <v/>
      </c>
      <c r="L12" s="4" t="str">
        <f>IF(COUNTIFS(Customers!$B$2:$B$1001,Customers!B12,Customers!$D$2:$D$1001,Customers!D12,Customers!$G$2:$G$1001,Customers!G12,Customers!$I$2:$I$1001,Customers!I12,Customers!$L$2:$L$1001,Customers!L12)&gt;1,"Duplicate record","")</f>
        <v/>
      </c>
      <c r="M12" s="4" t="str">
        <f>IF(OR(Customers!U12&lt;300,Customers!U12&gt;850),"Score out of range","")</f>
        <v/>
      </c>
      <c r="N12" s="4" t="str">
        <f>IF(AND(Customers!G12&lt;&gt;"",Customers!G12&lt;=0),"Income ≤ 0","")</f>
        <v/>
      </c>
      <c r="O12" s="4" t="str">
        <f>IF(OR(Customers!G12="",Customers!M12=""),"Missing value","")</f>
        <v/>
      </c>
      <c r="P12" s="4">
        <f t="shared" si="0"/>
        <v>0</v>
      </c>
      <c r="R12" s="14" t="s">
        <v>1174</v>
      </c>
      <c r="S12" s="12">
        <f>SUMPRODUCT(--(K$2:K$1001&lt;&gt;""))</f>
        <v>6</v>
      </c>
    </row>
    <row r="13" spans="1:19" x14ac:dyDescent="0.25">
      <c r="A13" s="4" t="str">
        <f>Customers!A13</f>
        <v>CL00012</v>
      </c>
      <c r="B13" s="20">
        <f>IF(Customers!G13="","",(Customers!G13-Statistics!$C$7)/Statistics!$C$9)</f>
        <v>1.0263481774264838E-2</v>
      </c>
      <c r="C13" s="4" t="str">
        <f>IF(Customers!G13="","",IF(OR(Customers!G13&lt;Statistics!$C$15,Customers!G13&gt;Statistics!$C$16),"Outside 1.5·IQR",""))</f>
        <v>Outside 1.5·IQR</v>
      </c>
      <c r="D13" s="4" t="str">
        <f>IF(OR(Customers!B13&lt;18,Customers!B13&gt;100),"Implausible age","")</f>
        <v/>
      </c>
      <c r="E13" s="4" t="str">
        <f>IF(Customers!H13&gt;Customers!B13-18,"Tenure &gt; age-18","")</f>
        <v/>
      </c>
      <c r="F13" s="4" t="str">
        <f>IF(Customers!R13&gt;Customers!Q13,"Card spend &gt; limit","")</f>
        <v/>
      </c>
      <c r="G13" s="4" t="str">
        <f>IF(OR(AND(Customers!S13&gt;0,Customers!T13=0),AND(Customers!S13=0,Customers!T13&gt;0)),"Mortgage/payment inconsistent","")</f>
        <v/>
      </c>
      <c r="H13" s="4" t="str">
        <f>IF(AND(Customers!G13&lt;&gt;"",Customers!G13&gt;0,Customers!T13&gt;Customers!G13/12),"Payment &gt; monthly income","")</f>
        <v/>
      </c>
      <c r="I13" s="4" t="str">
        <f>IF(OR(Customers!I13&gt;DATE(2026,9,13),YEAR(Customers!I13)&lt;1980),"Implausible date","")</f>
        <v/>
      </c>
      <c r="J13" s="4" t="str">
        <f>IF(Customers!I13&gt;DATE(2026,9,13),"",IF(ABS(INT((DATE(2026,9,13)-Customers!I13)/365.25)-Customers!H13)&gt;1,"Date/tenure inconsistent",""))</f>
        <v/>
      </c>
      <c r="K13" s="4" t="str">
        <f>IF(COUNTIF(Customers!$A$2:$A$1001,Customers!A13)&gt;1,"Duplicate ID","")</f>
        <v/>
      </c>
      <c r="L13" s="4" t="str">
        <f>IF(COUNTIFS(Customers!$B$2:$B$1001,Customers!B13,Customers!$D$2:$D$1001,Customers!D13,Customers!$G$2:$G$1001,Customers!G13,Customers!$I$2:$I$1001,Customers!I13,Customers!$L$2:$L$1001,Customers!L13)&gt;1,"Duplicate record","")</f>
        <v/>
      </c>
      <c r="M13" s="4" t="str">
        <f>IF(OR(Customers!U13&lt;300,Customers!U13&gt;850),"Score out of range","")</f>
        <v/>
      </c>
      <c r="N13" s="4" t="str">
        <f>IF(AND(Customers!G13&lt;&gt;"",Customers!G13&lt;=0),"Income ≤ 0","")</f>
        <v/>
      </c>
      <c r="O13" s="4" t="str">
        <f>IF(OR(Customers!G13="",Customers!M13=""),"Missing value","")</f>
        <v/>
      </c>
      <c r="P13" s="4">
        <f t="shared" si="0"/>
        <v>1</v>
      </c>
      <c r="R13" s="14" t="s">
        <v>1175</v>
      </c>
      <c r="S13" s="12">
        <f>SUMPRODUCT(--(L$2:L$1001&lt;&gt;""))</f>
        <v>12</v>
      </c>
    </row>
    <row r="14" spans="1:19" x14ac:dyDescent="0.25">
      <c r="A14" s="4" t="str">
        <f>Customers!A14</f>
        <v>CL00013</v>
      </c>
      <c r="B14" s="20">
        <f>IF(Customers!G14="","",(Customers!G14-Statistics!$C$7)/Statistics!$C$9)</f>
        <v>-2.3223914010277267E-2</v>
      </c>
      <c r="C14" s="4" t="str">
        <f>IF(Customers!G14="","",IF(OR(Customers!G14&lt;Statistics!$C$15,Customers!G14&gt;Statistics!$C$16),"Outside 1.5·IQR",""))</f>
        <v/>
      </c>
      <c r="D14" s="4" t="str">
        <f>IF(OR(Customers!B14&lt;18,Customers!B14&gt;100),"Implausible age","")</f>
        <v/>
      </c>
      <c r="E14" s="4" t="str">
        <f>IF(Customers!H14&gt;Customers!B14-18,"Tenure &gt; age-18","")</f>
        <v/>
      </c>
      <c r="F14" s="4" t="str">
        <f>IF(Customers!R14&gt;Customers!Q14,"Card spend &gt; limit","")</f>
        <v/>
      </c>
      <c r="G14" s="4" t="str">
        <f>IF(OR(AND(Customers!S14&gt;0,Customers!T14=0),AND(Customers!S14=0,Customers!T14&gt;0)),"Mortgage/payment inconsistent","")</f>
        <v/>
      </c>
      <c r="H14" s="4" t="str">
        <f>IF(AND(Customers!G14&lt;&gt;"",Customers!G14&gt;0,Customers!T14&gt;Customers!G14/12),"Payment &gt; monthly income","")</f>
        <v/>
      </c>
      <c r="I14" s="4" t="str">
        <f>IF(OR(Customers!I14&gt;DATE(2026,9,13),YEAR(Customers!I14)&lt;1980),"Implausible date","")</f>
        <v/>
      </c>
      <c r="J14" s="4" t="str">
        <f>IF(Customers!I14&gt;DATE(2026,9,13),"",IF(ABS(INT((DATE(2026,9,13)-Customers!I14)/365.25)-Customers!H14)&gt;1,"Date/tenure inconsistent",""))</f>
        <v/>
      </c>
      <c r="K14" s="4" t="str">
        <f>IF(COUNTIF(Customers!$A$2:$A$1001,Customers!A14)&gt;1,"Duplicate ID","")</f>
        <v/>
      </c>
      <c r="L14" s="4" t="str">
        <f>IF(COUNTIFS(Customers!$B$2:$B$1001,Customers!B14,Customers!$D$2:$D$1001,Customers!D14,Customers!$G$2:$G$1001,Customers!G14,Customers!$I$2:$I$1001,Customers!I14,Customers!$L$2:$L$1001,Customers!L14)&gt;1,"Duplicate record","")</f>
        <v/>
      </c>
      <c r="M14" s="4" t="str">
        <f>IF(OR(Customers!U14&lt;300,Customers!U14&gt;850),"Score out of range","")</f>
        <v/>
      </c>
      <c r="N14" s="4" t="str">
        <f>IF(AND(Customers!G14&lt;&gt;"",Customers!G14&lt;=0),"Income ≤ 0","")</f>
        <v/>
      </c>
      <c r="O14" s="4" t="str">
        <f>IF(OR(Customers!G14="",Customers!M14=""),"Missing value","")</f>
        <v/>
      </c>
      <c r="P14" s="4">
        <f t="shared" si="0"/>
        <v>0</v>
      </c>
      <c r="R14" s="14" t="s">
        <v>1176</v>
      </c>
      <c r="S14" s="12">
        <f>SUMPRODUCT(--(M$2:M$1001&lt;&gt;""))</f>
        <v>5</v>
      </c>
    </row>
    <row r="15" spans="1:19" x14ac:dyDescent="0.25">
      <c r="A15" s="4" t="str">
        <f>Customers!A15</f>
        <v>CL00014</v>
      </c>
      <c r="B15" s="20">
        <f>IF(Customers!G15="","",(Customers!G15-Statistics!$C$7)/Statistics!$C$9)</f>
        <v>-4.9225891913568784E-2</v>
      </c>
      <c r="C15" s="4" t="str">
        <f>IF(Customers!G15="","",IF(OR(Customers!G15&lt;Statistics!$C$15,Customers!G15&gt;Statistics!$C$16),"Outside 1.5·IQR",""))</f>
        <v/>
      </c>
      <c r="D15" s="4" t="str">
        <f>IF(OR(Customers!B15&lt;18,Customers!B15&gt;100),"Implausible age","")</f>
        <v/>
      </c>
      <c r="E15" s="4" t="str">
        <f>IF(Customers!H15&gt;Customers!B15-18,"Tenure &gt; age-18","")</f>
        <v/>
      </c>
      <c r="F15" s="4" t="str">
        <f>IF(Customers!R15&gt;Customers!Q15,"Card spend &gt; limit","")</f>
        <v/>
      </c>
      <c r="G15" s="4" t="str">
        <f>IF(OR(AND(Customers!S15&gt;0,Customers!T15=0),AND(Customers!S15=0,Customers!T15&gt;0)),"Mortgage/payment inconsistent","")</f>
        <v/>
      </c>
      <c r="H15" s="4" t="str">
        <f>IF(AND(Customers!G15&lt;&gt;"",Customers!G15&gt;0,Customers!T15&gt;Customers!G15/12),"Payment &gt; monthly income","")</f>
        <v/>
      </c>
      <c r="I15" s="4" t="str">
        <f>IF(OR(Customers!I15&gt;DATE(2026,9,13),YEAR(Customers!I15)&lt;1980),"Implausible date","")</f>
        <v/>
      </c>
      <c r="J15" s="4" t="str">
        <f>IF(Customers!I15&gt;DATE(2026,9,13),"",IF(ABS(INT((DATE(2026,9,13)-Customers!I15)/365.25)-Customers!H15)&gt;1,"Date/tenure inconsistent",""))</f>
        <v/>
      </c>
      <c r="K15" s="4" t="str">
        <f>IF(COUNTIF(Customers!$A$2:$A$1001,Customers!A15)&gt;1,"Duplicate ID","")</f>
        <v/>
      </c>
      <c r="L15" s="4" t="str">
        <f>IF(COUNTIFS(Customers!$B$2:$B$1001,Customers!B15,Customers!$D$2:$D$1001,Customers!D15,Customers!$G$2:$G$1001,Customers!G15,Customers!$I$2:$I$1001,Customers!I15,Customers!$L$2:$L$1001,Customers!L15)&gt;1,"Duplicate record","")</f>
        <v/>
      </c>
      <c r="M15" s="4" t="str">
        <f>IF(OR(Customers!U15&lt;300,Customers!U15&gt;850),"Score out of range","")</f>
        <v/>
      </c>
      <c r="N15" s="4" t="str">
        <f>IF(AND(Customers!G15&lt;&gt;"",Customers!G15&lt;=0),"Income ≤ 0","")</f>
        <v/>
      </c>
      <c r="O15" s="4" t="str">
        <f>IF(OR(Customers!G15="",Customers!M15=""),"Missing value","")</f>
        <v/>
      </c>
      <c r="P15" s="4">
        <f t="shared" si="0"/>
        <v>0</v>
      </c>
      <c r="R15" s="14" t="s">
        <v>1177</v>
      </c>
      <c r="S15" s="12">
        <f>SUMPRODUCT(--(N$2:N$1001&lt;&gt;""))</f>
        <v>4</v>
      </c>
    </row>
    <row r="16" spans="1:19" x14ac:dyDescent="0.25">
      <c r="A16" s="4" t="str">
        <f>Customers!A16</f>
        <v>CL00015</v>
      </c>
      <c r="B16" s="20">
        <f>IF(Customers!G16="","",(Customers!G16-Statistics!$C$7)/Statistics!$C$9)</f>
        <v>-4.9225891913568784E-2</v>
      </c>
      <c r="C16" s="4" t="str">
        <f>IF(Customers!G16="","",IF(OR(Customers!G16&lt;Statistics!$C$15,Customers!G16&gt;Statistics!$C$16),"Outside 1.5·IQR",""))</f>
        <v/>
      </c>
      <c r="D16" s="4" t="str">
        <f>IF(OR(Customers!B16&lt;18,Customers!B16&gt;100),"Implausible age","")</f>
        <v/>
      </c>
      <c r="E16" s="4" t="str">
        <f>IF(Customers!H16&gt;Customers!B16-18,"Tenure &gt; age-18","")</f>
        <v/>
      </c>
      <c r="F16" s="4" t="str">
        <f>IF(Customers!R16&gt;Customers!Q16,"Card spend &gt; limit","")</f>
        <v/>
      </c>
      <c r="G16" s="4" t="str">
        <f>IF(OR(AND(Customers!S16&gt;0,Customers!T16=0),AND(Customers!S16=0,Customers!T16&gt;0)),"Mortgage/payment inconsistent","")</f>
        <v/>
      </c>
      <c r="H16" s="4" t="str">
        <f>IF(AND(Customers!G16&lt;&gt;"",Customers!G16&gt;0,Customers!T16&gt;Customers!G16/12),"Payment &gt; monthly income","")</f>
        <v/>
      </c>
      <c r="I16" s="4" t="str">
        <f>IF(OR(Customers!I16&gt;DATE(2026,9,13),YEAR(Customers!I16)&lt;1980),"Implausible date","")</f>
        <v/>
      </c>
      <c r="J16" s="4" t="str">
        <f>IF(Customers!I16&gt;DATE(2026,9,13),"",IF(ABS(INT((DATE(2026,9,13)-Customers!I16)/365.25)-Customers!H16)&gt;1,"Date/tenure inconsistent",""))</f>
        <v/>
      </c>
      <c r="K16" s="4" t="str">
        <f>IF(COUNTIF(Customers!$A$2:$A$1001,Customers!A16)&gt;1,"Duplicate ID","")</f>
        <v/>
      </c>
      <c r="L16" s="4" t="str">
        <f>IF(COUNTIFS(Customers!$B$2:$B$1001,Customers!B16,Customers!$D$2:$D$1001,Customers!D16,Customers!$G$2:$G$1001,Customers!G16,Customers!$I$2:$I$1001,Customers!I16,Customers!$L$2:$L$1001,Customers!L16)&gt;1,"Duplicate record","")</f>
        <v/>
      </c>
      <c r="M16" s="4" t="str">
        <f>IF(OR(Customers!U16&lt;300,Customers!U16&gt;850),"Score out of range","")</f>
        <v/>
      </c>
      <c r="N16" s="4" t="str">
        <f>IF(AND(Customers!G16&lt;&gt;"",Customers!G16&lt;=0),"Income ≤ 0","")</f>
        <v/>
      </c>
      <c r="O16" s="4" t="str">
        <f>IF(OR(Customers!G16="",Customers!M16=""),"Missing value","")</f>
        <v/>
      </c>
      <c r="P16" s="4">
        <f t="shared" si="0"/>
        <v>0</v>
      </c>
      <c r="R16" s="14" t="s">
        <v>1178</v>
      </c>
      <c r="S16" s="12">
        <f>SUMPRODUCT(--(O$2:O$1001&lt;&gt;""))</f>
        <v>6</v>
      </c>
    </row>
    <row r="17" spans="1:19" x14ac:dyDescent="0.25">
      <c r="A17" s="4" t="str">
        <f>Customers!A17</f>
        <v>CL00016</v>
      </c>
      <c r="B17" s="20">
        <f>IF(Customers!G17="","",(Customers!G17-Statistics!$C$7)/Statistics!$C$9)</f>
        <v>-5.0900261702795886E-2</v>
      </c>
      <c r="C17" s="4" t="str">
        <f>IF(Customers!G17="","",IF(OR(Customers!G17&lt;Statistics!$C$15,Customers!G17&gt;Statistics!$C$16),"Outside 1.5·IQR",""))</f>
        <v/>
      </c>
      <c r="D17" s="4" t="str">
        <f>IF(OR(Customers!B17&lt;18,Customers!B17&gt;100),"Implausible age","")</f>
        <v/>
      </c>
      <c r="E17" s="4" t="str">
        <f>IF(Customers!H17&gt;Customers!B17-18,"Tenure &gt; age-18","")</f>
        <v/>
      </c>
      <c r="F17" s="4" t="str">
        <f>IF(Customers!R17&gt;Customers!Q17,"Card spend &gt; limit","")</f>
        <v/>
      </c>
      <c r="G17" s="4" t="str">
        <f>IF(OR(AND(Customers!S17&gt;0,Customers!T17=0),AND(Customers!S17=0,Customers!T17&gt;0)),"Mortgage/payment inconsistent","")</f>
        <v/>
      </c>
      <c r="H17" s="4" t="str">
        <f>IF(AND(Customers!G17&lt;&gt;"",Customers!G17&gt;0,Customers!T17&gt;Customers!G17/12),"Payment &gt; monthly income","")</f>
        <v/>
      </c>
      <c r="I17" s="4" t="str">
        <f>IF(OR(Customers!I17&gt;DATE(2026,9,13),YEAR(Customers!I17)&lt;1980),"Implausible date","")</f>
        <v/>
      </c>
      <c r="J17" s="4" t="str">
        <f>IF(Customers!I17&gt;DATE(2026,9,13),"",IF(ABS(INT((DATE(2026,9,13)-Customers!I17)/365.25)-Customers!H17)&gt;1,"Date/tenure inconsistent",""))</f>
        <v/>
      </c>
      <c r="K17" s="4" t="str">
        <f>IF(COUNTIF(Customers!$A$2:$A$1001,Customers!A17)&gt;1,"Duplicate ID","")</f>
        <v/>
      </c>
      <c r="L17" s="4" t="str">
        <f>IF(COUNTIFS(Customers!$B$2:$B$1001,Customers!B17,Customers!$D$2:$D$1001,Customers!D17,Customers!$G$2:$G$1001,Customers!G17,Customers!$I$2:$I$1001,Customers!I17,Customers!$L$2:$L$1001,Customers!L17)&gt;1,"Duplicate record","")</f>
        <v/>
      </c>
      <c r="M17" s="4" t="str">
        <f>IF(OR(Customers!U17&lt;300,Customers!U17&gt;850),"Score out of range","")</f>
        <v/>
      </c>
      <c r="N17" s="4" t="str">
        <f>IF(AND(Customers!G17&lt;&gt;"",Customers!G17&lt;=0),"Income ≤ 0","")</f>
        <v/>
      </c>
      <c r="O17" s="4" t="str">
        <f>IF(OR(Customers!G17="",Customers!M17=""),"Missing value","")</f>
        <v/>
      </c>
      <c r="P17" s="4">
        <f t="shared" si="0"/>
        <v>0</v>
      </c>
      <c r="R17" s="14" t="s">
        <v>1184</v>
      </c>
      <c r="S17" s="12">
        <f>COUNTIF(P$2:P$1001,"&gt;0")</f>
        <v>124</v>
      </c>
    </row>
    <row r="18" spans="1:19" x14ac:dyDescent="0.25">
      <c r="A18" s="4" t="str">
        <f>Customers!A18</f>
        <v>CL00017</v>
      </c>
      <c r="B18" s="20">
        <f>IF(Customers!G18="","",(Customers!G18-Statistics!$C$7)/Statistics!$C$9)</f>
        <v>-5.2377646810937449E-2</v>
      </c>
      <c r="C18" s="4" t="str">
        <f>IF(Customers!G18="","",IF(OR(Customers!G18&lt;Statistics!$C$15,Customers!G18&gt;Statistics!$C$16),"Outside 1.5·IQR",""))</f>
        <v/>
      </c>
      <c r="D18" s="4" t="str">
        <f>IF(OR(Customers!B18&lt;18,Customers!B18&gt;100),"Implausible age","")</f>
        <v/>
      </c>
      <c r="E18" s="4" t="str">
        <f>IF(Customers!H18&gt;Customers!B18-18,"Tenure &gt; age-18","")</f>
        <v/>
      </c>
      <c r="F18" s="4" t="str">
        <f>IF(Customers!R18&gt;Customers!Q18,"Card spend &gt; limit","")</f>
        <v/>
      </c>
      <c r="G18" s="4" t="str">
        <f>IF(OR(AND(Customers!S18&gt;0,Customers!T18=0),AND(Customers!S18=0,Customers!T18&gt;0)),"Mortgage/payment inconsistent","")</f>
        <v/>
      </c>
      <c r="H18" s="4" t="str">
        <f>IF(AND(Customers!G18&lt;&gt;"",Customers!G18&gt;0,Customers!T18&gt;Customers!G18/12),"Payment &gt; monthly income","")</f>
        <v/>
      </c>
      <c r="I18" s="4" t="str">
        <f>IF(OR(Customers!I18&gt;DATE(2026,9,13),YEAR(Customers!I18)&lt;1980),"Implausible date","")</f>
        <v/>
      </c>
      <c r="J18" s="4" t="str">
        <f>IF(Customers!I18&gt;DATE(2026,9,13),"",IF(ABS(INT((DATE(2026,9,13)-Customers!I18)/365.25)-Customers!H18)&gt;1,"Date/tenure inconsistent",""))</f>
        <v/>
      </c>
      <c r="K18" s="4" t="str">
        <f>IF(COUNTIF(Customers!$A$2:$A$1001,Customers!A18)&gt;1,"Duplicate ID","")</f>
        <v/>
      </c>
      <c r="L18" s="4" t="str">
        <f>IF(COUNTIFS(Customers!$B$2:$B$1001,Customers!B18,Customers!$D$2:$D$1001,Customers!D18,Customers!$G$2:$G$1001,Customers!G18,Customers!$I$2:$I$1001,Customers!I18,Customers!$L$2:$L$1001,Customers!L18)&gt;1,"Duplicate record","")</f>
        <v/>
      </c>
      <c r="M18" s="4" t="str">
        <f>IF(OR(Customers!U18&lt;300,Customers!U18&gt;850),"Score out of range","")</f>
        <v/>
      </c>
      <c r="N18" s="4" t="str">
        <f>IF(AND(Customers!G18&lt;&gt;"",Customers!G18&lt;=0),"Income ≤ 0","")</f>
        <v/>
      </c>
      <c r="O18" s="4" t="str">
        <f>IF(OR(Customers!G18="",Customers!M18=""),"Missing value","")</f>
        <v/>
      </c>
      <c r="P18" s="4">
        <f t="shared" si="0"/>
        <v>0</v>
      </c>
    </row>
    <row r="19" spans="1:19" x14ac:dyDescent="0.25">
      <c r="A19" s="4" t="str">
        <f>Customers!A19</f>
        <v>CL00018</v>
      </c>
      <c r="B19" s="20">
        <f>IF(Customers!G19="","",(Customers!G19-Statistics!$C$7)/Statistics!$C$9)</f>
        <v>-2.6671145929274248E-2</v>
      </c>
      <c r="C19" s="4" t="str">
        <f>IF(Customers!G19="","",IF(OR(Customers!G19&lt;Statistics!$C$15,Customers!G19&gt;Statistics!$C$16),"Outside 1.5·IQR",""))</f>
        <v/>
      </c>
      <c r="D19" s="4" t="str">
        <f>IF(OR(Customers!B19&lt;18,Customers!B19&gt;100),"Implausible age","")</f>
        <v/>
      </c>
      <c r="E19" s="4" t="str">
        <f>IF(Customers!H19&gt;Customers!B19-18,"Tenure &gt; age-18","")</f>
        <v/>
      </c>
      <c r="F19" s="4" t="str">
        <f>IF(Customers!R19&gt;Customers!Q19,"Card spend &gt; limit","")</f>
        <v/>
      </c>
      <c r="G19" s="4" t="str">
        <f>IF(OR(AND(Customers!S19&gt;0,Customers!T19=0),AND(Customers!S19=0,Customers!T19&gt;0)),"Mortgage/payment inconsistent","")</f>
        <v/>
      </c>
      <c r="H19" s="4" t="str">
        <f>IF(AND(Customers!G19&lt;&gt;"",Customers!G19&gt;0,Customers!T19&gt;Customers!G19/12),"Payment &gt; monthly income","")</f>
        <v/>
      </c>
      <c r="I19" s="4" t="str">
        <f>IF(OR(Customers!I19&gt;DATE(2026,9,13),YEAR(Customers!I19)&lt;1980),"Implausible date","")</f>
        <v/>
      </c>
      <c r="J19" s="4" t="str">
        <f>IF(Customers!I19&gt;DATE(2026,9,13),"",IF(ABS(INT((DATE(2026,9,13)-Customers!I19)/365.25)-Customers!H19)&gt;1,"Date/tenure inconsistent",""))</f>
        <v/>
      </c>
      <c r="K19" s="4" t="str">
        <f>IF(COUNTIF(Customers!$A$2:$A$1001,Customers!A19)&gt;1,"Duplicate ID","")</f>
        <v/>
      </c>
      <c r="L19" s="4" t="str">
        <f>IF(COUNTIFS(Customers!$B$2:$B$1001,Customers!B19,Customers!$D$2:$D$1001,Customers!D19,Customers!$G$2:$G$1001,Customers!G19,Customers!$I$2:$I$1001,Customers!I19,Customers!$L$2:$L$1001,Customers!L19)&gt;1,"Duplicate record","")</f>
        <v/>
      </c>
      <c r="M19" s="4" t="str">
        <f>IF(OR(Customers!U19&lt;300,Customers!U19&gt;850),"Score out of range","")</f>
        <v/>
      </c>
      <c r="N19" s="4" t="str">
        <f>IF(AND(Customers!G19&lt;&gt;"",Customers!G19&lt;=0),"Income ≤ 0","")</f>
        <v/>
      </c>
      <c r="O19" s="4" t="str">
        <f>IF(OR(Customers!G19="",Customers!M19=""),"Missing value","")</f>
        <v/>
      </c>
      <c r="P19" s="4">
        <f t="shared" si="0"/>
        <v>0</v>
      </c>
      <c r="R19" s="22" t="s">
        <v>1185</v>
      </c>
    </row>
    <row r="20" spans="1:19" x14ac:dyDescent="0.25">
      <c r="A20" s="4" t="str">
        <f>Customers!A20</f>
        <v>CL00019</v>
      </c>
      <c r="B20" s="20">
        <f>IF(Customers!G20="","",(Customers!G20-Statistics!$C$7)/Statistics!$C$9)</f>
        <v>-6.6363559168010913E-2</v>
      </c>
      <c r="C20" s="4" t="str">
        <f>IF(Customers!G20="","",IF(OR(Customers!G20&lt;Statistics!$C$15,Customers!G20&gt;Statistics!$C$16),"Outside 1.5·IQR",""))</f>
        <v/>
      </c>
      <c r="D20" s="4" t="str">
        <f>IF(OR(Customers!B20&lt;18,Customers!B20&gt;100),"Implausible age","")</f>
        <v/>
      </c>
      <c r="E20" s="4" t="str">
        <f>IF(Customers!H20&gt;Customers!B20-18,"Tenure &gt; age-18","")</f>
        <v/>
      </c>
      <c r="F20" s="4" t="str">
        <f>IF(Customers!R20&gt;Customers!Q20,"Card spend &gt; limit","")</f>
        <v/>
      </c>
      <c r="G20" s="4" t="str">
        <f>IF(OR(AND(Customers!S20&gt;0,Customers!T20=0),AND(Customers!S20=0,Customers!T20&gt;0)),"Mortgage/payment inconsistent","")</f>
        <v/>
      </c>
      <c r="H20" s="4" t="str">
        <f>IF(AND(Customers!G20&lt;&gt;"",Customers!G20&gt;0,Customers!T20&gt;Customers!G20/12),"Payment &gt; monthly income","")</f>
        <v/>
      </c>
      <c r="I20" s="4" t="str">
        <f>IF(OR(Customers!I20&gt;DATE(2026,9,13),YEAR(Customers!I20)&lt;1980),"Implausible date","")</f>
        <v/>
      </c>
      <c r="J20" s="4" t="str">
        <f>IF(Customers!I20&gt;DATE(2026,9,13),"",IF(ABS(INT((DATE(2026,9,13)-Customers!I20)/365.25)-Customers!H20)&gt;1,"Date/tenure inconsistent",""))</f>
        <v/>
      </c>
      <c r="K20" s="4" t="str">
        <f>IF(COUNTIF(Customers!$A$2:$A$1001,Customers!A20)&gt;1,"Duplicate ID","")</f>
        <v/>
      </c>
      <c r="L20" s="4" t="str">
        <f>IF(COUNTIFS(Customers!$B$2:$B$1001,Customers!B20,Customers!$D$2:$D$1001,Customers!D20,Customers!$G$2:$G$1001,Customers!G20,Customers!$I$2:$I$1001,Customers!I20,Customers!$L$2:$L$1001,Customers!L20)&gt;1,"Duplicate record","")</f>
        <v/>
      </c>
      <c r="M20" s="4" t="str">
        <f>IF(OR(Customers!U20&lt;300,Customers!U20&gt;850),"Score out of range","")</f>
        <v/>
      </c>
      <c r="N20" s="4" t="str">
        <f>IF(AND(Customers!G20&lt;&gt;"",Customers!G20&lt;=0),"Income ≤ 0","")</f>
        <v/>
      </c>
      <c r="O20" s="4" t="str">
        <f>IF(OR(Customers!G20="",Customers!M20=""),"Missing value","")</f>
        <v/>
      </c>
      <c r="P20" s="4">
        <f t="shared" si="0"/>
        <v>0</v>
      </c>
    </row>
    <row r="21" spans="1:19" x14ac:dyDescent="0.25">
      <c r="A21" s="4" t="str">
        <f>Customers!A21</f>
        <v>CL00020</v>
      </c>
      <c r="B21" s="20">
        <f>IF(Customers!G21="","",(Customers!G21-Statistics!$C$7)/Statistics!$C$9)</f>
        <v>-2.6390148368381494E-3</v>
      </c>
      <c r="C21" s="4" t="str">
        <f>IF(Customers!G21="","",IF(OR(Customers!G21&lt;Statistics!$C$15,Customers!G21&gt;Statistics!$C$16),"Outside 1.5·IQR",""))</f>
        <v/>
      </c>
      <c r="D21" s="4" t="str">
        <f>IF(OR(Customers!B21&lt;18,Customers!B21&gt;100),"Implausible age","")</f>
        <v/>
      </c>
      <c r="E21" s="4" t="str">
        <f>IF(Customers!H21&gt;Customers!B21-18,"Tenure &gt; age-18","")</f>
        <v/>
      </c>
      <c r="F21" s="4" t="str">
        <f>IF(Customers!R21&gt;Customers!Q21,"Card spend &gt; limit","")</f>
        <v/>
      </c>
      <c r="G21" s="4" t="str">
        <f>IF(OR(AND(Customers!S21&gt;0,Customers!T21=0),AND(Customers!S21=0,Customers!T21&gt;0)),"Mortgage/payment inconsistent","")</f>
        <v/>
      </c>
      <c r="H21" s="4" t="str">
        <f>IF(AND(Customers!G21&lt;&gt;"",Customers!G21&gt;0,Customers!T21&gt;Customers!G21/12),"Payment &gt; monthly income","")</f>
        <v/>
      </c>
      <c r="I21" s="4" t="str">
        <f>IF(OR(Customers!I21&gt;DATE(2026,9,13),YEAR(Customers!I21)&lt;1980),"Implausible date","")</f>
        <v/>
      </c>
      <c r="J21" s="4" t="str">
        <f>IF(Customers!I21&gt;DATE(2026,9,13),"",IF(ABS(INT((DATE(2026,9,13)-Customers!I21)/365.25)-Customers!H21)&gt;1,"Date/tenure inconsistent",""))</f>
        <v/>
      </c>
      <c r="K21" s="4" t="str">
        <f>IF(COUNTIF(Customers!$A$2:$A$1001,Customers!A21)&gt;1,"Duplicate ID","")</f>
        <v/>
      </c>
      <c r="L21" s="4" t="str">
        <f>IF(COUNTIFS(Customers!$B$2:$B$1001,Customers!B21,Customers!$D$2:$D$1001,Customers!D21,Customers!$G$2:$G$1001,Customers!G21,Customers!$I$2:$I$1001,Customers!I21,Customers!$L$2:$L$1001,Customers!L21)&gt;1,"Duplicate record","")</f>
        <v/>
      </c>
      <c r="M21" s="4" t="str">
        <f>IF(OR(Customers!U21&lt;300,Customers!U21&gt;850),"Score out of range","")</f>
        <v/>
      </c>
      <c r="N21" s="4" t="str">
        <f>IF(AND(Customers!G21&lt;&gt;"",Customers!G21&lt;=0),"Income ≤ 0","")</f>
        <v/>
      </c>
      <c r="O21" s="4" t="str">
        <f>IF(OR(Customers!G21="",Customers!M21=""),"Missing value","")</f>
        <v/>
      </c>
      <c r="P21" s="4">
        <f t="shared" si="0"/>
        <v>0</v>
      </c>
    </row>
    <row r="22" spans="1:19" x14ac:dyDescent="0.25">
      <c r="A22" s="4" t="str">
        <f>Customers!A22</f>
        <v>CL00021</v>
      </c>
      <c r="B22" s="20">
        <f>IF(Customers!G22="","",(Customers!G22-Statistics!$C$7)/Statistics!$C$9)</f>
        <v>5.8313264498401482E-3</v>
      </c>
      <c r="C22" s="4" t="str">
        <f>IF(Customers!G22="","",IF(OR(Customers!G22&lt;Statistics!$C$15,Customers!G22&gt;Statistics!$C$16),"Outside 1.5·IQR",""))</f>
        <v/>
      </c>
      <c r="D22" s="4" t="str">
        <f>IF(OR(Customers!B22&lt;18,Customers!B22&gt;100),"Implausible age","")</f>
        <v/>
      </c>
      <c r="E22" s="4" t="str">
        <f>IF(Customers!H22&gt;Customers!B22-18,"Tenure &gt; age-18","")</f>
        <v/>
      </c>
      <c r="F22" s="4" t="str">
        <f>IF(Customers!R22&gt;Customers!Q22,"Card spend &gt; limit","")</f>
        <v/>
      </c>
      <c r="G22" s="4" t="str">
        <f>IF(OR(AND(Customers!S22&gt;0,Customers!T22=0),AND(Customers!S22=0,Customers!T22&gt;0)),"Mortgage/payment inconsistent","")</f>
        <v/>
      </c>
      <c r="H22" s="4" t="str">
        <f>IF(AND(Customers!G22&lt;&gt;"",Customers!G22&gt;0,Customers!T22&gt;Customers!G22/12),"Payment &gt; monthly income","")</f>
        <v/>
      </c>
      <c r="I22" s="4" t="str">
        <f>IF(OR(Customers!I22&gt;DATE(2026,9,13),YEAR(Customers!I22)&lt;1980),"Implausible date","")</f>
        <v/>
      </c>
      <c r="J22" s="4" t="str">
        <f>IF(Customers!I22&gt;DATE(2026,9,13),"",IF(ABS(INT((DATE(2026,9,13)-Customers!I22)/365.25)-Customers!H22)&gt;1,"Date/tenure inconsistent",""))</f>
        <v/>
      </c>
      <c r="K22" s="4" t="str">
        <f>IF(COUNTIF(Customers!$A$2:$A$1001,Customers!A22)&gt;1,"Duplicate ID","")</f>
        <v/>
      </c>
      <c r="L22" s="4" t="str">
        <f>IF(COUNTIFS(Customers!$B$2:$B$1001,Customers!B22,Customers!$D$2:$D$1001,Customers!D22,Customers!$G$2:$G$1001,Customers!G22,Customers!$I$2:$I$1001,Customers!I22,Customers!$L$2:$L$1001,Customers!L22)&gt;1,"Duplicate record","")</f>
        <v/>
      </c>
      <c r="M22" s="4" t="str">
        <f>IF(OR(Customers!U22&lt;300,Customers!U22&gt;850),"Score out of range","")</f>
        <v/>
      </c>
      <c r="N22" s="4" t="str">
        <f>IF(AND(Customers!G22&lt;&gt;"",Customers!G22&lt;=0),"Income ≤ 0","")</f>
        <v/>
      </c>
      <c r="O22" s="4" t="str">
        <f>IF(OR(Customers!G22="",Customers!M22=""),"Missing value","")</f>
        <v/>
      </c>
      <c r="P22" s="4">
        <f t="shared" si="0"/>
        <v>0</v>
      </c>
    </row>
    <row r="23" spans="1:19" x14ac:dyDescent="0.25">
      <c r="A23" s="4" t="str">
        <f>Customers!A23</f>
        <v>CL00022</v>
      </c>
      <c r="B23" s="20">
        <f>IF(Customers!G23="","",(Customers!G23-Statistics!$C$7)/Statistics!$C$9)</f>
        <v>-4.9422876594654323E-2</v>
      </c>
      <c r="C23" s="4" t="str">
        <f>IF(Customers!G23="","",IF(OR(Customers!G23&lt;Statistics!$C$15,Customers!G23&gt;Statistics!$C$16),"Outside 1.5·IQR",""))</f>
        <v/>
      </c>
      <c r="D23" s="4" t="str">
        <f>IF(OR(Customers!B23&lt;18,Customers!B23&gt;100),"Implausible age","")</f>
        <v/>
      </c>
      <c r="E23" s="4" t="str">
        <f>IF(Customers!H23&gt;Customers!B23-18,"Tenure &gt; age-18","")</f>
        <v/>
      </c>
      <c r="F23" s="4" t="str">
        <f>IF(Customers!R23&gt;Customers!Q23,"Card spend &gt; limit","")</f>
        <v/>
      </c>
      <c r="G23" s="4" t="str">
        <f>IF(OR(AND(Customers!S23&gt;0,Customers!T23=0),AND(Customers!S23=0,Customers!T23&gt;0)),"Mortgage/payment inconsistent","")</f>
        <v/>
      </c>
      <c r="H23" s="4" t="str">
        <f>IF(AND(Customers!G23&lt;&gt;"",Customers!G23&gt;0,Customers!T23&gt;Customers!G23/12),"Payment &gt; monthly income","")</f>
        <v/>
      </c>
      <c r="I23" s="4" t="str">
        <f>IF(OR(Customers!I23&gt;DATE(2026,9,13),YEAR(Customers!I23)&lt;1980),"Implausible date","")</f>
        <v/>
      </c>
      <c r="J23" s="4" t="str">
        <f>IF(Customers!I23&gt;DATE(2026,9,13),"",IF(ABS(INT((DATE(2026,9,13)-Customers!I23)/365.25)-Customers!H23)&gt;1,"Date/tenure inconsistent",""))</f>
        <v/>
      </c>
      <c r="K23" s="4" t="str">
        <f>IF(COUNTIF(Customers!$A$2:$A$1001,Customers!A23)&gt;1,"Duplicate ID","")</f>
        <v/>
      </c>
      <c r="L23" s="4" t="str">
        <f>IF(COUNTIFS(Customers!$B$2:$B$1001,Customers!B23,Customers!$D$2:$D$1001,Customers!D23,Customers!$G$2:$G$1001,Customers!G23,Customers!$I$2:$I$1001,Customers!I23,Customers!$L$2:$L$1001,Customers!L23)&gt;1,"Duplicate record","")</f>
        <v/>
      </c>
      <c r="M23" s="4" t="str">
        <f>IF(OR(Customers!U23&lt;300,Customers!U23&gt;850),"Score out of range","")</f>
        <v/>
      </c>
      <c r="N23" s="4" t="str">
        <f>IF(AND(Customers!G23&lt;&gt;"",Customers!G23&lt;=0),"Income ≤ 0","")</f>
        <v/>
      </c>
      <c r="O23" s="4" t="str">
        <f>IF(OR(Customers!G23="",Customers!M23=""),"Missing value","")</f>
        <v/>
      </c>
      <c r="P23" s="4">
        <f t="shared" si="0"/>
        <v>0</v>
      </c>
    </row>
    <row r="24" spans="1:19" x14ac:dyDescent="0.25">
      <c r="A24" s="4" t="str">
        <f>Customers!A24</f>
        <v>CL00023</v>
      </c>
      <c r="B24" s="20">
        <f>IF(Customers!G24="","",(Customers!G24-Statistics!$C$7)/Statistics!$C$9)</f>
        <v>-1.9185728048023661E-2</v>
      </c>
      <c r="C24" s="4" t="str">
        <f>IF(Customers!G24="","",IF(OR(Customers!G24&lt;Statistics!$C$15,Customers!G24&gt;Statistics!$C$16),"Outside 1.5·IQR",""))</f>
        <v/>
      </c>
      <c r="D24" s="4" t="str">
        <f>IF(OR(Customers!B24&lt;18,Customers!B24&gt;100),"Implausible age","")</f>
        <v/>
      </c>
      <c r="E24" s="4" t="str">
        <f>IF(Customers!H24&gt;Customers!B24-18,"Tenure &gt; age-18","")</f>
        <v/>
      </c>
      <c r="F24" s="4" t="str">
        <f>IF(Customers!R24&gt;Customers!Q24,"Card spend &gt; limit","")</f>
        <v/>
      </c>
      <c r="G24" s="4" t="str">
        <f>IF(OR(AND(Customers!S24&gt;0,Customers!T24=0),AND(Customers!S24=0,Customers!T24&gt;0)),"Mortgage/payment inconsistent","")</f>
        <v/>
      </c>
      <c r="H24" s="4" t="str">
        <f>IF(AND(Customers!G24&lt;&gt;"",Customers!G24&gt;0,Customers!T24&gt;Customers!G24/12),"Payment &gt; monthly income","")</f>
        <v/>
      </c>
      <c r="I24" s="4" t="str">
        <f>IF(OR(Customers!I24&gt;DATE(2026,9,13),YEAR(Customers!I24)&lt;1980),"Implausible date","")</f>
        <v/>
      </c>
      <c r="J24" s="4" t="str">
        <f>IF(Customers!I24&gt;DATE(2026,9,13),"",IF(ABS(INT((DATE(2026,9,13)-Customers!I24)/365.25)-Customers!H24)&gt;1,"Date/tenure inconsistent",""))</f>
        <v/>
      </c>
      <c r="K24" s="4" t="str">
        <f>IF(COUNTIF(Customers!$A$2:$A$1001,Customers!A24)&gt;1,"Duplicate ID","")</f>
        <v/>
      </c>
      <c r="L24" s="4" t="str">
        <f>IF(COUNTIFS(Customers!$B$2:$B$1001,Customers!B24,Customers!$D$2:$D$1001,Customers!D24,Customers!$G$2:$G$1001,Customers!G24,Customers!$I$2:$I$1001,Customers!I24,Customers!$L$2:$L$1001,Customers!L24)&gt;1,"Duplicate record","")</f>
        <v/>
      </c>
      <c r="M24" s="4" t="str">
        <f>IF(OR(Customers!U24&lt;300,Customers!U24&gt;850),"Score out of range","")</f>
        <v/>
      </c>
      <c r="N24" s="4" t="str">
        <f>IF(AND(Customers!G24&lt;&gt;"",Customers!G24&lt;=0),"Income ≤ 0","")</f>
        <v/>
      </c>
      <c r="O24" s="4" t="str">
        <f>IF(OR(Customers!G24="",Customers!M24=""),"Missing value","")</f>
        <v/>
      </c>
      <c r="P24" s="4">
        <f t="shared" si="0"/>
        <v>0</v>
      </c>
    </row>
    <row r="25" spans="1:19" x14ac:dyDescent="0.25">
      <c r="A25" s="4" t="str">
        <f>Customers!A25</f>
        <v>CL00024</v>
      </c>
      <c r="B25" s="20">
        <f>IF(Customers!G25="","",(Customers!G25-Statistics!$C$7)/Statistics!$C$9)</f>
        <v>-3.8391734453863985E-2</v>
      </c>
      <c r="C25" s="4" t="str">
        <f>IF(Customers!G25="","",IF(OR(Customers!G25&lt;Statistics!$C$15,Customers!G25&gt;Statistics!$C$16),"Outside 1.5·IQR",""))</f>
        <v/>
      </c>
      <c r="D25" s="4" t="str">
        <f>IF(OR(Customers!B25&lt;18,Customers!B25&gt;100),"Implausible age","")</f>
        <v/>
      </c>
      <c r="E25" s="4" t="str">
        <f>IF(Customers!H25&gt;Customers!B25-18,"Tenure &gt; age-18","")</f>
        <v/>
      </c>
      <c r="F25" s="4" t="str">
        <f>IF(Customers!R25&gt;Customers!Q25,"Card spend &gt; limit","")</f>
        <v/>
      </c>
      <c r="G25" s="4" t="str">
        <f>IF(OR(AND(Customers!S25&gt;0,Customers!T25=0),AND(Customers!S25=0,Customers!T25&gt;0)),"Mortgage/payment inconsistent","")</f>
        <v/>
      </c>
      <c r="H25" s="4" t="str">
        <f>IF(AND(Customers!G25&lt;&gt;"",Customers!G25&gt;0,Customers!T25&gt;Customers!G25/12),"Payment &gt; monthly income","")</f>
        <v/>
      </c>
      <c r="I25" s="4" t="str">
        <f>IF(OR(Customers!I25&gt;DATE(2026,9,13),YEAR(Customers!I25)&lt;1980),"Implausible date","")</f>
        <v/>
      </c>
      <c r="J25" s="4" t="str">
        <f>IF(Customers!I25&gt;DATE(2026,9,13),"",IF(ABS(INT((DATE(2026,9,13)-Customers!I25)/365.25)-Customers!H25)&gt;1,"Date/tenure inconsistent",""))</f>
        <v/>
      </c>
      <c r="K25" s="4" t="str">
        <f>IF(COUNTIF(Customers!$A$2:$A$1001,Customers!A25)&gt;1,"Duplicate ID","")</f>
        <v/>
      </c>
      <c r="L25" s="4" t="str">
        <f>IF(COUNTIFS(Customers!$B$2:$B$1001,Customers!B25,Customers!$D$2:$D$1001,Customers!D25,Customers!$G$2:$G$1001,Customers!G25,Customers!$I$2:$I$1001,Customers!I25,Customers!$L$2:$L$1001,Customers!L25)&gt;1,"Duplicate record","")</f>
        <v/>
      </c>
      <c r="M25" s="4" t="str">
        <f>IF(OR(Customers!U25&lt;300,Customers!U25&gt;850),"Score out of range","")</f>
        <v/>
      </c>
      <c r="N25" s="4" t="str">
        <f>IF(AND(Customers!G25&lt;&gt;"",Customers!G25&lt;=0),"Income ≤ 0","")</f>
        <v/>
      </c>
      <c r="O25" s="4" t="str">
        <f>IF(OR(Customers!G25="",Customers!M25=""),"Missing value","")</f>
        <v/>
      </c>
      <c r="P25" s="4">
        <f t="shared" si="0"/>
        <v>0</v>
      </c>
    </row>
    <row r="26" spans="1:19" x14ac:dyDescent="0.25">
      <c r="A26" s="4" t="str">
        <f>Customers!A26</f>
        <v>CL00025</v>
      </c>
      <c r="B26" s="20">
        <f>IF(Customers!G26="","",(Customers!G26-Statistics!$C$7)/Statistics!$C$9)</f>
        <v>-4.0179076044369417E-3</v>
      </c>
      <c r="C26" s="4" t="str">
        <f>IF(Customers!G26="","",IF(OR(Customers!G26&lt;Statistics!$C$15,Customers!G26&gt;Statistics!$C$16),"Outside 1.5·IQR",""))</f>
        <v/>
      </c>
      <c r="D26" s="4" t="str">
        <f>IF(OR(Customers!B26&lt;18,Customers!B26&gt;100),"Implausible age","")</f>
        <v/>
      </c>
      <c r="E26" s="4" t="str">
        <f>IF(Customers!H26&gt;Customers!B26-18,"Tenure &gt; age-18","")</f>
        <v/>
      </c>
      <c r="F26" s="4" t="str">
        <f>IF(Customers!R26&gt;Customers!Q26,"Card spend &gt; limit","")</f>
        <v/>
      </c>
      <c r="G26" s="4" t="str">
        <f>IF(OR(AND(Customers!S26&gt;0,Customers!T26=0),AND(Customers!S26=0,Customers!T26&gt;0)),"Mortgage/payment inconsistent","")</f>
        <v/>
      </c>
      <c r="H26" s="4" t="str">
        <f>IF(AND(Customers!G26&lt;&gt;"",Customers!G26&gt;0,Customers!T26&gt;Customers!G26/12),"Payment &gt; monthly income","")</f>
        <v/>
      </c>
      <c r="I26" s="4" t="str">
        <f>IF(OR(Customers!I26&gt;DATE(2026,9,13),YEAR(Customers!I26)&lt;1980),"Implausible date","")</f>
        <v/>
      </c>
      <c r="J26" s="4" t="str">
        <f>IF(Customers!I26&gt;DATE(2026,9,13),"",IF(ABS(INT((DATE(2026,9,13)-Customers!I26)/365.25)-Customers!H26)&gt;1,"Date/tenure inconsistent",""))</f>
        <v/>
      </c>
      <c r="K26" s="4" t="str">
        <f>IF(COUNTIF(Customers!$A$2:$A$1001,Customers!A26)&gt;1,"Duplicate ID","")</f>
        <v/>
      </c>
      <c r="L26" s="4" t="str">
        <f>IF(COUNTIFS(Customers!$B$2:$B$1001,Customers!B26,Customers!$D$2:$D$1001,Customers!D26,Customers!$G$2:$G$1001,Customers!G26,Customers!$I$2:$I$1001,Customers!I26,Customers!$L$2:$L$1001,Customers!L26)&gt;1,"Duplicate record","")</f>
        <v/>
      </c>
      <c r="M26" s="4" t="str">
        <f>IF(OR(Customers!U26&lt;300,Customers!U26&gt;850),"Score out of range","")</f>
        <v/>
      </c>
      <c r="N26" s="4" t="str">
        <f>IF(AND(Customers!G26&lt;&gt;"",Customers!G26&lt;=0),"Income ≤ 0","")</f>
        <v/>
      </c>
      <c r="O26" s="4" t="str">
        <f>IF(OR(Customers!G26="",Customers!M26=""),"Missing value","")</f>
        <v/>
      </c>
      <c r="P26" s="4">
        <f t="shared" si="0"/>
        <v>0</v>
      </c>
    </row>
    <row r="27" spans="1:19" x14ac:dyDescent="0.25">
      <c r="A27" s="4" t="str">
        <f>Customers!A27</f>
        <v>CL00026</v>
      </c>
      <c r="B27" s="20">
        <f>IF(Customers!G27="","",(Customers!G27-Statistics!$C$7)/Statistics!$C$9)</f>
        <v>-3.9179673178206149E-2</v>
      </c>
      <c r="C27" s="4" t="str">
        <f>IF(Customers!G27="","",IF(OR(Customers!G27&lt;Statistics!$C$15,Customers!G27&gt;Statistics!$C$16),"Outside 1.5·IQR",""))</f>
        <v/>
      </c>
      <c r="D27" s="4" t="str">
        <f>IF(OR(Customers!B27&lt;18,Customers!B27&gt;100),"Implausible age","")</f>
        <v/>
      </c>
      <c r="E27" s="4" t="str">
        <f>IF(Customers!H27&gt;Customers!B27-18,"Tenure &gt; age-18","")</f>
        <v/>
      </c>
      <c r="F27" s="4" t="str">
        <f>IF(Customers!R27&gt;Customers!Q27,"Card spend &gt; limit","")</f>
        <v/>
      </c>
      <c r="G27" s="4" t="str">
        <f>IF(OR(AND(Customers!S27&gt;0,Customers!T27=0),AND(Customers!S27=0,Customers!T27&gt;0)),"Mortgage/payment inconsistent","")</f>
        <v/>
      </c>
      <c r="H27" s="4" t="str">
        <f>IF(AND(Customers!G27&lt;&gt;"",Customers!G27&gt;0,Customers!T27&gt;Customers!G27/12),"Payment &gt; monthly income","")</f>
        <v/>
      </c>
      <c r="I27" s="4" t="str">
        <f>IF(OR(Customers!I27&gt;DATE(2026,9,13),YEAR(Customers!I27)&lt;1980),"Implausible date","")</f>
        <v/>
      </c>
      <c r="J27" s="4" t="str">
        <f>IF(Customers!I27&gt;DATE(2026,9,13),"",IF(ABS(INT((DATE(2026,9,13)-Customers!I27)/365.25)-Customers!H27)&gt;1,"Date/tenure inconsistent",""))</f>
        <v/>
      </c>
      <c r="K27" s="4" t="str">
        <f>IF(COUNTIF(Customers!$A$2:$A$1001,Customers!A27)&gt;1,"Duplicate ID","")</f>
        <v/>
      </c>
      <c r="L27" s="4" t="str">
        <f>IF(COUNTIFS(Customers!$B$2:$B$1001,Customers!B27,Customers!$D$2:$D$1001,Customers!D27,Customers!$G$2:$G$1001,Customers!G27,Customers!$I$2:$I$1001,Customers!I27,Customers!$L$2:$L$1001,Customers!L27)&gt;1,"Duplicate record","")</f>
        <v/>
      </c>
      <c r="M27" s="4" t="str">
        <f>IF(OR(Customers!U27&lt;300,Customers!U27&gt;850),"Score out of range","")</f>
        <v/>
      </c>
      <c r="N27" s="4" t="str">
        <f>IF(AND(Customers!G27&lt;&gt;"",Customers!G27&lt;=0),"Income ≤ 0","")</f>
        <v/>
      </c>
      <c r="O27" s="4" t="str">
        <f>IF(OR(Customers!G27="",Customers!M27=""),"Missing value","")</f>
        <v/>
      </c>
      <c r="P27" s="4">
        <f t="shared" si="0"/>
        <v>0</v>
      </c>
    </row>
    <row r="28" spans="1:19" x14ac:dyDescent="0.25">
      <c r="A28" s="4" t="str">
        <f>Customers!A28</f>
        <v>CL00027</v>
      </c>
      <c r="B28" s="20">
        <f>IF(Customers!G28="","",(Customers!G28-Statistics!$C$7)/Statistics!$C$9)</f>
        <v>-2.7459084653616416E-2</v>
      </c>
      <c r="C28" s="4" t="str">
        <f>IF(Customers!G28="","",IF(OR(Customers!G28&lt;Statistics!$C$15,Customers!G28&gt;Statistics!$C$16),"Outside 1.5·IQR",""))</f>
        <v/>
      </c>
      <c r="D28" s="4" t="str">
        <f>IF(OR(Customers!B28&lt;18,Customers!B28&gt;100),"Implausible age","")</f>
        <v/>
      </c>
      <c r="E28" s="4" t="str">
        <f>IF(Customers!H28&gt;Customers!B28-18,"Tenure &gt; age-18","")</f>
        <v/>
      </c>
      <c r="F28" s="4" t="str">
        <f>IF(Customers!R28&gt;Customers!Q28,"Card spend &gt; limit","")</f>
        <v/>
      </c>
      <c r="G28" s="4" t="str">
        <f>IF(OR(AND(Customers!S28&gt;0,Customers!T28=0),AND(Customers!S28=0,Customers!T28&gt;0)),"Mortgage/payment inconsistent","")</f>
        <v/>
      </c>
      <c r="H28" s="4" t="str">
        <f>IF(AND(Customers!G28&lt;&gt;"",Customers!G28&gt;0,Customers!T28&gt;Customers!G28/12),"Payment &gt; monthly income","")</f>
        <v/>
      </c>
      <c r="I28" s="4" t="str">
        <f>IF(OR(Customers!I28&gt;DATE(2026,9,13),YEAR(Customers!I28)&lt;1980),"Implausible date","")</f>
        <v/>
      </c>
      <c r="J28" s="4" t="str">
        <f>IF(Customers!I28&gt;DATE(2026,9,13),"",IF(ABS(INT((DATE(2026,9,13)-Customers!I28)/365.25)-Customers!H28)&gt;1,"Date/tenure inconsistent",""))</f>
        <v/>
      </c>
      <c r="K28" s="4" t="str">
        <f>IF(COUNTIF(Customers!$A$2:$A$1001,Customers!A28)&gt;1,"Duplicate ID","")</f>
        <v/>
      </c>
      <c r="L28" s="4" t="str">
        <f>IF(COUNTIFS(Customers!$B$2:$B$1001,Customers!B28,Customers!$D$2:$D$1001,Customers!D28,Customers!$G$2:$G$1001,Customers!G28,Customers!$I$2:$I$1001,Customers!I28,Customers!$L$2:$L$1001,Customers!L28)&gt;1,"Duplicate record","")</f>
        <v/>
      </c>
      <c r="M28" s="4" t="str">
        <f>IF(OR(Customers!U28&lt;300,Customers!U28&gt;850),"Score out of range","")</f>
        <v/>
      </c>
      <c r="N28" s="4" t="str">
        <f>IF(AND(Customers!G28&lt;&gt;"",Customers!G28&lt;=0),"Income ≤ 0","")</f>
        <v/>
      </c>
      <c r="O28" s="4" t="str">
        <f>IF(OR(Customers!G28="",Customers!M28=""),"Missing value","")</f>
        <v/>
      </c>
      <c r="P28" s="4">
        <f t="shared" si="0"/>
        <v>0</v>
      </c>
    </row>
    <row r="29" spans="1:19" x14ac:dyDescent="0.25">
      <c r="A29" s="4" t="str">
        <f>Customers!A29</f>
        <v>CL00028</v>
      </c>
      <c r="B29" s="20">
        <f>IF(Customers!G29="","",(Customers!G29-Statistics!$C$7)/Statistics!$C$9)</f>
        <v>-4.439976722697301E-2</v>
      </c>
      <c r="C29" s="4" t="str">
        <f>IF(Customers!G29="","",IF(OR(Customers!G29&lt;Statistics!$C$15,Customers!G29&gt;Statistics!$C$16),"Outside 1.5·IQR",""))</f>
        <v/>
      </c>
      <c r="D29" s="4" t="str">
        <f>IF(OR(Customers!B29&lt;18,Customers!B29&gt;100),"Implausible age","")</f>
        <v/>
      </c>
      <c r="E29" s="4" t="str">
        <f>IF(Customers!H29&gt;Customers!B29-18,"Tenure &gt; age-18","")</f>
        <v/>
      </c>
      <c r="F29" s="4" t="str">
        <f>IF(Customers!R29&gt;Customers!Q29,"Card spend &gt; limit","")</f>
        <v/>
      </c>
      <c r="G29" s="4" t="str">
        <f>IF(OR(AND(Customers!S29&gt;0,Customers!T29=0),AND(Customers!S29=0,Customers!T29&gt;0)),"Mortgage/payment inconsistent","")</f>
        <v/>
      </c>
      <c r="H29" s="4" t="str">
        <f>IF(AND(Customers!G29&lt;&gt;"",Customers!G29&gt;0,Customers!T29&gt;Customers!G29/12),"Payment &gt; monthly income","")</f>
        <v/>
      </c>
      <c r="I29" s="4" t="str">
        <f>IF(OR(Customers!I29&gt;DATE(2026,9,13),YEAR(Customers!I29)&lt;1980),"Implausible date","")</f>
        <v/>
      </c>
      <c r="J29" s="4" t="str">
        <f>IF(Customers!I29&gt;DATE(2026,9,13),"",IF(ABS(INT((DATE(2026,9,13)-Customers!I29)/365.25)-Customers!H29)&gt;1,"Date/tenure inconsistent",""))</f>
        <v/>
      </c>
      <c r="K29" s="4" t="str">
        <f>IF(COUNTIF(Customers!$A$2:$A$1001,Customers!A29)&gt;1,"Duplicate ID","")</f>
        <v/>
      </c>
      <c r="L29" s="4" t="str">
        <f>IF(COUNTIFS(Customers!$B$2:$B$1001,Customers!B29,Customers!$D$2:$D$1001,Customers!D29,Customers!$G$2:$G$1001,Customers!G29,Customers!$I$2:$I$1001,Customers!I29,Customers!$L$2:$L$1001,Customers!L29)&gt;1,"Duplicate record","")</f>
        <v/>
      </c>
      <c r="M29" s="4" t="str">
        <f>IF(OR(Customers!U29&lt;300,Customers!U29&gt;850),"Score out of range","")</f>
        <v/>
      </c>
      <c r="N29" s="4" t="str">
        <f>IF(AND(Customers!G29&lt;&gt;"",Customers!G29&lt;=0),"Income ≤ 0","")</f>
        <v/>
      </c>
      <c r="O29" s="4" t="str">
        <f>IF(OR(Customers!G29="",Customers!M29=""),"Missing value","")</f>
        <v/>
      </c>
      <c r="P29" s="4">
        <f t="shared" si="0"/>
        <v>0</v>
      </c>
    </row>
    <row r="30" spans="1:19" x14ac:dyDescent="0.25">
      <c r="A30" s="4" t="str">
        <f>Customers!A30</f>
        <v>CL00029</v>
      </c>
      <c r="B30" s="20">
        <f>IF(Customers!G30="","",(Customers!G30-Statistics!$C$7)/Statistics!$C$9)</f>
        <v>-5.3756539578536246E-2</v>
      </c>
      <c r="C30" s="4" t="str">
        <f>IF(Customers!G30="","",IF(OR(Customers!G30&lt;Statistics!$C$15,Customers!G30&gt;Statistics!$C$16),"Outside 1.5·IQR",""))</f>
        <v/>
      </c>
      <c r="D30" s="4" t="str">
        <f>IF(OR(Customers!B30&lt;18,Customers!B30&gt;100),"Implausible age","")</f>
        <v/>
      </c>
      <c r="E30" s="4" t="str">
        <f>IF(Customers!H30&gt;Customers!B30-18,"Tenure &gt; age-18","")</f>
        <v/>
      </c>
      <c r="F30" s="4" t="str">
        <f>IF(Customers!R30&gt;Customers!Q30,"Card spend &gt; limit","")</f>
        <v/>
      </c>
      <c r="G30" s="4" t="str">
        <f>IF(OR(AND(Customers!S30&gt;0,Customers!T30=0),AND(Customers!S30=0,Customers!T30&gt;0)),"Mortgage/payment inconsistent","")</f>
        <v/>
      </c>
      <c r="H30" s="4" t="str">
        <f>IF(AND(Customers!G30&lt;&gt;"",Customers!G30&gt;0,Customers!T30&gt;Customers!G30/12),"Payment &gt; monthly income","")</f>
        <v/>
      </c>
      <c r="I30" s="4" t="str">
        <f>IF(OR(Customers!I30&gt;DATE(2026,9,13),YEAR(Customers!I30)&lt;1980),"Implausible date","")</f>
        <v/>
      </c>
      <c r="J30" s="4" t="str">
        <f>IF(Customers!I30&gt;DATE(2026,9,13),"",IF(ABS(INT((DATE(2026,9,13)-Customers!I30)/365.25)-Customers!H30)&gt;1,"Date/tenure inconsistent",""))</f>
        <v/>
      </c>
      <c r="K30" s="4" t="str">
        <f>IF(COUNTIF(Customers!$A$2:$A$1001,Customers!A30)&gt;1,"Duplicate ID","")</f>
        <v/>
      </c>
      <c r="L30" s="4" t="str">
        <f>IF(COUNTIFS(Customers!$B$2:$B$1001,Customers!B30,Customers!$D$2:$D$1001,Customers!D30,Customers!$G$2:$G$1001,Customers!G30,Customers!$I$2:$I$1001,Customers!I30,Customers!$L$2:$L$1001,Customers!L30)&gt;1,"Duplicate record","")</f>
        <v/>
      </c>
      <c r="M30" s="4" t="str">
        <f>IF(OR(Customers!U30&lt;300,Customers!U30&gt;850),"Score out of range","")</f>
        <v/>
      </c>
      <c r="N30" s="4" t="str">
        <f>IF(AND(Customers!G30&lt;&gt;"",Customers!G30&lt;=0),"Income ≤ 0","")</f>
        <v/>
      </c>
      <c r="O30" s="4" t="str">
        <f>IF(OR(Customers!G30="",Customers!M30=""),"Missing value","")</f>
        <v/>
      </c>
      <c r="P30" s="4">
        <f t="shared" si="0"/>
        <v>0</v>
      </c>
    </row>
    <row r="31" spans="1:19" x14ac:dyDescent="0.25">
      <c r="A31" s="4" t="str">
        <f>Customers!A31</f>
        <v>CL00030</v>
      </c>
      <c r="B31" s="20">
        <f>IF(Customers!G31="","",(Customers!G31-Statistics!$C$7)/Statistics!$C$9)</f>
        <v>-1.9087235707480887E-2</v>
      </c>
      <c r="C31" s="4" t="str">
        <f>IF(Customers!G31="","",IF(OR(Customers!G31&lt;Statistics!$C$15,Customers!G31&gt;Statistics!$C$16),"Outside 1.5·IQR",""))</f>
        <v/>
      </c>
      <c r="D31" s="4" t="str">
        <f>IF(OR(Customers!B31&lt;18,Customers!B31&gt;100),"Implausible age","")</f>
        <v/>
      </c>
      <c r="E31" s="4" t="str">
        <f>IF(Customers!H31&gt;Customers!B31-18,"Tenure &gt; age-18","")</f>
        <v/>
      </c>
      <c r="F31" s="4" t="str">
        <f>IF(Customers!R31&gt;Customers!Q31,"Card spend &gt; limit","")</f>
        <v/>
      </c>
      <c r="G31" s="4" t="str">
        <f>IF(OR(AND(Customers!S31&gt;0,Customers!T31=0),AND(Customers!S31=0,Customers!T31&gt;0)),"Mortgage/payment inconsistent","")</f>
        <v/>
      </c>
      <c r="H31" s="4" t="str">
        <f>IF(AND(Customers!G31&lt;&gt;"",Customers!G31&gt;0,Customers!T31&gt;Customers!G31/12),"Payment &gt; monthly income","")</f>
        <v/>
      </c>
      <c r="I31" s="4" t="str">
        <f>IF(OR(Customers!I31&gt;DATE(2026,9,13),YEAR(Customers!I31)&lt;1980),"Implausible date","")</f>
        <v/>
      </c>
      <c r="J31" s="4" t="str">
        <f>IF(Customers!I31&gt;DATE(2026,9,13),"",IF(ABS(INT((DATE(2026,9,13)-Customers!I31)/365.25)-Customers!H31)&gt;1,"Date/tenure inconsistent",""))</f>
        <v/>
      </c>
      <c r="K31" s="4" t="str">
        <f>IF(COUNTIF(Customers!$A$2:$A$1001,Customers!A31)&gt;1,"Duplicate ID","")</f>
        <v/>
      </c>
      <c r="L31" s="4" t="str">
        <f>IF(COUNTIFS(Customers!$B$2:$B$1001,Customers!B31,Customers!$D$2:$D$1001,Customers!D31,Customers!$G$2:$G$1001,Customers!G31,Customers!$I$2:$I$1001,Customers!I31,Customers!$L$2:$L$1001,Customers!L31)&gt;1,"Duplicate record","")</f>
        <v/>
      </c>
      <c r="M31" s="4" t="str">
        <f>IF(OR(Customers!U31&lt;300,Customers!U31&gt;850),"Score out of range","")</f>
        <v/>
      </c>
      <c r="N31" s="4" t="str">
        <f>IF(AND(Customers!G31&lt;&gt;"",Customers!G31&lt;=0),"Income ≤ 0","")</f>
        <v/>
      </c>
      <c r="O31" s="4" t="str">
        <f>IF(OR(Customers!G31="",Customers!M31=""),"Missing value","")</f>
        <v/>
      </c>
      <c r="P31" s="4">
        <f t="shared" si="0"/>
        <v>0</v>
      </c>
    </row>
    <row r="32" spans="1:19" x14ac:dyDescent="0.25">
      <c r="A32" s="4" t="str">
        <f>Customers!A32</f>
        <v>CL00031</v>
      </c>
      <c r="B32" s="20">
        <f>IF(Customers!G32="","",(Customers!G32-Statistics!$C$7)/Statistics!$C$9)</f>
        <v>5.113780309951476E-2</v>
      </c>
      <c r="C32" s="4" t="str">
        <f>IF(Customers!G32="","",IF(OR(Customers!G32&lt;Statistics!$C$15,Customers!G32&gt;Statistics!$C$16),"Outside 1.5·IQR",""))</f>
        <v>Outside 1.5·IQR</v>
      </c>
      <c r="D32" s="4" t="str">
        <f>IF(OR(Customers!B32&lt;18,Customers!B32&gt;100),"Implausible age","")</f>
        <v/>
      </c>
      <c r="E32" s="4" t="str">
        <f>IF(Customers!H32&gt;Customers!B32-18,"Tenure &gt; age-18","")</f>
        <v/>
      </c>
      <c r="F32" s="4" t="str">
        <f>IF(Customers!R32&gt;Customers!Q32,"Card spend &gt; limit","")</f>
        <v/>
      </c>
      <c r="G32" s="4" t="str">
        <f>IF(OR(AND(Customers!S32&gt;0,Customers!T32=0),AND(Customers!S32=0,Customers!T32&gt;0)),"Mortgage/payment inconsistent","")</f>
        <v/>
      </c>
      <c r="H32" s="4" t="str">
        <f>IF(AND(Customers!G32&lt;&gt;"",Customers!G32&gt;0,Customers!T32&gt;Customers!G32/12),"Payment &gt; monthly income","")</f>
        <v/>
      </c>
      <c r="I32" s="4" t="str">
        <f>IF(OR(Customers!I32&gt;DATE(2026,9,13),YEAR(Customers!I32)&lt;1980),"Implausible date","")</f>
        <v/>
      </c>
      <c r="J32" s="4" t="str">
        <f>IF(Customers!I32&gt;DATE(2026,9,13),"",IF(ABS(INT((DATE(2026,9,13)-Customers!I32)/365.25)-Customers!H32)&gt;1,"Date/tenure inconsistent",""))</f>
        <v/>
      </c>
      <c r="K32" s="4" t="str">
        <f>IF(COUNTIF(Customers!$A$2:$A$1001,Customers!A32)&gt;1,"Duplicate ID","")</f>
        <v/>
      </c>
      <c r="L32" s="4" t="str">
        <f>IF(COUNTIFS(Customers!$B$2:$B$1001,Customers!B32,Customers!$D$2:$D$1001,Customers!D32,Customers!$G$2:$G$1001,Customers!G32,Customers!$I$2:$I$1001,Customers!I32,Customers!$L$2:$L$1001,Customers!L32)&gt;1,"Duplicate record","")</f>
        <v/>
      </c>
      <c r="M32" s="4" t="str">
        <f>IF(OR(Customers!U32&lt;300,Customers!U32&gt;850),"Score out of range","")</f>
        <v/>
      </c>
      <c r="N32" s="4" t="str">
        <f>IF(AND(Customers!G32&lt;&gt;"",Customers!G32&lt;=0),"Income ≤ 0","")</f>
        <v/>
      </c>
      <c r="O32" s="4" t="str">
        <f>IF(OR(Customers!G32="",Customers!M32=""),"Missing value","")</f>
        <v/>
      </c>
      <c r="P32" s="4">
        <f t="shared" si="0"/>
        <v>1</v>
      </c>
    </row>
    <row r="33" spans="1:16" x14ac:dyDescent="0.25">
      <c r="A33" s="4" t="str">
        <f>Customers!A33</f>
        <v>CL00032</v>
      </c>
      <c r="B33" s="20">
        <f>IF(Customers!G33="","",(Customers!G33-Statistics!$C$7)/Statistics!$C$9)</f>
        <v>-3.6027918280837484E-2</v>
      </c>
      <c r="C33" s="4" t="str">
        <f>IF(Customers!G33="","",IF(OR(Customers!G33&lt;Statistics!$C$15,Customers!G33&gt;Statistics!$C$16),"Outside 1.5·IQR",""))</f>
        <v/>
      </c>
      <c r="D33" s="4" t="str">
        <f>IF(OR(Customers!B33&lt;18,Customers!B33&gt;100),"Implausible age","")</f>
        <v/>
      </c>
      <c r="E33" s="4" t="str">
        <f>IF(Customers!H33&gt;Customers!B33-18,"Tenure &gt; age-18","")</f>
        <v/>
      </c>
      <c r="F33" s="4" t="str">
        <f>IF(Customers!R33&gt;Customers!Q33,"Card spend &gt; limit","")</f>
        <v/>
      </c>
      <c r="G33" s="4" t="str">
        <f>IF(OR(AND(Customers!S33&gt;0,Customers!T33=0),AND(Customers!S33=0,Customers!T33&gt;0)),"Mortgage/payment inconsistent","")</f>
        <v/>
      </c>
      <c r="H33" s="4" t="str">
        <f>IF(AND(Customers!G33&lt;&gt;"",Customers!G33&gt;0,Customers!T33&gt;Customers!G33/12),"Payment &gt; monthly income","")</f>
        <v/>
      </c>
      <c r="I33" s="4" t="str">
        <f>IF(OR(Customers!I33&gt;DATE(2026,9,13),YEAR(Customers!I33)&lt;1980),"Implausible date","")</f>
        <v/>
      </c>
      <c r="J33" s="4" t="str">
        <f>IF(Customers!I33&gt;DATE(2026,9,13),"",IF(ABS(INT((DATE(2026,9,13)-Customers!I33)/365.25)-Customers!H33)&gt;1,"Date/tenure inconsistent",""))</f>
        <v/>
      </c>
      <c r="K33" s="4" t="str">
        <f>IF(COUNTIF(Customers!$A$2:$A$1001,Customers!A33)&gt;1,"Duplicate ID","")</f>
        <v/>
      </c>
      <c r="L33" s="4" t="str">
        <f>IF(COUNTIFS(Customers!$B$2:$B$1001,Customers!B33,Customers!$D$2:$D$1001,Customers!D33,Customers!$G$2:$G$1001,Customers!G33,Customers!$I$2:$I$1001,Customers!I33,Customers!$L$2:$L$1001,Customers!L33)&gt;1,"Duplicate record","")</f>
        <v/>
      </c>
      <c r="M33" s="4" t="str">
        <f>IF(OR(Customers!U33&lt;300,Customers!U33&gt;850),"Score out of range","")</f>
        <v/>
      </c>
      <c r="N33" s="4" t="str">
        <f>IF(AND(Customers!G33&lt;&gt;"",Customers!G33&lt;=0),"Income ≤ 0","")</f>
        <v/>
      </c>
      <c r="O33" s="4" t="str">
        <f>IF(OR(Customers!G33="",Customers!M33=""),"Missing value","")</f>
        <v/>
      </c>
      <c r="P33" s="4">
        <f t="shared" si="0"/>
        <v>0</v>
      </c>
    </row>
    <row r="34" spans="1:16" x14ac:dyDescent="0.25">
      <c r="A34" s="4" t="str">
        <f>Customers!A34</f>
        <v>CL00033</v>
      </c>
      <c r="B34" s="20">
        <f>IF(Customers!G34="","",(Customers!G34-Statistics!$C$7)/Statistics!$C$9)</f>
        <v>-4.1149519989061571E-2</v>
      </c>
      <c r="C34" s="4" t="str">
        <f>IF(Customers!G34="","",IF(OR(Customers!G34&lt;Statistics!$C$15,Customers!G34&gt;Statistics!$C$16),"Outside 1.5·IQR",""))</f>
        <v/>
      </c>
      <c r="D34" s="4" t="str">
        <f>IF(OR(Customers!B34&lt;18,Customers!B34&gt;100),"Implausible age","")</f>
        <v/>
      </c>
      <c r="E34" s="4" t="str">
        <f>IF(Customers!H34&gt;Customers!B34-18,"Tenure &gt; age-18","")</f>
        <v/>
      </c>
      <c r="F34" s="4" t="str">
        <f>IF(Customers!R34&gt;Customers!Q34,"Card spend &gt; limit","")</f>
        <v/>
      </c>
      <c r="G34" s="4" t="str">
        <f>IF(OR(AND(Customers!S34&gt;0,Customers!T34=0),AND(Customers!S34=0,Customers!T34&gt;0)),"Mortgage/payment inconsistent","")</f>
        <v/>
      </c>
      <c r="H34" s="4" t="str">
        <f>IF(AND(Customers!G34&lt;&gt;"",Customers!G34&gt;0,Customers!T34&gt;Customers!G34/12),"Payment &gt; monthly income","")</f>
        <v/>
      </c>
      <c r="I34" s="4" t="str">
        <f>IF(OR(Customers!I34&gt;DATE(2026,9,13),YEAR(Customers!I34)&lt;1980),"Implausible date","")</f>
        <v/>
      </c>
      <c r="J34" s="4" t="str">
        <f>IF(Customers!I34&gt;DATE(2026,9,13),"",IF(ABS(INT((DATE(2026,9,13)-Customers!I34)/365.25)-Customers!H34)&gt;1,"Date/tenure inconsistent",""))</f>
        <v/>
      </c>
      <c r="K34" s="4" t="str">
        <f>IF(COUNTIF(Customers!$A$2:$A$1001,Customers!A34)&gt;1,"Duplicate ID","")</f>
        <v/>
      </c>
      <c r="L34" s="4" t="str">
        <f>IF(COUNTIFS(Customers!$B$2:$B$1001,Customers!B34,Customers!$D$2:$D$1001,Customers!D34,Customers!$G$2:$G$1001,Customers!G34,Customers!$I$2:$I$1001,Customers!I34,Customers!$L$2:$L$1001,Customers!L34)&gt;1,"Duplicate record","")</f>
        <v/>
      </c>
      <c r="M34" s="4" t="str">
        <f>IF(OR(Customers!U34&lt;300,Customers!U34&gt;850),"Score out of range","")</f>
        <v/>
      </c>
      <c r="N34" s="4" t="str">
        <f>IF(AND(Customers!G34&lt;&gt;"",Customers!G34&lt;=0),"Income ≤ 0","")</f>
        <v/>
      </c>
      <c r="O34" s="4" t="str">
        <f>IF(OR(Customers!G34="",Customers!M34=""),"Missing value","")</f>
        <v/>
      </c>
      <c r="P34" s="4">
        <f t="shared" si="0"/>
        <v>0</v>
      </c>
    </row>
    <row r="35" spans="1:16" x14ac:dyDescent="0.25">
      <c r="A35" s="4" t="str">
        <f>Customers!A35</f>
        <v>CL00034</v>
      </c>
      <c r="B35" s="20">
        <f>IF(Customers!G35="","",(Customers!G35-Statistics!$C$7)/Statistics!$C$9)</f>
        <v>-5.6922773936640475E-3</v>
      </c>
      <c r="C35" s="4" t="str">
        <f>IF(Customers!G35="","",IF(OR(Customers!G35&lt;Statistics!$C$15,Customers!G35&gt;Statistics!$C$16),"Outside 1.5·IQR",""))</f>
        <v/>
      </c>
      <c r="D35" s="4" t="str">
        <f>IF(OR(Customers!B35&lt;18,Customers!B35&gt;100),"Implausible age","")</f>
        <v/>
      </c>
      <c r="E35" s="4" t="str">
        <f>IF(Customers!H35&gt;Customers!B35-18,"Tenure &gt; age-18","")</f>
        <v/>
      </c>
      <c r="F35" s="4" t="str">
        <f>IF(Customers!R35&gt;Customers!Q35,"Card spend &gt; limit","")</f>
        <v/>
      </c>
      <c r="G35" s="4" t="str">
        <f>IF(OR(AND(Customers!S35&gt;0,Customers!T35=0),AND(Customers!S35=0,Customers!T35&gt;0)),"Mortgage/payment inconsistent","")</f>
        <v/>
      </c>
      <c r="H35" s="4" t="str">
        <f>IF(AND(Customers!G35&lt;&gt;"",Customers!G35&gt;0,Customers!T35&gt;Customers!G35/12),"Payment &gt; monthly income","")</f>
        <v/>
      </c>
      <c r="I35" s="4" t="str">
        <f>IF(OR(Customers!I35&gt;DATE(2026,9,13),YEAR(Customers!I35)&lt;1980),"Implausible date","")</f>
        <v/>
      </c>
      <c r="J35" s="4" t="str">
        <f>IF(Customers!I35&gt;DATE(2026,9,13),"",IF(ABS(INT((DATE(2026,9,13)-Customers!I35)/365.25)-Customers!H35)&gt;1,"Date/tenure inconsistent",""))</f>
        <v/>
      </c>
      <c r="K35" s="4" t="str">
        <f>IF(COUNTIF(Customers!$A$2:$A$1001,Customers!A35)&gt;1,"Duplicate ID","")</f>
        <v/>
      </c>
      <c r="L35" s="4" t="str">
        <f>IF(COUNTIFS(Customers!$B$2:$B$1001,Customers!B35,Customers!$D$2:$D$1001,Customers!D35,Customers!$G$2:$G$1001,Customers!G35,Customers!$I$2:$I$1001,Customers!I35,Customers!$L$2:$L$1001,Customers!L35)&gt;1,"Duplicate record","")</f>
        <v/>
      </c>
      <c r="M35" s="4" t="str">
        <f>IF(OR(Customers!U35&lt;300,Customers!U35&gt;850),"Score out of range","")</f>
        <v/>
      </c>
      <c r="N35" s="4" t="str">
        <f>IF(AND(Customers!G35&lt;&gt;"",Customers!G35&lt;=0),"Income ≤ 0","")</f>
        <v/>
      </c>
      <c r="O35" s="4" t="str">
        <f>IF(OR(Customers!G35="",Customers!M35=""),"Missing value","")</f>
        <v/>
      </c>
      <c r="P35" s="4">
        <f t="shared" si="0"/>
        <v>0</v>
      </c>
    </row>
    <row r="36" spans="1:16" x14ac:dyDescent="0.25">
      <c r="A36" s="4" t="str">
        <f>Customers!A36</f>
        <v>CL00035</v>
      </c>
      <c r="B36" s="20">
        <f>IF(Customers!G36="","",(Customers!G36-Statistics!$C$7)/Statistics!$C$9)</f>
        <v>-1.1404833145144759E-2</v>
      </c>
      <c r="C36" s="4" t="str">
        <f>IF(Customers!G36="","",IF(OR(Customers!G36&lt;Statistics!$C$15,Customers!G36&gt;Statistics!$C$16),"Outside 1.5·IQR",""))</f>
        <v/>
      </c>
      <c r="D36" s="4" t="str">
        <f>IF(OR(Customers!B36&lt;18,Customers!B36&gt;100),"Implausible age","")</f>
        <v/>
      </c>
      <c r="E36" s="4" t="str">
        <f>IF(Customers!H36&gt;Customers!B36-18,"Tenure &gt; age-18","")</f>
        <v/>
      </c>
      <c r="F36" s="4" t="str">
        <f>IF(Customers!R36&gt;Customers!Q36,"Card spend &gt; limit","")</f>
        <v/>
      </c>
      <c r="G36" s="4" t="str">
        <f>IF(OR(AND(Customers!S36&gt;0,Customers!T36=0),AND(Customers!S36=0,Customers!T36&gt;0)),"Mortgage/payment inconsistent","")</f>
        <v/>
      </c>
      <c r="H36" s="4" t="str">
        <f>IF(AND(Customers!G36&lt;&gt;"",Customers!G36&gt;0,Customers!T36&gt;Customers!G36/12),"Payment &gt; monthly income","")</f>
        <v/>
      </c>
      <c r="I36" s="4" t="str">
        <f>IF(OR(Customers!I36&gt;DATE(2026,9,13),YEAR(Customers!I36)&lt;1980),"Implausible date","")</f>
        <v/>
      </c>
      <c r="J36" s="4" t="str">
        <f>IF(Customers!I36&gt;DATE(2026,9,13),"",IF(ABS(INT((DATE(2026,9,13)-Customers!I36)/365.25)-Customers!H36)&gt;1,"Date/tenure inconsistent",""))</f>
        <v/>
      </c>
      <c r="K36" s="4" t="str">
        <f>IF(COUNTIF(Customers!$A$2:$A$1001,Customers!A36)&gt;1,"Duplicate ID","")</f>
        <v/>
      </c>
      <c r="L36" s="4" t="str">
        <f>IF(COUNTIFS(Customers!$B$2:$B$1001,Customers!B36,Customers!$D$2:$D$1001,Customers!D36,Customers!$G$2:$G$1001,Customers!G36,Customers!$I$2:$I$1001,Customers!I36,Customers!$L$2:$L$1001,Customers!L36)&gt;1,"Duplicate record","")</f>
        <v/>
      </c>
      <c r="M36" s="4" t="str">
        <f>IF(OR(Customers!U36&lt;300,Customers!U36&gt;850),"Score out of range","")</f>
        <v/>
      </c>
      <c r="N36" s="4" t="str">
        <f>IF(AND(Customers!G36&lt;&gt;"",Customers!G36&lt;=0),"Income ≤ 0","")</f>
        <v/>
      </c>
      <c r="O36" s="4" t="str">
        <f>IF(OR(Customers!G36="",Customers!M36=""),"Missing value","")</f>
        <v/>
      </c>
      <c r="P36" s="4">
        <f t="shared" si="0"/>
        <v>0</v>
      </c>
    </row>
    <row r="37" spans="1:16" x14ac:dyDescent="0.25">
      <c r="A37" s="4" t="str">
        <f>Customers!A37</f>
        <v>CL00036</v>
      </c>
      <c r="B37" s="20">
        <f>IF(Customers!G37="","",(Customers!G37-Statistics!$C$7)/Statistics!$C$9)</f>
        <v>3.27197354180166E-2</v>
      </c>
      <c r="C37" s="4" t="str">
        <f>IF(Customers!G37="","",IF(OR(Customers!G37&lt;Statistics!$C$15,Customers!G37&gt;Statistics!$C$16),"Outside 1.5·IQR",""))</f>
        <v>Outside 1.5·IQR</v>
      </c>
      <c r="D37" s="4" t="str">
        <f>IF(OR(Customers!B37&lt;18,Customers!B37&gt;100),"Implausible age","")</f>
        <v/>
      </c>
      <c r="E37" s="4" t="str">
        <f>IF(Customers!H37&gt;Customers!B37-18,"Tenure &gt; age-18","")</f>
        <v/>
      </c>
      <c r="F37" s="4" t="str">
        <f>IF(Customers!R37&gt;Customers!Q37,"Card spend &gt; limit","")</f>
        <v/>
      </c>
      <c r="G37" s="4" t="str">
        <f>IF(OR(AND(Customers!S37&gt;0,Customers!T37=0),AND(Customers!S37=0,Customers!T37&gt;0)),"Mortgage/payment inconsistent","")</f>
        <v/>
      </c>
      <c r="H37" s="4" t="str">
        <f>IF(AND(Customers!G37&lt;&gt;"",Customers!G37&gt;0,Customers!T37&gt;Customers!G37/12),"Payment &gt; monthly income","")</f>
        <v/>
      </c>
      <c r="I37" s="4" t="str">
        <f>IF(OR(Customers!I37&gt;DATE(2026,9,13),YEAR(Customers!I37)&lt;1980),"Implausible date","")</f>
        <v/>
      </c>
      <c r="J37" s="4" t="str">
        <f>IF(Customers!I37&gt;DATE(2026,9,13),"",IF(ABS(INT((DATE(2026,9,13)-Customers!I37)/365.25)-Customers!H37)&gt;1,"Date/tenure inconsistent",""))</f>
        <v/>
      </c>
      <c r="K37" s="4" t="str">
        <f>IF(COUNTIF(Customers!$A$2:$A$1001,Customers!A37)&gt;1,"Duplicate ID","")</f>
        <v/>
      </c>
      <c r="L37" s="4" t="str">
        <f>IF(COUNTIFS(Customers!$B$2:$B$1001,Customers!B37,Customers!$D$2:$D$1001,Customers!D37,Customers!$G$2:$G$1001,Customers!G37,Customers!$I$2:$I$1001,Customers!I37,Customers!$L$2:$L$1001,Customers!L37)&gt;1,"Duplicate record","")</f>
        <v/>
      </c>
      <c r="M37" s="4" t="str">
        <f>IF(OR(Customers!U37&lt;300,Customers!U37&gt;850),"Score out of range","")</f>
        <v/>
      </c>
      <c r="N37" s="4" t="str">
        <f>IF(AND(Customers!G37&lt;&gt;"",Customers!G37&lt;=0),"Income ≤ 0","")</f>
        <v/>
      </c>
      <c r="O37" s="4" t="str">
        <f>IF(OR(Customers!G37="",Customers!M37=""),"Missing value","")</f>
        <v/>
      </c>
      <c r="P37" s="4">
        <f t="shared" si="0"/>
        <v>1</v>
      </c>
    </row>
    <row r="38" spans="1:16" x14ac:dyDescent="0.25">
      <c r="A38" s="4" t="str">
        <f>Customers!A38</f>
        <v>CL00037</v>
      </c>
      <c r="B38" s="20">
        <f>IF(Customers!G38="","",(Customers!G38-Statistics!$C$7)/Statistics!$C$9)</f>
        <v>-5.3658047237993473E-2</v>
      </c>
      <c r="C38" s="4" t="str">
        <f>IF(Customers!G38="","",IF(OR(Customers!G38&lt;Statistics!$C$15,Customers!G38&gt;Statistics!$C$16),"Outside 1.5·IQR",""))</f>
        <v/>
      </c>
      <c r="D38" s="4" t="str">
        <f>IF(OR(Customers!B38&lt;18,Customers!B38&gt;100),"Implausible age","")</f>
        <v/>
      </c>
      <c r="E38" s="4" t="str">
        <f>IF(Customers!H38&gt;Customers!B38-18,"Tenure &gt; age-18","")</f>
        <v/>
      </c>
      <c r="F38" s="4" t="str">
        <f>IF(Customers!R38&gt;Customers!Q38,"Card spend &gt; limit","")</f>
        <v/>
      </c>
      <c r="G38" s="4" t="str">
        <f>IF(OR(AND(Customers!S38&gt;0,Customers!T38=0),AND(Customers!S38=0,Customers!T38&gt;0)),"Mortgage/payment inconsistent","")</f>
        <v/>
      </c>
      <c r="H38" s="4" t="str">
        <f>IF(AND(Customers!G38&lt;&gt;"",Customers!G38&gt;0,Customers!T38&gt;Customers!G38/12),"Payment &gt; monthly income","")</f>
        <v>Payment &gt; monthly income</v>
      </c>
      <c r="I38" s="4" t="str">
        <f>IF(OR(Customers!I38&gt;DATE(2026,9,13),YEAR(Customers!I38)&lt;1980),"Implausible date","")</f>
        <v/>
      </c>
      <c r="J38" s="4" t="str">
        <f>IF(Customers!I38&gt;DATE(2026,9,13),"",IF(ABS(INT((DATE(2026,9,13)-Customers!I38)/365.25)-Customers!H38)&gt;1,"Date/tenure inconsistent",""))</f>
        <v/>
      </c>
      <c r="K38" s="4" t="str">
        <f>IF(COUNTIF(Customers!$A$2:$A$1001,Customers!A38)&gt;1,"Duplicate ID","")</f>
        <v/>
      </c>
      <c r="L38" s="4" t="str">
        <f>IF(COUNTIFS(Customers!$B$2:$B$1001,Customers!B38,Customers!$D$2:$D$1001,Customers!D38,Customers!$G$2:$G$1001,Customers!G38,Customers!$I$2:$I$1001,Customers!I38,Customers!$L$2:$L$1001,Customers!L38)&gt;1,"Duplicate record","")</f>
        <v/>
      </c>
      <c r="M38" s="4" t="str">
        <f>IF(OR(Customers!U38&lt;300,Customers!U38&gt;850),"Score out of range","")</f>
        <v/>
      </c>
      <c r="N38" s="4" t="str">
        <f>IF(AND(Customers!G38&lt;&gt;"",Customers!G38&lt;=0),"Income ≤ 0","")</f>
        <v/>
      </c>
      <c r="O38" s="4" t="str">
        <f>IF(OR(Customers!G38="",Customers!M38=""),"Missing value","")</f>
        <v/>
      </c>
      <c r="P38" s="4">
        <f t="shared" si="0"/>
        <v>1</v>
      </c>
    </row>
    <row r="39" spans="1:16" x14ac:dyDescent="0.25">
      <c r="A39" s="4" t="str">
        <f>Customers!A39</f>
        <v>CL00038</v>
      </c>
      <c r="B39" s="20">
        <f>IF(Customers!G39="","",(Customers!G39-Statistics!$C$7)/Statistics!$C$9)</f>
        <v>-4.3710320843173611E-2</v>
      </c>
      <c r="C39" s="4" t="str">
        <f>IF(Customers!G39="","",IF(OR(Customers!G39&lt;Statistics!$C$15,Customers!G39&gt;Statistics!$C$16),"Outside 1.5·IQR",""))</f>
        <v/>
      </c>
      <c r="D39" s="4" t="str">
        <f>IF(OR(Customers!B39&lt;18,Customers!B39&gt;100),"Implausible age","")</f>
        <v/>
      </c>
      <c r="E39" s="4" t="str">
        <f>IF(Customers!H39&gt;Customers!B39-18,"Tenure &gt; age-18","")</f>
        <v/>
      </c>
      <c r="F39" s="4" t="str">
        <f>IF(Customers!R39&gt;Customers!Q39,"Card spend &gt; limit","")</f>
        <v/>
      </c>
      <c r="G39" s="4" t="str">
        <f>IF(OR(AND(Customers!S39&gt;0,Customers!T39=0),AND(Customers!S39=0,Customers!T39&gt;0)),"Mortgage/payment inconsistent","")</f>
        <v/>
      </c>
      <c r="H39" s="4" t="str">
        <f>IF(AND(Customers!G39&lt;&gt;"",Customers!G39&gt;0,Customers!T39&gt;Customers!G39/12),"Payment &gt; monthly income","")</f>
        <v/>
      </c>
      <c r="I39" s="4" t="str">
        <f>IF(OR(Customers!I39&gt;DATE(2026,9,13),YEAR(Customers!I39)&lt;1980),"Implausible date","")</f>
        <v/>
      </c>
      <c r="J39" s="4" t="str">
        <f>IF(Customers!I39&gt;DATE(2026,9,13),"",IF(ABS(INT((DATE(2026,9,13)-Customers!I39)/365.25)-Customers!H39)&gt;1,"Date/tenure inconsistent",""))</f>
        <v/>
      </c>
      <c r="K39" s="4" t="str">
        <f>IF(COUNTIF(Customers!$A$2:$A$1001,Customers!A39)&gt;1,"Duplicate ID","")</f>
        <v/>
      </c>
      <c r="L39" s="4" t="str">
        <f>IF(COUNTIFS(Customers!$B$2:$B$1001,Customers!B39,Customers!$D$2:$D$1001,Customers!D39,Customers!$G$2:$G$1001,Customers!G39,Customers!$I$2:$I$1001,Customers!I39,Customers!$L$2:$L$1001,Customers!L39)&gt;1,"Duplicate record","")</f>
        <v/>
      </c>
      <c r="M39" s="4" t="str">
        <f>IF(OR(Customers!U39&lt;300,Customers!U39&gt;850),"Score out of range","")</f>
        <v/>
      </c>
      <c r="N39" s="4" t="str">
        <f>IF(AND(Customers!G39&lt;&gt;"",Customers!G39&lt;=0),"Income ≤ 0","")</f>
        <v/>
      </c>
      <c r="O39" s="4" t="str">
        <f>IF(OR(Customers!G39="",Customers!M39=""),"Missing value","")</f>
        <v/>
      </c>
      <c r="P39" s="4">
        <f t="shared" si="0"/>
        <v>0</v>
      </c>
    </row>
    <row r="40" spans="1:16" x14ac:dyDescent="0.25">
      <c r="A40" s="4" t="str">
        <f>Customers!A40</f>
        <v>CL00039</v>
      </c>
      <c r="B40" s="20">
        <f>IF(Customers!G40="","",(Customers!G40-Statistics!$C$7)/Statistics!$C$9)</f>
        <v>-4.0066104243091087E-2</v>
      </c>
      <c r="C40" s="4" t="str">
        <f>IF(Customers!G40="","",IF(OR(Customers!G40&lt;Statistics!$C$15,Customers!G40&gt;Statistics!$C$16),"Outside 1.5·IQR",""))</f>
        <v/>
      </c>
      <c r="D40" s="4" t="str">
        <f>IF(OR(Customers!B40&lt;18,Customers!B40&gt;100),"Implausible age","")</f>
        <v/>
      </c>
      <c r="E40" s="4" t="str">
        <f>IF(Customers!H40&gt;Customers!B40-18,"Tenure &gt; age-18","")</f>
        <v/>
      </c>
      <c r="F40" s="4" t="str">
        <f>IF(Customers!R40&gt;Customers!Q40,"Card spend &gt; limit","")</f>
        <v/>
      </c>
      <c r="G40" s="4" t="str">
        <f>IF(OR(AND(Customers!S40&gt;0,Customers!T40=0),AND(Customers!S40=0,Customers!T40&gt;0)),"Mortgage/payment inconsistent","")</f>
        <v/>
      </c>
      <c r="H40" s="4" t="str">
        <f>IF(AND(Customers!G40&lt;&gt;"",Customers!G40&gt;0,Customers!T40&gt;Customers!G40/12),"Payment &gt; monthly income","")</f>
        <v/>
      </c>
      <c r="I40" s="4" t="str">
        <f>IF(OR(Customers!I40&gt;DATE(2026,9,13),YEAR(Customers!I40)&lt;1980),"Implausible date","")</f>
        <v/>
      </c>
      <c r="J40" s="4" t="str">
        <f>IF(Customers!I40&gt;DATE(2026,9,13),"",IF(ABS(INT((DATE(2026,9,13)-Customers!I40)/365.25)-Customers!H40)&gt;1,"Date/tenure inconsistent",""))</f>
        <v/>
      </c>
      <c r="K40" s="4" t="str">
        <f>IF(COUNTIF(Customers!$A$2:$A$1001,Customers!A40)&gt;1,"Duplicate ID","")</f>
        <v/>
      </c>
      <c r="L40" s="4" t="str">
        <f>IF(COUNTIFS(Customers!$B$2:$B$1001,Customers!B40,Customers!$D$2:$D$1001,Customers!D40,Customers!$G$2:$G$1001,Customers!G40,Customers!$I$2:$I$1001,Customers!I40,Customers!$L$2:$L$1001,Customers!L40)&gt;1,"Duplicate record","")</f>
        <v/>
      </c>
      <c r="M40" s="4" t="str">
        <f>IF(OR(Customers!U40&lt;300,Customers!U40&gt;850),"Score out of range","")</f>
        <v/>
      </c>
      <c r="N40" s="4" t="str">
        <f>IF(AND(Customers!G40&lt;&gt;"",Customers!G40&lt;=0),"Income ≤ 0","")</f>
        <v/>
      </c>
      <c r="O40" s="4" t="str">
        <f>IF(OR(Customers!G40="",Customers!M40=""),"Missing value","")</f>
        <v/>
      </c>
      <c r="P40" s="4">
        <f t="shared" si="0"/>
        <v>0</v>
      </c>
    </row>
    <row r="41" spans="1:16" x14ac:dyDescent="0.25">
      <c r="A41" s="4" t="str">
        <f>Customers!A41</f>
        <v>CL00040</v>
      </c>
      <c r="B41" s="20">
        <f>IF(Customers!G41="","",(Customers!G41-Statistics!$C$7)/Statistics!$C$9)</f>
        <v>-5.1885185108223597E-2</v>
      </c>
      <c r="C41" s="4" t="str">
        <f>IF(Customers!G41="","",IF(OR(Customers!G41&lt;Statistics!$C$15,Customers!G41&gt;Statistics!$C$16),"Outside 1.5·IQR",""))</f>
        <v/>
      </c>
      <c r="D41" s="4" t="str">
        <f>IF(OR(Customers!B41&lt;18,Customers!B41&gt;100),"Implausible age","")</f>
        <v/>
      </c>
      <c r="E41" s="4" t="str">
        <f>IF(Customers!H41&gt;Customers!B41-18,"Tenure &gt; age-18","")</f>
        <v/>
      </c>
      <c r="F41" s="4" t="str">
        <f>IF(Customers!R41&gt;Customers!Q41,"Card spend &gt; limit","")</f>
        <v/>
      </c>
      <c r="G41" s="4" t="str">
        <f>IF(OR(AND(Customers!S41&gt;0,Customers!T41=0),AND(Customers!S41=0,Customers!T41&gt;0)),"Mortgage/payment inconsistent","")</f>
        <v/>
      </c>
      <c r="H41" s="4" t="str">
        <f>IF(AND(Customers!G41&lt;&gt;"",Customers!G41&gt;0,Customers!T41&gt;Customers!G41/12),"Payment &gt; monthly income","")</f>
        <v/>
      </c>
      <c r="I41" s="4" t="str">
        <f>IF(OR(Customers!I41&gt;DATE(2026,9,13),YEAR(Customers!I41)&lt;1980),"Implausible date","")</f>
        <v/>
      </c>
      <c r="J41" s="4" t="str">
        <f>IF(Customers!I41&gt;DATE(2026,9,13),"",IF(ABS(INT((DATE(2026,9,13)-Customers!I41)/365.25)-Customers!H41)&gt;1,"Date/tenure inconsistent",""))</f>
        <v/>
      </c>
      <c r="K41" s="4" t="str">
        <f>IF(COUNTIF(Customers!$A$2:$A$1001,Customers!A41)&gt;1,"Duplicate ID","")</f>
        <v/>
      </c>
      <c r="L41" s="4" t="str">
        <f>IF(COUNTIFS(Customers!$B$2:$B$1001,Customers!B41,Customers!$D$2:$D$1001,Customers!D41,Customers!$G$2:$G$1001,Customers!G41,Customers!$I$2:$I$1001,Customers!I41,Customers!$L$2:$L$1001,Customers!L41)&gt;1,"Duplicate record","")</f>
        <v/>
      </c>
      <c r="M41" s="4" t="str">
        <f>IF(OR(Customers!U41&lt;300,Customers!U41&gt;850),"Score out of range","")</f>
        <v/>
      </c>
      <c r="N41" s="4" t="str">
        <f>IF(AND(Customers!G41&lt;&gt;"",Customers!G41&lt;=0),"Income ≤ 0","")</f>
        <v/>
      </c>
      <c r="O41" s="4" t="str">
        <f>IF(OR(Customers!G41="",Customers!M41=""),"Missing value","")</f>
        <v/>
      </c>
      <c r="P41" s="4">
        <f t="shared" si="0"/>
        <v>0</v>
      </c>
    </row>
    <row r="42" spans="1:16" x14ac:dyDescent="0.25">
      <c r="A42" s="4" t="str">
        <f>Customers!A42</f>
        <v>CL00041</v>
      </c>
      <c r="B42" s="20">
        <f>IF(Customers!G42="","",(Customers!G42-Statistics!$C$7)/Statistics!$C$9)</f>
        <v>-5.1589708086595285E-2</v>
      </c>
      <c r="C42" s="4" t="str">
        <f>IF(Customers!G42="","",IF(OR(Customers!G42&lt;Statistics!$C$15,Customers!G42&gt;Statistics!$C$16),"Outside 1.5·IQR",""))</f>
        <v/>
      </c>
      <c r="D42" s="4" t="str">
        <f>IF(OR(Customers!B42&lt;18,Customers!B42&gt;100),"Implausible age","")</f>
        <v/>
      </c>
      <c r="E42" s="4" t="str">
        <f>IF(Customers!H42&gt;Customers!B42-18,"Tenure &gt; age-18","")</f>
        <v/>
      </c>
      <c r="F42" s="4" t="str">
        <f>IF(Customers!R42&gt;Customers!Q42,"Card spend &gt; limit","")</f>
        <v/>
      </c>
      <c r="G42" s="4" t="str">
        <f>IF(OR(AND(Customers!S42&gt;0,Customers!T42=0),AND(Customers!S42=0,Customers!T42&gt;0)),"Mortgage/payment inconsistent","")</f>
        <v/>
      </c>
      <c r="H42" s="4" t="str">
        <f>IF(AND(Customers!G42&lt;&gt;"",Customers!G42&gt;0,Customers!T42&gt;Customers!G42/12),"Payment &gt; monthly income","")</f>
        <v/>
      </c>
      <c r="I42" s="4" t="str">
        <f>IF(OR(Customers!I42&gt;DATE(2026,9,13),YEAR(Customers!I42)&lt;1980),"Implausible date","")</f>
        <v/>
      </c>
      <c r="J42" s="4" t="str">
        <f>IF(Customers!I42&gt;DATE(2026,9,13),"",IF(ABS(INT((DATE(2026,9,13)-Customers!I42)/365.25)-Customers!H42)&gt;1,"Date/tenure inconsistent",""))</f>
        <v/>
      </c>
      <c r="K42" s="4" t="str">
        <f>IF(COUNTIF(Customers!$A$2:$A$1001,Customers!A42)&gt;1,"Duplicate ID","")</f>
        <v/>
      </c>
      <c r="L42" s="4" t="str">
        <f>IF(COUNTIFS(Customers!$B$2:$B$1001,Customers!B42,Customers!$D$2:$D$1001,Customers!D42,Customers!$G$2:$G$1001,Customers!G42,Customers!$I$2:$I$1001,Customers!I42,Customers!$L$2:$L$1001,Customers!L42)&gt;1,"Duplicate record","")</f>
        <v/>
      </c>
      <c r="M42" s="4" t="str">
        <f>IF(OR(Customers!U42&lt;300,Customers!U42&gt;850),"Score out of range","")</f>
        <v/>
      </c>
      <c r="N42" s="4" t="str">
        <f>IF(AND(Customers!G42&lt;&gt;"",Customers!G42&lt;=0),"Income ≤ 0","")</f>
        <v/>
      </c>
      <c r="O42" s="4" t="str">
        <f>IF(OR(Customers!G42="",Customers!M42=""),"Missing value","")</f>
        <v/>
      </c>
      <c r="P42" s="4">
        <f t="shared" si="0"/>
        <v>0</v>
      </c>
    </row>
    <row r="43" spans="1:16" x14ac:dyDescent="0.25">
      <c r="A43" s="4" t="str">
        <f>Customers!A43</f>
        <v>CL00042</v>
      </c>
      <c r="B43" s="20">
        <f>IF(Customers!G43="","",(Customers!G43-Statistics!$C$7)/Statistics!$C$9)</f>
        <v>-3.8194749772778445E-2</v>
      </c>
      <c r="C43" s="4" t="str">
        <f>IF(Customers!G43="","",IF(OR(Customers!G43&lt;Statistics!$C$15,Customers!G43&gt;Statistics!$C$16),"Outside 1.5·IQR",""))</f>
        <v/>
      </c>
      <c r="D43" s="4" t="str">
        <f>IF(OR(Customers!B43&lt;18,Customers!B43&gt;100),"Implausible age","")</f>
        <v/>
      </c>
      <c r="E43" s="4" t="str">
        <f>IF(Customers!H43&gt;Customers!B43-18,"Tenure &gt; age-18","")</f>
        <v/>
      </c>
      <c r="F43" s="4" t="str">
        <f>IF(Customers!R43&gt;Customers!Q43,"Card spend &gt; limit","")</f>
        <v/>
      </c>
      <c r="G43" s="4" t="str">
        <f>IF(OR(AND(Customers!S43&gt;0,Customers!T43=0),AND(Customers!S43=0,Customers!T43&gt;0)),"Mortgage/payment inconsistent","")</f>
        <v/>
      </c>
      <c r="H43" s="4" t="str">
        <f>IF(AND(Customers!G43&lt;&gt;"",Customers!G43&gt;0,Customers!T43&gt;Customers!G43/12),"Payment &gt; monthly income","")</f>
        <v/>
      </c>
      <c r="I43" s="4" t="str">
        <f>IF(OR(Customers!I43&gt;DATE(2026,9,13),YEAR(Customers!I43)&lt;1980),"Implausible date","")</f>
        <v/>
      </c>
      <c r="J43" s="4" t="str">
        <f>IF(Customers!I43&gt;DATE(2026,9,13),"",IF(ABS(INT((DATE(2026,9,13)-Customers!I43)/365.25)-Customers!H43)&gt;1,"Date/tenure inconsistent",""))</f>
        <v/>
      </c>
      <c r="K43" s="4" t="str">
        <f>IF(COUNTIF(Customers!$A$2:$A$1001,Customers!A43)&gt;1,"Duplicate ID","")</f>
        <v/>
      </c>
      <c r="L43" s="4" t="str">
        <f>IF(COUNTIFS(Customers!$B$2:$B$1001,Customers!B43,Customers!$D$2:$D$1001,Customers!D43,Customers!$G$2:$G$1001,Customers!G43,Customers!$I$2:$I$1001,Customers!I43,Customers!$L$2:$L$1001,Customers!L43)&gt;1,"Duplicate record","")</f>
        <v/>
      </c>
      <c r="M43" s="4" t="str">
        <f>IF(OR(Customers!U43&lt;300,Customers!U43&gt;850),"Score out of range","")</f>
        <v/>
      </c>
      <c r="N43" s="4" t="str">
        <f>IF(AND(Customers!G43&lt;&gt;"",Customers!G43&lt;=0),"Income ≤ 0","")</f>
        <v/>
      </c>
      <c r="O43" s="4" t="str">
        <f>IF(OR(Customers!G43="",Customers!M43=""),"Missing value","")</f>
        <v/>
      </c>
      <c r="P43" s="4">
        <f t="shared" si="0"/>
        <v>0</v>
      </c>
    </row>
    <row r="44" spans="1:16" x14ac:dyDescent="0.25">
      <c r="A44" s="4" t="str">
        <f>Customers!A44</f>
        <v>CL00043</v>
      </c>
      <c r="B44" s="20">
        <f>IF(Customers!G44="","",(Customers!G44-Statistics!$C$7)/Statistics!$C$9)</f>
        <v>-3.7369100435441862E-4</v>
      </c>
      <c r="C44" s="4" t="str">
        <f>IF(Customers!G44="","",IF(OR(Customers!G44&lt;Statistics!$C$15,Customers!G44&gt;Statistics!$C$16),"Outside 1.5·IQR",""))</f>
        <v/>
      </c>
      <c r="D44" s="4" t="str">
        <f>IF(OR(Customers!B44&lt;18,Customers!B44&gt;100),"Implausible age","")</f>
        <v/>
      </c>
      <c r="E44" s="4" t="str">
        <f>IF(Customers!H44&gt;Customers!B44-18,"Tenure &gt; age-18","")</f>
        <v/>
      </c>
      <c r="F44" s="4" t="str">
        <f>IF(Customers!R44&gt;Customers!Q44,"Card spend &gt; limit","")</f>
        <v/>
      </c>
      <c r="G44" s="4" t="str">
        <f>IF(OR(AND(Customers!S44&gt;0,Customers!T44=0),AND(Customers!S44=0,Customers!T44&gt;0)),"Mortgage/payment inconsistent","")</f>
        <v/>
      </c>
      <c r="H44" s="4" t="str">
        <f>IF(AND(Customers!G44&lt;&gt;"",Customers!G44&gt;0,Customers!T44&gt;Customers!G44/12),"Payment &gt; monthly income","")</f>
        <v/>
      </c>
      <c r="I44" s="4" t="str">
        <f>IF(OR(Customers!I44&gt;DATE(2026,9,13),YEAR(Customers!I44)&lt;1980),"Implausible date","")</f>
        <v/>
      </c>
      <c r="J44" s="4" t="str">
        <f>IF(Customers!I44&gt;DATE(2026,9,13),"",IF(ABS(INT((DATE(2026,9,13)-Customers!I44)/365.25)-Customers!H44)&gt;1,"Date/tenure inconsistent",""))</f>
        <v/>
      </c>
      <c r="K44" s="4" t="str">
        <f>IF(COUNTIF(Customers!$A$2:$A$1001,Customers!A44)&gt;1,"Duplicate ID","")</f>
        <v/>
      </c>
      <c r="L44" s="4" t="str">
        <f>IF(COUNTIFS(Customers!$B$2:$B$1001,Customers!B44,Customers!$D$2:$D$1001,Customers!D44,Customers!$G$2:$G$1001,Customers!G44,Customers!$I$2:$I$1001,Customers!I44,Customers!$L$2:$L$1001,Customers!L44)&gt;1,"Duplicate record","")</f>
        <v/>
      </c>
      <c r="M44" s="4" t="str">
        <f>IF(OR(Customers!U44&lt;300,Customers!U44&gt;850),"Score out of range","")</f>
        <v/>
      </c>
      <c r="N44" s="4" t="str">
        <f>IF(AND(Customers!G44&lt;&gt;"",Customers!G44&lt;=0),"Income ≤ 0","")</f>
        <v/>
      </c>
      <c r="O44" s="4" t="str">
        <f>IF(OR(Customers!G44="",Customers!M44=""),"Missing value","")</f>
        <v/>
      </c>
      <c r="P44" s="4">
        <f t="shared" si="0"/>
        <v>0</v>
      </c>
    </row>
    <row r="45" spans="1:16" x14ac:dyDescent="0.25">
      <c r="A45" s="4" t="str">
        <f>Customers!A45</f>
        <v>CL00044</v>
      </c>
      <c r="B45" s="20">
        <f>IF(Customers!G45="","",(Customers!G45-Statistics!$C$7)/Statistics!$C$9)</f>
        <v>-3.1891239978041108E-2</v>
      </c>
      <c r="C45" s="4" t="str">
        <f>IF(Customers!G45="","",IF(OR(Customers!G45&lt;Statistics!$C$15,Customers!G45&gt;Statistics!$C$16),"Outside 1.5·IQR",""))</f>
        <v/>
      </c>
      <c r="D45" s="4" t="str">
        <f>IF(OR(Customers!B45&lt;18,Customers!B45&gt;100),"Implausible age","")</f>
        <v/>
      </c>
      <c r="E45" s="4" t="str">
        <f>IF(Customers!H45&gt;Customers!B45-18,"Tenure &gt; age-18","")</f>
        <v/>
      </c>
      <c r="F45" s="4" t="str">
        <f>IF(Customers!R45&gt;Customers!Q45,"Card spend &gt; limit","")</f>
        <v/>
      </c>
      <c r="G45" s="4" t="str">
        <f>IF(OR(AND(Customers!S45&gt;0,Customers!T45=0),AND(Customers!S45=0,Customers!T45&gt;0)),"Mortgage/payment inconsistent","")</f>
        <v/>
      </c>
      <c r="H45" s="4" t="str">
        <f>IF(AND(Customers!G45&lt;&gt;"",Customers!G45&gt;0,Customers!T45&gt;Customers!G45/12),"Payment &gt; monthly income","")</f>
        <v/>
      </c>
      <c r="I45" s="4" t="str">
        <f>IF(OR(Customers!I45&gt;DATE(2026,9,13),YEAR(Customers!I45)&lt;1980),"Implausible date","")</f>
        <v/>
      </c>
      <c r="J45" s="4" t="str">
        <f>IF(Customers!I45&gt;DATE(2026,9,13),"",IF(ABS(INT((DATE(2026,9,13)-Customers!I45)/365.25)-Customers!H45)&gt;1,"Date/tenure inconsistent",""))</f>
        <v/>
      </c>
      <c r="K45" s="4" t="str">
        <f>IF(COUNTIF(Customers!$A$2:$A$1001,Customers!A45)&gt;1,"Duplicate ID","")</f>
        <v/>
      </c>
      <c r="L45" s="4" t="str">
        <f>IF(COUNTIFS(Customers!$B$2:$B$1001,Customers!B45,Customers!$D$2:$D$1001,Customers!D45,Customers!$G$2:$G$1001,Customers!G45,Customers!$I$2:$I$1001,Customers!I45,Customers!$L$2:$L$1001,Customers!L45)&gt;1,"Duplicate record","")</f>
        <v/>
      </c>
      <c r="M45" s="4" t="str">
        <f>IF(OR(Customers!U45&lt;300,Customers!U45&gt;850),"Score out of range","")</f>
        <v/>
      </c>
      <c r="N45" s="4" t="str">
        <f>IF(AND(Customers!G45&lt;&gt;"",Customers!G45&lt;=0),"Income ≤ 0","")</f>
        <v/>
      </c>
      <c r="O45" s="4" t="str">
        <f>IF(OR(Customers!G45="",Customers!M45=""),"Missing value","")</f>
        <v/>
      </c>
      <c r="P45" s="4">
        <f t="shared" si="0"/>
        <v>0</v>
      </c>
    </row>
    <row r="46" spans="1:16" x14ac:dyDescent="0.25">
      <c r="A46" s="4" t="str">
        <f>Customers!A46</f>
        <v>CL00045</v>
      </c>
      <c r="B46" s="20">
        <f>IF(Customers!G46="","",(Customers!G46-Statistics!$C$7)/Statistics!$C$9)</f>
        <v>-4.3611828502630845E-2</v>
      </c>
      <c r="C46" s="4" t="str">
        <f>IF(Customers!G46="","",IF(OR(Customers!G46&lt;Statistics!$C$15,Customers!G46&gt;Statistics!$C$16),"Outside 1.5·IQR",""))</f>
        <v/>
      </c>
      <c r="D46" s="4" t="str">
        <f>IF(OR(Customers!B46&lt;18,Customers!B46&gt;100),"Implausible age","")</f>
        <v>Implausible age</v>
      </c>
      <c r="E46" s="4" t="str">
        <f>IF(Customers!H46&gt;Customers!B46-18,"Tenure &gt; age-18","")</f>
        <v/>
      </c>
      <c r="F46" s="4" t="str">
        <f>IF(Customers!R46&gt;Customers!Q46,"Card spend &gt; limit","")</f>
        <v/>
      </c>
      <c r="G46" s="4" t="str">
        <f>IF(OR(AND(Customers!S46&gt;0,Customers!T46=0),AND(Customers!S46=0,Customers!T46&gt;0)),"Mortgage/payment inconsistent","")</f>
        <v/>
      </c>
      <c r="H46" s="4" t="str">
        <f>IF(AND(Customers!G46&lt;&gt;"",Customers!G46&gt;0,Customers!T46&gt;Customers!G46/12),"Payment &gt; monthly income","")</f>
        <v/>
      </c>
      <c r="I46" s="4" t="str">
        <f>IF(OR(Customers!I46&gt;DATE(2026,9,13),YEAR(Customers!I46)&lt;1980),"Implausible date","")</f>
        <v/>
      </c>
      <c r="J46" s="4" t="str">
        <f>IF(Customers!I46&gt;DATE(2026,9,13),"",IF(ABS(INT((DATE(2026,9,13)-Customers!I46)/365.25)-Customers!H46)&gt;1,"Date/tenure inconsistent",""))</f>
        <v/>
      </c>
      <c r="K46" s="4" t="str">
        <f>IF(COUNTIF(Customers!$A$2:$A$1001,Customers!A46)&gt;1,"Duplicate ID","")</f>
        <v/>
      </c>
      <c r="L46" s="4" t="str">
        <f>IF(COUNTIFS(Customers!$B$2:$B$1001,Customers!B46,Customers!$D$2:$D$1001,Customers!D46,Customers!$G$2:$G$1001,Customers!G46,Customers!$I$2:$I$1001,Customers!I46,Customers!$L$2:$L$1001,Customers!L46)&gt;1,"Duplicate record","")</f>
        <v/>
      </c>
      <c r="M46" s="4" t="str">
        <f>IF(OR(Customers!U46&lt;300,Customers!U46&gt;850),"Score out of range","")</f>
        <v/>
      </c>
      <c r="N46" s="4" t="str">
        <f>IF(AND(Customers!G46&lt;&gt;"",Customers!G46&lt;=0),"Income ≤ 0","")</f>
        <v/>
      </c>
      <c r="O46" s="4" t="str">
        <f>IF(OR(Customers!G46="",Customers!M46=""),"Missing value","")</f>
        <v/>
      </c>
      <c r="P46" s="4">
        <f t="shared" si="0"/>
        <v>1</v>
      </c>
    </row>
    <row r="47" spans="1:16" x14ac:dyDescent="0.25">
      <c r="A47" s="4" t="str">
        <f>Customers!A47</f>
        <v>CL00046</v>
      </c>
      <c r="B47" s="20">
        <f>IF(Customers!G47="","",(Customers!G47-Statistics!$C$7)/Statistics!$C$9)</f>
        <v>-4.8930414891940471E-2</v>
      </c>
      <c r="C47" s="4" t="str">
        <f>IF(Customers!G47="","",IF(OR(Customers!G47&lt;Statistics!$C$15,Customers!G47&gt;Statistics!$C$16),"Outside 1.5·IQR",""))</f>
        <v/>
      </c>
      <c r="D47" s="4" t="str">
        <f>IF(OR(Customers!B47&lt;18,Customers!B47&gt;100),"Implausible age","")</f>
        <v/>
      </c>
      <c r="E47" s="4" t="str">
        <f>IF(Customers!H47&gt;Customers!B47-18,"Tenure &gt; age-18","")</f>
        <v/>
      </c>
      <c r="F47" s="4" t="str">
        <f>IF(Customers!R47&gt;Customers!Q47,"Card spend &gt; limit","")</f>
        <v/>
      </c>
      <c r="G47" s="4" t="str">
        <f>IF(OR(AND(Customers!S47&gt;0,Customers!T47=0),AND(Customers!S47=0,Customers!T47&gt;0)),"Mortgage/payment inconsistent","")</f>
        <v/>
      </c>
      <c r="H47" s="4" t="str">
        <f>IF(AND(Customers!G47&lt;&gt;"",Customers!G47&gt;0,Customers!T47&gt;Customers!G47/12),"Payment &gt; monthly income","")</f>
        <v/>
      </c>
      <c r="I47" s="4" t="str">
        <f>IF(OR(Customers!I47&gt;DATE(2026,9,13),YEAR(Customers!I47)&lt;1980),"Implausible date","")</f>
        <v/>
      </c>
      <c r="J47" s="4" t="str">
        <f>IF(Customers!I47&gt;DATE(2026,9,13),"",IF(ABS(INT((DATE(2026,9,13)-Customers!I47)/365.25)-Customers!H47)&gt;1,"Date/tenure inconsistent",""))</f>
        <v/>
      </c>
      <c r="K47" s="4" t="str">
        <f>IF(COUNTIF(Customers!$A$2:$A$1001,Customers!A47)&gt;1,"Duplicate ID","")</f>
        <v/>
      </c>
      <c r="L47" s="4" t="str">
        <f>IF(COUNTIFS(Customers!$B$2:$B$1001,Customers!B47,Customers!$D$2:$D$1001,Customers!D47,Customers!$G$2:$G$1001,Customers!G47,Customers!$I$2:$I$1001,Customers!I47,Customers!$L$2:$L$1001,Customers!L47)&gt;1,"Duplicate record","")</f>
        <v/>
      </c>
      <c r="M47" s="4" t="str">
        <f>IF(OR(Customers!U47&lt;300,Customers!U47&gt;850),"Score out of range","")</f>
        <v/>
      </c>
      <c r="N47" s="4" t="str">
        <f>IF(AND(Customers!G47&lt;&gt;"",Customers!G47&lt;=0),"Income ≤ 0","")</f>
        <v/>
      </c>
      <c r="O47" s="4" t="str">
        <f>IF(OR(Customers!G47="",Customers!M47=""),"Missing value","")</f>
        <v/>
      </c>
      <c r="P47" s="4">
        <f t="shared" si="0"/>
        <v>0</v>
      </c>
    </row>
    <row r="48" spans="1:16" x14ac:dyDescent="0.25">
      <c r="A48" s="4" t="str">
        <f>Customers!A48</f>
        <v>CL00047</v>
      </c>
      <c r="B48" s="20">
        <f>IF(Customers!G48="","",(Customers!G48-Statistics!$C$7)/Statistics!$C$9)</f>
        <v>-5.4445985962335644E-2</v>
      </c>
      <c r="C48" s="4" t="str">
        <f>IF(Customers!G48="","",IF(OR(Customers!G48&lt;Statistics!$C$15,Customers!G48&gt;Statistics!$C$16),"Outside 1.5·IQR",""))</f>
        <v/>
      </c>
      <c r="D48" s="4" t="str">
        <f>IF(OR(Customers!B48&lt;18,Customers!B48&gt;100),"Implausible age","")</f>
        <v/>
      </c>
      <c r="E48" s="4" t="str">
        <f>IF(Customers!H48&gt;Customers!B48-18,"Tenure &gt; age-18","")</f>
        <v/>
      </c>
      <c r="F48" s="4" t="str">
        <f>IF(Customers!R48&gt;Customers!Q48,"Card spend &gt; limit","")</f>
        <v/>
      </c>
      <c r="G48" s="4" t="str">
        <f>IF(OR(AND(Customers!S48&gt;0,Customers!T48=0),AND(Customers!S48=0,Customers!T48&gt;0)),"Mortgage/payment inconsistent","")</f>
        <v/>
      </c>
      <c r="H48" s="4" t="str">
        <f>IF(AND(Customers!G48&lt;&gt;"",Customers!G48&gt;0,Customers!T48&gt;Customers!G48/12),"Payment &gt; monthly income","")</f>
        <v/>
      </c>
      <c r="I48" s="4" t="str">
        <f>IF(OR(Customers!I48&gt;DATE(2026,9,13),YEAR(Customers!I48)&lt;1980),"Implausible date","")</f>
        <v/>
      </c>
      <c r="J48" s="4" t="str">
        <f>IF(Customers!I48&gt;DATE(2026,9,13),"",IF(ABS(INT((DATE(2026,9,13)-Customers!I48)/365.25)-Customers!H48)&gt;1,"Date/tenure inconsistent",""))</f>
        <v/>
      </c>
      <c r="K48" s="4" t="str">
        <f>IF(COUNTIF(Customers!$A$2:$A$1001,Customers!A48)&gt;1,"Duplicate ID","")</f>
        <v/>
      </c>
      <c r="L48" s="4" t="str">
        <f>IF(COUNTIFS(Customers!$B$2:$B$1001,Customers!B48,Customers!$D$2:$D$1001,Customers!D48,Customers!$G$2:$G$1001,Customers!G48,Customers!$I$2:$I$1001,Customers!I48,Customers!$L$2:$L$1001,Customers!L48)&gt;1,"Duplicate record","")</f>
        <v/>
      </c>
      <c r="M48" s="4" t="str">
        <f>IF(OR(Customers!U48&lt;300,Customers!U48&gt;850),"Score out of range","")</f>
        <v/>
      </c>
      <c r="N48" s="4" t="str">
        <f>IF(AND(Customers!G48&lt;&gt;"",Customers!G48&lt;=0),"Income ≤ 0","")</f>
        <v/>
      </c>
      <c r="O48" s="4" t="str">
        <f>IF(OR(Customers!G48="",Customers!M48=""),"Missing value","")</f>
        <v/>
      </c>
      <c r="P48" s="4">
        <f t="shared" si="0"/>
        <v>0</v>
      </c>
    </row>
    <row r="49" spans="1:16" x14ac:dyDescent="0.25">
      <c r="A49" s="4" t="str">
        <f>Customers!A49</f>
        <v>CL00048</v>
      </c>
      <c r="B49" s="20">
        <f>IF(Customers!G49="","",(Customers!G49-Statistics!$C$7)/Statistics!$C$9)</f>
        <v>-5.6809802135362145E-2</v>
      </c>
      <c r="C49" s="4" t="str">
        <f>IF(Customers!G49="","",IF(OR(Customers!G49&lt;Statistics!$C$15,Customers!G49&gt;Statistics!$C$16),"Outside 1.5·IQR",""))</f>
        <v/>
      </c>
      <c r="D49" s="4" t="str">
        <f>IF(OR(Customers!B49&lt;18,Customers!B49&gt;100),"Implausible age","")</f>
        <v/>
      </c>
      <c r="E49" s="4" t="str">
        <f>IF(Customers!H49&gt;Customers!B49-18,"Tenure &gt; age-18","")</f>
        <v/>
      </c>
      <c r="F49" s="4" t="str">
        <f>IF(Customers!R49&gt;Customers!Q49,"Card spend &gt; limit","")</f>
        <v/>
      </c>
      <c r="G49" s="4" t="str">
        <f>IF(OR(AND(Customers!S49&gt;0,Customers!T49=0),AND(Customers!S49=0,Customers!T49&gt;0)),"Mortgage/payment inconsistent","")</f>
        <v/>
      </c>
      <c r="H49" s="4" t="str">
        <f>IF(AND(Customers!G49&lt;&gt;"",Customers!G49&gt;0,Customers!T49&gt;Customers!G49/12),"Payment &gt; monthly income","")</f>
        <v/>
      </c>
      <c r="I49" s="4" t="str">
        <f>IF(OR(Customers!I49&gt;DATE(2026,9,13),YEAR(Customers!I49)&lt;1980),"Implausible date","")</f>
        <v/>
      </c>
      <c r="J49" s="4" t="str">
        <f>IF(Customers!I49&gt;DATE(2026,9,13),"",IF(ABS(INT((DATE(2026,9,13)-Customers!I49)/365.25)-Customers!H49)&gt;1,"Date/tenure inconsistent",""))</f>
        <v/>
      </c>
      <c r="K49" s="4" t="str">
        <f>IF(COUNTIF(Customers!$A$2:$A$1001,Customers!A49)&gt;1,"Duplicate ID","")</f>
        <v/>
      </c>
      <c r="L49" s="4" t="str">
        <f>IF(COUNTIFS(Customers!$B$2:$B$1001,Customers!B49,Customers!$D$2:$D$1001,Customers!D49,Customers!$G$2:$G$1001,Customers!G49,Customers!$I$2:$I$1001,Customers!I49,Customers!$L$2:$L$1001,Customers!L49)&gt;1,"Duplicate record","")</f>
        <v/>
      </c>
      <c r="M49" s="4" t="str">
        <f>IF(OR(Customers!U49&lt;300,Customers!U49&gt;850),"Score out of range","")</f>
        <v/>
      </c>
      <c r="N49" s="4" t="str">
        <f>IF(AND(Customers!G49&lt;&gt;"",Customers!G49&lt;=0),"Income ≤ 0","")</f>
        <v/>
      </c>
      <c r="O49" s="4" t="str">
        <f>IF(OR(Customers!G49="",Customers!M49=""),"Missing value","")</f>
        <v/>
      </c>
      <c r="P49" s="4">
        <f t="shared" si="0"/>
        <v>0</v>
      </c>
    </row>
    <row r="50" spans="1:16" x14ac:dyDescent="0.25">
      <c r="A50" s="4" t="str">
        <f>Customers!A50</f>
        <v>CL00049</v>
      </c>
      <c r="B50" s="20">
        <f>IF(Customers!G50="","",(Customers!G50-Statistics!$C$7)/Statistics!$C$9)</f>
        <v>-4.0558565945804946E-2</v>
      </c>
      <c r="C50" s="4" t="str">
        <f>IF(Customers!G50="","",IF(OR(Customers!G50&lt;Statistics!$C$15,Customers!G50&gt;Statistics!$C$16),"Outside 1.5·IQR",""))</f>
        <v/>
      </c>
      <c r="D50" s="4" t="str">
        <f>IF(OR(Customers!B50&lt;18,Customers!B50&gt;100),"Implausible age","")</f>
        <v/>
      </c>
      <c r="E50" s="4" t="str">
        <f>IF(Customers!H50&gt;Customers!B50-18,"Tenure &gt; age-18","")</f>
        <v/>
      </c>
      <c r="F50" s="4" t="str">
        <f>IF(Customers!R50&gt;Customers!Q50,"Card spend &gt; limit","")</f>
        <v/>
      </c>
      <c r="G50" s="4" t="str">
        <f>IF(OR(AND(Customers!S50&gt;0,Customers!T50=0),AND(Customers!S50=0,Customers!T50&gt;0)),"Mortgage/payment inconsistent","")</f>
        <v/>
      </c>
      <c r="H50" s="4" t="str">
        <f>IF(AND(Customers!G50&lt;&gt;"",Customers!G50&gt;0,Customers!T50&gt;Customers!G50/12),"Payment &gt; monthly income","")</f>
        <v/>
      </c>
      <c r="I50" s="4" t="str">
        <f>IF(OR(Customers!I50&gt;DATE(2026,9,13),YEAR(Customers!I50)&lt;1980),"Implausible date","")</f>
        <v/>
      </c>
      <c r="J50" s="4" t="str">
        <f>IF(Customers!I50&gt;DATE(2026,9,13),"",IF(ABS(INT((DATE(2026,9,13)-Customers!I50)/365.25)-Customers!H50)&gt;1,"Date/tenure inconsistent",""))</f>
        <v/>
      </c>
      <c r="K50" s="4" t="str">
        <f>IF(COUNTIF(Customers!$A$2:$A$1001,Customers!A50)&gt;1,"Duplicate ID","")</f>
        <v/>
      </c>
      <c r="L50" s="4" t="str">
        <f>IF(COUNTIFS(Customers!$B$2:$B$1001,Customers!B50,Customers!$D$2:$D$1001,Customers!D50,Customers!$G$2:$G$1001,Customers!G50,Customers!$I$2:$I$1001,Customers!I50,Customers!$L$2:$L$1001,Customers!L50)&gt;1,"Duplicate record","")</f>
        <v/>
      </c>
      <c r="M50" s="4" t="str">
        <f>IF(OR(Customers!U50&lt;300,Customers!U50&gt;850),"Score out of range","")</f>
        <v/>
      </c>
      <c r="N50" s="4" t="str">
        <f>IF(AND(Customers!G50&lt;&gt;"",Customers!G50&lt;=0),"Income ≤ 0","")</f>
        <v/>
      </c>
      <c r="O50" s="4" t="str">
        <f>IF(OR(Customers!G50="",Customers!M50=""),"Missing value","")</f>
        <v/>
      </c>
      <c r="P50" s="4">
        <f t="shared" si="0"/>
        <v>0</v>
      </c>
    </row>
    <row r="51" spans="1:16" x14ac:dyDescent="0.25">
      <c r="A51" s="4" t="str">
        <f>Customers!A51</f>
        <v>CL00050</v>
      </c>
      <c r="B51" s="20">
        <f>IF(Customers!G51="","",(Customers!G51-Statistics!$C$7)/Statistics!$C$9)</f>
        <v>-4.4596751908058549E-2</v>
      </c>
      <c r="C51" s="4" t="str">
        <f>IF(Customers!G51="","",IF(OR(Customers!G51&lt;Statistics!$C$15,Customers!G51&gt;Statistics!$C$16),"Outside 1.5·IQR",""))</f>
        <v/>
      </c>
      <c r="D51" s="4" t="str">
        <f>IF(OR(Customers!B51&lt;18,Customers!B51&gt;100),"Implausible age","")</f>
        <v/>
      </c>
      <c r="E51" s="4" t="str">
        <f>IF(Customers!H51&gt;Customers!B51-18,"Tenure &gt; age-18","")</f>
        <v/>
      </c>
      <c r="F51" s="4" t="str">
        <f>IF(Customers!R51&gt;Customers!Q51,"Card spend &gt; limit","")</f>
        <v/>
      </c>
      <c r="G51" s="4" t="str">
        <f>IF(OR(AND(Customers!S51&gt;0,Customers!T51=0),AND(Customers!S51=0,Customers!T51&gt;0)),"Mortgage/payment inconsistent","")</f>
        <v/>
      </c>
      <c r="H51" s="4" t="str">
        <f>IF(AND(Customers!G51&lt;&gt;"",Customers!G51&gt;0,Customers!T51&gt;Customers!G51/12),"Payment &gt; monthly income","")</f>
        <v/>
      </c>
      <c r="I51" s="4" t="str">
        <f>IF(OR(Customers!I51&gt;DATE(2026,9,13),YEAR(Customers!I51)&lt;1980),"Implausible date","")</f>
        <v/>
      </c>
      <c r="J51" s="4" t="str">
        <f>IF(Customers!I51&gt;DATE(2026,9,13),"",IF(ABS(INT((DATE(2026,9,13)-Customers!I51)/365.25)-Customers!H51)&gt;1,"Date/tenure inconsistent",""))</f>
        <v/>
      </c>
      <c r="K51" s="4" t="str">
        <f>IF(COUNTIF(Customers!$A$2:$A$1001,Customers!A51)&gt;1,"Duplicate ID","")</f>
        <v/>
      </c>
      <c r="L51" s="4" t="str">
        <f>IF(COUNTIFS(Customers!$B$2:$B$1001,Customers!B51,Customers!$D$2:$D$1001,Customers!D51,Customers!$G$2:$G$1001,Customers!G51,Customers!$I$2:$I$1001,Customers!I51,Customers!$L$2:$L$1001,Customers!L51)&gt;1,"Duplicate record","")</f>
        <v/>
      </c>
      <c r="M51" s="4" t="str">
        <f>IF(OR(Customers!U51&lt;300,Customers!U51&gt;850),"Score out of range","")</f>
        <v/>
      </c>
      <c r="N51" s="4" t="str">
        <f>IF(AND(Customers!G51&lt;&gt;"",Customers!G51&lt;=0),"Income ≤ 0","")</f>
        <v/>
      </c>
      <c r="O51" s="4" t="str">
        <f>IF(OR(Customers!G51="",Customers!M51=""),"Missing value","")</f>
        <v/>
      </c>
      <c r="P51" s="4">
        <f t="shared" si="0"/>
        <v>0</v>
      </c>
    </row>
    <row r="52" spans="1:16" x14ac:dyDescent="0.25">
      <c r="A52" s="4" t="str">
        <f>Customers!A52</f>
        <v>CL00051</v>
      </c>
      <c r="B52" s="20">
        <f>IF(Customers!G52="","",(Customers!G52-Statistics!$C$7)/Statistics!$C$9)</f>
        <v>-5.2279154470394683E-2</v>
      </c>
      <c r="C52" s="4" t="str">
        <f>IF(Customers!G52="","",IF(OR(Customers!G52&lt;Statistics!$C$15,Customers!G52&gt;Statistics!$C$16),"Outside 1.5·IQR",""))</f>
        <v/>
      </c>
      <c r="D52" s="4" t="str">
        <f>IF(OR(Customers!B52&lt;18,Customers!B52&gt;100),"Implausible age","")</f>
        <v/>
      </c>
      <c r="E52" s="4" t="str">
        <f>IF(Customers!H52&gt;Customers!B52-18,"Tenure &gt; age-18","")</f>
        <v/>
      </c>
      <c r="F52" s="4" t="str">
        <f>IF(Customers!R52&gt;Customers!Q52,"Card spend &gt; limit","")</f>
        <v/>
      </c>
      <c r="G52" s="4" t="str">
        <f>IF(OR(AND(Customers!S52&gt;0,Customers!T52=0),AND(Customers!S52=0,Customers!T52&gt;0)),"Mortgage/payment inconsistent","")</f>
        <v/>
      </c>
      <c r="H52" s="4" t="str">
        <f>IF(AND(Customers!G52&lt;&gt;"",Customers!G52&gt;0,Customers!T52&gt;Customers!G52/12),"Payment &gt; monthly income","")</f>
        <v/>
      </c>
      <c r="I52" s="4" t="str">
        <f>IF(OR(Customers!I52&gt;DATE(2026,9,13),YEAR(Customers!I52)&lt;1980),"Implausible date","")</f>
        <v/>
      </c>
      <c r="J52" s="4" t="str">
        <f>IF(Customers!I52&gt;DATE(2026,9,13),"",IF(ABS(INT((DATE(2026,9,13)-Customers!I52)/365.25)-Customers!H52)&gt;1,"Date/tenure inconsistent",""))</f>
        <v/>
      </c>
      <c r="K52" s="4" t="str">
        <f>IF(COUNTIF(Customers!$A$2:$A$1001,Customers!A52)&gt;1,"Duplicate ID","")</f>
        <v>Duplicate ID</v>
      </c>
      <c r="L52" s="4" t="str">
        <f>IF(COUNTIFS(Customers!$B$2:$B$1001,Customers!B52,Customers!$D$2:$D$1001,Customers!D52,Customers!$G$2:$G$1001,Customers!G52,Customers!$I$2:$I$1001,Customers!I52,Customers!$L$2:$L$1001,Customers!L52)&gt;1,"Duplicate record","")</f>
        <v>Duplicate record</v>
      </c>
      <c r="M52" s="4" t="str">
        <f>IF(OR(Customers!U52&lt;300,Customers!U52&gt;850),"Score out of range","")</f>
        <v/>
      </c>
      <c r="N52" s="4" t="str">
        <f>IF(AND(Customers!G52&lt;&gt;"",Customers!G52&lt;=0),"Income ≤ 0","")</f>
        <v/>
      </c>
      <c r="O52" s="4" t="str">
        <f>IF(OR(Customers!G52="",Customers!M52=""),"Missing value","")</f>
        <v/>
      </c>
      <c r="P52" s="4">
        <f t="shared" si="0"/>
        <v>2</v>
      </c>
    </row>
    <row r="53" spans="1:16" x14ac:dyDescent="0.25">
      <c r="A53" s="4" t="str">
        <f>Customers!A53</f>
        <v>CL00052</v>
      </c>
      <c r="B53" s="20">
        <f>IF(Customers!G53="","",(Customers!G53-Statistics!$C$7)/Statistics!$C$9)</f>
        <v>-5.3264077875822394E-2</v>
      </c>
      <c r="C53" s="4" t="str">
        <f>IF(Customers!G53="","",IF(OR(Customers!G53&lt;Statistics!$C$15,Customers!G53&gt;Statistics!$C$16),"Outside 1.5·IQR",""))</f>
        <v/>
      </c>
      <c r="D53" s="4" t="str">
        <f>IF(OR(Customers!B53&lt;18,Customers!B53&gt;100),"Implausible age","")</f>
        <v/>
      </c>
      <c r="E53" s="4" t="str">
        <f>IF(Customers!H53&gt;Customers!B53-18,"Tenure &gt; age-18","")</f>
        <v/>
      </c>
      <c r="F53" s="4" t="str">
        <f>IF(Customers!R53&gt;Customers!Q53,"Card spend &gt; limit","")</f>
        <v/>
      </c>
      <c r="G53" s="4" t="str">
        <f>IF(OR(AND(Customers!S53&gt;0,Customers!T53=0),AND(Customers!S53=0,Customers!T53&gt;0)),"Mortgage/payment inconsistent","")</f>
        <v/>
      </c>
      <c r="H53" s="4" t="str">
        <f>IF(AND(Customers!G53&lt;&gt;"",Customers!G53&gt;0,Customers!T53&gt;Customers!G53/12),"Payment &gt; monthly income","")</f>
        <v/>
      </c>
      <c r="I53" s="4" t="str">
        <f>IF(OR(Customers!I53&gt;DATE(2026,9,13),YEAR(Customers!I53)&lt;1980),"Implausible date","")</f>
        <v/>
      </c>
      <c r="J53" s="4" t="str">
        <f>IF(Customers!I53&gt;DATE(2026,9,13),"",IF(ABS(INT((DATE(2026,9,13)-Customers!I53)/365.25)-Customers!H53)&gt;1,"Date/tenure inconsistent",""))</f>
        <v/>
      </c>
      <c r="K53" s="4" t="str">
        <f>IF(COUNTIF(Customers!$A$2:$A$1001,Customers!A53)&gt;1,"Duplicate ID","")</f>
        <v/>
      </c>
      <c r="L53" s="4" t="str">
        <f>IF(COUNTIFS(Customers!$B$2:$B$1001,Customers!B53,Customers!$D$2:$D$1001,Customers!D53,Customers!$G$2:$G$1001,Customers!G53,Customers!$I$2:$I$1001,Customers!I53,Customers!$L$2:$L$1001,Customers!L53)&gt;1,"Duplicate record","")</f>
        <v/>
      </c>
      <c r="M53" s="4" t="str">
        <f>IF(OR(Customers!U53&lt;300,Customers!U53&gt;850),"Score out of range","")</f>
        <v/>
      </c>
      <c r="N53" s="4" t="str">
        <f>IF(AND(Customers!G53&lt;&gt;"",Customers!G53&lt;=0),"Income ≤ 0","")</f>
        <v/>
      </c>
      <c r="O53" s="4" t="str">
        <f>IF(OR(Customers!G53="",Customers!M53=""),"Missing value","")</f>
        <v/>
      </c>
      <c r="P53" s="4">
        <f t="shared" si="0"/>
        <v>0</v>
      </c>
    </row>
    <row r="54" spans="1:16" x14ac:dyDescent="0.25">
      <c r="A54" s="4" t="str">
        <f>Customers!A54</f>
        <v>CL00053</v>
      </c>
      <c r="B54" s="20">
        <f>IF(Customers!G54="","",(Customers!G54-Statistics!$C$7)/Statistics!$C$9)</f>
        <v>-1.3571664637085718E-2</v>
      </c>
      <c r="C54" s="4" t="str">
        <f>IF(Customers!G54="","",IF(OR(Customers!G54&lt;Statistics!$C$15,Customers!G54&gt;Statistics!$C$16),"Outside 1.5·IQR",""))</f>
        <v/>
      </c>
      <c r="D54" s="4" t="str">
        <f>IF(OR(Customers!B54&lt;18,Customers!B54&gt;100),"Implausible age","")</f>
        <v/>
      </c>
      <c r="E54" s="4" t="str">
        <f>IF(Customers!H54&gt;Customers!B54-18,"Tenure &gt; age-18","")</f>
        <v/>
      </c>
      <c r="F54" s="4" t="str">
        <f>IF(Customers!R54&gt;Customers!Q54,"Card spend &gt; limit","")</f>
        <v/>
      </c>
      <c r="G54" s="4" t="str">
        <f>IF(OR(AND(Customers!S54&gt;0,Customers!T54=0),AND(Customers!S54=0,Customers!T54&gt;0)),"Mortgage/payment inconsistent","")</f>
        <v/>
      </c>
      <c r="H54" s="4" t="str">
        <f>IF(AND(Customers!G54&lt;&gt;"",Customers!G54&gt;0,Customers!T54&gt;Customers!G54/12),"Payment &gt; monthly income","")</f>
        <v/>
      </c>
      <c r="I54" s="4" t="str">
        <f>IF(OR(Customers!I54&gt;DATE(2026,9,13),YEAR(Customers!I54)&lt;1980),"Implausible date","")</f>
        <v/>
      </c>
      <c r="J54" s="4" t="str">
        <f>IF(Customers!I54&gt;DATE(2026,9,13),"",IF(ABS(INT((DATE(2026,9,13)-Customers!I54)/365.25)-Customers!H54)&gt;1,"Date/tenure inconsistent",""))</f>
        <v/>
      </c>
      <c r="K54" s="4" t="str">
        <f>IF(COUNTIF(Customers!$A$2:$A$1001,Customers!A54)&gt;1,"Duplicate ID","")</f>
        <v/>
      </c>
      <c r="L54" s="4" t="str">
        <f>IF(COUNTIFS(Customers!$B$2:$B$1001,Customers!B54,Customers!$D$2:$D$1001,Customers!D54,Customers!$G$2:$G$1001,Customers!G54,Customers!$I$2:$I$1001,Customers!I54,Customers!$L$2:$L$1001,Customers!L54)&gt;1,"Duplicate record","")</f>
        <v/>
      </c>
      <c r="M54" s="4" t="str">
        <f>IF(OR(Customers!U54&lt;300,Customers!U54&gt;850),"Score out of range","")</f>
        <v/>
      </c>
      <c r="N54" s="4" t="str">
        <f>IF(AND(Customers!G54&lt;&gt;"",Customers!G54&lt;=0),"Income ≤ 0","")</f>
        <v/>
      </c>
      <c r="O54" s="4" t="str">
        <f>IF(OR(Customers!G54="",Customers!M54=""),"Missing value","")</f>
        <v/>
      </c>
      <c r="P54" s="4">
        <f t="shared" si="0"/>
        <v>0</v>
      </c>
    </row>
    <row r="55" spans="1:16" x14ac:dyDescent="0.25">
      <c r="A55" s="4" t="str">
        <f>Customers!A55</f>
        <v>CL00054</v>
      </c>
      <c r="B55" s="20">
        <f>IF(Customers!G55="","",(Customers!G55-Statistics!$C$7)/Statistics!$C$9)</f>
        <v>-3.8588719134949524E-2</v>
      </c>
      <c r="C55" s="4" t="str">
        <f>IF(Customers!G55="","",IF(OR(Customers!G55&lt;Statistics!$C$15,Customers!G55&gt;Statistics!$C$16),"Outside 1.5·IQR",""))</f>
        <v/>
      </c>
      <c r="D55" s="4" t="str">
        <f>IF(OR(Customers!B55&lt;18,Customers!B55&gt;100),"Implausible age","")</f>
        <v/>
      </c>
      <c r="E55" s="4" t="str">
        <f>IF(Customers!H55&gt;Customers!B55-18,"Tenure &gt; age-18","")</f>
        <v/>
      </c>
      <c r="F55" s="4" t="str">
        <f>IF(Customers!R55&gt;Customers!Q55,"Card spend &gt; limit","")</f>
        <v/>
      </c>
      <c r="G55" s="4" t="str">
        <f>IF(OR(AND(Customers!S55&gt;0,Customers!T55=0),AND(Customers!S55=0,Customers!T55&gt;0)),"Mortgage/payment inconsistent","")</f>
        <v/>
      </c>
      <c r="H55" s="4" t="str">
        <f>IF(AND(Customers!G55&lt;&gt;"",Customers!G55&gt;0,Customers!T55&gt;Customers!G55/12),"Payment &gt; monthly income","")</f>
        <v/>
      </c>
      <c r="I55" s="4" t="str">
        <f>IF(OR(Customers!I55&gt;DATE(2026,9,13),YEAR(Customers!I55)&lt;1980),"Implausible date","")</f>
        <v/>
      </c>
      <c r="J55" s="4" t="str">
        <f>IF(Customers!I55&gt;DATE(2026,9,13),"",IF(ABS(INT((DATE(2026,9,13)-Customers!I55)/365.25)-Customers!H55)&gt;1,"Date/tenure inconsistent",""))</f>
        <v/>
      </c>
      <c r="K55" s="4" t="str">
        <f>IF(COUNTIF(Customers!$A$2:$A$1001,Customers!A55)&gt;1,"Duplicate ID","")</f>
        <v/>
      </c>
      <c r="L55" s="4" t="str">
        <f>IF(COUNTIFS(Customers!$B$2:$B$1001,Customers!B55,Customers!$D$2:$D$1001,Customers!D55,Customers!$G$2:$G$1001,Customers!G55,Customers!$I$2:$I$1001,Customers!I55,Customers!$L$2:$L$1001,Customers!L55)&gt;1,"Duplicate record","")</f>
        <v/>
      </c>
      <c r="M55" s="4" t="str">
        <f>IF(OR(Customers!U55&lt;300,Customers!U55&gt;850),"Score out of range","")</f>
        <v/>
      </c>
      <c r="N55" s="4" t="str">
        <f>IF(AND(Customers!G55&lt;&gt;"",Customers!G55&lt;=0),"Income ≤ 0","")</f>
        <v/>
      </c>
      <c r="O55" s="4" t="str">
        <f>IF(OR(Customers!G55="",Customers!M55=""),"Missing value","")</f>
        <v/>
      </c>
      <c r="P55" s="4">
        <f t="shared" si="0"/>
        <v>0</v>
      </c>
    </row>
    <row r="56" spans="1:16" x14ac:dyDescent="0.25">
      <c r="A56" s="4" t="str">
        <f>Customers!A56</f>
        <v>CL00055</v>
      </c>
      <c r="B56" s="20">
        <f>IF(Customers!G56="","",(Customers!G56-Statistics!$C$7)/Statistics!$C$9)</f>
        <v>-6.6916802598273131E-4</v>
      </c>
      <c r="C56" s="4" t="str">
        <f>IF(Customers!G56="","",IF(OR(Customers!G56&lt;Statistics!$C$15,Customers!G56&gt;Statistics!$C$16),"Outside 1.5·IQR",""))</f>
        <v/>
      </c>
      <c r="D56" s="4" t="str">
        <f>IF(OR(Customers!B56&lt;18,Customers!B56&gt;100),"Implausible age","")</f>
        <v/>
      </c>
      <c r="E56" s="4" t="str">
        <f>IF(Customers!H56&gt;Customers!B56-18,"Tenure &gt; age-18","")</f>
        <v/>
      </c>
      <c r="F56" s="4" t="str">
        <f>IF(Customers!R56&gt;Customers!Q56,"Card spend &gt; limit","")</f>
        <v/>
      </c>
      <c r="G56" s="4" t="str">
        <f>IF(OR(AND(Customers!S56&gt;0,Customers!T56=0),AND(Customers!S56=0,Customers!T56&gt;0)),"Mortgage/payment inconsistent","")</f>
        <v/>
      </c>
      <c r="H56" s="4" t="str">
        <f>IF(AND(Customers!G56&lt;&gt;"",Customers!G56&gt;0,Customers!T56&gt;Customers!G56/12),"Payment &gt; monthly income","")</f>
        <v/>
      </c>
      <c r="I56" s="4" t="str">
        <f>IF(OR(Customers!I56&gt;DATE(2026,9,13),YEAR(Customers!I56)&lt;1980),"Implausible date","")</f>
        <v/>
      </c>
      <c r="J56" s="4" t="str">
        <f>IF(Customers!I56&gt;DATE(2026,9,13),"",IF(ABS(INT((DATE(2026,9,13)-Customers!I56)/365.25)-Customers!H56)&gt;1,"Date/tenure inconsistent",""))</f>
        <v/>
      </c>
      <c r="K56" s="4" t="str">
        <f>IF(COUNTIF(Customers!$A$2:$A$1001,Customers!A56)&gt;1,"Duplicate ID","")</f>
        <v/>
      </c>
      <c r="L56" s="4" t="str">
        <f>IF(COUNTIFS(Customers!$B$2:$B$1001,Customers!B56,Customers!$D$2:$D$1001,Customers!D56,Customers!$G$2:$G$1001,Customers!G56,Customers!$I$2:$I$1001,Customers!I56,Customers!$L$2:$L$1001,Customers!L56)&gt;1,"Duplicate record","")</f>
        <v/>
      </c>
      <c r="M56" s="4" t="str">
        <f>IF(OR(Customers!U56&lt;300,Customers!U56&gt;850),"Score out of range","")</f>
        <v/>
      </c>
      <c r="N56" s="4" t="str">
        <f>IF(AND(Customers!G56&lt;&gt;"",Customers!G56&lt;=0),"Income ≤ 0","")</f>
        <v/>
      </c>
      <c r="O56" s="4" t="str">
        <f>IF(OR(Customers!G56="",Customers!M56=""),"Missing value","")</f>
        <v/>
      </c>
      <c r="P56" s="4">
        <f t="shared" si="0"/>
        <v>0</v>
      </c>
    </row>
    <row r="57" spans="1:16" x14ac:dyDescent="0.25">
      <c r="A57" s="4" t="str">
        <f>Customers!A57</f>
        <v>CL00056</v>
      </c>
      <c r="B57" s="20">
        <f>IF(Customers!G57="","",(Customers!G57-Statistics!$C$7)/Statistics!$C$9)</f>
        <v>-4.7157552762170596E-2</v>
      </c>
      <c r="C57" s="4" t="str">
        <f>IF(Customers!G57="","",IF(OR(Customers!G57&lt;Statistics!$C$15,Customers!G57&gt;Statistics!$C$16),"Outside 1.5·IQR",""))</f>
        <v/>
      </c>
      <c r="D57" s="4" t="str">
        <f>IF(OR(Customers!B57&lt;18,Customers!B57&gt;100),"Implausible age","")</f>
        <v/>
      </c>
      <c r="E57" s="4" t="str">
        <f>IF(Customers!H57&gt;Customers!B57-18,"Tenure &gt; age-18","")</f>
        <v/>
      </c>
      <c r="F57" s="4" t="str">
        <f>IF(Customers!R57&gt;Customers!Q57,"Card spend &gt; limit","")</f>
        <v/>
      </c>
      <c r="G57" s="4" t="str">
        <f>IF(OR(AND(Customers!S57&gt;0,Customers!T57=0),AND(Customers!S57=0,Customers!T57&gt;0)),"Mortgage/payment inconsistent","")</f>
        <v/>
      </c>
      <c r="H57" s="4" t="str">
        <f>IF(AND(Customers!G57&lt;&gt;"",Customers!G57&gt;0,Customers!T57&gt;Customers!G57/12),"Payment &gt; monthly income","")</f>
        <v/>
      </c>
      <c r="I57" s="4" t="str">
        <f>IF(OR(Customers!I57&gt;DATE(2026,9,13),YEAR(Customers!I57)&lt;1980),"Implausible date","")</f>
        <v/>
      </c>
      <c r="J57" s="4" t="str">
        <f>IF(Customers!I57&gt;DATE(2026,9,13),"",IF(ABS(INT((DATE(2026,9,13)-Customers!I57)/365.25)-Customers!H57)&gt;1,"Date/tenure inconsistent",""))</f>
        <v/>
      </c>
      <c r="K57" s="4" t="str">
        <f>IF(COUNTIF(Customers!$A$2:$A$1001,Customers!A57)&gt;1,"Duplicate ID","")</f>
        <v/>
      </c>
      <c r="L57" s="4" t="str">
        <f>IF(COUNTIFS(Customers!$B$2:$B$1001,Customers!B57,Customers!$D$2:$D$1001,Customers!D57,Customers!$G$2:$G$1001,Customers!G57,Customers!$I$2:$I$1001,Customers!I57,Customers!$L$2:$L$1001,Customers!L57)&gt;1,"Duplicate record","")</f>
        <v/>
      </c>
      <c r="M57" s="4" t="str">
        <f>IF(OR(Customers!U57&lt;300,Customers!U57&gt;850),"Score out of range","")</f>
        <v/>
      </c>
      <c r="N57" s="4" t="str">
        <f>IF(AND(Customers!G57&lt;&gt;"",Customers!G57&lt;=0),"Income ≤ 0","")</f>
        <v/>
      </c>
      <c r="O57" s="4" t="str">
        <f>IF(OR(Customers!G57="",Customers!M57=""),"Missing value","")</f>
        <v/>
      </c>
      <c r="P57" s="4">
        <f t="shared" si="0"/>
        <v>0</v>
      </c>
    </row>
    <row r="58" spans="1:16" x14ac:dyDescent="0.25">
      <c r="A58" s="4" t="str">
        <f>Customers!A58</f>
        <v>CL00057</v>
      </c>
      <c r="B58" s="20">
        <f>IF(Customers!G58="","",(Customers!G58-Statistics!$C$7)/Statistics!$C$9)</f>
        <v>-3.9179673178206149E-2</v>
      </c>
      <c r="C58" s="4" t="str">
        <f>IF(Customers!G58="","",IF(OR(Customers!G58&lt;Statistics!$C$15,Customers!G58&gt;Statistics!$C$16),"Outside 1.5·IQR",""))</f>
        <v/>
      </c>
      <c r="D58" s="4" t="str">
        <f>IF(OR(Customers!B58&lt;18,Customers!B58&gt;100),"Implausible age","")</f>
        <v/>
      </c>
      <c r="E58" s="4" t="str">
        <f>IF(Customers!H58&gt;Customers!B58-18,"Tenure &gt; age-18","")</f>
        <v/>
      </c>
      <c r="F58" s="4" t="str">
        <f>IF(Customers!R58&gt;Customers!Q58,"Card spend &gt; limit","")</f>
        <v/>
      </c>
      <c r="G58" s="4" t="str">
        <f>IF(OR(AND(Customers!S58&gt;0,Customers!T58=0),AND(Customers!S58=0,Customers!T58&gt;0)),"Mortgage/payment inconsistent","")</f>
        <v/>
      </c>
      <c r="H58" s="4" t="str">
        <f>IF(AND(Customers!G58&lt;&gt;"",Customers!G58&gt;0,Customers!T58&gt;Customers!G58/12),"Payment &gt; monthly income","")</f>
        <v/>
      </c>
      <c r="I58" s="4" t="str">
        <f>IF(OR(Customers!I58&gt;DATE(2026,9,13),YEAR(Customers!I58)&lt;1980),"Implausible date","")</f>
        <v/>
      </c>
      <c r="J58" s="4" t="str">
        <f>IF(Customers!I58&gt;DATE(2026,9,13),"",IF(ABS(INT((DATE(2026,9,13)-Customers!I58)/365.25)-Customers!H58)&gt;1,"Date/tenure inconsistent",""))</f>
        <v/>
      </c>
      <c r="K58" s="4" t="str">
        <f>IF(COUNTIF(Customers!$A$2:$A$1001,Customers!A58)&gt;1,"Duplicate ID","")</f>
        <v/>
      </c>
      <c r="L58" s="4" t="str">
        <f>IF(COUNTIFS(Customers!$B$2:$B$1001,Customers!B58,Customers!$D$2:$D$1001,Customers!D58,Customers!$G$2:$G$1001,Customers!G58,Customers!$I$2:$I$1001,Customers!I58,Customers!$L$2:$L$1001,Customers!L58)&gt;1,"Duplicate record","")</f>
        <v/>
      </c>
      <c r="M58" s="4" t="str">
        <f>IF(OR(Customers!U58&lt;300,Customers!U58&gt;850),"Score out of range","")</f>
        <v/>
      </c>
      <c r="N58" s="4" t="str">
        <f>IF(AND(Customers!G58&lt;&gt;"",Customers!G58&lt;=0),"Income ≤ 0","")</f>
        <v/>
      </c>
      <c r="O58" s="4" t="str">
        <f>IF(OR(Customers!G58="",Customers!M58=""),"Missing value","")</f>
        <v/>
      </c>
      <c r="P58" s="4">
        <f t="shared" si="0"/>
        <v>0</v>
      </c>
    </row>
    <row r="59" spans="1:16" x14ac:dyDescent="0.25">
      <c r="A59" s="4" t="str">
        <f>Customers!A59</f>
        <v>CL00058</v>
      </c>
      <c r="B59" s="20">
        <f>IF(Customers!G59="","",(Customers!G59-Statistics!$C$7)/Statistics!$C$9)</f>
        <v>-4.9127399573026011E-2</v>
      </c>
      <c r="C59" s="4" t="str">
        <f>IF(Customers!G59="","",IF(OR(Customers!G59&lt;Statistics!$C$15,Customers!G59&gt;Statistics!$C$16),"Outside 1.5·IQR",""))</f>
        <v/>
      </c>
      <c r="D59" s="4" t="str">
        <f>IF(OR(Customers!B59&lt;18,Customers!B59&gt;100),"Implausible age","")</f>
        <v/>
      </c>
      <c r="E59" s="4" t="str">
        <f>IF(Customers!H59&gt;Customers!B59-18,"Tenure &gt; age-18","")</f>
        <v/>
      </c>
      <c r="F59" s="4" t="str">
        <f>IF(Customers!R59&gt;Customers!Q59,"Card spend &gt; limit","")</f>
        <v/>
      </c>
      <c r="G59" s="4" t="str">
        <f>IF(OR(AND(Customers!S59&gt;0,Customers!T59=0),AND(Customers!S59=0,Customers!T59&gt;0)),"Mortgage/payment inconsistent","")</f>
        <v/>
      </c>
      <c r="H59" s="4" t="str">
        <f>IF(AND(Customers!G59&lt;&gt;"",Customers!G59&gt;0,Customers!T59&gt;Customers!G59/12),"Payment &gt; monthly income","")</f>
        <v/>
      </c>
      <c r="I59" s="4" t="str">
        <f>IF(OR(Customers!I59&gt;DATE(2026,9,13),YEAR(Customers!I59)&lt;1980),"Implausible date","")</f>
        <v/>
      </c>
      <c r="J59" s="4" t="str">
        <f>IF(Customers!I59&gt;DATE(2026,9,13),"",IF(ABS(INT((DATE(2026,9,13)-Customers!I59)/365.25)-Customers!H59)&gt;1,"Date/tenure inconsistent",""))</f>
        <v/>
      </c>
      <c r="K59" s="4" t="str">
        <f>IF(COUNTIF(Customers!$A$2:$A$1001,Customers!A59)&gt;1,"Duplicate ID","")</f>
        <v/>
      </c>
      <c r="L59" s="4" t="str">
        <f>IF(COUNTIFS(Customers!$B$2:$B$1001,Customers!B59,Customers!$D$2:$D$1001,Customers!D59,Customers!$G$2:$G$1001,Customers!G59,Customers!$I$2:$I$1001,Customers!I59,Customers!$L$2:$L$1001,Customers!L59)&gt;1,"Duplicate record","")</f>
        <v/>
      </c>
      <c r="M59" s="4" t="str">
        <f>IF(OR(Customers!U59&lt;300,Customers!U59&gt;850),"Score out of range","")</f>
        <v/>
      </c>
      <c r="N59" s="4" t="str">
        <f>IF(AND(Customers!G59&lt;&gt;"",Customers!G59&lt;=0),"Income ≤ 0","")</f>
        <v/>
      </c>
      <c r="O59" s="4" t="str">
        <f>IF(OR(Customers!G59="",Customers!M59=""),"Missing value","")</f>
        <v/>
      </c>
      <c r="P59" s="4">
        <f t="shared" si="0"/>
        <v>0</v>
      </c>
    </row>
    <row r="60" spans="1:16" x14ac:dyDescent="0.25">
      <c r="A60" s="4" t="str">
        <f>Customers!A60</f>
        <v>CL00059</v>
      </c>
      <c r="B60" s="20">
        <f>IF(Customers!G60="","",(Customers!G60-Statistics!$C$7)/Statistics!$C$9)</f>
        <v>-6.656054384909646E-2</v>
      </c>
      <c r="C60" s="4" t="str">
        <f>IF(Customers!G60="","",IF(OR(Customers!G60&lt;Statistics!$C$15,Customers!G60&gt;Statistics!$C$16),"Outside 1.5·IQR",""))</f>
        <v/>
      </c>
      <c r="D60" s="4" t="str">
        <f>IF(OR(Customers!B60&lt;18,Customers!B60&gt;100),"Implausible age","")</f>
        <v/>
      </c>
      <c r="E60" s="4" t="str">
        <f>IF(Customers!H60&gt;Customers!B60-18,"Tenure &gt; age-18","")</f>
        <v/>
      </c>
      <c r="F60" s="4" t="str">
        <f>IF(Customers!R60&gt;Customers!Q60,"Card spend &gt; limit","")</f>
        <v/>
      </c>
      <c r="G60" s="4" t="str">
        <f>IF(OR(AND(Customers!S60&gt;0,Customers!T60=0),AND(Customers!S60=0,Customers!T60&gt;0)),"Mortgage/payment inconsistent","")</f>
        <v/>
      </c>
      <c r="H60" s="4" t="str">
        <f>IF(AND(Customers!G60&lt;&gt;"",Customers!G60&gt;0,Customers!T60&gt;Customers!G60/12),"Payment &gt; monthly income","")</f>
        <v/>
      </c>
      <c r="I60" s="4" t="str">
        <f>IF(OR(Customers!I60&gt;DATE(2026,9,13),YEAR(Customers!I60)&lt;1980),"Implausible date","")</f>
        <v/>
      </c>
      <c r="J60" s="4" t="str">
        <f>IF(Customers!I60&gt;DATE(2026,9,13),"",IF(ABS(INT((DATE(2026,9,13)-Customers!I60)/365.25)-Customers!H60)&gt;1,"Date/tenure inconsistent",""))</f>
        <v/>
      </c>
      <c r="K60" s="4" t="str">
        <f>IF(COUNTIF(Customers!$A$2:$A$1001,Customers!A60)&gt;1,"Duplicate ID","")</f>
        <v/>
      </c>
      <c r="L60" s="4" t="str">
        <f>IF(COUNTIFS(Customers!$B$2:$B$1001,Customers!B60,Customers!$D$2:$D$1001,Customers!D60,Customers!$G$2:$G$1001,Customers!G60,Customers!$I$2:$I$1001,Customers!I60,Customers!$L$2:$L$1001,Customers!L60)&gt;1,"Duplicate record","")</f>
        <v/>
      </c>
      <c r="M60" s="4" t="str">
        <f>IF(OR(Customers!U60&lt;300,Customers!U60&gt;850),"Score out of range","")</f>
        <v/>
      </c>
      <c r="N60" s="4" t="str">
        <f>IF(AND(Customers!G60&lt;&gt;"",Customers!G60&lt;=0),"Income ≤ 0","")</f>
        <v/>
      </c>
      <c r="O60" s="4" t="str">
        <f>IF(OR(Customers!G60="",Customers!M60=""),"Missing value","")</f>
        <v/>
      </c>
      <c r="P60" s="4">
        <f t="shared" si="0"/>
        <v>0</v>
      </c>
    </row>
    <row r="61" spans="1:16" x14ac:dyDescent="0.25">
      <c r="A61" s="4" t="str">
        <f>Customers!A61</f>
        <v>CL00060</v>
      </c>
      <c r="B61" s="20">
        <f>IF(Customers!G61="","",(Customers!G61-Statistics!$C$7)/Statistics!$C$9)</f>
        <v>-4.0952535307976025E-2</v>
      </c>
      <c r="C61" s="4" t="str">
        <f>IF(Customers!G61="","",IF(OR(Customers!G61&lt;Statistics!$C$15,Customers!G61&gt;Statistics!$C$16),"Outside 1.5·IQR",""))</f>
        <v/>
      </c>
      <c r="D61" s="4" t="str">
        <f>IF(OR(Customers!B61&lt;18,Customers!B61&gt;100),"Implausible age","")</f>
        <v/>
      </c>
      <c r="E61" s="4" t="str">
        <f>IF(Customers!H61&gt;Customers!B61-18,"Tenure &gt; age-18","")</f>
        <v/>
      </c>
      <c r="F61" s="4" t="str">
        <f>IF(Customers!R61&gt;Customers!Q61,"Card spend &gt; limit","")</f>
        <v/>
      </c>
      <c r="G61" s="4" t="str">
        <f>IF(OR(AND(Customers!S61&gt;0,Customers!T61=0),AND(Customers!S61=0,Customers!T61&gt;0)),"Mortgage/payment inconsistent","")</f>
        <v/>
      </c>
      <c r="H61" s="4" t="str">
        <f>IF(AND(Customers!G61&lt;&gt;"",Customers!G61&gt;0,Customers!T61&gt;Customers!G61/12),"Payment &gt; monthly income","")</f>
        <v/>
      </c>
      <c r="I61" s="4" t="str">
        <f>IF(OR(Customers!I61&gt;DATE(2026,9,13),YEAR(Customers!I61)&lt;1980),"Implausible date","")</f>
        <v/>
      </c>
      <c r="J61" s="4" t="str">
        <f>IF(Customers!I61&gt;DATE(2026,9,13),"",IF(ABS(INT((DATE(2026,9,13)-Customers!I61)/365.25)-Customers!H61)&gt;1,"Date/tenure inconsistent",""))</f>
        <v/>
      </c>
      <c r="K61" s="4" t="str">
        <f>IF(COUNTIF(Customers!$A$2:$A$1001,Customers!A61)&gt;1,"Duplicate ID","")</f>
        <v/>
      </c>
      <c r="L61" s="4" t="str">
        <f>IF(COUNTIFS(Customers!$B$2:$B$1001,Customers!B61,Customers!$D$2:$D$1001,Customers!D61,Customers!$G$2:$G$1001,Customers!G61,Customers!$I$2:$I$1001,Customers!I61,Customers!$L$2:$L$1001,Customers!L61)&gt;1,"Duplicate record","")</f>
        <v/>
      </c>
      <c r="M61" s="4" t="str">
        <f>IF(OR(Customers!U61&lt;300,Customers!U61&gt;850),"Score out of range","")</f>
        <v/>
      </c>
      <c r="N61" s="4" t="str">
        <f>IF(AND(Customers!G61&lt;&gt;"",Customers!G61&lt;=0),"Income ≤ 0","")</f>
        <v/>
      </c>
      <c r="O61" s="4" t="str">
        <f>IF(OR(Customers!G61="",Customers!M61=""),"Missing value","")</f>
        <v/>
      </c>
      <c r="P61" s="4">
        <f t="shared" si="0"/>
        <v>0</v>
      </c>
    </row>
    <row r="62" spans="1:16" x14ac:dyDescent="0.25">
      <c r="A62" s="4" t="str">
        <f>Customers!A62</f>
        <v>CL00061</v>
      </c>
      <c r="B62" s="20">
        <f>IF(Customers!G62="","",(Customers!G62-Statistics!$C$7)/Statistics!$C$9)</f>
        <v>-4.439976722697301E-2</v>
      </c>
      <c r="C62" s="4" t="str">
        <f>IF(Customers!G62="","",IF(OR(Customers!G62&lt;Statistics!$C$15,Customers!G62&gt;Statistics!$C$16),"Outside 1.5·IQR",""))</f>
        <v/>
      </c>
      <c r="D62" s="4" t="str">
        <f>IF(OR(Customers!B62&lt;18,Customers!B62&gt;100),"Implausible age","")</f>
        <v/>
      </c>
      <c r="E62" s="4" t="str">
        <f>IF(Customers!H62&gt;Customers!B62-18,"Tenure &gt; age-18","")</f>
        <v/>
      </c>
      <c r="F62" s="4" t="str">
        <f>IF(Customers!R62&gt;Customers!Q62,"Card spend &gt; limit","")</f>
        <v/>
      </c>
      <c r="G62" s="4" t="str">
        <f>IF(OR(AND(Customers!S62&gt;0,Customers!T62=0),AND(Customers!S62=0,Customers!T62&gt;0)),"Mortgage/payment inconsistent","")</f>
        <v/>
      </c>
      <c r="H62" s="4" t="str">
        <f>IF(AND(Customers!G62&lt;&gt;"",Customers!G62&gt;0,Customers!T62&gt;Customers!G62/12),"Payment &gt; monthly income","")</f>
        <v/>
      </c>
      <c r="I62" s="4" t="str">
        <f>IF(OR(Customers!I62&gt;DATE(2026,9,13),YEAR(Customers!I62)&lt;1980),"Implausible date","")</f>
        <v/>
      </c>
      <c r="J62" s="4" t="str">
        <f>IF(Customers!I62&gt;DATE(2026,9,13),"",IF(ABS(INT((DATE(2026,9,13)-Customers!I62)/365.25)-Customers!H62)&gt;1,"Date/tenure inconsistent",""))</f>
        <v/>
      </c>
      <c r="K62" s="4" t="str">
        <f>IF(COUNTIF(Customers!$A$2:$A$1001,Customers!A62)&gt;1,"Duplicate ID","")</f>
        <v/>
      </c>
      <c r="L62" s="4" t="str">
        <f>IF(COUNTIFS(Customers!$B$2:$B$1001,Customers!B62,Customers!$D$2:$D$1001,Customers!D62,Customers!$G$2:$G$1001,Customers!G62,Customers!$I$2:$I$1001,Customers!I62,Customers!$L$2:$L$1001,Customers!L62)&gt;1,"Duplicate record","")</f>
        <v/>
      </c>
      <c r="M62" s="4" t="str">
        <f>IF(OR(Customers!U62&lt;300,Customers!U62&gt;850),"Score out of range","")</f>
        <v>Score out of range</v>
      </c>
      <c r="N62" s="4" t="str">
        <f>IF(AND(Customers!G62&lt;&gt;"",Customers!G62&lt;=0),"Income ≤ 0","")</f>
        <v/>
      </c>
      <c r="O62" s="4" t="str">
        <f>IF(OR(Customers!G62="",Customers!M62=""),"Missing value","")</f>
        <v/>
      </c>
      <c r="P62" s="4">
        <f t="shared" si="0"/>
        <v>1</v>
      </c>
    </row>
    <row r="63" spans="1:16" x14ac:dyDescent="0.25">
      <c r="A63" s="4" t="str">
        <f>Customers!A63</f>
        <v>CL00062</v>
      </c>
      <c r="B63" s="20">
        <f>IF(Customers!G63="","",(Customers!G63-Statistics!$C$7)/Statistics!$C$9)</f>
        <v>-6.8136421297780803E-2</v>
      </c>
      <c r="C63" s="4" t="str">
        <f>IF(Customers!G63="","",IF(OR(Customers!G63&lt;Statistics!$C$15,Customers!G63&gt;Statistics!$C$16),"Outside 1.5·IQR",""))</f>
        <v/>
      </c>
      <c r="D63" s="4" t="str">
        <f>IF(OR(Customers!B63&lt;18,Customers!B63&gt;100),"Implausible age","")</f>
        <v/>
      </c>
      <c r="E63" s="4" t="str">
        <f>IF(Customers!H63&gt;Customers!B63-18,"Tenure &gt; age-18","")</f>
        <v/>
      </c>
      <c r="F63" s="4" t="str">
        <f>IF(Customers!R63&gt;Customers!Q63,"Card spend &gt; limit","")</f>
        <v/>
      </c>
      <c r="G63" s="4" t="str">
        <f>IF(OR(AND(Customers!S63&gt;0,Customers!T63=0),AND(Customers!S63=0,Customers!T63&gt;0)),"Mortgage/payment inconsistent","")</f>
        <v/>
      </c>
      <c r="H63" s="4" t="str">
        <f>IF(AND(Customers!G63&lt;&gt;"",Customers!G63&gt;0,Customers!T63&gt;Customers!G63/12),"Payment &gt; monthly income","")</f>
        <v/>
      </c>
      <c r="I63" s="4" t="str">
        <f>IF(OR(Customers!I63&gt;DATE(2026,9,13),YEAR(Customers!I63)&lt;1980),"Implausible date","")</f>
        <v/>
      </c>
      <c r="J63" s="4" t="str">
        <f>IF(Customers!I63&gt;DATE(2026,9,13),"",IF(ABS(INT((DATE(2026,9,13)-Customers!I63)/365.25)-Customers!H63)&gt;1,"Date/tenure inconsistent",""))</f>
        <v/>
      </c>
      <c r="K63" s="4" t="str">
        <f>IF(COUNTIF(Customers!$A$2:$A$1001,Customers!A63)&gt;1,"Duplicate ID","")</f>
        <v/>
      </c>
      <c r="L63" s="4" t="str">
        <f>IF(COUNTIFS(Customers!$B$2:$B$1001,Customers!B63,Customers!$D$2:$D$1001,Customers!D63,Customers!$G$2:$G$1001,Customers!G63,Customers!$I$2:$I$1001,Customers!I63,Customers!$L$2:$L$1001,Customers!L63)&gt;1,"Duplicate record","")</f>
        <v/>
      </c>
      <c r="M63" s="4" t="str">
        <f>IF(OR(Customers!U63&lt;300,Customers!U63&gt;850),"Score out of range","")</f>
        <v/>
      </c>
      <c r="N63" s="4" t="str">
        <f>IF(AND(Customers!G63&lt;&gt;"",Customers!G63&lt;=0),"Income ≤ 0","")</f>
        <v/>
      </c>
      <c r="O63" s="4" t="str">
        <f>IF(OR(Customers!G63="",Customers!M63=""),"Missing value","")</f>
        <v/>
      </c>
      <c r="P63" s="4">
        <f t="shared" si="0"/>
        <v>0</v>
      </c>
    </row>
    <row r="64" spans="1:16" x14ac:dyDescent="0.25">
      <c r="A64" s="4" t="str">
        <f>Customers!A64</f>
        <v>CL00063</v>
      </c>
      <c r="B64" s="20">
        <f>IF(Customers!G64="","",(Customers!G64-Statistics!$C$7)/Statistics!$C$9)</f>
        <v>-4.8733430210854932E-2</v>
      </c>
      <c r="C64" s="4" t="str">
        <f>IF(Customers!G64="","",IF(OR(Customers!G64&lt;Statistics!$C$15,Customers!G64&gt;Statistics!$C$16),"Outside 1.5·IQR",""))</f>
        <v/>
      </c>
      <c r="D64" s="4" t="str">
        <f>IF(OR(Customers!B64&lt;18,Customers!B64&gt;100),"Implausible age","")</f>
        <v/>
      </c>
      <c r="E64" s="4" t="str">
        <f>IF(Customers!H64&gt;Customers!B64-18,"Tenure &gt; age-18","")</f>
        <v/>
      </c>
      <c r="F64" s="4" t="str">
        <f>IF(Customers!R64&gt;Customers!Q64,"Card spend &gt; limit","")</f>
        <v/>
      </c>
      <c r="G64" s="4" t="str">
        <f>IF(OR(AND(Customers!S64&gt;0,Customers!T64=0),AND(Customers!S64=0,Customers!T64&gt;0)),"Mortgage/payment inconsistent","")</f>
        <v/>
      </c>
      <c r="H64" s="4" t="str">
        <f>IF(AND(Customers!G64&lt;&gt;"",Customers!G64&gt;0,Customers!T64&gt;Customers!G64/12),"Payment &gt; monthly income","")</f>
        <v/>
      </c>
      <c r="I64" s="4" t="str">
        <f>IF(OR(Customers!I64&gt;DATE(2026,9,13),YEAR(Customers!I64)&lt;1980),"Implausible date","")</f>
        <v/>
      </c>
      <c r="J64" s="4" t="str">
        <f>IF(Customers!I64&gt;DATE(2026,9,13),"",IF(ABS(INT((DATE(2026,9,13)-Customers!I64)/365.25)-Customers!H64)&gt;1,"Date/tenure inconsistent",""))</f>
        <v/>
      </c>
      <c r="K64" s="4" t="str">
        <f>IF(COUNTIF(Customers!$A$2:$A$1001,Customers!A64)&gt;1,"Duplicate ID","")</f>
        <v/>
      </c>
      <c r="L64" s="4" t="str">
        <f>IF(COUNTIFS(Customers!$B$2:$B$1001,Customers!B64,Customers!$D$2:$D$1001,Customers!D64,Customers!$G$2:$G$1001,Customers!G64,Customers!$I$2:$I$1001,Customers!I64,Customers!$L$2:$L$1001,Customers!L64)&gt;1,"Duplicate record","")</f>
        <v/>
      </c>
      <c r="M64" s="4" t="str">
        <f>IF(OR(Customers!U64&lt;300,Customers!U64&gt;850),"Score out of range","")</f>
        <v/>
      </c>
      <c r="N64" s="4" t="str">
        <f>IF(AND(Customers!G64&lt;&gt;"",Customers!G64&lt;=0),"Income ≤ 0","")</f>
        <v/>
      </c>
      <c r="O64" s="4" t="str">
        <f>IF(OR(Customers!G64="",Customers!M64=""),"Missing value","")</f>
        <v/>
      </c>
      <c r="P64" s="4">
        <f t="shared" si="0"/>
        <v>0</v>
      </c>
    </row>
    <row r="65" spans="1:16" x14ac:dyDescent="0.25">
      <c r="A65" s="4" t="str">
        <f>Customers!A65</f>
        <v>CL00064</v>
      </c>
      <c r="B65" s="20">
        <f>IF(Customers!G65="","",(Customers!G65-Statistics!$C$7)/Statistics!$C$9)</f>
        <v>1.0361974114807609E-2</v>
      </c>
      <c r="C65" s="4" t="str">
        <f>IF(Customers!G65="","",IF(OR(Customers!G65&lt;Statistics!$C$15,Customers!G65&gt;Statistics!$C$16),"Outside 1.5·IQR",""))</f>
        <v>Outside 1.5·IQR</v>
      </c>
      <c r="D65" s="4" t="str">
        <f>IF(OR(Customers!B65&lt;18,Customers!B65&gt;100),"Implausible age","")</f>
        <v/>
      </c>
      <c r="E65" s="4" t="str">
        <f>IF(Customers!H65&gt;Customers!B65-18,"Tenure &gt; age-18","")</f>
        <v/>
      </c>
      <c r="F65" s="4" t="str">
        <f>IF(Customers!R65&gt;Customers!Q65,"Card spend &gt; limit","")</f>
        <v/>
      </c>
      <c r="G65" s="4" t="str">
        <f>IF(OR(AND(Customers!S65&gt;0,Customers!T65=0),AND(Customers!S65=0,Customers!T65&gt;0)),"Mortgage/payment inconsistent","")</f>
        <v/>
      </c>
      <c r="H65" s="4" t="str">
        <f>IF(AND(Customers!G65&lt;&gt;"",Customers!G65&gt;0,Customers!T65&gt;Customers!G65/12),"Payment &gt; monthly income","")</f>
        <v/>
      </c>
      <c r="I65" s="4" t="str">
        <f>IF(OR(Customers!I65&gt;DATE(2026,9,13),YEAR(Customers!I65)&lt;1980),"Implausible date","")</f>
        <v/>
      </c>
      <c r="J65" s="4" t="str">
        <f>IF(Customers!I65&gt;DATE(2026,9,13),"",IF(ABS(INT((DATE(2026,9,13)-Customers!I65)/365.25)-Customers!H65)&gt;1,"Date/tenure inconsistent",""))</f>
        <v/>
      </c>
      <c r="K65" s="4" t="str">
        <f>IF(COUNTIF(Customers!$A$2:$A$1001,Customers!A65)&gt;1,"Duplicate ID","")</f>
        <v/>
      </c>
      <c r="L65" s="4" t="str">
        <f>IF(COUNTIFS(Customers!$B$2:$B$1001,Customers!B65,Customers!$D$2:$D$1001,Customers!D65,Customers!$G$2:$G$1001,Customers!G65,Customers!$I$2:$I$1001,Customers!I65,Customers!$L$2:$L$1001,Customers!L65)&gt;1,"Duplicate record","")</f>
        <v/>
      </c>
      <c r="M65" s="4" t="str">
        <f>IF(OR(Customers!U65&lt;300,Customers!U65&gt;850),"Score out of range","")</f>
        <v/>
      </c>
      <c r="N65" s="4" t="str">
        <f>IF(AND(Customers!G65&lt;&gt;"",Customers!G65&lt;=0),"Income ≤ 0","")</f>
        <v/>
      </c>
      <c r="O65" s="4" t="str">
        <f>IF(OR(Customers!G65="",Customers!M65=""),"Missing value","")</f>
        <v/>
      </c>
      <c r="P65" s="4">
        <f t="shared" si="0"/>
        <v>1</v>
      </c>
    </row>
    <row r="66" spans="1:16" x14ac:dyDescent="0.25">
      <c r="A66" s="4" t="str">
        <f>Customers!A66</f>
        <v>CL00065</v>
      </c>
      <c r="B66" s="20">
        <f>IF(Customers!G66="","",(Customers!G66-Statistics!$C$7)/Statistics!$C$9)</f>
        <v>-5.4642970643421183E-2</v>
      </c>
      <c r="C66" s="4" t="str">
        <f>IF(Customers!G66="","",IF(OR(Customers!G66&lt;Statistics!$C$15,Customers!G66&gt;Statistics!$C$16),"Outside 1.5·IQR",""))</f>
        <v/>
      </c>
      <c r="D66" s="4" t="str">
        <f>IF(OR(Customers!B66&lt;18,Customers!B66&gt;100),"Implausible age","")</f>
        <v/>
      </c>
      <c r="E66" s="4" t="str">
        <f>IF(Customers!H66&gt;Customers!B66-18,"Tenure &gt; age-18","")</f>
        <v/>
      </c>
      <c r="F66" s="4" t="str">
        <f>IF(Customers!R66&gt;Customers!Q66,"Card spend &gt; limit","")</f>
        <v/>
      </c>
      <c r="G66" s="4" t="str">
        <f>IF(OR(AND(Customers!S66&gt;0,Customers!T66=0),AND(Customers!S66=0,Customers!T66&gt;0)),"Mortgage/payment inconsistent","")</f>
        <v/>
      </c>
      <c r="H66" s="4" t="str">
        <f>IF(AND(Customers!G66&lt;&gt;"",Customers!G66&gt;0,Customers!T66&gt;Customers!G66/12),"Payment &gt; monthly income","")</f>
        <v/>
      </c>
      <c r="I66" s="4" t="str">
        <f>IF(OR(Customers!I66&gt;DATE(2026,9,13),YEAR(Customers!I66)&lt;1980),"Implausible date","")</f>
        <v/>
      </c>
      <c r="J66" s="4" t="str">
        <f>IF(Customers!I66&gt;DATE(2026,9,13),"",IF(ABS(INT((DATE(2026,9,13)-Customers!I66)/365.25)-Customers!H66)&gt;1,"Date/tenure inconsistent",""))</f>
        <v/>
      </c>
      <c r="K66" s="4" t="str">
        <f>IF(COUNTIF(Customers!$A$2:$A$1001,Customers!A66)&gt;1,"Duplicate ID","")</f>
        <v/>
      </c>
      <c r="L66" s="4" t="str">
        <f>IF(COUNTIFS(Customers!$B$2:$B$1001,Customers!B66,Customers!$D$2:$D$1001,Customers!D66,Customers!$G$2:$G$1001,Customers!G66,Customers!$I$2:$I$1001,Customers!I66,Customers!$L$2:$L$1001,Customers!L66)&gt;1,"Duplicate record","")</f>
        <v/>
      </c>
      <c r="M66" s="4" t="str">
        <f>IF(OR(Customers!U66&lt;300,Customers!U66&gt;850),"Score out of range","")</f>
        <v/>
      </c>
      <c r="N66" s="4" t="str">
        <f>IF(AND(Customers!G66&lt;&gt;"",Customers!G66&lt;=0),"Income ≤ 0","")</f>
        <v/>
      </c>
      <c r="O66" s="4" t="str">
        <f>IF(OR(Customers!G66="",Customers!M66=""),"Missing value","")</f>
        <v/>
      </c>
      <c r="P66" s="4">
        <f t="shared" ref="P66:P129" si="1">SUMPRODUCT(--(C66:O66&lt;&gt;""))</f>
        <v>0</v>
      </c>
    </row>
    <row r="67" spans="1:16" x14ac:dyDescent="0.25">
      <c r="A67" s="4" t="str">
        <f>Customers!A67</f>
        <v>CL00066</v>
      </c>
      <c r="B67" s="20">
        <f>IF(Customers!G67="","",(Customers!G67-Statistics!$C$7)/Statistics!$C$9)</f>
        <v>1.1346897520235318E-2</v>
      </c>
      <c r="C67" s="4" t="str">
        <f>IF(Customers!G67="","",IF(OR(Customers!G67&lt;Statistics!$C$15,Customers!G67&gt;Statistics!$C$16),"Outside 1.5·IQR",""))</f>
        <v>Outside 1.5·IQR</v>
      </c>
      <c r="D67" s="4" t="str">
        <f>IF(OR(Customers!B67&lt;18,Customers!B67&gt;100),"Implausible age","")</f>
        <v/>
      </c>
      <c r="E67" s="4" t="str">
        <f>IF(Customers!H67&gt;Customers!B67-18,"Tenure &gt; age-18","")</f>
        <v/>
      </c>
      <c r="F67" s="4" t="str">
        <f>IF(Customers!R67&gt;Customers!Q67,"Card spend &gt; limit","")</f>
        <v/>
      </c>
      <c r="G67" s="4" t="str">
        <f>IF(OR(AND(Customers!S67&gt;0,Customers!T67=0),AND(Customers!S67=0,Customers!T67&gt;0)),"Mortgage/payment inconsistent","")</f>
        <v/>
      </c>
      <c r="H67" s="4" t="str">
        <f>IF(AND(Customers!G67&lt;&gt;"",Customers!G67&gt;0,Customers!T67&gt;Customers!G67/12),"Payment &gt; monthly income","")</f>
        <v/>
      </c>
      <c r="I67" s="4" t="str">
        <f>IF(OR(Customers!I67&gt;DATE(2026,9,13),YEAR(Customers!I67)&lt;1980),"Implausible date","")</f>
        <v/>
      </c>
      <c r="J67" s="4" t="str">
        <f>IF(Customers!I67&gt;DATE(2026,9,13),"",IF(ABS(INT((DATE(2026,9,13)-Customers!I67)/365.25)-Customers!H67)&gt;1,"Date/tenure inconsistent",""))</f>
        <v/>
      </c>
      <c r="K67" s="4" t="str">
        <f>IF(COUNTIF(Customers!$A$2:$A$1001,Customers!A67)&gt;1,"Duplicate ID","")</f>
        <v/>
      </c>
      <c r="L67" s="4" t="str">
        <f>IF(COUNTIFS(Customers!$B$2:$B$1001,Customers!B67,Customers!$D$2:$D$1001,Customers!D67,Customers!$G$2:$G$1001,Customers!G67,Customers!$I$2:$I$1001,Customers!I67,Customers!$L$2:$L$1001,Customers!L67)&gt;1,"Duplicate record","")</f>
        <v/>
      </c>
      <c r="M67" s="4" t="str">
        <f>IF(OR(Customers!U67&lt;300,Customers!U67&gt;850),"Score out of range","")</f>
        <v/>
      </c>
      <c r="N67" s="4" t="str">
        <f>IF(AND(Customers!G67&lt;&gt;"",Customers!G67&lt;=0),"Income ≤ 0","")</f>
        <v/>
      </c>
      <c r="O67" s="4" t="str">
        <f>IF(OR(Customers!G67="",Customers!M67=""),"Missing value","")</f>
        <v/>
      </c>
      <c r="P67" s="4">
        <f t="shared" si="1"/>
        <v>1</v>
      </c>
    </row>
    <row r="68" spans="1:16" x14ac:dyDescent="0.25">
      <c r="A68" s="4" t="str">
        <f>Customers!A68</f>
        <v>CL00067</v>
      </c>
      <c r="B68" s="20">
        <f>IF(Customers!G68="","",(Customers!G68-Statistics!$C$7)/Statistics!$C$9)</f>
        <v>-5.740075617861877E-2</v>
      </c>
      <c r="C68" s="4" t="str">
        <f>IF(Customers!G68="","",IF(OR(Customers!G68&lt;Statistics!$C$15,Customers!G68&gt;Statistics!$C$16),"Outside 1.5·IQR",""))</f>
        <v/>
      </c>
      <c r="D68" s="4" t="str">
        <f>IF(OR(Customers!B68&lt;18,Customers!B68&gt;100),"Implausible age","")</f>
        <v/>
      </c>
      <c r="E68" s="4" t="str">
        <f>IF(Customers!H68&gt;Customers!B68-18,"Tenure &gt; age-18","")</f>
        <v/>
      </c>
      <c r="F68" s="4" t="str">
        <f>IF(Customers!R68&gt;Customers!Q68,"Card spend &gt; limit","")</f>
        <v/>
      </c>
      <c r="G68" s="4" t="str">
        <f>IF(OR(AND(Customers!S68&gt;0,Customers!T68=0),AND(Customers!S68=0,Customers!T68&gt;0)),"Mortgage/payment inconsistent","")</f>
        <v/>
      </c>
      <c r="H68" s="4" t="str">
        <f>IF(AND(Customers!G68&lt;&gt;"",Customers!G68&gt;0,Customers!T68&gt;Customers!G68/12),"Payment &gt; monthly income","")</f>
        <v/>
      </c>
      <c r="I68" s="4" t="str">
        <f>IF(OR(Customers!I68&gt;DATE(2026,9,13),YEAR(Customers!I68)&lt;1980),"Implausible date","")</f>
        <v/>
      </c>
      <c r="J68" s="4" t="str">
        <f>IF(Customers!I68&gt;DATE(2026,9,13),"",IF(ABS(INT((DATE(2026,9,13)-Customers!I68)/365.25)-Customers!H68)&gt;1,"Date/tenure inconsistent",""))</f>
        <v/>
      </c>
      <c r="K68" s="4" t="str">
        <f>IF(COUNTIF(Customers!$A$2:$A$1001,Customers!A68)&gt;1,"Duplicate ID","")</f>
        <v/>
      </c>
      <c r="L68" s="4" t="str">
        <f>IF(COUNTIFS(Customers!$B$2:$B$1001,Customers!B68,Customers!$D$2:$D$1001,Customers!D68,Customers!$G$2:$G$1001,Customers!G68,Customers!$I$2:$I$1001,Customers!I68,Customers!$L$2:$L$1001,Customers!L68)&gt;1,"Duplicate record","")</f>
        <v/>
      </c>
      <c r="M68" s="4" t="str">
        <f>IF(OR(Customers!U68&lt;300,Customers!U68&gt;850),"Score out of range","")</f>
        <v/>
      </c>
      <c r="N68" s="4" t="str">
        <f>IF(AND(Customers!G68&lt;&gt;"",Customers!G68&lt;=0),"Income ≤ 0","")</f>
        <v/>
      </c>
      <c r="O68" s="4" t="str">
        <f>IF(OR(Customers!G68="",Customers!M68=""),"Missing value","")</f>
        <v/>
      </c>
      <c r="P68" s="4">
        <f t="shared" si="1"/>
        <v>0</v>
      </c>
    </row>
    <row r="69" spans="1:16" x14ac:dyDescent="0.25">
      <c r="A69" s="4" t="str">
        <f>Customers!A69</f>
        <v>CL00068</v>
      </c>
      <c r="B69" s="20">
        <f>IF(Customers!G69="","",(Customers!G69-Statistics!$C$7)/Statistics!$C$9)</f>
        <v>-6.6265066827468147E-2</v>
      </c>
      <c r="C69" s="4" t="str">
        <f>IF(Customers!G69="","",IF(OR(Customers!G69&lt;Statistics!$C$15,Customers!G69&gt;Statistics!$C$16),"Outside 1.5·IQR",""))</f>
        <v/>
      </c>
      <c r="D69" s="4" t="str">
        <f>IF(OR(Customers!B69&lt;18,Customers!B69&gt;100),"Implausible age","")</f>
        <v/>
      </c>
      <c r="E69" s="4" t="str">
        <f>IF(Customers!H69&gt;Customers!B69-18,"Tenure &gt; age-18","")</f>
        <v/>
      </c>
      <c r="F69" s="4" t="str">
        <f>IF(Customers!R69&gt;Customers!Q69,"Card spend &gt; limit","")</f>
        <v/>
      </c>
      <c r="G69" s="4" t="str">
        <f>IF(OR(AND(Customers!S69&gt;0,Customers!T69=0),AND(Customers!S69=0,Customers!T69&gt;0)),"Mortgage/payment inconsistent","")</f>
        <v/>
      </c>
      <c r="H69" s="4" t="str">
        <f>IF(AND(Customers!G69&lt;&gt;"",Customers!G69&gt;0,Customers!T69&gt;Customers!G69/12),"Payment &gt; monthly income","")</f>
        <v/>
      </c>
      <c r="I69" s="4" t="str">
        <f>IF(OR(Customers!I69&gt;DATE(2026,9,13),YEAR(Customers!I69)&lt;1980),"Implausible date","")</f>
        <v/>
      </c>
      <c r="J69" s="4" t="str">
        <f>IF(Customers!I69&gt;DATE(2026,9,13),"",IF(ABS(INT((DATE(2026,9,13)-Customers!I69)/365.25)-Customers!H69)&gt;1,"Date/tenure inconsistent",""))</f>
        <v/>
      </c>
      <c r="K69" s="4" t="str">
        <f>IF(COUNTIF(Customers!$A$2:$A$1001,Customers!A69)&gt;1,"Duplicate ID","")</f>
        <v/>
      </c>
      <c r="L69" s="4" t="str">
        <f>IF(COUNTIFS(Customers!$B$2:$B$1001,Customers!B69,Customers!$D$2:$D$1001,Customers!D69,Customers!$G$2:$G$1001,Customers!G69,Customers!$I$2:$I$1001,Customers!I69,Customers!$L$2:$L$1001,Customers!L69)&gt;1,"Duplicate record","")</f>
        <v/>
      </c>
      <c r="M69" s="4" t="str">
        <f>IF(OR(Customers!U69&lt;300,Customers!U69&gt;850),"Score out of range","")</f>
        <v/>
      </c>
      <c r="N69" s="4" t="str">
        <f>IF(AND(Customers!G69&lt;&gt;"",Customers!G69&lt;=0),"Income ≤ 0","")</f>
        <v/>
      </c>
      <c r="O69" s="4" t="str">
        <f>IF(OR(Customers!G69="",Customers!M69=""),"Missing value","")</f>
        <v/>
      </c>
      <c r="P69" s="4">
        <f t="shared" si="1"/>
        <v>0</v>
      </c>
    </row>
    <row r="70" spans="1:16" x14ac:dyDescent="0.25">
      <c r="A70" s="4" t="str">
        <f>Customers!A70</f>
        <v>CL00069</v>
      </c>
      <c r="B70" s="20">
        <f>IF(Customers!G70="","",(Customers!G70-Statistics!$C$7)/Statistics!$C$9)</f>
        <v>-5.3264077875822394E-2</v>
      </c>
      <c r="C70" s="4" t="str">
        <f>IF(Customers!G70="","",IF(OR(Customers!G70&lt;Statistics!$C$15,Customers!G70&gt;Statistics!$C$16),"Outside 1.5·IQR",""))</f>
        <v/>
      </c>
      <c r="D70" s="4" t="str">
        <f>IF(OR(Customers!B70&lt;18,Customers!B70&gt;100),"Implausible age","")</f>
        <v/>
      </c>
      <c r="E70" s="4" t="str">
        <f>IF(Customers!H70&gt;Customers!B70-18,"Tenure &gt; age-18","")</f>
        <v/>
      </c>
      <c r="F70" s="4" t="str">
        <f>IF(Customers!R70&gt;Customers!Q70,"Card spend &gt; limit","")</f>
        <v/>
      </c>
      <c r="G70" s="4" t="str">
        <f>IF(OR(AND(Customers!S70&gt;0,Customers!T70=0),AND(Customers!S70=0,Customers!T70&gt;0)),"Mortgage/payment inconsistent","")</f>
        <v/>
      </c>
      <c r="H70" s="4" t="str">
        <f>IF(AND(Customers!G70&lt;&gt;"",Customers!G70&gt;0,Customers!T70&gt;Customers!G70/12),"Payment &gt; monthly income","")</f>
        <v/>
      </c>
      <c r="I70" s="4" t="str">
        <f>IF(OR(Customers!I70&gt;DATE(2026,9,13),YEAR(Customers!I70)&lt;1980),"Implausible date","")</f>
        <v/>
      </c>
      <c r="J70" s="4" t="str">
        <f>IF(Customers!I70&gt;DATE(2026,9,13),"",IF(ABS(INT((DATE(2026,9,13)-Customers!I70)/365.25)-Customers!H70)&gt;1,"Date/tenure inconsistent",""))</f>
        <v/>
      </c>
      <c r="K70" s="4" t="str">
        <f>IF(COUNTIF(Customers!$A$2:$A$1001,Customers!A70)&gt;1,"Duplicate ID","")</f>
        <v/>
      </c>
      <c r="L70" s="4" t="str">
        <f>IF(COUNTIFS(Customers!$B$2:$B$1001,Customers!B70,Customers!$D$2:$D$1001,Customers!D70,Customers!$G$2:$G$1001,Customers!G70,Customers!$I$2:$I$1001,Customers!I70,Customers!$L$2:$L$1001,Customers!L70)&gt;1,"Duplicate record","")</f>
        <v/>
      </c>
      <c r="M70" s="4" t="str">
        <f>IF(OR(Customers!U70&lt;300,Customers!U70&gt;850),"Score out of range","")</f>
        <v/>
      </c>
      <c r="N70" s="4" t="str">
        <f>IF(AND(Customers!G70&lt;&gt;"",Customers!G70&lt;=0),"Income ≤ 0","")</f>
        <v/>
      </c>
      <c r="O70" s="4" t="str">
        <f>IF(OR(Customers!G70="",Customers!M70=""),"Missing value","")</f>
        <v/>
      </c>
      <c r="P70" s="4">
        <f t="shared" si="1"/>
        <v>0</v>
      </c>
    </row>
    <row r="71" spans="1:16" x14ac:dyDescent="0.25">
      <c r="A71" s="4" t="str">
        <f>Customers!A71</f>
        <v>CL00070</v>
      </c>
      <c r="B71" s="20">
        <f>IF(Customers!G71="","",(Customers!G71-Statistics!$C$7)/Statistics!$C$9)</f>
        <v>-5.740075617861877E-2</v>
      </c>
      <c r="C71" s="4" t="str">
        <f>IF(Customers!G71="","",IF(OR(Customers!G71&lt;Statistics!$C$15,Customers!G71&gt;Statistics!$C$16),"Outside 1.5·IQR",""))</f>
        <v/>
      </c>
      <c r="D71" s="4" t="str">
        <f>IF(OR(Customers!B71&lt;18,Customers!B71&gt;100),"Implausible age","")</f>
        <v/>
      </c>
      <c r="E71" s="4" t="str">
        <f>IF(Customers!H71&gt;Customers!B71-18,"Tenure &gt; age-18","")</f>
        <v/>
      </c>
      <c r="F71" s="4" t="str">
        <f>IF(Customers!R71&gt;Customers!Q71,"Card spend &gt; limit","")</f>
        <v/>
      </c>
      <c r="G71" s="4" t="str">
        <f>IF(OR(AND(Customers!S71&gt;0,Customers!T71=0),AND(Customers!S71=0,Customers!T71&gt;0)),"Mortgage/payment inconsistent","")</f>
        <v/>
      </c>
      <c r="H71" s="4" t="str">
        <f>IF(AND(Customers!G71&lt;&gt;"",Customers!G71&gt;0,Customers!T71&gt;Customers!G71/12),"Payment &gt; monthly income","")</f>
        <v/>
      </c>
      <c r="I71" s="4" t="str">
        <f>IF(OR(Customers!I71&gt;DATE(2026,9,13),YEAR(Customers!I71)&lt;1980),"Implausible date","")</f>
        <v/>
      </c>
      <c r="J71" s="4" t="str">
        <f>IF(Customers!I71&gt;DATE(2026,9,13),"",IF(ABS(INT((DATE(2026,9,13)-Customers!I71)/365.25)-Customers!H71)&gt;1,"Date/tenure inconsistent",""))</f>
        <v/>
      </c>
      <c r="K71" s="4" t="str">
        <f>IF(COUNTIF(Customers!$A$2:$A$1001,Customers!A71)&gt;1,"Duplicate ID","")</f>
        <v/>
      </c>
      <c r="L71" s="4" t="str">
        <f>IF(COUNTIFS(Customers!$B$2:$B$1001,Customers!B71,Customers!$D$2:$D$1001,Customers!D71,Customers!$G$2:$G$1001,Customers!G71,Customers!$I$2:$I$1001,Customers!I71,Customers!$L$2:$L$1001,Customers!L71)&gt;1,"Duplicate record","")</f>
        <v/>
      </c>
      <c r="M71" s="4" t="str">
        <f>IF(OR(Customers!U71&lt;300,Customers!U71&gt;850),"Score out of range","")</f>
        <v/>
      </c>
      <c r="N71" s="4" t="str">
        <f>IF(AND(Customers!G71&lt;&gt;"",Customers!G71&lt;=0),"Income ≤ 0","")</f>
        <v/>
      </c>
      <c r="O71" s="4" t="str">
        <f>IF(OR(Customers!G71="",Customers!M71=""),"Missing value","")</f>
        <v/>
      </c>
      <c r="P71" s="4">
        <f t="shared" si="1"/>
        <v>0</v>
      </c>
    </row>
    <row r="72" spans="1:16" x14ac:dyDescent="0.25">
      <c r="A72" s="4" t="str">
        <f>Customers!A72</f>
        <v>CL00071</v>
      </c>
      <c r="B72" s="20">
        <f>IF(Customers!G72="","",(Customers!G72-Statistics!$C$7)/Statistics!$C$9)</f>
        <v>-5.2082169789309136E-2</v>
      </c>
      <c r="C72" s="4" t="str">
        <f>IF(Customers!G72="","",IF(OR(Customers!G72&lt;Statistics!$C$15,Customers!G72&gt;Statistics!$C$16),"Outside 1.5·IQR",""))</f>
        <v/>
      </c>
      <c r="D72" s="4" t="str">
        <f>IF(OR(Customers!B72&lt;18,Customers!B72&gt;100),"Implausible age","")</f>
        <v/>
      </c>
      <c r="E72" s="4" t="str">
        <f>IF(Customers!H72&gt;Customers!B72-18,"Tenure &gt; age-18","")</f>
        <v/>
      </c>
      <c r="F72" s="4" t="str">
        <f>IF(Customers!R72&gt;Customers!Q72,"Card spend &gt; limit","")</f>
        <v/>
      </c>
      <c r="G72" s="4" t="str">
        <f>IF(OR(AND(Customers!S72&gt;0,Customers!T72=0),AND(Customers!S72=0,Customers!T72&gt;0)),"Mortgage/payment inconsistent","")</f>
        <v/>
      </c>
      <c r="H72" s="4" t="str">
        <f>IF(AND(Customers!G72&lt;&gt;"",Customers!G72&gt;0,Customers!T72&gt;Customers!G72/12),"Payment &gt; monthly income","")</f>
        <v/>
      </c>
      <c r="I72" s="4" t="str">
        <f>IF(OR(Customers!I72&gt;DATE(2026,9,13),YEAR(Customers!I72)&lt;1980),"Implausible date","")</f>
        <v/>
      </c>
      <c r="J72" s="4" t="str">
        <f>IF(Customers!I72&gt;DATE(2026,9,13),"",IF(ABS(INT((DATE(2026,9,13)-Customers!I72)/365.25)-Customers!H72)&gt;1,"Date/tenure inconsistent",""))</f>
        <v/>
      </c>
      <c r="K72" s="4" t="str">
        <f>IF(COUNTIF(Customers!$A$2:$A$1001,Customers!A72)&gt;1,"Duplicate ID","")</f>
        <v/>
      </c>
      <c r="L72" s="4" t="str">
        <f>IF(COUNTIFS(Customers!$B$2:$B$1001,Customers!B72,Customers!$D$2:$D$1001,Customers!D72,Customers!$G$2:$G$1001,Customers!G72,Customers!$I$2:$I$1001,Customers!I72,Customers!$L$2:$L$1001,Customers!L72)&gt;1,"Duplicate record","")</f>
        <v/>
      </c>
      <c r="M72" s="4" t="str">
        <f>IF(OR(Customers!U72&lt;300,Customers!U72&gt;850),"Score out of range","")</f>
        <v/>
      </c>
      <c r="N72" s="4" t="str">
        <f>IF(AND(Customers!G72&lt;&gt;"",Customers!G72&lt;=0),"Income ≤ 0","")</f>
        <v/>
      </c>
      <c r="O72" s="4" t="str">
        <f>IF(OR(Customers!G72="",Customers!M72=""),"Missing value","")</f>
        <v/>
      </c>
      <c r="P72" s="4">
        <f t="shared" si="1"/>
        <v>0</v>
      </c>
    </row>
    <row r="73" spans="1:16" x14ac:dyDescent="0.25">
      <c r="A73" s="4" t="str">
        <f>Customers!A73</f>
        <v>CL00072</v>
      </c>
      <c r="B73" s="20">
        <f>IF(Customers!G73="","",(Customers!G73-Statistics!$C$7)/Statistics!$C$9)</f>
        <v>-6.2832314369206726E-3</v>
      </c>
      <c r="C73" s="4" t="str">
        <f>IF(Customers!G73="","",IF(OR(Customers!G73&lt;Statistics!$C$15,Customers!G73&gt;Statistics!$C$16),"Outside 1.5·IQR",""))</f>
        <v/>
      </c>
      <c r="D73" s="4" t="str">
        <f>IF(OR(Customers!B73&lt;18,Customers!B73&gt;100),"Implausible age","")</f>
        <v/>
      </c>
      <c r="E73" s="4" t="str">
        <f>IF(Customers!H73&gt;Customers!B73-18,"Tenure &gt; age-18","")</f>
        <v/>
      </c>
      <c r="F73" s="4" t="str">
        <f>IF(Customers!R73&gt;Customers!Q73,"Card spend &gt; limit","")</f>
        <v/>
      </c>
      <c r="G73" s="4" t="str">
        <f>IF(OR(AND(Customers!S73&gt;0,Customers!T73=0),AND(Customers!S73=0,Customers!T73&gt;0)),"Mortgage/payment inconsistent","")</f>
        <v/>
      </c>
      <c r="H73" s="4" t="str">
        <f>IF(AND(Customers!G73&lt;&gt;"",Customers!G73&gt;0,Customers!T73&gt;Customers!G73/12),"Payment &gt; monthly income","")</f>
        <v/>
      </c>
      <c r="I73" s="4" t="str">
        <f>IF(OR(Customers!I73&gt;DATE(2026,9,13),YEAR(Customers!I73)&lt;1980),"Implausible date","")</f>
        <v/>
      </c>
      <c r="J73" s="4" t="str">
        <f>IF(Customers!I73&gt;DATE(2026,9,13),"",IF(ABS(INT((DATE(2026,9,13)-Customers!I73)/365.25)-Customers!H73)&gt;1,"Date/tenure inconsistent",""))</f>
        <v/>
      </c>
      <c r="K73" s="4" t="str">
        <f>IF(COUNTIF(Customers!$A$2:$A$1001,Customers!A73)&gt;1,"Duplicate ID","")</f>
        <v/>
      </c>
      <c r="L73" s="4" t="str">
        <f>IF(COUNTIFS(Customers!$B$2:$B$1001,Customers!B73,Customers!$D$2:$D$1001,Customers!D73,Customers!$G$2:$G$1001,Customers!G73,Customers!$I$2:$I$1001,Customers!I73,Customers!$L$2:$L$1001,Customers!L73)&gt;1,"Duplicate record","")</f>
        <v/>
      </c>
      <c r="M73" s="4" t="str">
        <f>IF(OR(Customers!U73&lt;300,Customers!U73&gt;850),"Score out of range","")</f>
        <v/>
      </c>
      <c r="N73" s="4" t="str">
        <f>IF(AND(Customers!G73&lt;&gt;"",Customers!G73&lt;=0),"Income ≤ 0","")</f>
        <v/>
      </c>
      <c r="O73" s="4" t="str">
        <f>IF(OR(Customers!G73="",Customers!M73=""),"Missing value","")</f>
        <v/>
      </c>
      <c r="P73" s="4">
        <f t="shared" si="1"/>
        <v>0</v>
      </c>
    </row>
    <row r="74" spans="1:16" x14ac:dyDescent="0.25">
      <c r="A74" s="4" t="str">
        <f>Customers!A74</f>
        <v>CL00073</v>
      </c>
      <c r="B74" s="20">
        <f>IF(Customers!G74="","",(Customers!G74-Statistics!$C$7)/Statistics!$C$9)</f>
        <v>-3.2777671042926046E-2</v>
      </c>
      <c r="C74" s="4" t="str">
        <f>IF(Customers!G74="","",IF(OR(Customers!G74&lt;Statistics!$C$15,Customers!G74&gt;Statistics!$C$16),"Outside 1.5·IQR",""))</f>
        <v/>
      </c>
      <c r="D74" s="4" t="str">
        <f>IF(OR(Customers!B74&lt;18,Customers!B74&gt;100),"Implausible age","")</f>
        <v/>
      </c>
      <c r="E74" s="4" t="str">
        <f>IF(Customers!H74&gt;Customers!B74-18,"Tenure &gt; age-18","")</f>
        <v/>
      </c>
      <c r="F74" s="4" t="str">
        <f>IF(Customers!R74&gt;Customers!Q74,"Card spend &gt; limit","")</f>
        <v/>
      </c>
      <c r="G74" s="4" t="str">
        <f>IF(OR(AND(Customers!S74&gt;0,Customers!T74=0),AND(Customers!S74=0,Customers!T74&gt;0)),"Mortgage/payment inconsistent","")</f>
        <v/>
      </c>
      <c r="H74" s="4" t="str">
        <f>IF(AND(Customers!G74&lt;&gt;"",Customers!G74&gt;0,Customers!T74&gt;Customers!G74/12),"Payment &gt; monthly income","")</f>
        <v/>
      </c>
      <c r="I74" s="4" t="str">
        <f>IF(OR(Customers!I74&gt;DATE(2026,9,13),YEAR(Customers!I74)&lt;1980),"Implausible date","")</f>
        <v/>
      </c>
      <c r="J74" s="4" t="str">
        <f>IF(Customers!I74&gt;DATE(2026,9,13),"",IF(ABS(INT((DATE(2026,9,13)-Customers!I74)/365.25)-Customers!H74)&gt;1,"Date/tenure inconsistent",""))</f>
        <v/>
      </c>
      <c r="K74" s="4" t="str">
        <f>IF(COUNTIF(Customers!$A$2:$A$1001,Customers!A74)&gt;1,"Duplicate ID","")</f>
        <v/>
      </c>
      <c r="L74" s="4" t="str">
        <f>IF(COUNTIFS(Customers!$B$2:$B$1001,Customers!B74,Customers!$D$2:$D$1001,Customers!D74,Customers!$G$2:$G$1001,Customers!G74,Customers!$I$2:$I$1001,Customers!I74,Customers!$L$2:$L$1001,Customers!L74)&gt;1,"Duplicate record","")</f>
        <v/>
      </c>
      <c r="M74" s="4" t="str">
        <f>IF(OR(Customers!U74&lt;300,Customers!U74&gt;850),"Score out of range","")</f>
        <v/>
      </c>
      <c r="N74" s="4" t="str">
        <f>IF(AND(Customers!G74&lt;&gt;"",Customers!G74&lt;=0),"Income ≤ 0","")</f>
        <v/>
      </c>
      <c r="O74" s="4" t="str">
        <f>IF(OR(Customers!G74="",Customers!M74=""),"Missing value","")</f>
        <v/>
      </c>
      <c r="P74" s="4">
        <f t="shared" si="1"/>
        <v>0</v>
      </c>
    </row>
    <row r="75" spans="1:16" x14ac:dyDescent="0.25">
      <c r="A75" s="4" t="str">
        <f>Customers!A75</f>
        <v>CL00074</v>
      </c>
      <c r="B75" s="20">
        <f>IF(Customers!G75="","",(Customers!G75-Statistics!$C$7)/Statistics!$C$9)</f>
        <v>-4.3710320843173611E-2</v>
      </c>
      <c r="C75" s="4" t="str">
        <f>IF(Customers!G75="","",IF(OR(Customers!G75&lt;Statistics!$C$15,Customers!G75&gt;Statistics!$C$16),"Outside 1.5·IQR",""))</f>
        <v/>
      </c>
      <c r="D75" s="4" t="str">
        <f>IF(OR(Customers!B75&lt;18,Customers!B75&gt;100),"Implausible age","")</f>
        <v/>
      </c>
      <c r="E75" s="4" t="str">
        <f>IF(Customers!H75&gt;Customers!B75-18,"Tenure &gt; age-18","")</f>
        <v/>
      </c>
      <c r="F75" s="4" t="str">
        <f>IF(Customers!R75&gt;Customers!Q75,"Card spend &gt; limit","")</f>
        <v/>
      </c>
      <c r="G75" s="4" t="str">
        <f>IF(OR(AND(Customers!S75&gt;0,Customers!T75=0),AND(Customers!S75=0,Customers!T75&gt;0)),"Mortgage/payment inconsistent","")</f>
        <v/>
      </c>
      <c r="H75" s="4" t="str">
        <f>IF(AND(Customers!G75&lt;&gt;"",Customers!G75&gt;0,Customers!T75&gt;Customers!G75/12),"Payment &gt; monthly income","")</f>
        <v/>
      </c>
      <c r="I75" s="4" t="str">
        <f>IF(OR(Customers!I75&gt;DATE(2026,9,13),YEAR(Customers!I75)&lt;1980),"Implausible date","")</f>
        <v/>
      </c>
      <c r="J75" s="4" t="str">
        <f>IF(Customers!I75&gt;DATE(2026,9,13),"",IF(ABS(INT((DATE(2026,9,13)-Customers!I75)/365.25)-Customers!H75)&gt;1,"Date/tenure inconsistent",""))</f>
        <v/>
      </c>
      <c r="K75" s="4" t="str">
        <f>IF(COUNTIF(Customers!$A$2:$A$1001,Customers!A75)&gt;1,"Duplicate ID","")</f>
        <v/>
      </c>
      <c r="L75" s="4" t="str">
        <f>IF(COUNTIFS(Customers!$B$2:$B$1001,Customers!B75,Customers!$D$2:$D$1001,Customers!D75,Customers!$G$2:$G$1001,Customers!G75,Customers!$I$2:$I$1001,Customers!I75,Customers!$L$2:$L$1001,Customers!L75)&gt;1,"Duplicate record","")</f>
        <v/>
      </c>
      <c r="M75" s="4" t="str">
        <f>IF(OR(Customers!U75&lt;300,Customers!U75&gt;850),"Score out of range","")</f>
        <v/>
      </c>
      <c r="N75" s="4" t="str">
        <f>IF(AND(Customers!G75&lt;&gt;"",Customers!G75&lt;=0),"Income ≤ 0","")</f>
        <v/>
      </c>
      <c r="O75" s="4" t="str">
        <f>IF(OR(Customers!G75="",Customers!M75=""),"Missing value","")</f>
        <v/>
      </c>
      <c r="P75" s="4">
        <f t="shared" si="1"/>
        <v>0</v>
      </c>
    </row>
    <row r="76" spans="1:16" x14ac:dyDescent="0.25">
      <c r="A76" s="4" t="str">
        <f>Customers!A76</f>
        <v>CL00075</v>
      </c>
      <c r="B76" s="20">
        <f>IF(Customers!G76="","",(Customers!G76-Statistics!$C$7)/Statistics!$C$9)</f>
        <v>2.0605177531255781E-2</v>
      </c>
      <c r="C76" s="4" t="str">
        <f>IF(Customers!G76="","",IF(OR(Customers!G76&lt;Statistics!$C$15,Customers!G76&gt;Statistics!$C$16),"Outside 1.5·IQR",""))</f>
        <v>Outside 1.5·IQR</v>
      </c>
      <c r="D76" s="4" t="str">
        <f>IF(OR(Customers!B76&lt;18,Customers!B76&gt;100),"Implausible age","")</f>
        <v/>
      </c>
      <c r="E76" s="4" t="str">
        <f>IF(Customers!H76&gt;Customers!B76-18,"Tenure &gt; age-18","")</f>
        <v/>
      </c>
      <c r="F76" s="4" t="str">
        <f>IF(Customers!R76&gt;Customers!Q76,"Card spend &gt; limit","")</f>
        <v/>
      </c>
      <c r="G76" s="4" t="str">
        <f>IF(OR(AND(Customers!S76&gt;0,Customers!T76=0),AND(Customers!S76=0,Customers!T76&gt;0)),"Mortgage/payment inconsistent","")</f>
        <v/>
      </c>
      <c r="H76" s="4" t="str">
        <f>IF(AND(Customers!G76&lt;&gt;"",Customers!G76&gt;0,Customers!T76&gt;Customers!G76/12),"Payment &gt; monthly income","")</f>
        <v/>
      </c>
      <c r="I76" s="4" t="str">
        <f>IF(OR(Customers!I76&gt;DATE(2026,9,13),YEAR(Customers!I76)&lt;1980),"Implausible date","")</f>
        <v/>
      </c>
      <c r="J76" s="4" t="str">
        <f>IF(Customers!I76&gt;DATE(2026,9,13),"",IF(ABS(INT((DATE(2026,9,13)-Customers!I76)/365.25)-Customers!H76)&gt;1,"Date/tenure inconsistent",""))</f>
        <v/>
      </c>
      <c r="K76" s="4" t="str">
        <f>IF(COUNTIF(Customers!$A$2:$A$1001,Customers!A76)&gt;1,"Duplicate ID","")</f>
        <v/>
      </c>
      <c r="L76" s="4" t="str">
        <f>IF(COUNTIFS(Customers!$B$2:$B$1001,Customers!B76,Customers!$D$2:$D$1001,Customers!D76,Customers!$G$2:$G$1001,Customers!G76,Customers!$I$2:$I$1001,Customers!I76,Customers!$L$2:$L$1001,Customers!L76)&gt;1,"Duplicate record","")</f>
        <v/>
      </c>
      <c r="M76" s="4" t="str">
        <f>IF(OR(Customers!U76&lt;300,Customers!U76&gt;850),"Score out of range","")</f>
        <v/>
      </c>
      <c r="N76" s="4" t="str">
        <f>IF(AND(Customers!G76&lt;&gt;"",Customers!G76&lt;=0),"Income ≤ 0","")</f>
        <v/>
      </c>
      <c r="O76" s="4" t="str">
        <f>IF(OR(Customers!G76="",Customers!M76=""),"Missing value","")</f>
        <v/>
      </c>
      <c r="P76" s="4">
        <f t="shared" si="1"/>
        <v>1</v>
      </c>
    </row>
    <row r="77" spans="1:16" x14ac:dyDescent="0.25">
      <c r="A77" s="4" t="str">
        <f>Customers!A77</f>
        <v>CL00076</v>
      </c>
      <c r="B77" s="20">
        <f>IF(Customers!G77="","",(Customers!G77-Statistics!$C$7)/Statistics!$C$9)</f>
        <v>-2.7853054015787498E-2</v>
      </c>
      <c r="C77" s="4" t="str">
        <f>IF(Customers!G77="","",IF(OR(Customers!G77&lt;Statistics!$C$15,Customers!G77&gt;Statistics!$C$16),"Outside 1.5·IQR",""))</f>
        <v/>
      </c>
      <c r="D77" s="4" t="str">
        <f>IF(OR(Customers!B77&lt;18,Customers!B77&gt;100),"Implausible age","")</f>
        <v/>
      </c>
      <c r="E77" s="4" t="str">
        <f>IF(Customers!H77&gt;Customers!B77-18,"Tenure &gt; age-18","")</f>
        <v/>
      </c>
      <c r="F77" s="4" t="str">
        <f>IF(Customers!R77&gt;Customers!Q77,"Card spend &gt; limit","")</f>
        <v/>
      </c>
      <c r="G77" s="4" t="str">
        <f>IF(OR(AND(Customers!S77&gt;0,Customers!T77=0),AND(Customers!S77=0,Customers!T77&gt;0)),"Mortgage/payment inconsistent","")</f>
        <v/>
      </c>
      <c r="H77" s="4" t="str">
        <f>IF(AND(Customers!G77&lt;&gt;"",Customers!G77&gt;0,Customers!T77&gt;Customers!G77/12),"Payment &gt; monthly income","")</f>
        <v/>
      </c>
      <c r="I77" s="4" t="str">
        <f>IF(OR(Customers!I77&gt;DATE(2026,9,13),YEAR(Customers!I77)&lt;1980),"Implausible date","")</f>
        <v/>
      </c>
      <c r="J77" s="4" t="str">
        <f>IF(Customers!I77&gt;DATE(2026,9,13),"",IF(ABS(INT((DATE(2026,9,13)-Customers!I77)/365.25)-Customers!H77)&gt;1,"Date/tenure inconsistent",""))</f>
        <v/>
      </c>
      <c r="K77" s="4" t="str">
        <f>IF(COUNTIF(Customers!$A$2:$A$1001,Customers!A77)&gt;1,"Duplicate ID","")</f>
        <v/>
      </c>
      <c r="L77" s="4" t="str">
        <f>IF(COUNTIFS(Customers!$B$2:$B$1001,Customers!B77,Customers!$D$2:$D$1001,Customers!D77,Customers!$G$2:$G$1001,Customers!G77,Customers!$I$2:$I$1001,Customers!I77,Customers!$L$2:$L$1001,Customers!L77)&gt;1,"Duplicate record","")</f>
        <v/>
      </c>
      <c r="M77" s="4" t="str">
        <f>IF(OR(Customers!U77&lt;300,Customers!U77&gt;850),"Score out of range","")</f>
        <v/>
      </c>
      <c r="N77" s="4" t="str">
        <f>IF(AND(Customers!G77&lt;&gt;"",Customers!G77&lt;=0),"Income ≤ 0","")</f>
        <v/>
      </c>
      <c r="O77" s="4" t="str">
        <f>IF(OR(Customers!G77="",Customers!M77=""),"Missing value","")</f>
        <v/>
      </c>
      <c r="P77" s="4">
        <f t="shared" si="1"/>
        <v>0</v>
      </c>
    </row>
    <row r="78" spans="1:16" x14ac:dyDescent="0.25">
      <c r="A78" s="4" t="str">
        <f>Customers!A78</f>
        <v>CL00077</v>
      </c>
      <c r="B78" s="20">
        <f>IF(Customers!G78="","",(Customers!G78-Statistics!$C$7)/Statistics!$C$9)</f>
        <v>-4.420278254588747E-2</v>
      </c>
      <c r="C78" s="4" t="str">
        <f>IF(Customers!G78="","",IF(OR(Customers!G78&lt;Statistics!$C$15,Customers!G78&gt;Statistics!$C$16),"Outside 1.5·IQR",""))</f>
        <v/>
      </c>
      <c r="D78" s="4" t="str">
        <f>IF(OR(Customers!B78&lt;18,Customers!B78&gt;100),"Implausible age","")</f>
        <v/>
      </c>
      <c r="E78" s="4" t="str">
        <f>IF(Customers!H78&gt;Customers!B78-18,"Tenure &gt; age-18","")</f>
        <v/>
      </c>
      <c r="F78" s="4" t="str">
        <f>IF(Customers!R78&gt;Customers!Q78,"Card spend &gt; limit","")</f>
        <v/>
      </c>
      <c r="G78" s="4" t="str">
        <f>IF(OR(AND(Customers!S78&gt;0,Customers!T78=0),AND(Customers!S78=0,Customers!T78&gt;0)),"Mortgage/payment inconsistent","")</f>
        <v/>
      </c>
      <c r="H78" s="4" t="str">
        <f>IF(AND(Customers!G78&lt;&gt;"",Customers!G78&gt;0,Customers!T78&gt;Customers!G78/12),"Payment &gt; monthly income","")</f>
        <v/>
      </c>
      <c r="I78" s="4" t="str">
        <f>IF(OR(Customers!I78&gt;DATE(2026,9,13),YEAR(Customers!I78)&lt;1980),"Implausible date","")</f>
        <v/>
      </c>
      <c r="J78" s="4" t="str">
        <f>IF(Customers!I78&gt;DATE(2026,9,13),"",IF(ABS(INT((DATE(2026,9,13)-Customers!I78)/365.25)-Customers!H78)&gt;1,"Date/tenure inconsistent",""))</f>
        <v/>
      </c>
      <c r="K78" s="4" t="str">
        <f>IF(COUNTIF(Customers!$A$2:$A$1001,Customers!A78)&gt;1,"Duplicate ID","")</f>
        <v/>
      </c>
      <c r="L78" s="4" t="str">
        <f>IF(COUNTIFS(Customers!$B$2:$B$1001,Customers!B78,Customers!$D$2:$D$1001,Customers!D78,Customers!$G$2:$G$1001,Customers!G78,Customers!$I$2:$I$1001,Customers!I78,Customers!$L$2:$L$1001,Customers!L78)&gt;1,"Duplicate record","")</f>
        <v/>
      </c>
      <c r="M78" s="4" t="str">
        <f>IF(OR(Customers!U78&lt;300,Customers!U78&gt;850),"Score out of range","")</f>
        <v/>
      </c>
      <c r="N78" s="4" t="str">
        <f>IF(AND(Customers!G78&lt;&gt;"",Customers!G78&lt;=0),"Income ≤ 0","")</f>
        <v/>
      </c>
      <c r="O78" s="4" t="str">
        <f>IF(OR(Customers!G78="",Customers!M78=""),"Missing value","")</f>
        <v/>
      </c>
      <c r="P78" s="4">
        <f t="shared" si="1"/>
        <v>0</v>
      </c>
    </row>
    <row r="79" spans="1:16" x14ac:dyDescent="0.25">
      <c r="A79" s="4" t="str">
        <f>Customers!A79</f>
        <v>CL00078</v>
      </c>
      <c r="B79" s="20">
        <f>IF(Customers!G79="","",(Customers!G79-Statistics!$C$7)/Statistics!$C$9)</f>
        <v>2.2279547320482887E-2</v>
      </c>
      <c r="C79" s="4" t="str">
        <f>IF(Customers!G79="","",IF(OR(Customers!G79&lt;Statistics!$C$15,Customers!G79&gt;Statistics!$C$16),"Outside 1.5·IQR",""))</f>
        <v>Outside 1.5·IQR</v>
      </c>
      <c r="D79" s="4" t="str">
        <f>IF(OR(Customers!B79&lt;18,Customers!B79&gt;100),"Implausible age","")</f>
        <v/>
      </c>
      <c r="E79" s="4" t="str">
        <f>IF(Customers!H79&gt;Customers!B79-18,"Tenure &gt; age-18","")</f>
        <v/>
      </c>
      <c r="F79" s="4" t="str">
        <f>IF(Customers!R79&gt;Customers!Q79,"Card spend &gt; limit","")</f>
        <v/>
      </c>
      <c r="G79" s="4" t="str">
        <f>IF(OR(AND(Customers!S79&gt;0,Customers!T79=0),AND(Customers!S79=0,Customers!T79&gt;0)),"Mortgage/payment inconsistent","")</f>
        <v/>
      </c>
      <c r="H79" s="4" t="str">
        <f>IF(AND(Customers!G79&lt;&gt;"",Customers!G79&gt;0,Customers!T79&gt;Customers!G79/12),"Payment &gt; monthly income","")</f>
        <v/>
      </c>
      <c r="I79" s="4" t="str">
        <f>IF(OR(Customers!I79&gt;DATE(2026,9,13),YEAR(Customers!I79)&lt;1980),"Implausible date","")</f>
        <v/>
      </c>
      <c r="J79" s="4" t="str">
        <f>IF(Customers!I79&gt;DATE(2026,9,13),"",IF(ABS(INT((DATE(2026,9,13)-Customers!I79)/365.25)-Customers!H79)&gt;1,"Date/tenure inconsistent",""))</f>
        <v/>
      </c>
      <c r="K79" s="4" t="str">
        <f>IF(COUNTIF(Customers!$A$2:$A$1001,Customers!A79)&gt;1,"Duplicate ID","")</f>
        <v/>
      </c>
      <c r="L79" s="4" t="str">
        <f>IF(COUNTIFS(Customers!$B$2:$B$1001,Customers!B79,Customers!$D$2:$D$1001,Customers!D79,Customers!$G$2:$G$1001,Customers!G79,Customers!$I$2:$I$1001,Customers!I79,Customers!$L$2:$L$1001,Customers!L79)&gt;1,"Duplicate record","")</f>
        <v/>
      </c>
      <c r="M79" s="4" t="str">
        <f>IF(OR(Customers!U79&lt;300,Customers!U79&gt;850),"Score out of range","")</f>
        <v/>
      </c>
      <c r="N79" s="4" t="str">
        <f>IF(AND(Customers!G79&lt;&gt;"",Customers!G79&lt;=0),"Income ≤ 0","")</f>
        <v/>
      </c>
      <c r="O79" s="4" t="str">
        <f>IF(OR(Customers!G79="",Customers!M79=""),"Missing value","")</f>
        <v/>
      </c>
      <c r="P79" s="4">
        <f t="shared" si="1"/>
        <v>1</v>
      </c>
    </row>
    <row r="80" spans="1:16" x14ac:dyDescent="0.25">
      <c r="A80" s="4" t="str">
        <f>Customers!A80</f>
        <v>CL00079</v>
      </c>
      <c r="B80" s="20">
        <f>IF(Customers!G80="","",(Customers!G80-Statistics!$C$7)/Statistics!$C$9)</f>
        <v>-1.1010863782973675E-2</v>
      </c>
      <c r="C80" s="4" t="str">
        <f>IF(Customers!G80="","",IF(OR(Customers!G80&lt;Statistics!$C$15,Customers!G80&gt;Statistics!$C$16),"Outside 1.5·IQR",""))</f>
        <v/>
      </c>
      <c r="D80" s="4" t="str">
        <f>IF(OR(Customers!B80&lt;18,Customers!B80&gt;100),"Implausible age","")</f>
        <v/>
      </c>
      <c r="E80" s="4" t="str">
        <f>IF(Customers!H80&gt;Customers!B80-18,"Tenure &gt; age-18","")</f>
        <v/>
      </c>
      <c r="F80" s="4" t="str">
        <f>IF(Customers!R80&gt;Customers!Q80,"Card spend &gt; limit","")</f>
        <v/>
      </c>
      <c r="G80" s="4" t="str">
        <f>IF(OR(AND(Customers!S80&gt;0,Customers!T80=0),AND(Customers!S80=0,Customers!T80&gt;0)),"Mortgage/payment inconsistent","")</f>
        <v/>
      </c>
      <c r="H80" s="4" t="str">
        <f>IF(AND(Customers!G80&lt;&gt;"",Customers!G80&gt;0,Customers!T80&gt;Customers!G80/12),"Payment &gt; monthly income","")</f>
        <v/>
      </c>
      <c r="I80" s="4" t="str">
        <f>IF(OR(Customers!I80&gt;DATE(2026,9,13),YEAR(Customers!I80)&lt;1980),"Implausible date","")</f>
        <v/>
      </c>
      <c r="J80" s="4" t="str">
        <f>IF(Customers!I80&gt;DATE(2026,9,13),"",IF(ABS(INT((DATE(2026,9,13)-Customers!I80)/365.25)-Customers!H80)&gt;1,"Date/tenure inconsistent",""))</f>
        <v/>
      </c>
      <c r="K80" s="4" t="str">
        <f>IF(COUNTIF(Customers!$A$2:$A$1001,Customers!A80)&gt;1,"Duplicate ID","")</f>
        <v/>
      </c>
      <c r="L80" s="4" t="str">
        <f>IF(COUNTIFS(Customers!$B$2:$B$1001,Customers!B80,Customers!$D$2:$D$1001,Customers!D80,Customers!$G$2:$G$1001,Customers!G80,Customers!$I$2:$I$1001,Customers!I80,Customers!$L$2:$L$1001,Customers!L80)&gt;1,"Duplicate record","")</f>
        <v/>
      </c>
      <c r="M80" s="4" t="str">
        <f>IF(OR(Customers!U80&lt;300,Customers!U80&gt;850),"Score out of range","")</f>
        <v/>
      </c>
      <c r="N80" s="4" t="str">
        <f>IF(AND(Customers!G80&lt;&gt;"",Customers!G80&lt;=0),"Income ≤ 0","")</f>
        <v/>
      </c>
      <c r="O80" s="4" t="str">
        <f>IF(OR(Customers!G80="",Customers!M80=""),"Missing value","")</f>
        <v/>
      </c>
      <c r="P80" s="4">
        <f t="shared" si="1"/>
        <v>0</v>
      </c>
    </row>
    <row r="81" spans="1:16" x14ac:dyDescent="0.25">
      <c r="A81" s="4" t="str">
        <f>Customers!A81</f>
        <v>CL00080</v>
      </c>
      <c r="B81" s="20">
        <f>IF(Customers!G81="","",(Customers!G81-Statistics!$C$7)/Statistics!$C$9)</f>
        <v>2.3362963066453368E-2</v>
      </c>
      <c r="C81" s="4" t="str">
        <f>IF(Customers!G81="","",IF(OR(Customers!G81&lt;Statistics!$C$15,Customers!G81&gt;Statistics!$C$16),"Outside 1.5·IQR",""))</f>
        <v>Outside 1.5·IQR</v>
      </c>
      <c r="D81" s="4" t="str">
        <f>IF(OR(Customers!B81&lt;18,Customers!B81&gt;100),"Implausible age","")</f>
        <v/>
      </c>
      <c r="E81" s="4" t="str">
        <f>IF(Customers!H81&gt;Customers!B81-18,"Tenure &gt; age-18","")</f>
        <v/>
      </c>
      <c r="F81" s="4" t="str">
        <f>IF(Customers!R81&gt;Customers!Q81,"Card spend &gt; limit","")</f>
        <v/>
      </c>
      <c r="G81" s="4" t="str">
        <f>IF(OR(AND(Customers!S81&gt;0,Customers!T81=0),AND(Customers!S81=0,Customers!T81&gt;0)),"Mortgage/payment inconsistent","")</f>
        <v/>
      </c>
      <c r="H81" s="4" t="str">
        <f>IF(AND(Customers!G81&lt;&gt;"",Customers!G81&gt;0,Customers!T81&gt;Customers!G81/12),"Payment &gt; monthly income","")</f>
        <v/>
      </c>
      <c r="I81" s="4" t="str">
        <f>IF(OR(Customers!I81&gt;DATE(2026,9,13),YEAR(Customers!I81)&lt;1980),"Implausible date","")</f>
        <v/>
      </c>
      <c r="J81" s="4" t="str">
        <f>IF(Customers!I81&gt;DATE(2026,9,13),"",IF(ABS(INT((DATE(2026,9,13)-Customers!I81)/365.25)-Customers!H81)&gt;1,"Date/tenure inconsistent",""))</f>
        <v/>
      </c>
      <c r="K81" s="4" t="str">
        <f>IF(COUNTIF(Customers!$A$2:$A$1001,Customers!A81)&gt;1,"Duplicate ID","")</f>
        <v/>
      </c>
      <c r="L81" s="4" t="str">
        <f>IF(COUNTIFS(Customers!$B$2:$B$1001,Customers!B81,Customers!$D$2:$D$1001,Customers!D81,Customers!$G$2:$G$1001,Customers!G81,Customers!$I$2:$I$1001,Customers!I81,Customers!$L$2:$L$1001,Customers!L81)&gt;1,"Duplicate record","")</f>
        <v/>
      </c>
      <c r="M81" s="4" t="str">
        <f>IF(OR(Customers!U81&lt;300,Customers!U81&gt;850),"Score out of range","")</f>
        <v/>
      </c>
      <c r="N81" s="4" t="str">
        <f>IF(AND(Customers!G81&lt;&gt;"",Customers!G81&lt;=0),"Income ≤ 0","")</f>
        <v/>
      </c>
      <c r="O81" s="4" t="str">
        <f>IF(OR(Customers!G81="",Customers!M81=""),"Missing value","")</f>
        <v/>
      </c>
      <c r="P81" s="4">
        <f t="shared" si="1"/>
        <v>1</v>
      </c>
    </row>
    <row r="82" spans="1:16" x14ac:dyDescent="0.25">
      <c r="A82" s="4" t="str">
        <f>Customers!A82</f>
        <v>CL00081</v>
      </c>
      <c r="B82" s="20">
        <f>IF(Customers!G82="","",(Customers!G82-Statistics!$C$7)/Statistics!$C$9)</f>
        <v>-5.7991710221875395E-2</v>
      </c>
      <c r="C82" s="4" t="str">
        <f>IF(Customers!G82="","",IF(OR(Customers!G82&lt;Statistics!$C$15,Customers!G82&gt;Statistics!$C$16),"Outside 1.5·IQR",""))</f>
        <v/>
      </c>
      <c r="D82" s="4" t="str">
        <f>IF(OR(Customers!B82&lt;18,Customers!B82&gt;100),"Implausible age","")</f>
        <v/>
      </c>
      <c r="E82" s="4" t="str">
        <f>IF(Customers!H82&gt;Customers!B82-18,"Tenure &gt; age-18","")</f>
        <v/>
      </c>
      <c r="F82" s="4" t="str">
        <f>IF(Customers!R82&gt;Customers!Q82,"Card spend &gt; limit","")</f>
        <v/>
      </c>
      <c r="G82" s="4" t="str">
        <f>IF(OR(AND(Customers!S82&gt;0,Customers!T82=0),AND(Customers!S82=0,Customers!T82&gt;0)),"Mortgage/payment inconsistent","")</f>
        <v/>
      </c>
      <c r="H82" s="4" t="str">
        <f>IF(AND(Customers!G82&lt;&gt;"",Customers!G82&gt;0,Customers!T82&gt;Customers!G82/12),"Payment &gt; monthly income","")</f>
        <v/>
      </c>
      <c r="I82" s="4" t="str">
        <f>IF(OR(Customers!I82&gt;DATE(2026,9,13),YEAR(Customers!I82)&lt;1980),"Implausible date","")</f>
        <v/>
      </c>
      <c r="J82" s="4" t="str">
        <f>IF(Customers!I82&gt;DATE(2026,9,13),"",IF(ABS(INT((DATE(2026,9,13)-Customers!I82)/365.25)-Customers!H82)&gt;1,"Date/tenure inconsistent",""))</f>
        <v/>
      </c>
      <c r="K82" s="4" t="str">
        <f>IF(COUNTIF(Customers!$A$2:$A$1001,Customers!A82)&gt;1,"Duplicate ID","")</f>
        <v/>
      </c>
      <c r="L82" s="4" t="str">
        <f>IF(COUNTIFS(Customers!$B$2:$B$1001,Customers!B82,Customers!$D$2:$D$1001,Customers!D82,Customers!$G$2:$G$1001,Customers!G82,Customers!$I$2:$I$1001,Customers!I82,Customers!$L$2:$L$1001,Customers!L82)&gt;1,"Duplicate record","")</f>
        <v/>
      </c>
      <c r="M82" s="4" t="str">
        <f>IF(OR(Customers!U82&lt;300,Customers!U82&gt;850),"Score out of range","")</f>
        <v/>
      </c>
      <c r="N82" s="4" t="str">
        <f>IF(AND(Customers!G82&lt;&gt;"",Customers!G82&lt;=0),"Income ≤ 0","")</f>
        <v/>
      </c>
      <c r="O82" s="4" t="str">
        <f>IF(OR(Customers!G82="",Customers!M82=""),"Missing value","")</f>
        <v/>
      </c>
      <c r="P82" s="4">
        <f t="shared" si="1"/>
        <v>0</v>
      </c>
    </row>
    <row r="83" spans="1:16" x14ac:dyDescent="0.25">
      <c r="A83" s="4" t="str">
        <f>Customers!A83</f>
        <v>CL00082</v>
      </c>
      <c r="B83" s="20">
        <f>IF(Customers!G83="","",(Customers!G83-Statistics!$C$7)/Statistics!$C$9)</f>
        <v>-4.4793736589144095E-2</v>
      </c>
      <c r="C83" s="4" t="str">
        <f>IF(Customers!G83="","",IF(OR(Customers!G83&lt;Statistics!$C$15,Customers!G83&gt;Statistics!$C$16),"Outside 1.5·IQR",""))</f>
        <v/>
      </c>
      <c r="D83" s="4" t="str">
        <f>IF(OR(Customers!B83&lt;18,Customers!B83&gt;100),"Implausible age","")</f>
        <v/>
      </c>
      <c r="E83" s="4" t="str">
        <f>IF(Customers!H83&gt;Customers!B83-18,"Tenure &gt; age-18","")</f>
        <v/>
      </c>
      <c r="F83" s="4" t="str">
        <f>IF(Customers!R83&gt;Customers!Q83,"Card spend &gt; limit","")</f>
        <v/>
      </c>
      <c r="G83" s="4" t="str">
        <f>IF(OR(AND(Customers!S83&gt;0,Customers!T83=0),AND(Customers!S83=0,Customers!T83&gt;0)),"Mortgage/payment inconsistent","")</f>
        <v/>
      </c>
      <c r="H83" s="4" t="str">
        <f>IF(AND(Customers!G83&lt;&gt;"",Customers!G83&gt;0,Customers!T83&gt;Customers!G83/12),"Payment &gt; monthly income","")</f>
        <v/>
      </c>
      <c r="I83" s="4" t="str">
        <f>IF(OR(Customers!I83&gt;DATE(2026,9,13),YEAR(Customers!I83)&lt;1980),"Implausible date","")</f>
        <v/>
      </c>
      <c r="J83" s="4" t="str">
        <f>IF(Customers!I83&gt;DATE(2026,9,13),"",IF(ABS(INT((DATE(2026,9,13)-Customers!I83)/365.25)-Customers!H83)&gt;1,"Date/tenure inconsistent",""))</f>
        <v/>
      </c>
      <c r="K83" s="4" t="str">
        <f>IF(COUNTIF(Customers!$A$2:$A$1001,Customers!A83)&gt;1,"Duplicate ID","")</f>
        <v/>
      </c>
      <c r="L83" s="4" t="str">
        <f>IF(COUNTIFS(Customers!$B$2:$B$1001,Customers!B83,Customers!$D$2:$D$1001,Customers!D83,Customers!$G$2:$G$1001,Customers!G83,Customers!$I$2:$I$1001,Customers!I83,Customers!$L$2:$L$1001,Customers!L83)&gt;1,"Duplicate record","")</f>
        <v/>
      </c>
      <c r="M83" s="4" t="str">
        <f>IF(OR(Customers!U83&lt;300,Customers!U83&gt;850),"Score out of range","")</f>
        <v/>
      </c>
      <c r="N83" s="4" t="str">
        <f>IF(AND(Customers!G83&lt;&gt;"",Customers!G83&lt;=0),"Income ≤ 0","")</f>
        <v/>
      </c>
      <c r="O83" s="4" t="str">
        <f>IF(OR(Customers!G83="",Customers!M83=""),"Missing value","")</f>
        <v/>
      </c>
      <c r="P83" s="4">
        <f t="shared" si="1"/>
        <v>0</v>
      </c>
    </row>
    <row r="84" spans="1:16" x14ac:dyDescent="0.25">
      <c r="A84" s="4" t="str">
        <f>Customers!A84</f>
        <v>CL00083</v>
      </c>
      <c r="B84" s="20">
        <f>IF(Customers!G84="","",(Customers!G84-Statistics!$C$7)/Statistics!$C$9)</f>
        <v>-5.6218848092105519E-2</v>
      </c>
      <c r="C84" s="4" t="str">
        <f>IF(Customers!G84="","",IF(OR(Customers!G84&lt;Statistics!$C$15,Customers!G84&gt;Statistics!$C$16),"Outside 1.5·IQR",""))</f>
        <v/>
      </c>
      <c r="D84" s="4" t="str">
        <f>IF(OR(Customers!B84&lt;18,Customers!B84&gt;100),"Implausible age","")</f>
        <v/>
      </c>
      <c r="E84" s="4" t="str">
        <f>IF(Customers!H84&gt;Customers!B84-18,"Tenure &gt; age-18","")</f>
        <v/>
      </c>
      <c r="F84" s="4" t="str">
        <f>IF(Customers!R84&gt;Customers!Q84,"Card spend &gt; limit","")</f>
        <v/>
      </c>
      <c r="G84" s="4" t="str">
        <f>IF(OR(AND(Customers!S84&gt;0,Customers!T84=0),AND(Customers!S84=0,Customers!T84&gt;0)),"Mortgage/payment inconsistent","")</f>
        <v/>
      </c>
      <c r="H84" s="4" t="str">
        <f>IF(AND(Customers!G84&lt;&gt;"",Customers!G84&gt;0,Customers!T84&gt;Customers!G84/12),"Payment &gt; monthly income","")</f>
        <v/>
      </c>
      <c r="I84" s="4" t="str">
        <f>IF(OR(Customers!I84&gt;DATE(2026,9,13),YEAR(Customers!I84)&lt;1980),"Implausible date","")</f>
        <v/>
      </c>
      <c r="J84" s="4" t="str">
        <f>IF(Customers!I84&gt;DATE(2026,9,13),"",IF(ABS(INT((DATE(2026,9,13)-Customers!I84)/365.25)-Customers!H84)&gt;1,"Date/tenure inconsistent",""))</f>
        <v/>
      </c>
      <c r="K84" s="4" t="str">
        <f>IF(COUNTIF(Customers!$A$2:$A$1001,Customers!A84)&gt;1,"Duplicate ID","")</f>
        <v/>
      </c>
      <c r="L84" s="4" t="str">
        <f>IF(COUNTIFS(Customers!$B$2:$B$1001,Customers!B84,Customers!$D$2:$D$1001,Customers!D84,Customers!$G$2:$G$1001,Customers!G84,Customers!$I$2:$I$1001,Customers!I84,Customers!$L$2:$L$1001,Customers!L84)&gt;1,"Duplicate record","")</f>
        <v/>
      </c>
      <c r="M84" s="4" t="str">
        <f>IF(OR(Customers!U84&lt;300,Customers!U84&gt;850),"Score out of range","")</f>
        <v/>
      </c>
      <c r="N84" s="4" t="str">
        <f>IF(AND(Customers!G84&lt;&gt;"",Customers!G84&lt;=0),"Income ≤ 0","")</f>
        <v/>
      </c>
      <c r="O84" s="4" t="str">
        <f>IF(OR(Customers!G84="",Customers!M84=""),"Missing value","")</f>
        <v/>
      </c>
      <c r="P84" s="4">
        <f t="shared" si="1"/>
        <v>0</v>
      </c>
    </row>
    <row r="85" spans="1:16" x14ac:dyDescent="0.25">
      <c r="A85" s="4" t="str">
        <f>Customers!A85</f>
        <v>CL00084</v>
      </c>
      <c r="B85" s="20">
        <f>IF(Customers!G85="","",(Customers!G85-Statistics!$C$7)/Statistics!$C$9)</f>
        <v>-3.5830933599751945E-2</v>
      </c>
      <c r="C85" s="4" t="str">
        <f>IF(Customers!G85="","",IF(OR(Customers!G85&lt;Statistics!$C$15,Customers!G85&gt;Statistics!$C$16),"Outside 1.5·IQR",""))</f>
        <v/>
      </c>
      <c r="D85" s="4" t="str">
        <f>IF(OR(Customers!B85&lt;18,Customers!B85&gt;100),"Implausible age","")</f>
        <v/>
      </c>
      <c r="E85" s="4" t="str">
        <f>IF(Customers!H85&gt;Customers!B85-18,"Tenure &gt; age-18","")</f>
        <v/>
      </c>
      <c r="F85" s="4" t="str">
        <f>IF(Customers!R85&gt;Customers!Q85,"Card spend &gt; limit","")</f>
        <v/>
      </c>
      <c r="G85" s="4" t="str">
        <f>IF(OR(AND(Customers!S85&gt;0,Customers!T85=0),AND(Customers!S85=0,Customers!T85&gt;0)),"Mortgage/payment inconsistent","")</f>
        <v/>
      </c>
      <c r="H85" s="4" t="str">
        <f>IF(AND(Customers!G85&lt;&gt;"",Customers!G85&gt;0,Customers!T85&gt;Customers!G85/12),"Payment &gt; monthly income","")</f>
        <v/>
      </c>
      <c r="I85" s="4" t="str">
        <f>IF(OR(Customers!I85&gt;DATE(2026,9,13),YEAR(Customers!I85)&lt;1980),"Implausible date","")</f>
        <v/>
      </c>
      <c r="J85" s="4" t="str">
        <f>IF(Customers!I85&gt;DATE(2026,9,13),"",IF(ABS(INT((DATE(2026,9,13)-Customers!I85)/365.25)-Customers!H85)&gt;1,"Date/tenure inconsistent",""))</f>
        <v/>
      </c>
      <c r="K85" s="4" t="str">
        <f>IF(COUNTIF(Customers!$A$2:$A$1001,Customers!A85)&gt;1,"Duplicate ID","")</f>
        <v/>
      </c>
      <c r="L85" s="4" t="str">
        <f>IF(COUNTIFS(Customers!$B$2:$B$1001,Customers!B85,Customers!$D$2:$D$1001,Customers!D85,Customers!$G$2:$G$1001,Customers!G85,Customers!$I$2:$I$1001,Customers!I85,Customers!$L$2:$L$1001,Customers!L85)&gt;1,"Duplicate record","")</f>
        <v/>
      </c>
      <c r="M85" s="4" t="str">
        <f>IF(OR(Customers!U85&lt;300,Customers!U85&gt;850),"Score out of range","")</f>
        <v/>
      </c>
      <c r="N85" s="4" t="str">
        <f>IF(AND(Customers!G85&lt;&gt;"",Customers!G85&lt;=0),"Income ≤ 0","")</f>
        <v/>
      </c>
      <c r="O85" s="4" t="str">
        <f>IF(OR(Customers!G85="",Customers!M85=""),"Missing value","")</f>
        <v/>
      </c>
      <c r="P85" s="4">
        <f t="shared" si="1"/>
        <v>0</v>
      </c>
    </row>
    <row r="86" spans="1:16" x14ac:dyDescent="0.25">
      <c r="A86" s="4" t="str">
        <f>Customers!A86</f>
        <v>CL00085</v>
      </c>
      <c r="B86" s="20">
        <f>IF(Customers!G86="","",(Customers!G86-Statistics!$C$7)/Statistics!$C$9)</f>
        <v>-3.8884196156577837E-2</v>
      </c>
      <c r="C86" s="4" t="str">
        <f>IF(Customers!G86="","",IF(OR(Customers!G86&lt;Statistics!$C$15,Customers!G86&gt;Statistics!$C$16),"Outside 1.5·IQR",""))</f>
        <v/>
      </c>
      <c r="D86" s="4" t="str">
        <f>IF(OR(Customers!B86&lt;18,Customers!B86&gt;100),"Implausible age","")</f>
        <v/>
      </c>
      <c r="E86" s="4" t="str">
        <f>IF(Customers!H86&gt;Customers!B86-18,"Tenure &gt; age-18","")</f>
        <v/>
      </c>
      <c r="F86" s="4" t="str">
        <f>IF(Customers!R86&gt;Customers!Q86,"Card spend &gt; limit","")</f>
        <v/>
      </c>
      <c r="G86" s="4" t="str">
        <f>IF(OR(AND(Customers!S86&gt;0,Customers!T86=0),AND(Customers!S86=0,Customers!T86&gt;0)),"Mortgage/payment inconsistent","")</f>
        <v/>
      </c>
      <c r="H86" s="4" t="str">
        <f>IF(AND(Customers!G86&lt;&gt;"",Customers!G86&gt;0,Customers!T86&gt;Customers!G86/12),"Payment &gt; monthly income","")</f>
        <v/>
      </c>
      <c r="I86" s="4" t="str">
        <f>IF(OR(Customers!I86&gt;DATE(2026,9,13),YEAR(Customers!I86)&lt;1980),"Implausible date","")</f>
        <v/>
      </c>
      <c r="J86" s="4" t="str">
        <f>IF(Customers!I86&gt;DATE(2026,9,13),"",IF(ABS(INT((DATE(2026,9,13)-Customers!I86)/365.25)-Customers!H86)&gt;1,"Date/tenure inconsistent",""))</f>
        <v/>
      </c>
      <c r="K86" s="4" t="str">
        <f>IF(COUNTIF(Customers!$A$2:$A$1001,Customers!A86)&gt;1,"Duplicate ID","")</f>
        <v/>
      </c>
      <c r="L86" s="4" t="str">
        <f>IF(COUNTIFS(Customers!$B$2:$B$1001,Customers!B86,Customers!$D$2:$D$1001,Customers!D86,Customers!$G$2:$G$1001,Customers!G86,Customers!$I$2:$I$1001,Customers!I86,Customers!$L$2:$L$1001,Customers!L86)&gt;1,"Duplicate record","")</f>
        <v/>
      </c>
      <c r="M86" s="4" t="str">
        <f>IF(OR(Customers!U86&lt;300,Customers!U86&gt;850),"Score out of range","")</f>
        <v/>
      </c>
      <c r="N86" s="4" t="str">
        <f>IF(AND(Customers!G86&lt;&gt;"",Customers!G86&lt;=0),"Income ≤ 0","")</f>
        <v/>
      </c>
      <c r="O86" s="4" t="str">
        <f>IF(OR(Customers!G86="",Customers!M86=""),"Missing value","")</f>
        <v/>
      </c>
      <c r="P86" s="4">
        <f t="shared" si="1"/>
        <v>0</v>
      </c>
    </row>
    <row r="87" spans="1:16" x14ac:dyDescent="0.25">
      <c r="A87" s="4" t="str">
        <f>Customers!A87</f>
        <v>CL00086</v>
      </c>
      <c r="B87" s="20">
        <f>IF(Customers!G87="","",(Customers!G87-Statistics!$C$7)/Statistics!$C$9)</f>
        <v>-3.0906316572613397E-2</v>
      </c>
      <c r="C87" s="4" t="str">
        <f>IF(Customers!G87="","",IF(OR(Customers!G87&lt;Statistics!$C$15,Customers!G87&gt;Statistics!$C$16),"Outside 1.5·IQR",""))</f>
        <v/>
      </c>
      <c r="D87" s="4" t="str">
        <f>IF(OR(Customers!B87&lt;18,Customers!B87&gt;100),"Implausible age","")</f>
        <v/>
      </c>
      <c r="E87" s="4" t="str">
        <f>IF(Customers!H87&gt;Customers!B87-18,"Tenure &gt; age-18","")</f>
        <v/>
      </c>
      <c r="F87" s="4" t="str">
        <f>IF(Customers!R87&gt;Customers!Q87,"Card spend &gt; limit","")</f>
        <v/>
      </c>
      <c r="G87" s="4" t="str">
        <f>IF(OR(AND(Customers!S87&gt;0,Customers!T87=0),AND(Customers!S87=0,Customers!T87&gt;0)),"Mortgage/payment inconsistent","")</f>
        <v/>
      </c>
      <c r="H87" s="4" t="str">
        <f>IF(AND(Customers!G87&lt;&gt;"",Customers!G87&gt;0,Customers!T87&gt;Customers!G87/12),"Payment &gt; monthly income","")</f>
        <v/>
      </c>
      <c r="I87" s="4" t="str">
        <f>IF(OR(Customers!I87&gt;DATE(2026,9,13),YEAR(Customers!I87)&lt;1980),"Implausible date","")</f>
        <v/>
      </c>
      <c r="J87" s="4" t="str">
        <f>IF(Customers!I87&gt;DATE(2026,9,13),"",IF(ABS(INT((DATE(2026,9,13)-Customers!I87)/365.25)-Customers!H87)&gt;1,"Date/tenure inconsistent",""))</f>
        <v/>
      </c>
      <c r="K87" s="4" t="str">
        <f>IF(COUNTIF(Customers!$A$2:$A$1001,Customers!A87)&gt;1,"Duplicate ID","")</f>
        <v/>
      </c>
      <c r="L87" s="4" t="str">
        <f>IF(COUNTIFS(Customers!$B$2:$B$1001,Customers!B87,Customers!$D$2:$D$1001,Customers!D87,Customers!$G$2:$G$1001,Customers!G87,Customers!$I$2:$I$1001,Customers!I87,Customers!$L$2:$L$1001,Customers!L87)&gt;1,"Duplicate record","")</f>
        <v/>
      </c>
      <c r="M87" s="4" t="str">
        <f>IF(OR(Customers!U87&lt;300,Customers!U87&gt;850),"Score out of range","")</f>
        <v/>
      </c>
      <c r="N87" s="4" t="str">
        <f>IF(AND(Customers!G87&lt;&gt;"",Customers!G87&lt;=0),"Income ≤ 0","")</f>
        <v/>
      </c>
      <c r="O87" s="4" t="str">
        <f>IF(OR(Customers!G87="",Customers!M87=""),"Missing value","")</f>
        <v/>
      </c>
      <c r="P87" s="4">
        <f t="shared" si="1"/>
        <v>0</v>
      </c>
    </row>
    <row r="88" spans="1:16" x14ac:dyDescent="0.25">
      <c r="A88" s="4" t="str">
        <f>Customers!A88</f>
        <v>CL00087</v>
      </c>
      <c r="B88" s="20">
        <f>IF(Customers!G88="","",(Customers!G88-Statistics!$C$7)/Statistics!$C$9)</f>
        <v>-4.5483182972943487E-2</v>
      </c>
      <c r="C88" s="4" t="str">
        <f>IF(Customers!G88="","",IF(OR(Customers!G88&lt;Statistics!$C$15,Customers!G88&gt;Statistics!$C$16),"Outside 1.5·IQR",""))</f>
        <v/>
      </c>
      <c r="D88" s="4" t="str">
        <f>IF(OR(Customers!B88&lt;18,Customers!B88&gt;100),"Implausible age","")</f>
        <v/>
      </c>
      <c r="E88" s="4" t="str">
        <f>IF(Customers!H88&gt;Customers!B88-18,"Tenure &gt; age-18","")</f>
        <v/>
      </c>
      <c r="F88" s="4" t="str">
        <f>IF(Customers!R88&gt;Customers!Q88,"Card spend &gt; limit","")</f>
        <v/>
      </c>
      <c r="G88" s="4" t="str">
        <f>IF(OR(AND(Customers!S88&gt;0,Customers!T88=0),AND(Customers!S88=0,Customers!T88&gt;0)),"Mortgage/payment inconsistent","")</f>
        <v/>
      </c>
      <c r="H88" s="4" t="str">
        <f>IF(AND(Customers!G88&lt;&gt;"",Customers!G88&gt;0,Customers!T88&gt;Customers!G88/12),"Payment &gt; monthly income","")</f>
        <v/>
      </c>
      <c r="I88" s="4" t="str">
        <f>IF(OR(Customers!I88&gt;DATE(2026,9,13),YEAR(Customers!I88)&lt;1980),"Implausible date","")</f>
        <v/>
      </c>
      <c r="J88" s="4" t="str">
        <f>IF(Customers!I88&gt;DATE(2026,9,13),"",IF(ABS(INT((DATE(2026,9,13)-Customers!I88)/365.25)-Customers!H88)&gt;1,"Date/tenure inconsistent",""))</f>
        <v/>
      </c>
      <c r="K88" s="4" t="str">
        <f>IF(COUNTIF(Customers!$A$2:$A$1001,Customers!A88)&gt;1,"Duplicate ID","")</f>
        <v/>
      </c>
      <c r="L88" s="4" t="str">
        <f>IF(COUNTIFS(Customers!$B$2:$B$1001,Customers!B88,Customers!$D$2:$D$1001,Customers!D88,Customers!$G$2:$G$1001,Customers!G88,Customers!$I$2:$I$1001,Customers!I88,Customers!$L$2:$L$1001,Customers!L88)&gt;1,"Duplicate record","")</f>
        <v/>
      </c>
      <c r="M88" s="4" t="str">
        <f>IF(OR(Customers!U88&lt;300,Customers!U88&gt;850),"Score out of range","")</f>
        <v/>
      </c>
      <c r="N88" s="4" t="str">
        <f>IF(AND(Customers!G88&lt;&gt;"",Customers!G88&lt;=0),"Income ≤ 0","")</f>
        <v/>
      </c>
      <c r="O88" s="4" t="str">
        <f>IF(OR(Customers!G88="",Customers!M88=""),"Missing value","")</f>
        <v/>
      </c>
      <c r="P88" s="4">
        <f t="shared" si="1"/>
        <v>0</v>
      </c>
    </row>
    <row r="89" spans="1:16" x14ac:dyDescent="0.25">
      <c r="A89" s="4" t="str">
        <f>Customers!A89</f>
        <v>CL00088</v>
      </c>
      <c r="B89" s="20">
        <f>IF(Customers!G89="","",(Customers!G89-Statistics!$C$7)/Statistics!$C$9)</f>
        <v>-4.7453029783798908E-2</v>
      </c>
      <c r="C89" s="4" t="str">
        <f>IF(Customers!G89="","",IF(OR(Customers!G89&lt;Statistics!$C$15,Customers!G89&gt;Statistics!$C$16),"Outside 1.5·IQR",""))</f>
        <v/>
      </c>
      <c r="D89" s="4" t="str">
        <f>IF(OR(Customers!B89&lt;18,Customers!B89&gt;100),"Implausible age","")</f>
        <v/>
      </c>
      <c r="E89" s="4" t="str">
        <f>IF(Customers!H89&gt;Customers!B89-18,"Tenure &gt; age-18","")</f>
        <v/>
      </c>
      <c r="F89" s="4" t="str">
        <f>IF(Customers!R89&gt;Customers!Q89,"Card spend &gt; limit","")</f>
        <v/>
      </c>
      <c r="G89" s="4" t="str">
        <f>IF(OR(AND(Customers!S89&gt;0,Customers!T89=0),AND(Customers!S89=0,Customers!T89&gt;0)),"Mortgage/payment inconsistent","")</f>
        <v/>
      </c>
      <c r="H89" s="4" t="str">
        <f>IF(AND(Customers!G89&lt;&gt;"",Customers!G89&gt;0,Customers!T89&gt;Customers!G89/12),"Payment &gt; monthly income","")</f>
        <v/>
      </c>
      <c r="I89" s="4" t="str">
        <f>IF(OR(Customers!I89&gt;DATE(2026,9,13),YEAR(Customers!I89)&lt;1980),"Implausible date","")</f>
        <v/>
      </c>
      <c r="J89" s="4" t="str">
        <f>IF(Customers!I89&gt;DATE(2026,9,13),"",IF(ABS(INT((DATE(2026,9,13)-Customers!I89)/365.25)-Customers!H89)&gt;1,"Date/tenure inconsistent",""))</f>
        <v/>
      </c>
      <c r="K89" s="4" t="str">
        <f>IF(COUNTIF(Customers!$A$2:$A$1001,Customers!A89)&gt;1,"Duplicate ID","")</f>
        <v/>
      </c>
      <c r="L89" s="4" t="str">
        <f>IF(COUNTIFS(Customers!$B$2:$B$1001,Customers!B89,Customers!$D$2:$D$1001,Customers!D89,Customers!$G$2:$G$1001,Customers!G89,Customers!$I$2:$I$1001,Customers!I89,Customers!$L$2:$L$1001,Customers!L89)&gt;1,"Duplicate record","")</f>
        <v/>
      </c>
      <c r="M89" s="4" t="str">
        <f>IF(OR(Customers!U89&lt;300,Customers!U89&gt;850),"Score out of range","")</f>
        <v/>
      </c>
      <c r="N89" s="4" t="str">
        <f>IF(AND(Customers!G89&lt;&gt;"",Customers!G89&lt;=0),"Income ≤ 0","")</f>
        <v/>
      </c>
      <c r="O89" s="4" t="str">
        <f>IF(OR(Customers!G89="",Customers!M89=""),"Missing value","")</f>
        <v/>
      </c>
      <c r="P89" s="4">
        <f t="shared" si="1"/>
        <v>0</v>
      </c>
    </row>
    <row r="90" spans="1:16" x14ac:dyDescent="0.25">
      <c r="A90" s="4" t="str">
        <f>Customers!A90</f>
        <v>CL00089</v>
      </c>
      <c r="B90" s="20">
        <f>IF(Customers!G90="","",(Customers!G90-Statistics!$C$7)/Statistics!$C$9)</f>
        <v>-5.6711309794819371E-2</v>
      </c>
      <c r="C90" s="4" t="str">
        <f>IF(Customers!G90="","",IF(OR(Customers!G90&lt;Statistics!$C$15,Customers!G90&gt;Statistics!$C$16),"Outside 1.5·IQR",""))</f>
        <v/>
      </c>
      <c r="D90" s="4" t="str">
        <f>IF(OR(Customers!B90&lt;18,Customers!B90&gt;100),"Implausible age","")</f>
        <v/>
      </c>
      <c r="E90" s="4" t="str">
        <f>IF(Customers!H90&gt;Customers!B90-18,"Tenure &gt; age-18","")</f>
        <v/>
      </c>
      <c r="F90" s="4" t="str">
        <f>IF(Customers!R90&gt;Customers!Q90,"Card spend &gt; limit","")</f>
        <v/>
      </c>
      <c r="G90" s="4" t="str">
        <f>IF(OR(AND(Customers!S90&gt;0,Customers!T90=0),AND(Customers!S90=0,Customers!T90&gt;0)),"Mortgage/payment inconsistent","")</f>
        <v/>
      </c>
      <c r="H90" s="4" t="str">
        <f>IF(AND(Customers!G90&lt;&gt;"",Customers!G90&gt;0,Customers!T90&gt;Customers!G90/12),"Payment &gt; monthly income","")</f>
        <v/>
      </c>
      <c r="I90" s="4" t="str">
        <f>IF(OR(Customers!I90&gt;DATE(2026,9,13),YEAR(Customers!I90)&lt;1980),"Implausible date","")</f>
        <v/>
      </c>
      <c r="J90" s="4" t="str">
        <f>IF(Customers!I90&gt;DATE(2026,9,13),"",IF(ABS(INT((DATE(2026,9,13)-Customers!I90)/365.25)-Customers!H90)&gt;1,"Date/tenure inconsistent",""))</f>
        <v/>
      </c>
      <c r="K90" s="4" t="str">
        <f>IF(COUNTIF(Customers!$A$2:$A$1001,Customers!A90)&gt;1,"Duplicate ID","")</f>
        <v/>
      </c>
      <c r="L90" s="4" t="str">
        <f>IF(COUNTIFS(Customers!$B$2:$B$1001,Customers!B90,Customers!$D$2:$D$1001,Customers!D90,Customers!$G$2:$G$1001,Customers!G90,Customers!$I$2:$I$1001,Customers!I90,Customers!$L$2:$L$1001,Customers!L90)&gt;1,"Duplicate record","")</f>
        <v/>
      </c>
      <c r="M90" s="4" t="str">
        <f>IF(OR(Customers!U90&lt;300,Customers!U90&gt;850),"Score out of range","")</f>
        <v/>
      </c>
      <c r="N90" s="4" t="str">
        <f>IF(AND(Customers!G90&lt;&gt;"",Customers!G90&lt;=0),"Income ≤ 0","")</f>
        <v/>
      </c>
      <c r="O90" s="4" t="str">
        <f>IF(OR(Customers!G90="",Customers!M90=""),"Missing value","")</f>
        <v/>
      </c>
      <c r="P90" s="4">
        <f t="shared" si="1"/>
        <v>0</v>
      </c>
    </row>
    <row r="91" spans="1:16" x14ac:dyDescent="0.25">
      <c r="A91" s="4" t="str">
        <f>Customers!A91</f>
        <v>CL00090</v>
      </c>
      <c r="B91" s="20">
        <f>IF(Customers!G91="","",(Customers!G91-Statistics!$C$7)/Statistics!$C$9)</f>
        <v>-3.8293242113321212E-2</v>
      </c>
      <c r="C91" s="4" t="str">
        <f>IF(Customers!G91="","",IF(OR(Customers!G91&lt;Statistics!$C$15,Customers!G91&gt;Statistics!$C$16),"Outside 1.5·IQR",""))</f>
        <v/>
      </c>
      <c r="D91" s="4" t="str">
        <f>IF(OR(Customers!B91&lt;18,Customers!B91&gt;100),"Implausible age","")</f>
        <v/>
      </c>
      <c r="E91" s="4" t="str">
        <f>IF(Customers!H91&gt;Customers!B91-18,"Tenure &gt; age-18","")</f>
        <v/>
      </c>
      <c r="F91" s="4" t="str">
        <f>IF(Customers!R91&gt;Customers!Q91,"Card spend &gt; limit","")</f>
        <v/>
      </c>
      <c r="G91" s="4" t="str">
        <f>IF(OR(AND(Customers!S91&gt;0,Customers!T91=0),AND(Customers!S91=0,Customers!T91&gt;0)),"Mortgage/payment inconsistent","")</f>
        <v/>
      </c>
      <c r="H91" s="4" t="str">
        <f>IF(AND(Customers!G91&lt;&gt;"",Customers!G91&gt;0,Customers!T91&gt;Customers!G91/12),"Payment &gt; monthly income","")</f>
        <v/>
      </c>
      <c r="I91" s="4" t="str">
        <f>IF(OR(Customers!I91&gt;DATE(2026,9,13),YEAR(Customers!I91)&lt;1980),"Implausible date","")</f>
        <v/>
      </c>
      <c r="J91" s="4" t="str">
        <f>IF(Customers!I91&gt;DATE(2026,9,13),"",IF(ABS(INT((DATE(2026,9,13)-Customers!I91)/365.25)-Customers!H91)&gt;1,"Date/tenure inconsistent",""))</f>
        <v>Date/tenure inconsistent</v>
      </c>
      <c r="K91" s="4" t="str">
        <f>IF(COUNTIF(Customers!$A$2:$A$1001,Customers!A91)&gt;1,"Duplicate ID","")</f>
        <v/>
      </c>
      <c r="L91" s="4" t="str">
        <f>IF(COUNTIFS(Customers!$B$2:$B$1001,Customers!B91,Customers!$D$2:$D$1001,Customers!D91,Customers!$G$2:$G$1001,Customers!G91,Customers!$I$2:$I$1001,Customers!I91,Customers!$L$2:$L$1001,Customers!L91)&gt;1,"Duplicate record","")</f>
        <v/>
      </c>
      <c r="M91" s="4" t="str">
        <f>IF(OR(Customers!U91&lt;300,Customers!U91&gt;850),"Score out of range","")</f>
        <v/>
      </c>
      <c r="N91" s="4" t="str">
        <f>IF(AND(Customers!G91&lt;&gt;"",Customers!G91&lt;=0),"Income ≤ 0","")</f>
        <v/>
      </c>
      <c r="O91" s="4" t="str">
        <f>IF(OR(Customers!G91="",Customers!M91=""),"Missing value","")</f>
        <v/>
      </c>
      <c r="P91" s="4">
        <f t="shared" si="1"/>
        <v>1</v>
      </c>
    </row>
    <row r="92" spans="1:16" x14ac:dyDescent="0.25">
      <c r="A92" s="4" t="str">
        <f>Customers!A92</f>
        <v>CL00091</v>
      </c>
      <c r="B92" s="20">
        <f>IF(Customers!G92="","",(Customers!G92-Statistics!$C$7)/Statistics!$C$9)</f>
        <v>2.7401149028706974E-2</v>
      </c>
      <c r="C92" s="4" t="str">
        <f>IF(Customers!G92="","",IF(OR(Customers!G92&lt;Statistics!$C$15,Customers!G92&gt;Statistics!$C$16),"Outside 1.5·IQR",""))</f>
        <v>Outside 1.5·IQR</v>
      </c>
      <c r="D92" s="4" t="str">
        <f>IF(OR(Customers!B92&lt;18,Customers!B92&gt;100),"Implausible age","")</f>
        <v/>
      </c>
      <c r="E92" s="4" t="str">
        <f>IF(Customers!H92&gt;Customers!B92-18,"Tenure &gt; age-18","")</f>
        <v/>
      </c>
      <c r="F92" s="4" t="str">
        <f>IF(Customers!R92&gt;Customers!Q92,"Card spend &gt; limit","")</f>
        <v/>
      </c>
      <c r="G92" s="4" t="str">
        <f>IF(OR(AND(Customers!S92&gt;0,Customers!T92=0),AND(Customers!S92=0,Customers!T92&gt;0)),"Mortgage/payment inconsistent","")</f>
        <v/>
      </c>
      <c r="H92" s="4" t="str">
        <f>IF(AND(Customers!G92&lt;&gt;"",Customers!G92&gt;0,Customers!T92&gt;Customers!G92/12),"Payment &gt; monthly income","")</f>
        <v/>
      </c>
      <c r="I92" s="4" t="str">
        <f>IF(OR(Customers!I92&gt;DATE(2026,9,13),YEAR(Customers!I92)&lt;1980),"Implausible date","")</f>
        <v/>
      </c>
      <c r="J92" s="4" t="str">
        <f>IF(Customers!I92&gt;DATE(2026,9,13),"",IF(ABS(INT((DATE(2026,9,13)-Customers!I92)/365.25)-Customers!H92)&gt;1,"Date/tenure inconsistent",""))</f>
        <v/>
      </c>
      <c r="K92" s="4" t="str">
        <f>IF(COUNTIF(Customers!$A$2:$A$1001,Customers!A92)&gt;1,"Duplicate ID","")</f>
        <v/>
      </c>
      <c r="L92" s="4" t="str">
        <f>IF(COUNTIFS(Customers!$B$2:$B$1001,Customers!B92,Customers!$D$2:$D$1001,Customers!D92,Customers!$G$2:$G$1001,Customers!G92,Customers!$I$2:$I$1001,Customers!I92,Customers!$L$2:$L$1001,Customers!L92)&gt;1,"Duplicate record","")</f>
        <v/>
      </c>
      <c r="M92" s="4" t="str">
        <f>IF(OR(Customers!U92&lt;300,Customers!U92&gt;850),"Score out of range","")</f>
        <v/>
      </c>
      <c r="N92" s="4" t="str">
        <f>IF(AND(Customers!G92&lt;&gt;"",Customers!G92&lt;=0),"Income ≤ 0","")</f>
        <v/>
      </c>
      <c r="O92" s="4" t="str">
        <f>IF(OR(Customers!G92="",Customers!M92=""),"Missing value","")</f>
        <v/>
      </c>
      <c r="P92" s="4">
        <f t="shared" si="1"/>
        <v>1</v>
      </c>
    </row>
    <row r="93" spans="1:16" x14ac:dyDescent="0.25">
      <c r="A93" s="4" t="str">
        <f>Customers!A93</f>
        <v>CL00092</v>
      </c>
      <c r="B93" s="20">
        <f>IF(Customers!G93="","",(Customers!G93-Statistics!$C$7)/Statistics!$C$9)</f>
        <v>-1.8299296983138723E-2</v>
      </c>
      <c r="C93" s="4" t="str">
        <f>IF(Customers!G93="","",IF(OR(Customers!G93&lt;Statistics!$C$15,Customers!G93&gt;Statistics!$C$16),"Outside 1.5·IQR",""))</f>
        <v/>
      </c>
      <c r="D93" s="4" t="str">
        <f>IF(OR(Customers!B93&lt;18,Customers!B93&gt;100),"Implausible age","")</f>
        <v/>
      </c>
      <c r="E93" s="4" t="str">
        <f>IF(Customers!H93&gt;Customers!B93-18,"Tenure &gt; age-18","")</f>
        <v/>
      </c>
      <c r="F93" s="4" t="str">
        <f>IF(Customers!R93&gt;Customers!Q93,"Card spend &gt; limit","")</f>
        <v/>
      </c>
      <c r="G93" s="4" t="str">
        <f>IF(OR(AND(Customers!S93&gt;0,Customers!T93=0),AND(Customers!S93=0,Customers!T93&gt;0)),"Mortgage/payment inconsistent","")</f>
        <v/>
      </c>
      <c r="H93" s="4" t="str">
        <f>IF(AND(Customers!G93&lt;&gt;"",Customers!G93&gt;0,Customers!T93&gt;Customers!G93/12),"Payment &gt; monthly income","")</f>
        <v/>
      </c>
      <c r="I93" s="4" t="str">
        <f>IF(OR(Customers!I93&gt;DATE(2026,9,13),YEAR(Customers!I93)&lt;1980),"Implausible date","")</f>
        <v/>
      </c>
      <c r="J93" s="4" t="str">
        <f>IF(Customers!I93&gt;DATE(2026,9,13),"",IF(ABS(INT((DATE(2026,9,13)-Customers!I93)/365.25)-Customers!H93)&gt;1,"Date/tenure inconsistent",""))</f>
        <v/>
      </c>
      <c r="K93" s="4" t="str">
        <f>IF(COUNTIF(Customers!$A$2:$A$1001,Customers!A93)&gt;1,"Duplicate ID","")</f>
        <v/>
      </c>
      <c r="L93" s="4" t="str">
        <f>IF(COUNTIFS(Customers!$B$2:$B$1001,Customers!B93,Customers!$D$2:$D$1001,Customers!D93,Customers!$G$2:$G$1001,Customers!G93,Customers!$I$2:$I$1001,Customers!I93,Customers!$L$2:$L$1001,Customers!L93)&gt;1,"Duplicate record","")</f>
        <v/>
      </c>
      <c r="M93" s="4" t="str">
        <f>IF(OR(Customers!U93&lt;300,Customers!U93&gt;850),"Score out of range","")</f>
        <v/>
      </c>
      <c r="N93" s="4" t="str">
        <f>IF(AND(Customers!G93&lt;&gt;"",Customers!G93&lt;=0),"Income ≤ 0","")</f>
        <v/>
      </c>
      <c r="O93" s="4" t="str">
        <f>IF(OR(Customers!G93="",Customers!M93=""),"Missing value","")</f>
        <v/>
      </c>
      <c r="P93" s="4">
        <f t="shared" si="1"/>
        <v>0</v>
      </c>
    </row>
    <row r="94" spans="1:16" x14ac:dyDescent="0.25">
      <c r="A94" s="4" t="str">
        <f>Customers!A94</f>
        <v>CL00093</v>
      </c>
      <c r="B94" s="20">
        <f>IF(Customers!G94="","",(Customers!G94-Statistics!$C$7)/Statistics!$C$9)</f>
        <v>-3.898268849712061E-2</v>
      </c>
      <c r="C94" s="4" t="str">
        <f>IF(Customers!G94="","",IF(OR(Customers!G94&lt;Statistics!$C$15,Customers!G94&gt;Statistics!$C$16),"Outside 1.5·IQR",""))</f>
        <v/>
      </c>
      <c r="D94" s="4" t="str">
        <f>IF(OR(Customers!B94&lt;18,Customers!B94&gt;100),"Implausible age","")</f>
        <v/>
      </c>
      <c r="E94" s="4" t="str">
        <f>IF(Customers!H94&gt;Customers!B94-18,"Tenure &gt; age-18","")</f>
        <v/>
      </c>
      <c r="F94" s="4" t="str">
        <f>IF(Customers!R94&gt;Customers!Q94,"Card spend &gt; limit","")</f>
        <v/>
      </c>
      <c r="G94" s="4" t="str">
        <f>IF(OR(AND(Customers!S94&gt;0,Customers!T94=0),AND(Customers!S94=0,Customers!T94&gt;0)),"Mortgage/payment inconsistent","")</f>
        <v/>
      </c>
      <c r="H94" s="4" t="str">
        <f>IF(AND(Customers!G94&lt;&gt;"",Customers!G94&gt;0,Customers!T94&gt;Customers!G94/12),"Payment &gt; monthly income","")</f>
        <v/>
      </c>
      <c r="I94" s="4" t="str">
        <f>IF(OR(Customers!I94&gt;DATE(2026,9,13),YEAR(Customers!I94)&lt;1980),"Implausible date","")</f>
        <v/>
      </c>
      <c r="J94" s="4" t="str">
        <f>IF(Customers!I94&gt;DATE(2026,9,13),"",IF(ABS(INT((DATE(2026,9,13)-Customers!I94)/365.25)-Customers!H94)&gt;1,"Date/tenure inconsistent",""))</f>
        <v/>
      </c>
      <c r="K94" s="4" t="str">
        <f>IF(COUNTIF(Customers!$A$2:$A$1001,Customers!A94)&gt;1,"Duplicate ID","")</f>
        <v/>
      </c>
      <c r="L94" s="4" t="str">
        <f>IF(COUNTIFS(Customers!$B$2:$B$1001,Customers!B94,Customers!$D$2:$D$1001,Customers!D94,Customers!$G$2:$G$1001,Customers!G94,Customers!$I$2:$I$1001,Customers!I94,Customers!$L$2:$L$1001,Customers!L94)&gt;1,"Duplicate record","")</f>
        <v/>
      </c>
      <c r="M94" s="4" t="str">
        <f>IF(OR(Customers!U94&lt;300,Customers!U94&gt;850),"Score out of range","")</f>
        <v/>
      </c>
      <c r="N94" s="4" t="str">
        <f>IF(AND(Customers!G94&lt;&gt;"",Customers!G94&lt;=0),"Income ≤ 0","")</f>
        <v/>
      </c>
      <c r="O94" s="4" t="str">
        <f>IF(OR(Customers!G94="",Customers!M94=""),"Missing value","")</f>
        <v/>
      </c>
      <c r="P94" s="4">
        <f t="shared" si="1"/>
        <v>0</v>
      </c>
    </row>
    <row r="95" spans="1:16" x14ac:dyDescent="0.25">
      <c r="A95" s="4" t="str">
        <f>Customers!A95</f>
        <v>CL00094</v>
      </c>
      <c r="B95" s="20">
        <f>IF(Customers!G95="","",(Customers!G95-Statistics!$C$7)/Statistics!$C$9)</f>
        <v>-4.439976722697301E-2</v>
      </c>
      <c r="C95" s="4" t="str">
        <f>IF(Customers!G95="","",IF(OR(Customers!G95&lt;Statistics!$C$15,Customers!G95&gt;Statistics!$C$16),"Outside 1.5·IQR",""))</f>
        <v/>
      </c>
      <c r="D95" s="4" t="str">
        <f>IF(OR(Customers!B95&lt;18,Customers!B95&gt;100),"Implausible age","")</f>
        <v/>
      </c>
      <c r="E95" s="4" t="str">
        <f>IF(Customers!H95&gt;Customers!B95-18,"Tenure &gt; age-18","")</f>
        <v/>
      </c>
      <c r="F95" s="4" t="str">
        <f>IF(Customers!R95&gt;Customers!Q95,"Card spend &gt; limit","")</f>
        <v/>
      </c>
      <c r="G95" s="4" t="str">
        <f>IF(OR(AND(Customers!S95&gt;0,Customers!T95=0),AND(Customers!S95=0,Customers!T95&gt;0)),"Mortgage/payment inconsistent","")</f>
        <v/>
      </c>
      <c r="H95" s="4" t="str">
        <f>IF(AND(Customers!G95&lt;&gt;"",Customers!G95&gt;0,Customers!T95&gt;Customers!G95/12),"Payment &gt; monthly income","")</f>
        <v/>
      </c>
      <c r="I95" s="4" t="str">
        <f>IF(OR(Customers!I95&gt;DATE(2026,9,13),YEAR(Customers!I95)&lt;1980),"Implausible date","")</f>
        <v/>
      </c>
      <c r="J95" s="4" t="str">
        <f>IF(Customers!I95&gt;DATE(2026,9,13),"",IF(ABS(INT((DATE(2026,9,13)-Customers!I95)/365.25)-Customers!H95)&gt;1,"Date/tenure inconsistent",""))</f>
        <v/>
      </c>
      <c r="K95" s="4" t="str">
        <f>IF(COUNTIF(Customers!$A$2:$A$1001,Customers!A95)&gt;1,"Duplicate ID","")</f>
        <v/>
      </c>
      <c r="L95" s="4" t="str">
        <f>IF(COUNTIFS(Customers!$B$2:$B$1001,Customers!B95,Customers!$D$2:$D$1001,Customers!D95,Customers!$G$2:$G$1001,Customers!G95,Customers!$I$2:$I$1001,Customers!I95,Customers!$L$2:$L$1001,Customers!L95)&gt;1,"Duplicate record","")</f>
        <v/>
      </c>
      <c r="M95" s="4" t="str">
        <f>IF(OR(Customers!U95&lt;300,Customers!U95&gt;850),"Score out of range","")</f>
        <v/>
      </c>
      <c r="N95" s="4" t="str">
        <f>IF(AND(Customers!G95&lt;&gt;"",Customers!G95&lt;=0),"Income ≤ 0","")</f>
        <v/>
      </c>
      <c r="O95" s="4" t="str">
        <f>IF(OR(Customers!G95="",Customers!M95=""),"Missing value","")</f>
        <v/>
      </c>
      <c r="P95" s="4">
        <f t="shared" si="1"/>
        <v>0</v>
      </c>
    </row>
    <row r="96" spans="1:16" x14ac:dyDescent="0.25">
      <c r="A96" s="4" t="str">
        <f>Customers!A96</f>
        <v>CL00095</v>
      </c>
      <c r="B96" s="20">
        <f>IF(Customers!G96="","",(Customers!G96-Statistics!$C$7)/Statistics!$C$9)</f>
        <v>-4.9324384254111557E-2</v>
      </c>
      <c r="C96" s="4" t="str">
        <f>IF(Customers!G96="","",IF(OR(Customers!G96&lt;Statistics!$C$15,Customers!G96&gt;Statistics!$C$16),"Outside 1.5·IQR",""))</f>
        <v/>
      </c>
      <c r="D96" s="4" t="str">
        <f>IF(OR(Customers!B96&lt;18,Customers!B96&gt;100),"Implausible age","")</f>
        <v/>
      </c>
      <c r="E96" s="4" t="str">
        <f>IF(Customers!H96&gt;Customers!B96-18,"Tenure &gt; age-18","")</f>
        <v/>
      </c>
      <c r="F96" s="4" t="str">
        <f>IF(Customers!R96&gt;Customers!Q96,"Card spend &gt; limit","")</f>
        <v/>
      </c>
      <c r="G96" s="4" t="str">
        <f>IF(OR(AND(Customers!S96&gt;0,Customers!T96=0),AND(Customers!S96=0,Customers!T96&gt;0)),"Mortgage/payment inconsistent","")</f>
        <v/>
      </c>
      <c r="H96" s="4" t="str">
        <f>IF(AND(Customers!G96&lt;&gt;"",Customers!G96&gt;0,Customers!T96&gt;Customers!G96/12),"Payment &gt; monthly income","")</f>
        <v/>
      </c>
      <c r="I96" s="4" t="str">
        <f>IF(OR(Customers!I96&gt;DATE(2026,9,13),YEAR(Customers!I96)&lt;1980),"Implausible date","")</f>
        <v/>
      </c>
      <c r="J96" s="4" t="str">
        <f>IF(Customers!I96&gt;DATE(2026,9,13),"",IF(ABS(INT((DATE(2026,9,13)-Customers!I96)/365.25)-Customers!H96)&gt;1,"Date/tenure inconsistent",""))</f>
        <v/>
      </c>
      <c r="K96" s="4" t="str">
        <f>IF(COUNTIF(Customers!$A$2:$A$1001,Customers!A96)&gt;1,"Duplicate ID","")</f>
        <v/>
      </c>
      <c r="L96" s="4" t="str">
        <f>IF(COUNTIFS(Customers!$B$2:$B$1001,Customers!B96,Customers!$D$2:$D$1001,Customers!D96,Customers!$G$2:$G$1001,Customers!G96,Customers!$I$2:$I$1001,Customers!I96,Customers!$L$2:$L$1001,Customers!L96)&gt;1,"Duplicate record","")</f>
        <v/>
      </c>
      <c r="M96" s="4" t="str">
        <f>IF(OR(Customers!U96&lt;300,Customers!U96&gt;850),"Score out of range","")</f>
        <v/>
      </c>
      <c r="N96" s="4" t="str">
        <f>IF(AND(Customers!G96&lt;&gt;"",Customers!G96&lt;=0),"Income ≤ 0","")</f>
        <v/>
      </c>
      <c r="O96" s="4" t="str">
        <f>IF(OR(Customers!G96="",Customers!M96=""),"Missing value","")</f>
        <v/>
      </c>
      <c r="P96" s="4">
        <f t="shared" si="1"/>
        <v>0</v>
      </c>
    </row>
    <row r="97" spans="1:16" x14ac:dyDescent="0.25">
      <c r="A97" s="4" t="str">
        <f>Customers!A97</f>
        <v>CL00096</v>
      </c>
      <c r="B97" s="20">
        <f>IF(Customers!G97="","",(Customers!G97-Statistics!$C$7)/Statistics!$C$9)</f>
        <v>-4.4104290205344697E-2</v>
      </c>
      <c r="C97" s="4" t="str">
        <f>IF(Customers!G97="","",IF(OR(Customers!G97&lt;Statistics!$C$15,Customers!G97&gt;Statistics!$C$16),"Outside 1.5·IQR",""))</f>
        <v/>
      </c>
      <c r="D97" s="4" t="str">
        <f>IF(OR(Customers!B97&lt;18,Customers!B97&gt;100),"Implausible age","")</f>
        <v/>
      </c>
      <c r="E97" s="4" t="str">
        <f>IF(Customers!H97&gt;Customers!B97-18,"Tenure &gt; age-18","")</f>
        <v/>
      </c>
      <c r="F97" s="4" t="str">
        <f>IF(Customers!R97&gt;Customers!Q97,"Card spend &gt; limit","")</f>
        <v/>
      </c>
      <c r="G97" s="4" t="str">
        <f>IF(OR(AND(Customers!S97&gt;0,Customers!T97=0),AND(Customers!S97=0,Customers!T97&gt;0)),"Mortgage/payment inconsistent","")</f>
        <v/>
      </c>
      <c r="H97" s="4" t="str">
        <f>IF(AND(Customers!G97&lt;&gt;"",Customers!G97&gt;0,Customers!T97&gt;Customers!G97/12),"Payment &gt; monthly income","")</f>
        <v/>
      </c>
      <c r="I97" s="4" t="str">
        <f>IF(OR(Customers!I97&gt;DATE(2026,9,13),YEAR(Customers!I97)&lt;1980),"Implausible date","")</f>
        <v/>
      </c>
      <c r="J97" s="4" t="str">
        <f>IF(Customers!I97&gt;DATE(2026,9,13),"",IF(ABS(INT((DATE(2026,9,13)-Customers!I97)/365.25)-Customers!H97)&gt;1,"Date/tenure inconsistent",""))</f>
        <v/>
      </c>
      <c r="K97" s="4" t="str">
        <f>IF(COUNTIF(Customers!$A$2:$A$1001,Customers!A97)&gt;1,"Duplicate ID","")</f>
        <v/>
      </c>
      <c r="L97" s="4" t="str">
        <f>IF(COUNTIFS(Customers!$B$2:$B$1001,Customers!B97,Customers!$D$2:$D$1001,Customers!D97,Customers!$G$2:$G$1001,Customers!G97,Customers!$I$2:$I$1001,Customers!I97,Customers!$L$2:$L$1001,Customers!L97)&gt;1,"Duplicate record","")</f>
        <v/>
      </c>
      <c r="M97" s="4" t="str">
        <f>IF(OR(Customers!U97&lt;300,Customers!U97&gt;850),"Score out of range","")</f>
        <v/>
      </c>
      <c r="N97" s="4" t="str">
        <f>IF(AND(Customers!G97&lt;&gt;"",Customers!G97&lt;=0),"Income ≤ 0","")</f>
        <v/>
      </c>
      <c r="O97" s="4" t="str">
        <f>IF(OR(Customers!G97="",Customers!M97=""),"Missing value","")</f>
        <v/>
      </c>
      <c r="P97" s="4">
        <f t="shared" si="1"/>
        <v>0</v>
      </c>
    </row>
    <row r="98" spans="1:16" x14ac:dyDescent="0.25">
      <c r="A98" s="4" t="str">
        <f>Customers!A98</f>
        <v>CL00097</v>
      </c>
      <c r="B98" s="20">
        <f>IF(Customers!G98="","",(Customers!G98-Statistics!$C$7)/Statistics!$C$9)</f>
        <v>-4.1444997010689884E-2</v>
      </c>
      <c r="C98" s="4" t="str">
        <f>IF(Customers!G98="","",IF(OR(Customers!G98&lt;Statistics!$C$15,Customers!G98&gt;Statistics!$C$16),"Outside 1.5·IQR",""))</f>
        <v/>
      </c>
      <c r="D98" s="4" t="str">
        <f>IF(OR(Customers!B98&lt;18,Customers!B98&gt;100),"Implausible age","")</f>
        <v/>
      </c>
      <c r="E98" s="4" t="str">
        <f>IF(Customers!H98&gt;Customers!B98-18,"Tenure &gt; age-18","")</f>
        <v/>
      </c>
      <c r="F98" s="4" t="str">
        <f>IF(Customers!R98&gt;Customers!Q98,"Card spend &gt; limit","")</f>
        <v/>
      </c>
      <c r="G98" s="4" t="str">
        <f>IF(OR(AND(Customers!S98&gt;0,Customers!T98=0),AND(Customers!S98=0,Customers!T98&gt;0)),"Mortgage/payment inconsistent","")</f>
        <v/>
      </c>
      <c r="H98" s="4" t="str">
        <f>IF(AND(Customers!G98&lt;&gt;"",Customers!G98&gt;0,Customers!T98&gt;Customers!G98/12),"Payment &gt; monthly income","")</f>
        <v/>
      </c>
      <c r="I98" s="4" t="str">
        <f>IF(OR(Customers!I98&gt;DATE(2026,9,13),YEAR(Customers!I98)&lt;1980),"Implausible date","")</f>
        <v/>
      </c>
      <c r="J98" s="4" t="str">
        <f>IF(Customers!I98&gt;DATE(2026,9,13),"",IF(ABS(INT((DATE(2026,9,13)-Customers!I98)/365.25)-Customers!H98)&gt;1,"Date/tenure inconsistent",""))</f>
        <v/>
      </c>
      <c r="K98" s="4" t="str">
        <f>IF(COUNTIF(Customers!$A$2:$A$1001,Customers!A98)&gt;1,"Duplicate ID","")</f>
        <v/>
      </c>
      <c r="L98" s="4" t="str">
        <f>IF(COUNTIFS(Customers!$B$2:$B$1001,Customers!B98,Customers!$D$2:$D$1001,Customers!D98,Customers!$G$2:$G$1001,Customers!G98,Customers!$I$2:$I$1001,Customers!I98,Customers!$L$2:$L$1001,Customers!L98)&gt;1,"Duplicate record","")</f>
        <v/>
      </c>
      <c r="M98" s="4" t="str">
        <f>IF(OR(Customers!U98&lt;300,Customers!U98&gt;850),"Score out of range","")</f>
        <v/>
      </c>
      <c r="N98" s="4" t="str">
        <f>IF(AND(Customers!G98&lt;&gt;"",Customers!G98&lt;=0),"Income ≤ 0","")</f>
        <v/>
      </c>
      <c r="O98" s="4" t="str">
        <f>IF(OR(Customers!G98="",Customers!M98=""),"Missing value","")</f>
        <v/>
      </c>
      <c r="P98" s="4">
        <f t="shared" si="1"/>
        <v>0</v>
      </c>
    </row>
    <row r="99" spans="1:16" x14ac:dyDescent="0.25">
      <c r="A99" s="4" t="str">
        <f>Customers!A99</f>
        <v>CL00098</v>
      </c>
      <c r="B99" s="20">
        <f>IF(Customers!G99="","",(Customers!G99-Statistics!$C$7)/Statistics!$C$9)</f>
        <v>-5.0900261702795886E-2</v>
      </c>
      <c r="C99" s="4" t="str">
        <f>IF(Customers!G99="","",IF(OR(Customers!G99&lt;Statistics!$C$15,Customers!G99&gt;Statistics!$C$16),"Outside 1.5·IQR",""))</f>
        <v/>
      </c>
      <c r="D99" s="4" t="str">
        <f>IF(OR(Customers!B99&lt;18,Customers!B99&gt;100),"Implausible age","")</f>
        <v/>
      </c>
      <c r="E99" s="4" t="str">
        <f>IF(Customers!H99&gt;Customers!B99-18,"Tenure &gt; age-18","")</f>
        <v/>
      </c>
      <c r="F99" s="4" t="str">
        <f>IF(Customers!R99&gt;Customers!Q99,"Card spend &gt; limit","")</f>
        <v/>
      </c>
      <c r="G99" s="4" t="str">
        <f>IF(OR(AND(Customers!S99&gt;0,Customers!T99=0),AND(Customers!S99=0,Customers!T99&gt;0)),"Mortgage/payment inconsistent","")</f>
        <v/>
      </c>
      <c r="H99" s="4" t="str">
        <f>IF(AND(Customers!G99&lt;&gt;"",Customers!G99&gt;0,Customers!T99&gt;Customers!G99/12),"Payment &gt; monthly income","")</f>
        <v/>
      </c>
      <c r="I99" s="4" t="str">
        <f>IF(OR(Customers!I99&gt;DATE(2026,9,13),YEAR(Customers!I99)&lt;1980),"Implausible date","")</f>
        <v/>
      </c>
      <c r="J99" s="4" t="str">
        <f>IF(Customers!I99&gt;DATE(2026,9,13),"",IF(ABS(INT((DATE(2026,9,13)-Customers!I99)/365.25)-Customers!H99)&gt;1,"Date/tenure inconsistent",""))</f>
        <v/>
      </c>
      <c r="K99" s="4" t="str">
        <f>IF(COUNTIF(Customers!$A$2:$A$1001,Customers!A99)&gt;1,"Duplicate ID","")</f>
        <v/>
      </c>
      <c r="L99" s="4" t="str">
        <f>IF(COUNTIFS(Customers!$B$2:$B$1001,Customers!B99,Customers!$D$2:$D$1001,Customers!D99,Customers!$G$2:$G$1001,Customers!G99,Customers!$I$2:$I$1001,Customers!I99,Customers!$L$2:$L$1001,Customers!L99)&gt;1,"Duplicate record","")</f>
        <v/>
      </c>
      <c r="M99" s="4" t="str">
        <f>IF(OR(Customers!U99&lt;300,Customers!U99&gt;850),"Score out of range","")</f>
        <v/>
      </c>
      <c r="N99" s="4" t="str">
        <f>IF(AND(Customers!G99&lt;&gt;"",Customers!G99&lt;=0),"Income ≤ 0","")</f>
        <v/>
      </c>
      <c r="O99" s="4" t="str">
        <f>IF(OR(Customers!G99="",Customers!M99=""),"Missing value","")</f>
        <v/>
      </c>
      <c r="P99" s="4">
        <f t="shared" si="1"/>
        <v>0</v>
      </c>
    </row>
    <row r="100" spans="1:16" x14ac:dyDescent="0.25">
      <c r="A100" s="4" t="str">
        <f>Customers!A100</f>
        <v>CL00099</v>
      </c>
      <c r="B100" s="20">
        <f>IF(Customers!G100="","",(Customers!G100-Statistics!$C$7)/Statistics!$C$9)</f>
        <v>-2.588320720493208E-2</v>
      </c>
      <c r="C100" s="4" t="str">
        <f>IF(Customers!G100="","",IF(OR(Customers!G100&lt;Statistics!$C$15,Customers!G100&gt;Statistics!$C$16),"Outside 1.5·IQR",""))</f>
        <v/>
      </c>
      <c r="D100" s="4" t="str">
        <f>IF(OR(Customers!B100&lt;18,Customers!B100&gt;100),"Implausible age","")</f>
        <v/>
      </c>
      <c r="E100" s="4" t="str">
        <f>IF(Customers!H100&gt;Customers!B100-18,"Tenure &gt; age-18","")</f>
        <v/>
      </c>
      <c r="F100" s="4" t="str">
        <f>IF(Customers!R100&gt;Customers!Q100,"Card spend &gt; limit","")</f>
        <v/>
      </c>
      <c r="G100" s="4" t="str">
        <f>IF(OR(AND(Customers!S100&gt;0,Customers!T100=0),AND(Customers!S100=0,Customers!T100&gt;0)),"Mortgage/payment inconsistent","")</f>
        <v/>
      </c>
      <c r="H100" s="4" t="str">
        <f>IF(AND(Customers!G100&lt;&gt;"",Customers!G100&gt;0,Customers!T100&gt;Customers!G100/12),"Payment &gt; monthly income","")</f>
        <v/>
      </c>
      <c r="I100" s="4" t="str">
        <f>IF(OR(Customers!I100&gt;DATE(2026,9,13),YEAR(Customers!I100)&lt;1980),"Implausible date","")</f>
        <v/>
      </c>
      <c r="J100" s="4" t="str">
        <f>IF(Customers!I100&gt;DATE(2026,9,13),"",IF(ABS(INT((DATE(2026,9,13)-Customers!I100)/365.25)-Customers!H100)&gt;1,"Date/tenure inconsistent",""))</f>
        <v/>
      </c>
      <c r="K100" s="4" t="str">
        <f>IF(COUNTIF(Customers!$A$2:$A$1001,Customers!A100)&gt;1,"Duplicate ID","")</f>
        <v/>
      </c>
      <c r="L100" s="4" t="str">
        <f>IF(COUNTIFS(Customers!$B$2:$B$1001,Customers!B100,Customers!$D$2:$D$1001,Customers!D100,Customers!$G$2:$G$1001,Customers!G100,Customers!$I$2:$I$1001,Customers!I100,Customers!$L$2:$L$1001,Customers!L100)&gt;1,"Duplicate record","")</f>
        <v/>
      </c>
      <c r="M100" s="4" t="str">
        <f>IF(OR(Customers!U100&lt;300,Customers!U100&gt;850),"Score out of range","")</f>
        <v/>
      </c>
      <c r="N100" s="4" t="str">
        <f>IF(AND(Customers!G100&lt;&gt;"",Customers!G100&lt;=0),"Income ≤ 0","")</f>
        <v/>
      </c>
      <c r="O100" s="4" t="str">
        <f>IF(OR(Customers!G100="",Customers!M100=""),"Missing value","")</f>
        <v/>
      </c>
      <c r="P100" s="4">
        <f t="shared" si="1"/>
        <v>0</v>
      </c>
    </row>
    <row r="101" spans="1:16" x14ac:dyDescent="0.25">
      <c r="A101" s="4" t="str">
        <f>Customers!A101</f>
        <v>CL00100</v>
      </c>
      <c r="B101" s="20">
        <f>IF(Customers!G101="","",(Customers!G101-Statistics!$C$7)/Statistics!$C$9)</f>
        <v>-6.0946480438158521E-2</v>
      </c>
      <c r="C101" s="4" t="str">
        <f>IF(Customers!G101="","",IF(OR(Customers!G101&lt;Statistics!$C$15,Customers!G101&gt;Statistics!$C$16),"Outside 1.5·IQR",""))</f>
        <v/>
      </c>
      <c r="D101" s="4" t="str">
        <f>IF(OR(Customers!B101&lt;18,Customers!B101&gt;100),"Implausible age","")</f>
        <v/>
      </c>
      <c r="E101" s="4" t="str">
        <f>IF(Customers!H101&gt;Customers!B101-18,"Tenure &gt; age-18","")</f>
        <v/>
      </c>
      <c r="F101" s="4" t="str">
        <f>IF(Customers!R101&gt;Customers!Q101,"Card spend &gt; limit","")</f>
        <v/>
      </c>
      <c r="G101" s="4" t="str">
        <f>IF(OR(AND(Customers!S101&gt;0,Customers!T101=0),AND(Customers!S101=0,Customers!T101&gt;0)),"Mortgage/payment inconsistent","")</f>
        <v/>
      </c>
      <c r="H101" s="4" t="str">
        <f>IF(AND(Customers!G101&lt;&gt;"",Customers!G101&gt;0,Customers!T101&gt;Customers!G101/12),"Payment &gt; monthly income","")</f>
        <v/>
      </c>
      <c r="I101" s="4" t="str">
        <f>IF(OR(Customers!I101&gt;DATE(2026,9,13),YEAR(Customers!I101)&lt;1980),"Implausible date","")</f>
        <v/>
      </c>
      <c r="J101" s="4" t="str">
        <f>IF(Customers!I101&gt;DATE(2026,9,13),"",IF(ABS(INT((DATE(2026,9,13)-Customers!I101)/365.25)-Customers!H101)&gt;1,"Date/tenure inconsistent",""))</f>
        <v/>
      </c>
      <c r="K101" s="4" t="str">
        <f>IF(COUNTIF(Customers!$A$2:$A$1001,Customers!A101)&gt;1,"Duplicate ID","")</f>
        <v/>
      </c>
      <c r="L101" s="4" t="str">
        <f>IF(COUNTIFS(Customers!$B$2:$B$1001,Customers!B101,Customers!$D$2:$D$1001,Customers!D101,Customers!$G$2:$G$1001,Customers!G101,Customers!$I$2:$I$1001,Customers!I101,Customers!$L$2:$L$1001,Customers!L101)&gt;1,"Duplicate record","")</f>
        <v/>
      </c>
      <c r="M101" s="4" t="str">
        <f>IF(OR(Customers!U101&lt;300,Customers!U101&gt;850),"Score out of range","")</f>
        <v/>
      </c>
      <c r="N101" s="4" t="str">
        <f>IF(AND(Customers!G101&lt;&gt;"",Customers!G101&lt;=0),"Income ≤ 0","")</f>
        <v/>
      </c>
      <c r="O101" s="4" t="str">
        <f>IF(OR(Customers!G101="",Customers!M101=""),"Missing value","")</f>
        <v/>
      </c>
      <c r="P101" s="4">
        <f t="shared" si="1"/>
        <v>0</v>
      </c>
    </row>
    <row r="102" spans="1:16" x14ac:dyDescent="0.25">
      <c r="A102" s="4" t="str">
        <f>Customers!A102</f>
        <v>CL00101</v>
      </c>
      <c r="B102" s="20">
        <f>IF(Customers!G102="","",(Customers!G102-Statistics!$C$7)/Statistics!$C$9)</f>
        <v>-3.2679178702383273E-2</v>
      </c>
      <c r="C102" s="4" t="str">
        <f>IF(Customers!G102="","",IF(OR(Customers!G102&lt;Statistics!$C$15,Customers!G102&gt;Statistics!$C$16),"Outside 1.5·IQR",""))</f>
        <v/>
      </c>
      <c r="D102" s="4" t="str">
        <f>IF(OR(Customers!B102&lt;18,Customers!B102&gt;100),"Implausible age","")</f>
        <v/>
      </c>
      <c r="E102" s="4" t="str">
        <f>IF(Customers!H102&gt;Customers!B102-18,"Tenure &gt; age-18","")</f>
        <v/>
      </c>
      <c r="F102" s="4" t="str">
        <f>IF(Customers!R102&gt;Customers!Q102,"Card spend &gt; limit","")</f>
        <v/>
      </c>
      <c r="G102" s="4" t="str">
        <f>IF(OR(AND(Customers!S102&gt;0,Customers!T102=0),AND(Customers!S102=0,Customers!T102&gt;0)),"Mortgage/payment inconsistent","")</f>
        <v/>
      </c>
      <c r="H102" s="4" t="str">
        <f>IF(AND(Customers!G102&lt;&gt;"",Customers!G102&gt;0,Customers!T102&gt;Customers!G102/12),"Payment &gt; monthly income","")</f>
        <v/>
      </c>
      <c r="I102" s="4" t="str">
        <f>IF(OR(Customers!I102&gt;DATE(2026,9,13),YEAR(Customers!I102)&lt;1980),"Implausible date","")</f>
        <v/>
      </c>
      <c r="J102" s="4" t="str">
        <f>IF(Customers!I102&gt;DATE(2026,9,13),"",IF(ABS(INT((DATE(2026,9,13)-Customers!I102)/365.25)-Customers!H102)&gt;1,"Date/tenure inconsistent",""))</f>
        <v/>
      </c>
      <c r="K102" s="4" t="str">
        <f>IF(COUNTIF(Customers!$A$2:$A$1001,Customers!A102)&gt;1,"Duplicate ID","")</f>
        <v/>
      </c>
      <c r="L102" s="4" t="str">
        <f>IF(COUNTIFS(Customers!$B$2:$B$1001,Customers!B102,Customers!$D$2:$D$1001,Customers!D102,Customers!$G$2:$G$1001,Customers!G102,Customers!$I$2:$I$1001,Customers!I102,Customers!$L$2:$L$1001,Customers!L102)&gt;1,"Duplicate record","")</f>
        <v/>
      </c>
      <c r="M102" s="4" t="str">
        <f>IF(OR(Customers!U102&lt;300,Customers!U102&gt;850),"Score out of range","")</f>
        <v/>
      </c>
      <c r="N102" s="4" t="str">
        <f>IF(AND(Customers!G102&lt;&gt;"",Customers!G102&lt;=0),"Income ≤ 0","")</f>
        <v/>
      </c>
      <c r="O102" s="4" t="str">
        <f>IF(OR(Customers!G102="",Customers!M102=""),"Missing value","")</f>
        <v/>
      </c>
      <c r="P102" s="4">
        <f t="shared" si="1"/>
        <v>0</v>
      </c>
    </row>
    <row r="103" spans="1:16" x14ac:dyDescent="0.25">
      <c r="A103" s="4" t="str">
        <f>Customers!A103</f>
        <v>CL00102</v>
      </c>
      <c r="B103" s="20">
        <f>IF(Customers!G103="","",(Customers!G103-Statistics!$C$7)/Statistics!$C$9)</f>
        <v>2.8583057115220224E-2</v>
      </c>
      <c r="C103" s="4" t="str">
        <f>IF(Customers!G103="","",IF(OR(Customers!G103&lt;Statistics!$C$15,Customers!G103&gt;Statistics!$C$16),"Outside 1.5·IQR",""))</f>
        <v>Outside 1.5·IQR</v>
      </c>
      <c r="D103" s="4" t="str">
        <f>IF(OR(Customers!B103&lt;18,Customers!B103&gt;100),"Implausible age","")</f>
        <v/>
      </c>
      <c r="E103" s="4" t="str">
        <f>IF(Customers!H103&gt;Customers!B103-18,"Tenure &gt; age-18","")</f>
        <v/>
      </c>
      <c r="F103" s="4" t="str">
        <f>IF(Customers!R103&gt;Customers!Q103,"Card spend &gt; limit","")</f>
        <v/>
      </c>
      <c r="G103" s="4" t="str">
        <f>IF(OR(AND(Customers!S103&gt;0,Customers!T103=0),AND(Customers!S103=0,Customers!T103&gt;0)),"Mortgage/payment inconsistent","")</f>
        <v/>
      </c>
      <c r="H103" s="4" t="str">
        <f>IF(AND(Customers!G103&lt;&gt;"",Customers!G103&gt;0,Customers!T103&gt;Customers!G103/12),"Payment &gt; monthly income","")</f>
        <v/>
      </c>
      <c r="I103" s="4" t="str">
        <f>IF(OR(Customers!I103&gt;DATE(2026,9,13),YEAR(Customers!I103)&lt;1980),"Implausible date","")</f>
        <v/>
      </c>
      <c r="J103" s="4" t="str">
        <f>IF(Customers!I103&gt;DATE(2026,9,13),"",IF(ABS(INT((DATE(2026,9,13)-Customers!I103)/365.25)-Customers!H103)&gt;1,"Date/tenure inconsistent",""))</f>
        <v/>
      </c>
      <c r="K103" s="4" t="str">
        <f>IF(COUNTIF(Customers!$A$2:$A$1001,Customers!A103)&gt;1,"Duplicate ID","")</f>
        <v/>
      </c>
      <c r="L103" s="4" t="str">
        <f>IF(COUNTIFS(Customers!$B$2:$B$1001,Customers!B103,Customers!$D$2:$D$1001,Customers!D103,Customers!$G$2:$G$1001,Customers!G103,Customers!$I$2:$I$1001,Customers!I103,Customers!$L$2:$L$1001,Customers!L103)&gt;1,"Duplicate record","")</f>
        <v/>
      </c>
      <c r="M103" s="4" t="str">
        <f>IF(OR(Customers!U103&lt;300,Customers!U103&gt;850),"Score out of range","")</f>
        <v/>
      </c>
      <c r="N103" s="4" t="str">
        <f>IF(AND(Customers!G103&lt;&gt;"",Customers!G103&lt;=0),"Income ≤ 0","")</f>
        <v/>
      </c>
      <c r="O103" s="4" t="str">
        <f>IF(OR(Customers!G103="",Customers!M103=""),"Missing value","")</f>
        <v/>
      </c>
      <c r="P103" s="4">
        <f t="shared" si="1"/>
        <v>1</v>
      </c>
    </row>
    <row r="104" spans="1:16" x14ac:dyDescent="0.25">
      <c r="A104" s="4" t="str">
        <f>Customers!A104</f>
        <v>CL00103</v>
      </c>
      <c r="B104" s="20">
        <f>IF(Customers!G104="","",(Customers!G104-Statistics!$C$7)/Statistics!$C$9)</f>
        <v>-6.232537320575731E-2</v>
      </c>
      <c r="C104" s="4" t="str">
        <f>IF(Customers!G104="","",IF(OR(Customers!G104&lt;Statistics!$C$15,Customers!G104&gt;Statistics!$C$16),"Outside 1.5·IQR",""))</f>
        <v/>
      </c>
      <c r="D104" s="4" t="str">
        <f>IF(OR(Customers!B104&lt;18,Customers!B104&gt;100),"Implausible age","")</f>
        <v/>
      </c>
      <c r="E104" s="4" t="str">
        <f>IF(Customers!H104&gt;Customers!B104-18,"Tenure &gt; age-18","")</f>
        <v/>
      </c>
      <c r="F104" s="4" t="str">
        <f>IF(Customers!R104&gt;Customers!Q104,"Card spend &gt; limit","")</f>
        <v/>
      </c>
      <c r="G104" s="4" t="str">
        <f>IF(OR(AND(Customers!S104&gt;0,Customers!T104=0),AND(Customers!S104=0,Customers!T104&gt;0)),"Mortgage/payment inconsistent","")</f>
        <v/>
      </c>
      <c r="H104" s="4" t="str">
        <f>IF(AND(Customers!G104&lt;&gt;"",Customers!G104&gt;0,Customers!T104&gt;Customers!G104/12),"Payment &gt; monthly income","")</f>
        <v/>
      </c>
      <c r="I104" s="4" t="str">
        <f>IF(OR(Customers!I104&gt;DATE(2026,9,13),YEAR(Customers!I104)&lt;1980),"Implausible date","")</f>
        <v/>
      </c>
      <c r="J104" s="4" t="str">
        <f>IF(Customers!I104&gt;DATE(2026,9,13),"",IF(ABS(INT((DATE(2026,9,13)-Customers!I104)/365.25)-Customers!H104)&gt;1,"Date/tenure inconsistent",""))</f>
        <v/>
      </c>
      <c r="K104" s="4" t="str">
        <f>IF(COUNTIF(Customers!$A$2:$A$1001,Customers!A104)&gt;1,"Duplicate ID","")</f>
        <v/>
      </c>
      <c r="L104" s="4" t="str">
        <f>IF(COUNTIFS(Customers!$B$2:$B$1001,Customers!B104,Customers!$D$2:$D$1001,Customers!D104,Customers!$G$2:$G$1001,Customers!G104,Customers!$I$2:$I$1001,Customers!I104,Customers!$L$2:$L$1001,Customers!L104)&gt;1,"Duplicate record","")</f>
        <v/>
      </c>
      <c r="M104" s="4" t="str">
        <f>IF(OR(Customers!U104&lt;300,Customers!U104&gt;850),"Score out of range","")</f>
        <v/>
      </c>
      <c r="N104" s="4" t="str">
        <f>IF(AND(Customers!G104&lt;&gt;"",Customers!G104&lt;=0),"Income ≤ 0","")</f>
        <v/>
      </c>
      <c r="O104" s="4" t="str">
        <f>IF(OR(Customers!G104="",Customers!M104=""),"Missing value","")</f>
        <v/>
      </c>
      <c r="P104" s="4">
        <f t="shared" si="1"/>
        <v>0</v>
      </c>
    </row>
    <row r="105" spans="1:16" x14ac:dyDescent="0.25">
      <c r="A105" s="4" t="str">
        <f>Customers!A105</f>
        <v>CL00104</v>
      </c>
      <c r="B105" s="20">
        <f>IF(Customers!G105="","",(Customers!G105-Statistics!$C$7)/Statistics!$C$9)</f>
        <v>-5.0013830637910948E-2</v>
      </c>
      <c r="C105" s="4" t="str">
        <f>IF(Customers!G105="","",IF(OR(Customers!G105&lt;Statistics!$C$15,Customers!G105&gt;Statistics!$C$16),"Outside 1.5·IQR",""))</f>
        <v/>
      </c>
      <c r="D105" s="4" t="str">
        <f>IF(OR(Customers!B105&lt;18,Customers!B105&gt;100),"Implausible age","")</f>
        <v/>
      </c>
      <c r="E105" s="4" t="str">
        <f>IF(Customers!H105&gt;Customers!B105-18,"Tenure &gt; age-18","")</f>
        <v/>
      </c>
      <c r="F105" s="4" t="str">
        <f>IF(Customers!R105&gt;Customers!Q105,"Card spend &gt; limit","")</f>
        <v/>
      </c>
      <c r="G105" s="4" t="str">
        <f>IF(OR(AND(Customers!S105&gt;0,Customers!T105=0),AND(Customers!S105=0,Customers!T105&gt;0)),"Mortgage/payment inconsistent","")</f>
        <v/>
      </c>
      <c r="H105" s="4" t="str">
        <f>IF(AND(Customers!G105&lt;&gt;"",Customers!G105&gt;0,Customers!T105&gt;Customers!G105/12),"Payment &gt; monthly income","")</f>
        <v/>
      </c>
      <c r="I105" s="4" t="str">
        <f>IF(OR(Customers!I105&gt;DATE(2026,9,13),YEAR(Customers!I105)&lt;1980),"Implausible date","")</f>
        <v/>
      </c>
      <c r="J105" s="4" t="str">
        <f>IF(Customers!I105&gt;DATE(2026,9,13),"",IF(ABS(INT((DATE(2026,9,13)-Customers!I105)/365.25)-Customers!H105)&gt;1,"Date/tenure inconsistent",""))</f>
        <v/>
      </c>
      <c r="K105" s="4" t="str">
        <f>IF(COUNTIF(Customers!$A$2:$A$1001,Customers!A105)&gt;1,"Duplicate ID","")</f>
        <v/>
      </c>
      <c r="L105" s="4" t="str">
        <f>IF(COUNTIFS(Customers!$B$2:$B$1001,Customers!B105,Customers!$D$2:$D$1001,Customers!D105,Customers!$G$2:$G$1001,Customers!G105,Customers!$I$2:$I$1001,Customers!I105,Customers!$L$2:$L$1001,Customers!L105)&gt;1,"Duplicate record","")</f>
        <v/>
      </c>
      <c r="M105" s="4" t="str">
        <f>IF(OR(Customers!U105&lt;300,Customers!U105&gt;850),"Score out of range","")</f>
        <v/>
      </c>
      <c r="N105" s="4" t="str">
        <f>IF(AND(Customers!G105&lt;&gt;"",Customers!G105&lt;=0),"Income ≤ 0","")</f>
        <v/>
      </c>
      <c r="O105" s="4" t="str">
        <f>IF(OR(Customers!G105="",Customers!M105=""),"Missing value","")</f>
        <v/>
      </c>
      <c r="P105" s="4">
        <f t="shared" si="1"/>
        <v>0</v>
      </c>
    </row>
    <row r="106" spans="1:16" x14ac:dyDescent="0.25">
      <c r="A106" s="4" t="str">
        <f>Customers!A106</f>
        <v>CL00105</v>
      </c>
      <c r="B106" s="20">
        <f>IF(Customers!G106="","",(Customers!G106-Statistics!$C$7)/Statistics!$C$9)</f>
        <v>-4.2331428075574822E-2</v>
      </c>
      <c r="C106" s="4" t="str">
        <f>IF(Customers!G106="","",IF(OR(Customers!G106&lt;Statistics!$C$15,Customers!G106&gt;Statistics!$C$16),"Outside 1.5·IQR",""))</f>
        <v/>
      </c>
      <c r="D106" s="4" t="str">
        <f>IF(OR(Customers!B106&lt;18,Customers!B106&gt;100),"Implausible age","")</f>
        <v/>
      </c>
      <c r="E106" s="4" t="str">
        <f>IF(Customers!H106&gt;Customers!B106-18,"Tenure &gt; age-18","")</f>
        <v/>
      </c>
      <c r="F106" s="4" t="str">
        <f>IF(Customers!R106&gt;Customers!Q106,"Card spend &gt; limit","")</f>
        <v/>
      </c>
      <c r="G106" s="4" t="str">
        <f>IF(OR(AND(Customers!S106&gt;0,Customers!T106=0),AND(Customers!S106=0,Customers!T106&gt;0)),"Mortgage/payment inconsistent","")</f>
        <v/>
      </c>
      <c r="H106" s="4" t="str">
        <f>IF(AND(Customers!G106&lt;&gt;"",Customers!G106&gt;0,Customers!T106&gt;Customers!G106/12),"Payment &gt; monthly income","")</f>
        <v/>
      </c>
      <c r="I106" s="4" t="str">
        <f>IF(OR(Customers!I106&gt;DATE(2026,9,13),YEAR(Customers!I106)&lt;1980),"Implausible date","")</f>
        <v/>
      </c>
      <c r="J106" s="4" t="str">
        <f>IF(Customers!I106&gt;DATE(2026,9,13),"",IF(ABS(INT((DATE(2026,9,13)-Customers!I106)/365.25)-Customers!H106)&gt;1,"Date/tenure inconsistent",""))</f>
        <v/>
      </c>
      <c r="K106" s="4" t="str">
        <f>IF(COUNTIF(Customers!$A$2:$A$1001,Customers!A106)&gt;1,"Duplicate ID","")</f>
        <v/>
      </c>
      <c r="L106" s="4" t="str">
        <f>IF(COUNTIFS(Customers!$B$2:$B$1001,Customers!B106,Customers!$D$2:$D$1001,Customers!D106,Customers!$G$2:$G$1001,Customers!G106,Customers!$I$2:$I$1001,Customers!I106,Customers!$L$2:$L$1001,Customers!L106)&gt;1,"Duplicate record","")</f>
        <v/>
      </c>
      <c r="M106" s="4" t="str">
        <f>IF(OR(Customers!U106&lt;300,Customers!U106&gt;850),"Score out of range","")</f>
        <v/>
      </c>
      <c r="N106" s="4" t="str">
        <f>IF(AND(Customers!G106&lt;&gt;"",Customers!G106&lt;=0),"Income ≤ 0","")</f>
        <v/>
      </c>
      <c r="O106" s="4" t="str">
        <f>IF(OR(Customers!G106="",Customers!M106=""),"Missing value","")</f>
        <v/>
      </c>
      <c r="P106" s="4">
        <f t="shared" si="1"/>
        <v>0</v>
      </c>
    </row>
    <row r="107" spans="1:16" x14ac:dyDescent="0.25">
      <c r="A107" s="4" t="str">
        <f>Customers!A107</f>
        <v>CL00106</v>
      </c>
      <c r="B107" s="20">
        <f>IF(Customers!G107="","",(Customers!G107-Statistics!$C$7)/Statistics!$C$9)</f>
        <v>-4.1543489351232657E-2</v>
      </c>
      <c r="C107" s="4" t="str">
        <f>IF(Customers!G107="","",IF(OR(Customers!G107&lt;Statistics!$C$15,Customers!G107&gt;Statistics!$C$16),"Outside 1.5·IQR",""))</f>
        <v/>
      </c>
      <c r="D107" s="4" t="str">
        <f>IF(OR(Customers!B107&lt;18,Customers!B107&gt;100),"Implausible age","")</f>
        <v/>
      </c>
      <c r="E107" s="4" t="str">
        <f>IF(Customers!H107&gt;Customers!B107-18,"Tenure &gt; age-18","")</f>
        <v/>
      </c>
      <c r="F107" s="4" t="str">
        <f>IF(Customers!R107&gt;Customers!Q107,"Card spend &gt; limit","")</f>
        <v/>
      </c>
      <c r="G107" s="4" t="str">
        <f>IF(OR(AND(Customers!S107&gt;0,Customers!T107=0),AND(Customers!S107=0,Customers!T107&gt;0)),"Mortgage/payment inconsistent","")</f>
        <v/>
      </c>
      <c r="H107" s="4" t="str">
        <f>IF(AND(Customers!G107&lt;&gt;"",Customers!G107&gt;0,Customers!T107&gt;Customers!G107/12),"Payment &gt; monthly income","")</f>
        <v/>
      </c>
      <c r="I107" s="4" t="str">
        <f>IF(OR(Customers!I107&gt;DATE(2026,9,13),YEAR(Customers!I107)&lt;1980),"Implausible date","")</f>
        <v/>
      </c>
      <c r="J107" s="4" t="str">
        <f>IF(Customers!I107&gt;DATE(2026,9,13),"",IF(ABS(INT((DATE(2026,9,13)-Customers!I107)/365.25)-Customers!H107)&gt;1,"Date/tenure inconsistent",""))</f>
        <v/>
      </c>
      <c r="K107" s="4" t="str">
        <f>IF(COUNTIF(Customers!$A$2:$A$1001,Customers!A107)&gt;1,"Duplicate ID","")</f>
        <v/>
      </c>
      <c r="L107" s="4" t="str">
        <f>IF(COUNTIFS(Customers!$B$2:$B$1001,Customers!B107,Customers!$D$2:$D$1001,Customers!D107,Customers!$G$2:$G$1001,Customers!G107,Customers!$I$2:$I$1001,Customers!I107,Customers!$L$2:$L$1001,Customers!L107)&gt;1,"Duplicate record","")</f>
        <v/>
      </c>
      <c r="M107" s="4" t="str">
        <f>IF(OR(Customers!U107&lt;300,Customers!U107&gt;850),"Score out of range","")</f>
        <v/>
      </c>
      <c r="N107" s="4" t="str">
        <f>IF(AND(Customers!G107&lt;&gt;"",Customers!G107&lt;=0),"Income ≤ 0","")</f>
        <v/>
      </c>
      <c r="O107" s="4" t="str">
        <f>IF(OR(Customers!G107="",Customers!M107=""),"Missing value","")</f>
        <v/>
      </c>
      <c r="P107" s="4">
        <f t="shared" si="1"/>
        <v>0</v>
      </c>
    </row>
    <row r="108" spans="1:16" x14ac:dyDescent="0.25">
      <c r="A108" s="4" t="str">
        <f>Customers!A108</f>
        <v>CL00107</v>
      </c>
      <c r="B108" s="20">
        <f>IF(Customers!G108="","",(Customers!G108-Statistics!$C$7)/Statistics!$C$9)</f>
        <v>-4.9422876594654323E-2</v>
      </c>
      <c r="C108" s="4" t="str">
        <f>IF(Customers!G108="","",IF(OR(Customers!G108&lt;Statistics!$C$15,Customers!G108&gt;Statistics!$C$16),"Outside 1.5·IQR",""))</f>
        <v/>
      </c>
      <c r="D108" s="4" t="str">
        <f>IF(OR(Customers!B108&lt;18,Customers!B108&gt;100),"Implausible age","")</f>
        <v/>
      </c>
      <c r="E108" s="4" t="str">
        <f>IF(Customers!H108&gt;Customers!B108-18,"Tenure &gt; age-18","")</f>
        <v/>
      </c>
      <c r="F108" s="4" t="str">
        <f>IF(Customers!R108&gt;Customers!Q108,"Card spend &gt; limit","")</f>
        <v/>
      </c>
      <c r="G108" s="4" t="str">
        <f>IF(OR(AND(Customers!S108&gt;0,Customers!T108=0),AND(Customers!S108=0,Customers!T108&gt;0)),"Mortgage/payment inconsistent","")</f>
        <v/>
      </c>
      <c r="H108" s="4" t="str">
        <f>IF(AND(Customers!G108&lt;&gt;"",Customers!G108&gt;0,Customers!T108&gt;Customers!G108/12),"Payment &gt; monthly income","")</f>
        <v/>
      </c>
      <c r="I108" s="4" t="str">
        <f>IF(OR(Customers!I108&gt;DATE(2026,9,13),YEAR(Customers!I108)&lt;1980),"Implausible date","")</f>
        <v/>
      </c>
      <c r="J108" s="4" t="str">
        <f>IF(Customers!I108&gt;DATE(2026,9,13),"",IF(ABS(INT((DATE(2026,9,13)-Customers!I108)/365.25)-Customers!H108)&gt;1,"Date/tenure inconsistent",""))</f>
        <v/>
      </c>
      <c r="K108" s="4" t="str">
        <f>IF(COUNTIF(Customers!$A$2:$A$1001,Customers!A108)&gt;1,"Duplicate ID","")</f>
        <v/>
      </c>
      <c r="L108" s="4" t="str">
        <f>IF(COUNTIFS(Customers!$B$2:$B$1001,Customers!B108,Customers!$D$2:$D$1001,Customers!D108,Customers!$G$2:$G$1001,Customers!G108,Customers!$I$2:$I$1001,Customers!I108,Customers!$L$2:$L$1001,Customers!L108)&gt;1,"Duplicate record","")</f>
        <v/>
      </c>
      <c r="M108" s="4" t="str">
        <f>IF(OR(Customers!U108&lt;300,Customers!U108&gt;850),"Score out of range","")</f>
        <v/>
      </c>
      <c r="N108" s="4" t="str">
        <f>IF(AND(Customers!G108&lt;&gt;"",Customers!G108&lt;=0),"Income ≤ 0","")</f>
        <v/>
      </c>
      <c r="O108" s="4" t="str">
        <f>IF(OR(Customers!G108="",Customers!M108=""),"Missing value","")</f>
        <v/>
      </c>
      <c r="P108" s="4">
        <f t="shared" si="1"/>
        <v>0</v>
      </c>
    </row>
    <row r="109" spans="1:16" x14ac:dyDescent="0.25">
      <c r="A109" s="4" t="str">
        <f>Customers!A109</f>
        <v>CL00108</v>
      </c>
      <c r="B109" s="20">
        <f>IF(Customers!G109="","",(Customers!G109-Statistics!$C$7)/Statistics!$C$9)</f>
        <v>6.177497587813402E-2</v>
      </c>
      <c r="C109" s="4" t="str">
        <f>IF(Customers!G109="","",IF(OR(Customers!G109&lt;Statistics!$C$15,Customers!G109&gt;Statistics!$C$16),"Outside 1.5·IQR",""))</f>
        <v>Outside 1.5·IQR</v>
      </c>
      <c r="D109" s="4" t="str">
        <f>IF(OR(Customers!B109&lt;18,Customers!B109&gt;100),"Implausible age","")</f>
        <v/>
      </c>
      <c r="E109" s="4" t="str">
        <f>IF(Customers!H109&gt;Customers!B109-18,"Tenure &gt; age-18","")</f>
        <v/>
      </c>
      <c r="F109" s="4" t="str">
        <f>IF(Customers!R109&gt;Customers!Q109,"Card spend &gt; limit","")</f>
        <v/>
      </c>
      <c r="G109" s="4" t="str">
        <f>IF(OR(AND(Customers!S109&gt;0,Customers!T109=0),AND(Customers!S109=0,Customers!T109&gt;0)),"Mortgage/payment inconsistent","")</f>
        <v/>
      </c>
      <c r="H109" s="4" t="str">
        <f>IF(AND(Customers!G109&lt;&gt;"",Customers!G109&gt;0,Customers!T109&gt;Customers!G109/12),"Payment &gt; monthly income","")</f>
        <v/>
      </c>
      <c r="I109" s="4" t="str">
        <f>IF(OR(Customers!I109&gt;DATE(2026,9,13),YEAR(Customers!I109)&lt;1980),"Implausible date","")</f>
        <v/>
      </c>
      <c r="J109" s="4" t="str">
        <f>IF(Customers!I109&gt;DATE(2026,9,13),"",IF(ABS(INT((DATE(2026,9,13)-Customers!I109)/365.25)-Customers!H109)&gt;1,"Date/tenure inconsistent",""))</f>
        <v/>
      </c>
      <c r="K109" s="4" t="str">
        <f>IF(COUNTIF(Customers!$A$2:$A$1001,Customers!A109)&gt;1,"Duplicate ID","")</f>
        <v/>
      </c>
      <c r="L109" s="4" t="str">
        <f>IF(COUNTIFS(Customers!$B$2:$B$1001,Customers!B109,Customers!$D$2:$D$1001,Customers!D109,Customers!$G$2:$G$1001,Customers!G109,Customers!$I$2:$I$1001,Customers!I109,Customers!$L$2:$L$1001,Customers!L109)&gt;1,"Duplicate record","")</f>
        <v/>
      </c>
      <c r="M109" s="4" t="str">
        <f>IF(OR(Customers!U109&lt;300,Customers!U109&gt;850),"Score out of range","")</f>
        <v/>
      </c>
      <c r="N109" s="4" t="str">
        <f>IF(AND(Customers!G109&lt;&gt;"",Customers!G109&lt;=0),"Income ≤ 0","")</f>
        <v/>
      </c>
      <c r="O109" s="4" t="str">
        <f>IF(OR(Customers!G109="",Customers!M109=""),"Missing value","")</f>
        <v/>
      </c>
      <c r="P109" s="4">
        <f t="shared" si="1"/>
        <v>1</v>
      </c>
    </row>
    <row r="110" spans="1:16" x14ac:dyDescent="0.25">
      <c r="A110" s="4" t="str">
        <f>Customers!A110</f>
        <v>CL00109</v>
      </c>
      <c r="B110" s="20">
        <f>IF(Customers!G110="","",(Customers!G110-Statistics!$C$7)/Statistics!$C$9)</f>
        <v>-6.7249990232895851E-2</v>
      </c>
      <c r="C110" s="4" t="str">
        <f>IF(Customers!G110="","",IF(OR(Customers!G110&lt;Statistics!$C$15,Customers!G110&gt;Statistics!$C$16),"Outside 1.5·IQR",""))</f>
        <v/>
      </c>
      <c r="D110" s="4" t="str">
        <f>IF(OR(Customers!B110&lt;18,Customers!B110&gt;100),"Implausible age","")</f>
        <v/>
      </c>
      <c r="E110" s="4" t="str">
        <f>IF(Customers!H110&gt;Customers!B110-18,"Tenure &gt; age-18","")</f>
        <v/>
      </c>
      <c r="F110" s="4" t="str">
        <f>IF(Customers!R110&gt;Customers!Q110,"Card spend &gt; limit","")</f>
        <v/>
      </c>
      <c r="G110" s="4" t="str">
        <f>IF(OR(AND(Customers!S110&gt;0,Customers!T110=0),AND(Customers!S110=0,Customers!T110&gt;0)),"Mortgage/payment inconsistent","")</f>
        <v/>
      </c>
      <c r="H110" s="4" t="str">
        <f>IF(AND(Customers!G110&lt;&gt;"",Customers!G110&gt;0,Customers!T110&gt;Customers!G110/12),"Payment &gt; monthly income","")</f>
        <v/>
      </c>
      <c r="I110" s="4" t="str">
        <f>IF(OR(Customers!I110&gt;DATE(2026,9,13),YEAR(Customers!I110)&lt;1980),"Implausible date","")</f>
        <v/>
      </c>
      <c r="J110" s="4" t="str">
        <f>IF(Customers!I110&gt;DATE(2026,9,13),"",IF(ABS(INT((DATE(2026,9,13)-Customers!I110)/365.25)-Customers!H110)&gt;1,"Date/tenure inconsistent",""))</f>
        <v/>
      </c>
      <c r="K110" s="4" t="str">
        <f>IF(COUNTIF(Customers!$A$2:$A$1001,Customers!A110)&gt;1,"Duplicate ID","")</f>
        <v/>
      </c>
      <c r="L110" s="4" t="str">
        <f>IF(COUNTIFS(Customers!$B$2:$B$1001,Customers!B110,Customers!$D$2:$D$1001,Customers!D110,Customers!$G$2:$G$1001,Customers!G110,Customers!$I$2:$I$1001,Customers!I110,Customers!$L$2:$L$1001,Customers!L110)&gt;1,"Duplicate record","")</f>
        <v/>
      </c>
      <c r="M110" s="4" t="str">
        <f>IF(OR(Customers!U110&lt;300,Customers!U110&gt;850),"Score out of range","")</f>
        <v/>
      </c>
      <c r="N110" s="4" t="str">
        <f>IF(AND(Customers!G110&lt;&gt;"",Customers!G110&lt;=0),"Income ≤ 0","")</f>
        <v/>
      </c>
      <c r="O110" s="4" t="str">
        <f>IF(OR(Customers!G110="",Customers!M110=""),"Missing value","")</f>
        <v/>
      </c>
      <c r="P110" s="4">
        <f t="shared" si="1"/>
        <v>0</v>
      </c>
    </row>
    <row r="111" spans="1:16" x14ac:dyDescent="0.25">
      <c r="A111" s="4" t="str">
        <f>Customers!A111</f>
        <v>CL00110</v>
      </c>
      <c r="B111" s="20">
        <f>IF(Customers!G111="","",(Customers!G111-Statistics!$C$7)/Statistics!$C$9)</f>
        <v>-2.5193760821132685E-2</v>
      </c>
      <c r="C111" s="4" t="str">
        <f>IF(Customers!G111="","",IF(OR(Customers!G111&lt;Statistics!$C$15,Customers!G111&gt;Statistics!$C$16),"Outside 1.5·IQR",""))</f>
        <v/>
      </c>
      <c r="D111" s="4" t="str">
        <f>IF(OR(Customers!B111&lt;18,Customers!B111&gt;100),"Implausible age","")</f>
        <v/>
      </c>
      <c r="E111" s="4" t="str">
        <f>IF(Customers!H111&gt;Customers!B111-18,"Tenure &gt; age-18","")</f>
        <v/>
      </c>
      <c r="F111" s="4" t="str">
        <f>IF(Customers!R111&gt;Customers!Q111,"Card spend &gt; limit","")</f>
        <v/>
      </c>
      <c r="G111" s="4" t="str">
        <f>IF(OR(AND(Customers!S111&gt;0,Customers!T111=0),AND(Customers!S111=0,Customers!T111&gt;0)),"Mortgage/payment inconsistent","")</f>
        <v/>
      </c>
      <c r="H111" s="4" t="str">
        <f>IF(AND(Customers!G111&lt;&gt;"",Customers!G111&gt;0,Customers!T111&gt;Customers!G111/12),"Payment &gt; monthly income","")</f>
        <v/>
      </c>
      <c r="I111" s="4" t="str">
        <f>IF(OR(Customers!I111&gt;DATE(2026,9,13),YEAR(Customers!I111)&lt;1980),"Implausible date","")</f>
        <v/>
      </c>
      <c r="J111" s="4" t="str">
        <f>IF(Customers!I111&gt;DATE(2026,9,13),"",IF(ABS(INT((DATE(2026,9,13)-Customers!I111)/365.25)-Customers!H111)&gt;1,"Date/tenure inconsistent",""))</f>
        <v/>
      </c>
      <c r="K111" s="4" t="str">
        <f>IF(COUNTIF(Customers!$A$2:$A$1001,Customers!A111)&gt;1,"Duplicate ID","")</f>
        <v/>
      </c>
      <c r="L111" s="4" t="str">
        <f>IF(COUNTIFS(Customers!$B$2:$B$1001,Customers!B111,Customers!$D$2:$D$1001,Customers!D111,Customers!$G$2:$G$1001,Customers!G111,Customers!$I$2:$I$1001,Customers!I111,Customers!$L$2:$L$1001,Customers!L111)&gt;1,"Duplicate record","")</f>
        <v/>
      </c>
      <c r="M111" s="4" t="str">
        <f>IF(OR(Customers!U111&lt;300,Customers!U111&gt;850),"Score out of range","")</f>
        <v/>
      </c>
      <c r="N111" s="4" t="str">
        <f>IF(AND(Customers!G111&lt;&gt;"",Customers!G111&lt;=0),"Income ≤ 0","")</f>
        <v/>
      </c>
      <c r="O111" s="4" t="str">
        <f>IF(OR(Customers!G111="",Customers!M111=""),"Missing value","")</f>
        <v/>
      </c>
      <c r="P111" s="4">
        <f t="shared" si="1"/>
        <v>0</v>
      </c>
    </row>
    <row r="112" spans="1:16" x14ac:dyDescent="0.25">
      <c r="A112" s="4" t="str">
        <f>Customers!A112</f>
        <v>CL00111</v>
      </c>
      <c r="B112" s="20">
        <f>IF(Customers!G112="","",(Customers!G112-Statistics!$C$7)/Statistics!$C$9)</f>
        <v>-4.8437953189226619E-2</v>
      </c>
      <c r="C112" s="4" t="str">
        <f>IF(Customers!G112="","",IF(OR(Customers!G112&lt;Statistics!$C$15,Customers!G112&gt;Statistics!$C$16),"Outside 1.5·IQR",""))</f>
        <v/>
      </c>
      <c r="D112" s="4" t="str">
        <f>IF(OR(Customers!B112&lt;18,Customers!B112&gt;100),"Implausible age","")</f>
        <v/>
      </c>
      <c r="E112" s="4" t="str">
        <f>IF(Customers!H112&gt;Customers!B112-18,"Tenure &gt; age-18","")</f>
        <v/>
      </c>
      <c r="F112" s="4" t="str">
        <f>IF(Customers!R112&gt;Customers!Q112,"Card spend &gt; limit","")</f>
        <v/>
      </c>
      <c r="G112" s="4" t="str">
        <f>IF(OR(AND(Customers!S112&gt;0,Customers!T112=0),AND(Customers!S112=0,Customers!T112&gt;0)),"Mortgage/payment inconsistent","")</f>
        <v/>
      </c>
      <c r="H112" s="4" t="str">
        <f>IF(AND(Customers!G112&lt;&gt;"",Customers!G112&gt;0,Customers!T112&gt;Customers!G112/12),"Payment &gt; monthly income","")</f>
        <v/>
      </c>
      <c r="I112" s="4" t="str">
        <f>IF(OR(Customers!I112&gt;DATE(2026,9,13),YEAR(Customers!I112)&lt;1980),"Implausible date","")</f>
        <v>Implausible date</v>
      </c>
      <c r="J112" s="4" t="str">
        <f>IF(Customers!I112&gt;DATE(2026,9,13),"",IF(ABS(INT((DATE(2026,9,13)-Customers!I112)/365.25)-Customers!H112)&gt;1,"Date/tenure inconsistent",""))</f>
        <v>Date/tenure inconsistent</v>
      </c>
      <c r="K112" s="4" t="str">
        <f>IF(COUNTIF(Customers!$A$2:$A$1001,Customers!A112)&gt;1,"Duplicate ID","")</f>
        <v/>
      </c>
      <c r="L112" s="4" t="str">
        <f>IF(COUNTIFS(Customers!$B$2:$B$1001,Customers!B112,Customers!$D$2:$D$1001,Customers!D112,Customers!$G$2:$G$1001,Customers!G112,Customers!$I$2:$I$1001,Customers!I112,Customers!$L$2:$L$1001,Customers!L112)&gt;1,"Duplicate record","")</f>
        <v/>
      </c>
      <c r="M112" s="4" t="str">
        <f>IF(OR(Customers!U112&lt;300,Customers!U112&gt;850),"Score out of range","")</f>
        <v/>
      </c>
      <c r="N112" s="4" t="str">
        <f>IF(AND(Customers!G112&lt;&gt;"",Customers!G112&lt;=0),"Income ≤ 0","")</f>
        <v/>
      </c>
      <c r="O112" s="4" t="str">
        <f>IF(OR(Customers!G112="",Customers!M112=""),"Missing value","")</f>
        <v/>
      </c>
      <c r="P112" s="4">
        <f t="shared" si="1"/>
        <v>2</v>
      </c>
    </row>
    <row r="113" spans="1:16" x14ac:dyDescent="0.25">
      <c r="A113" s="4" t="str">
        <f>Customers!A113</f>
        <v>CL00112</v>
      </c>
      <c r="B113" s="20">
        <f>IF(Customers!G113="","",(Customers!G113-Statistics!$C$7)/Statistics!$C$9)</f>
        <v>-3.5042994875409773E-2</v>
      </c>
      <c r="C113" s="4" t="str">
        <f>IF(Customers!G113="","",IF(OR(Customers!G113&lt;Statistics!$C$15,Customers!G113&gt;Statistics!$C$16),"Outside 1.5·IQR",""))</f>
        <v/>
      </c>
      <c r="D113" s="4" t="str">
        <f>IF(OR(Customers!B113&lt;18,Customers!B113&gt;100),"Implausible age","")</f>
        <v/>
      </c>
      <c r="E113" s="4" t="str">
        <f>IF(Customers!H113&gt;Customers!B113-18,"Tenure &gt; age-18","")</f>
        <v/>
      </c>
      <c r="F113" s="4" t="str">
        <f>IF(Customers!R113&gt;Customers!Q113,"Card spend &gt; limit","")</f>
        <v/>
      </c>
      <c r="G113" s="4" t="str">
        <f>IF(OR(AND(Customers!S113&gt;0,Customers!T113=0),AND(Customers!S113=0,Customers!T113&gt;0)),"Mortgage/payment inconsistent","")</f>
        <v/>
      </c>
      <c r="H113" s="4" t="str">
        <f>IF(AND(Customers!G113&lt;&gt;"",Customers!G113&gt;0,Customers!T113&gt;Customers!G113/12),"Payment &gt; monthly income","")</f>
        <v/>
      </c>
      <c r="I113" s="4" t="str">
        <f>IF(OR(Customers!I113&gt;DATE(2026,9,13),YEAR(Customers!I113)&lt;1980),"Implausible date","")</f>
        <v/>
      </c>
      <c r="J113" s="4" t="str">
        <f>IF(Customers!I113&gt;DATE(2026,9,13),"",IF(ABS(INT((DATE(2026,9,13)-Customers!I113)/365.25)-Customers!H113)&gt;1,"Date/tenure inconsistent",""))</f>
        <v/>
      </c>
      <c r="K113" s="4" t="str">
        <f>IF(COUNTIF(Customers!$A$2:$A$1001,Customers!A113)&gt;1,"Duplicate ID","")</f>
        <v/>
      </c>
      <c r="L113" s="4" t="str">
        <f>IF(COUNTIFS(Customers!$B$2:$B$1001,Customers!B113,Customers!$D$2:$D$1001,Customers!D113,Customers!$G$2:$G$1001,Customers!G113,Customers!$I$2:$I$1001,Customers!I113,Customers!$L$2:$L$1001,Customers!L113)&gt;1,"Duplicate record","")</f>
        <v/>
      </c>
      <c r="M113" s="4" t="str">
        <f>IF(OR(Customers!U113&lt;300,Customers!U113&gt;850),"Score out of range","")</f>
        <v/>
      </c>
      <c r="N113" s="4" t="str">
        <f>IF(AND(Customers!G113&lt;&gt;"",Customers!G113&lt;=0),"Income ≤ 0","")</f>
        <v/>
      </c>
      <c r="O113" s="4" t="str">
        <f>IF(OR(Customers!G113="",Customers!M113=""),"Missing value","")</f>
        <v/>
      </c>
      <c r="P113" s="4">
        <f t="shared" si="1"/>
        <v>0</v>
      </c>
    </row>
    <row r="114" spans="1:16" x14ac:dyDescent="0.25">
      <c r="A114" s="4" t="str">
        <f>Customers!A114</f>
        <v>CL00113</v>
      </c>
      <c r="B114" s="20">
        <f>IF(Customers!G114="","",(Customers!G114-Statistics!$C$7)/Statistics!$C$9)</f>
        <v>6.0691560132163536E-2</v>
      </c>
      <c r="C114" s="4" t="str">
        <f>IF(Customers!G114="","",IF(OR(Customers!G114&lt;Statistics!$C$15,Customers!G114&gt;Statistics!$C$16),"Outside 1.5·IQR",""))</f>
        <v>Outside 1.5·IQR</v>
      </c>
      <c r="D114" s="4" t="str">
        <f>IF(OR(Customers!B114&lt;18,Customers!B114&gt;100),"Implausible age","")</f>
        <v/>
      </c>
      <c r="E114" s="4" t="str">
        <f>IF(Customers!H114&gt;Customers!B114-18,"Tenure &gt; age-18","")</f>
        <v/>
      </c>
      <c r="F114" s="4" t="str">
        <f>IF(Customers!R114&gt;Customers!Q114,"Card spend &gt; limit","")</f>
        <v/>
      </c>
      <c r="G114" s="4" t="str">
        <f>IF(OR(AND(Customers!S114&gt;0,Customers!T114=0),AND(Customers!S114=0,Customers!T114&gt;0)),"Mortgage/payment inconsistent","")</f>
        <v/>
      </c>
      <c r="H114" s="4" t="str">
        <f>IF(AND(Customers!G114&lt;&gt;"",Customers!G114&gt;0,Customers!T114&gt;Customers!G114/12),"Payment &gt; monthly income","")</f>
        <v/>
      </c>
      <c r="I114" s="4" t="str">
        <f>IF(OR(Customers!I114&gt;DATE(2026,9,13),YEAR(Customers!I114)&lt;1980),"Implausible date","")</f>
        <v/>
      </c>
      <c r="J114" s="4" t="str">
        <f>IF(Customers!I114&gt;DATE(2026,9,13),"",IF(ABS(INT((DATE(2026,9,13)-Customers!I114)/365.25)-Customers!H114)&gt;1,"Date/tenure inconsistent",""))</f>
        <v/>
      </c>
      <c r="K114" s="4" t="str">
        <f>IF(COUNTIF(Customers!$A$2:$A$1001,Customers!A114)&gt;1,"Duplicate ID","")</f>
        <v/>
      </c>
      <c r="L114" s="4" t="str">
        <f>IF(COUNTIFS(Customers!$B$2:$B$1001,Customers!B114,Customers!$D$2:$D$1001,Customers!D114,Customers!$G$2:$G$1001,Customers!G114,Customers!$I$2:$I$1001,Customers!I114,Customers!$L$2:$L$1001,Customers!L114)&gt;1,"Duplicate record","")</f>
        <v/>
      </c>
      <c r="M114" s="4" t="str">
        <f>IF(OR(Customers!U114&lt;300,Customers!U114&gt;850),"Score out of range","")</f>
        <v/>
      </c>
      <c r="N114" s="4" t="str">
        <f>IF(AND(Customers!G114&lt;&gt;"",Customers!G114&lt;=0),"Income ≤ 0","")</f>
        <v/>
      </c>
      <c r="O114" s="4" t="str">
        <f>IF(OR(Customers!G114="",Customers!M114=""),"Missing value","")</f>
        <v/>
      </c>
      <c r="P114" s="4">
        <f t="shared" si="1"/>
        <v>1</v>
      </c>
    </row>
    <row r="115" spans="1:16" x14ac:dyDescent="0.25">
      <c r="A115" s="4" t="str">
        <f>Customers!A115</f>
        <v>CL00114</v>
      </c>
      <c r="B115" s="20">
        <f>IF(Customers!G115="","",(Customers!G115-Statistics!$C$7)/Statistics!$C$9)</f>
        <v>-4.2922382118831447E-2</v>
      </c>
      <c r="C115" s="4" t="str">
        <f>IF(Customers!G115="","",IF(OR(Customers!G115&lt;Statistics!$C$15,Customers!G115&gt;Statistics!$C$16),"Outside 1.5·IQR",""))</f>
        <v/>
      </c>
      <c r="D115" s="4" t="str">
        <f>IF(OR(Customers!B115&lt;18,Customers!B115&gt;100),"Implausible age","")</f>
        <v/>
      </c>
      <c r="E115" s="4" t="str">
        <f>IF(Customers!H115&gt;Customers!B115-18,"Tenure &gt; age-18","")</f>
        <v/>
      </c>
      <c r="F115" s="4" t="str">
        <f>IF(Customers!R115&gt;Customers!Q115,"Card spend &gt; limit","")</f>
        <v/>
      </c>
      <c r="G115" s="4" t="str">
        <f>IF(OR(AND(Customers!S115&gt;0,Customers!T115=0),AND(Customers!S115=0,Customers!T115&gt;0)),"Mortgage/payment inconsistent","")</f>
        <v/>
      </c>
      <c r="H115" s="4" t="str">
        <f>IF(AND(Customers!G115&lt;&gt;"",Customers!G115&gt;0,Customers!T115&gt;Customers!G115/12),"Payment &gt; monthly income","")</f>
        <v/>
      </c>
      <c r="I115" s="4" t="str">
        <f>IF(OR(Customers!I115&gt;DATE(2026,9,13),YEAR(Customers!I115)&lt;1980),"Implausible date","")</f>
        <v/>
      </c>
      <c r="J115" s="4" t="str">
        <f>IF(Customers!I115&gt;DATE(2026,9,13),"",IF(ABS(INT((DATE(2026,9,13)-Customers!I115)/365.25)-Customers!H115)&gt;1,"Date/tenure inconsistent",""))</f>
        <v/>
      </c>
      <c r="K115" s="4" t="str">
        <f>IF(COUNTIF(Customers!$A$2:$A$1001,Customers!A115)&gt;1,"Duplicate ID","")</f>
        <v/>
      </c>
      <c r="L115" s="4" t="str">
        <f>IF(COUNTIFS(Customers!$B$2:$B$1001,Customers!B115,Customers!$D$2:$D$1001,Customers!D115,Customers!$G$2:$G$1001,Customers!G115,Customers!$I$2:$I$1001,Customers!I115,Customers!$L$2:$L$1001,Customers!L115)&gt;1,"Duplicate record","")</f>
        <v/>
      </c>
      <c r="M115" s="4" t="str">
        <f>IF(OR(Customers!U115&lt;300,Customers!U115&gt;850),"Score out of range","")</f>
        <v/>
      </c>
      <c r="N115" s="4" t="str">
        <f>IF(AND(Customers!G115&lt;&gt;"",Customers!G115&lt;=0),"Income ≤ 0","")</f>
        <v/>
      </c>
      <c r="O115" s="4" t="str">
        <f>IF(OR(Customers!G115="",Customers!M115=""),"Missing value","")</f>
        <v/>
      </c>
      <c r="P115" s="4">
        <f t="shared" si="1"/>
        <v>0</v>
      </c>
    </row>
    <row r="116" spans="1:16" x14ac:dyDescent="0.25">
      <c r="A116" s="4" t="str">
        <f>Customers!A116</f>
        <v>CL00115</v>
      </c>
      <c r="B116" s="20">
        <f>IF(Customers!G116="","",(Customers!G116-Statistics!$C$7)/Statistics!$C$9)</f>
        <v>-4.0460073605262173E-2</v>
      </c>
      <c r="C116" s="4" t="str">
        <f>IF(Customers!G116="","",IF(OR(Customers!G116&lt;Statistics!$C$15,Customers!G116&gt;Statistics!$C$16),"Outside 1.5·IQR",""))</f>
        <v/>
      </c>
      <c r="D116" s="4" t="str">
        <f>IF(OR(Customers!B116&lt;18,Customers!B116&gt;100),"Implausible age","")</f>
        <v/>
      </c>
      <c r="E116" s="4" t="str">
        <f>IF(Customers!H116&gt;Customers!B116-18,"Tenure &gt; age-18","")</f>
        <v/>
      </c>
      <c r="F116" s="4" t="str">
        <f>IF(Customers!R116&gt;Customers!Q116,"Card spend &gt; limit","")</f>
        <v/>
      </c>
      <c r="G116" s="4" t="str">
        <f>IF(OR(AND(Customers!S116&gt;0,Customers!T116=0),AND(Customers!S116=0,Customers!T116&gt;0)),"Mortgage/payment inconsistent","")</f>
        <v/>
      </c>
      <c r="H116" s="4" t="str">
        <f>IF(AND(Customers!G116&lt;&gt;"",Customers!G116&gt;0,Customers!T116&gt;Customers!G116/12),"Payment &gt; monthly income","")</f>
        <v/>
      </c>
      <c r="I116" s="4" t="str">
        <f>IF(OR(Customers!I116&gt;DATE(2026,9,13),YEAR(Customers!I116)&lt;1980),"Implausible date","")</f>
        <v/>
      </c>
      <c r="J116" s="4" t="str">
        <f>IF(Customers!I116&gt;DATE(2026,9,13),"",IF(ABS(INT((DATE(2026,9,13)-Customers!I116)/365.25)-Customers!H116)&gt;1,"Date/tenure inconsistent",""))</f>
        <v/>
      </c>
      <c r="K116" s="4" t="str">
        <f>IF(COUNTIF(Customers!$A$2:$A$1001,Customers!A116)&gt;1,"Duplicate ID","")</f>
        <v/>
      </c>
      <c r="L116" s="4" t="str">
        <f>IF(COUNTIFS(Customers!$B$2:$B$1001,Customers!B116,Customers!$D$2:$D$1001,Customers!D116,Customers!$G$2:$G$1001,Customers!G116,Customers!$I$2:$I$1001,Customers!I116,Customers!$L$2:$L$1001,Customers!L116)&gt;1,"Duplicate record","")</f>
        <v/>
      </c>
      <c r="M116" s="4" t="str">
        <f>IF(OR(Customers!U116&lt;300,Customers!U116&gt;850),"Score out of range","")</f>
        <v/>
      </c>
      <c r="N116" s="4" t="str">
        <f>IF(AND(Customers!G116&lt;&gt;"",Customers!G116&lt;=0),"Income ≤ 0","")</f>
        <v/>
      </c>
      <c r="O116" s="4" t="str">
        <f>IF(OR(Customers!G116="",Customers!M116=""),"Missing value","")</f>
        <v/>
      </c>
      <c r="P116" s="4">
        <f t="shared" si="1"/>
        <v>0</v>
      </c>
    </row>
    <row r="117" spans="1:16" x14ac:dyDescent="0.25">
      <c r="A117" s="4" t="str">
        <f>Customers!A117</f>
        <v>CL00116</v>
      </c>
      <c r="B117" s="20">
        <f>IF(Customers!G117="","",(Customers!G117-Statistics!$C$7)/Statistics!$C$9)</f>
        <v>-2.8739485080672436E-2</v>
      </c>
      <c r="C117" s="4" t="str">
        <f>IF(Customers!G117="","",IF(OR(Customers!G117&lt;Statistics!$C$15,Customers!G117&gt;Statistics!$C$16),"Outside 1.5·IQR",""))</f>
        <v/>
      </c>
      <c r="D117" s="4" t="str">
        <f>IF(OR(Customers!B117&lt;18,Customers!B117&gt;100),"Implausible age","")</f>
        <v/>
      </c>
      <c r="E117" s="4" t="str">
        <f>IF(Customers!H117&gt;Customers!B117-18,"Tenure &gt; age-18","")</f>
        <v/>
      </c>
      <c r="F117" s="4" t="str">
        <f>IF(Customers!R117&gt;Customers!Q117,"Card spend &gt; limit","")</f>
        <v/>
      </c>
      <c r="G117" s="4" t="str">
        <f>IF(OR(AND(Customers!S117&gt;0,Customers!T117=0),AND(Customers!S117=0,Customers!T117&gt;0)),"Mortgage/payment inconsistent","")</f>
        <v/>
      </c>
      <c r="H117" s="4" t="str">
        <f>IF(AND(Customers!G117&lt;&gt;"",Customers!G117&gt;0,Customers!T117&gt;Customers!G117/12),"Payment &gt; monthly income","")</f>
        <v/>
      </c>
      <c r="I117" s="4" t="str">
        <f>IF(OR(Customers!I117&gt;DATE(2026,9,13),YEAR(Customers!I117)&lt;1980),"Implausible date","")</f>
        <v/>
      </c>
      <c r="J117" s="4" t="str">
        <f>IF(Customers!I117&gt;DATE(2026,9,13),"",IF(ABS(INT((DATE(2026,9,13)-Customers!I117)/365.25)-Customers!H117)&gt;1,"Date/tenure inconsistent",""))</f>
        <v/>
      </c>
      <c r="K117" s="4" t="str">
        <f>IF(COUNTIF(Customers!$A$2:$A$1001,Customers!A117)&gt;1,"Duplicate ID","")</f>
        <v/>
      </c>
      <c r="L117" s="4" t="str">
        <f>IF(COUNTIFS(Customers!$B$2:$B$1001,Customers!B117,Customers!$D$2:$D$1001,Customers!D117,Customers!$G$2:$G$1001,Customers!G117,Customers!$I$2:$I$1001,Customers!I117,Customers!$L$2:$L$1001,Customers!L117)&gt;1,"Duplicate record","")</f>
        <v/>
      </c>
      <c r="M117" s="4" t="str">
        <f>IF(OR(Customers!U117&lt;300,Customers!U117&gt;850),"Score out of range","")</f>
        <v/>
      </c>
      <c r="N117" s="4" t="str">
        <f>IF(AND(Customers!G117&lt;&gt;"",Customers!G117&lt;=0),"Income ≤ 0","")</f>
        <v/>
      </c>
      <c r="O117" s="4" t="str">
        <f>IF(OR(Customers!G117="",Customers!M117=""),"Missing value","")</f>
        <v/>
      </c>
      <c r="P117" s="4">
        <f t="shared" si="1"/>
        <v>0</v>
      </c>
    </row>
    <row r="118" spans="1:16" x14ac:dyDescent="0.25">
      <c r="A118" s="4" t="str">
        <f>Customers!A118</f>
        <v>CL00117</v>
      </c>
      <c r="B118" s="20">
        <f>IF(Customers!G118="","",(Customers!G118-Statistics!$C$7)/Statistics!$C$9)</f>
        <v>4.649418363326897E-3</v>
      </c>
      <c r="C118" s="4" t="str">
        <f>IF(Customers!G118="","",IF(OR(Customers!G118&lt;Statistics!$C$15,Customers!G118&gt;Statistics!$C$16),"Outside 1.5·IQR",""))</f>
        <v/>
      </c>
      <c r="D118" s="4" t="str">
        <f>IF(OR(Customers!B118&lt;18,Customers!B118&gt;100),"Implausible age","")</f>
        <v/>
      </c>
      <c r="E118" s="4" t="str">
        <f>IF(Customers!H118&gt;Customers!B118-18,"Tenure &gt; age-18","")</f>
        <v/>
      </c>
      <c r="F118" s="4" t="str">
        <f>IF(Customers!R118&gt;Customers!Q118,"Card spend &gt; limit","")</f>
        <v/>
      </c>
      <c r="G118" s="4" t="str">
        <f>IF(OR(AND(Customers!S118&gt;0,Customers!T118=0),AND(Customers!S118=0,Customers!T118&gt;0)),"Mortgage/payment inconsistent","")</f>
        <v/>
      </c>
      <c r="H118" s="4" t="str">
        <f>IF(AND(Customers!G118&lt;&gt;"",Customers!G118&gt;0,Customers!T118&gt;Customers!G118/12),"Payment &gt; monthly income","")</f>
        <v/>
      </c>
      <c r="I118" s="4" t="str">
        <f>IF(OR(Customers!I118&gt;DATE(2026,9,13),YEAR(Customers!I118)&lt;1980),"Implausible date","")</f>
        <v/>
      </c>
      <c r="J118" s="4" t="str">
        <f>IF(Customers!I118&gt;DATE(2026,9,13),"",IF(ABS(INT((DATE(2026,9,13)-Customers!I118)/365.25)-Customers!H118)&gt;1,"Date/tenure inconsistent",""))</f>
        <v/>
      </c>
      <c r="K118" s="4" t="str">
        <f>IF(COUNTIF(Customers!$A$2:$A$1001,Customers!A118)&gt;1,"Duplicate ID","")</f>
        <v/>
      </c>
      <c r="L118" s="4" t="str">
        <f>IF(COUNTIFS(Customers!$B$2:$B$1001,Customers!B118,Customers!$D$2:$D$1001,Customers!D118,Customers!$G$2:$G$1001,Customers!G118,Customers!$I$2:$I$1001,Customers!I118,Customers!$L$2:$L$1001,Customers!L118)&gt;1,"Duplicate record","")</f>
        <v/>
      </c>
      <c r="M118" s="4" t="str">
        <f>IF(OR(Customers!U118&lt;300,Customers!U118&gt;850),"Score out of range","")</f>
        <v/>
      </c>
      <c r="N118" s="4" t="str">
        <f>IF(AND(Customers!G118&lt;&gt;"",Customers!G118&lt;=0),"Income ≤ 0","")</f>
        <v/>
      </c>
      <c r="O118" s="4" t="str">
        <f>IF(OR(Customers!G118="",Customers!M118=""),"Missing value","")</f>
        <v/>
      </c>
      <c r="P118" s="4">
        <f t="shared" si="1"/>
        <v>0</v>
      </c>
    </row>
    <row r="119" spans="1:16" x14ac:dyDescent="0.25">
      <c r="A119" s="4" t="str">
        <f>Customers!A119</f>
        <v>CL00118</v>
      </c>
      <c r="B119" s="20">
        <f>IF(Customers!G119="","",(Customers!G119-Statistics!$C$7)/Statistics!$C$9)</f>
        <v>-4.5877152335114572E-2</v>
      </c>
      <c r="C119" s="4" t="str">
        <f>IF(Customers!G119="","",IF(OR(Customers!G119&lt;Statistics!$C$15,Customers!G119&gt;Statistics!$C$16),"Outside 1.5·IQR",""))</f>
        <v/>
      </c>
      <c r="D119" s="4" t="str">
        <f>IF(OR(Customers!B119&lt;18,Customers!B119&gt;100),"Implausible age","")</f>
        <v/>
      </c>
      <c r="E119" s="4" t="str">
        <f>IF(Customers!H119&gt;Customers!B119-18,"Tenure &gt; age-18","")</f>
        <v/>
      </c>
      <c r="F119" s="4" t="str">
        <f>IF(Customers!R119&gt;Customers!Q119,"Card spend &gt; limit","")</f>
        <v/>
      </c>
      <c r="G119" s="4" t="str">
        <f>IF(OR(AND(Customers!S119&gt;0,Customers!T119=0),AND(Customers!S119=0,Customers!T119&gt;0)),"Mortgage/payment inconsistent","")</f>
        <v/>
      </c>
      <c r="H119" s="4" t="str">
        <f>IF(AND(Customers!G119&lt;&gt;"",Customers!G119&gt;0,Customers!T119&gt;Customers!G119/12),"Payment &gt; monthly income","")</f>
        <v/>
      </c>
      <c r="I119" s="4" t="str">
        <f>IF(OR(Customers!I119&gt;DATE(2026,9,13),YEAR(Customers!I119)&lt;1980),"Implausible date","")</f>
        <v/>
      </c>
      <c r="J119" s="4" t="str">
        <f>IF(Customers!I119&gt;DATE(2026,9,13),"",IF(ABS(INT((DATE(2026,9,13)-Customers!I119)/365.25)-Customers!H119)&gt;1,"Date/tenure inconsistent",""))</f>
        <v/>
      </c>
      <c r="K119" s="4" t="str">
        <f>IF(COUNTIF(Customers!$A$2:$A$1001,Customers!A119)&gt;1,"Duplicate ID","")</f>
        <v/>
      </c>
      <c r="L119" s="4" t="str">
        <f>IF(COUNTIFS(Customers!$B$2:$B$1001,Customers!B119,Customers!$D$2:$D$1001,Customers!D119,Customers!$G$2:$G$1001,Customers!G119,Customers!$I$2:$I$1001,Customers!I119,Customers!$L$2:$L$1001,Customers!L119)&gt;1,"Duplicate record","")</f>
        <v/>
      </c>
      <c r="M119" s="4" t="str">
        <f>IF(OR(Customers!U119&lt;300,Customers!U119&gt;850),"Score out of range","")</f>
        <v/>
      </c>
      <c r="N119" s="4" t="str">
        <f>IF(AND(Customers!G119&lt;&gt;"",Customers!G119&lt;=0),"Income ≤ 0","")</f>
        <v/>
      </c>
      <c r="O119" s="4" t="str">
        <f>IF(OR(Customers!G119="",Customers!M119=""),"Missing value","")</f>
        <v/>
      </c>
      <c r="P119" s="4">
        <f t="shared" si="1"/>
        <v>0</v>
      </c>
    </row>
    <row r="120" spans="1:16" x14ac:dyDescent="0.25">
      <c r="A120" s="4" t="str">
        <f>Customers!A120</f>
        <v>CL00119</v>
      </c>
      <c r="B120" s="20">
        <f>IF(Customers!G120="","",(Customers!G120-Statistics!$C$7)/Statistics!$C$9)</f>
        <v>-4.8831922551397698E-2</v>
      </c>
      <c r="C120" s="4" t="str">
        <f>IF(Customers!G120="","",IF(OR(Customers!G120&lt;Statistics!$C$15,Customers!G120&gt;Statistics!$C$16),"Outside 1.5·IQR",""))</f>
        <v/>
      </c>
      <c r="D120" s="4" t="str">
        <f>IF(OR(Customers!B120&lt;18,Customers!B120&gt;100),"Implausible age","")</f>
        <v/>
      </c>
      <c r="E120" s="4" t="str">
        <f>IF(Customers!H120&gt;Customers!B120-18,"Tenure &gt; age-18","")</f>
        <v/>
      </c>
      <c r="F120" s="4" t="str">
        <f>IF(Customers!R120&gt;Customers!Q120,"Card spend &gt; limit","")</f>
        <v/>
      </c>
      <c r="G120" s="4" t="str">
        <f>IF(OR(AND(Customers!S120&gt;0,Customers!T120=0),AND(Customers!S120=0,Customers!T120&gt;0)),"Mortgage/payment inconsistent","")</f>
        <v/>
      </c>
      <c r="H120" s="4" t="str">
        <f>IF(AND(Customers!G120&lt;&gt;"",Customers!G120&gt;0,Customers!T120&gt;Customers!G120/12),"Payment &gt; monthly income","")</f>
        <v/>
      </c>
      <c r="I120" s="4" t="str">
        <f>IF(OR(Customers!I120&gt;DATE(2026,9,13),YEAR(Customers!I120)&lt;1980),"Implausible date","")</f>
        <v/>
      </c>
      <c r="J120" s="4" t="str">
        <f>IF(Customers!I120&gt;DATE(2026,9,13),"",IF(ABS(INT((DATE(2026,9,13)-Customers!I120)/365.25)-Customers!H120)&gt;1,"Date/tenure inconsistent",""))</f>
        <v/>
      </c>
      <c r="K120" s="4" t="str">
        <f>IF(COUNTIF(Customers!$A$2:$A$1001,Customers!A120)&gt;1,"Duplicate ID","")</f>
        <v/>
      </c>
      <c r="L120" s="4" t="str">
        <f>IF(COUNTIFS(Customers!$B$2:$B$1001,Customers!B120,Customers!$D$2:$D$1001,Customers!D120,Customers!$G$2:$G$1001,Customers!G120,Customers!$I$2:$I$1001,Customers!I120,Customers!$L$2:$L$1001,Customers!L120)&gt;1,"Duplicate record","")</f>
        <v/>
      </c>
      <c r="M120" s="4" t="str">
        <f>IF(OR(Customers!U120&lt;300,Customers!U120&gt;850),"Score out of range","")</f>
        <v/>
      </c>
      <c r="N120" s="4" t="str">
        <f>IF(AND(Customers!G120&lt;&gt;"",Customers!G120&lt;=0),"Income ≤ 0","")</f>
        <v/>
      </c>
      <c r="O120" s="4" t="str">
        <f>IF(OR(Customers!G120="",Customers!M120=""),"Missing value","")</f>
        <v/>
      </c>
      <c r="P120" s="4">
        <f t="shared" si="1"/>
        <v>0</v>
      </c>
    </row>
    <row r="121" spans="1:16" x14ac:dyDescent="0.25">
      <c r="A121" s="4" t="str">
        <f>Customers!A121</f>
        <v>CL00120</v>
      </c>
      <c r="B121" s="20">
        <f>IF(Customers!G121="","",(Customers!G121-Statistics!$C$7)/Statistics!$C$9)</f>
        <v>-1.9776682091280286E-2</v>
      </c>
      <c r="C121" s="4" t="str">
        <f>IF(Customers!G121="","",IF(OR(Customers!G121&lt;Statistics!$C$15,Customers!G121&gt;Statistics!$C$16),"Outside 1.5·IQR",""))</f>
        <v/>
      </c>
      <c r="D121" s="4" t="str">
        <f>IF(OR(Customers!B121&lt;18,Customers!B121&gt;100),"Implausible age","")</f>
        <v/>
      </c>
      <c r="E121" s="4" t="str">
        <f>IF(Customers!H121&gt;Customers!B121-18,"Tenure &gt; age-18","")</f>
        <v/>
      </c>
      <c r="F121" s="4" t="str">
        <f>IF(Customers!R121&gt;Customers!Q121,"Card spend &gt; limit","")</f>
        <v/>
      </c>
      <c r="G121" s="4" t="str">
        <f>IF(OR(AND(Customers!S121&gt;0,Customers!T121=0),AND(Customers!S121=0,Customers!T121&gt;0)),"Mortgage/payment inconsistent","")</f>
        <v/>
      </c>
      <c r="H121" s="4" t="str">
        <f>IF(AND(Customers!G121&lt;&gt;"",Customers!G121&gt;0,Customers!T121&gt;Customers!G121/12),"Payment &gt; monthly income","")</f>
        <v/>
      </c>
      <c r="I121" s="4" t="str">
        <f>IF(OR(Customers!I121&gt;DATE(2026,9,13),YEAR(Customers!I121)&lt;1980),"Implausible date","")</f>
        <v/>
      </c>
      <c r="J121" s="4" t="str">
        <f>IF(Customers!I121&gt;DATE(2026,9,13),"",IF(ABS(INT((DATE(2026,9,13)-Customers!I121)/365.25)-Customers!H121)&gt;1,"Date/tenure inconsistent",""))</f>
        <v/>
      </c>
      <c r="K121" s="4" t="str">
        <f>IF(COUNTIF(Customers!$A$2:$A$1001,Customers!A121)&gt;1,"Duplicate ID","")</f>
        <v/>
      </c>
      <c r="L121" s="4" t="str">
        <f>IF(COUNTIFS(Customers!$B$2:$B$1001,Customers!B121,Customers!$D$2:$D$1001,Customers!D121,Customers!$G$2:$G$1001,Customers!G121,Customers!$I$2:$I$1001,Customers!I121,Customers!$L$2:$L$1001,Customers!L121)&gt;1,"Duplicate record","")</f>
        <v/>
      </c>
      <c r="M121" s="4" t="str">
        <f>IF(OR(Customers!U121&lt;300,Customers!U121&gt;850),"Score out of range","")</f>
        <v/>
      </c>
      <c r="N121" s="4" t="str">
        <f>IF(AND(Customers!G121&lt;&gt;"",Customers!G121&lt;=0),"Income ≤ 0","")</f>
        <v/>
      </c>
      <c r="O121" s="4" t="str">
        <f>IF(OR(Customers!G121="",Customers!M121=""),"Missing value","")</f>
        <v/>
      </c>
      <c r="P121" s="4">
        <f t="shared" si="1"/>
        <v>0</v>
      </c>
    </row>
    <row r="122" spans="1:16" x14ac:dyDescent="0.25">
      <c r="A122" s="4" t="str">
        <f>Customers!A122</f>
        <v>CL00121</v>
      </c>
      <c r="B122" s="20">
        <f>IF(Customers!G122="","",(Customers!G122-Statistics!$C$7)/Statistics!$C$9)</f>
        <v>-1.6230957831740531E-2</v>
      </c>
      <c r="C122" s="4" t="str">
        <f>IF(Customers!G122="","",IF(OR(Customers!G122&lt;Statistics!$C$15,Customers!G122&gt;Statistics!$C$16),"Outside 1.5·IQR",""))</f>
        <v/>
      </c>
      <c r="D122" s="4" t="str">
        <f>IF(OR(Customers!B122&lt;18,Customers!B122&gt;100),"Implausible age","")</f>
        <v/>
      </c>
      <c r="E122" s="4" t="str">
        <f>IF(Customers!H122&gt;Customers!B122-18,"Tenure &gt; age-18","")</f>
        <v/>
      </c>
      <c r="F122" s="4" t="str">
        <f>IF(Customers!R122&gt;Customers!Q122,"Card spend &gt; limit","")</f>
        <v/>
      </c>
      <c r="G122" s="4" t="str">
        <f>IF(OR(AND(Customers!S122&gt;0,Customers!T122=0),AND(Customers!S122=0,Customers!T122&gt;0)),"Mortgage/payment inconsistent","")</f>
        <v/>
      </c>
      <c r="H122" s="4" t="str">
        <f>IF(AND(Customers!G122&lt;&gt;"",Customers!G122&gt;0,Customers!T122&gt;Customers!G122/12),"Payment &gt; monthly income","")</f>
        <v/>
      </c>
      <c r="I122" s="4" t="str">
        <f>IF(OR(Customers!I122&gt;DATE(2026,9,13),YEAR(Customers!I122)&lt;1980),"Implausible date","")</f>
        <v/>
      </c>
      <c r="J122" s="4" t="str">
        <f>IF(Customers!I122&gt;DATE(2026,9,13),"",IF(ABS(INT((DATE(2026,9,13)-Customers!I122)/365.25)-Customers!H122)&gt;1,"Date/tenure inconsistent",""))</f>
        <v/>
      </c>
      <c r="K122" s="4" t="str">
        <f>IF(COUNTIF(Customers!$A$2:$A$1001,Customers!A122)&gt;1,"Duplicate ID","")</f>
        <v/>
      </c>
      <c r="L122" s="4" t="str">
        <f>IF(COUNTIFS(Customers!$B$2:$B$1001,Customers!B122,Customers!$D$2:$D$1001,Customers!D122,Customers!$G$2:$G$1001,Customers!G122,Customers!$I$2:$I$1001,Customers!I122,Customers!$L$2:$L$1001,Customers!L122)&gt;1,"Duplicate record","")</f>
        <v/>
      </c>
      <c r="M122" s="4" t="str">
        <f>IF(OR(Customers!U122&lt;300,Customers!U122&gt;850),"Score out of range","")</f>
        <v/>
      </c>
      <c r="N122" s="4" t="str">
        <f>IF(AND(Customers!G122&lt;&gt;"",Customers!G122&lt;=0),"Income ≤ 0","")</f>
        <v/>
      </c>
      <c r="O122" s="4" t="str">
        <f>IF(OR(Customers!G122="",Customers!M122=""),"Missing value","")</f>
        <v/>
      </c>
      <c r="P122" s="4">
        <f t="shared" si="1"/>
        <v>0</v>
      </c>
    </row>
    <row r="123" spans="1:16" x14ac:dyDescent="0.25">
      <c r="A123" s="4" t="str">
        <f>Customers!A123</f>
        <v>CL00122</v>
      </c>
      <c r="B123" s="20">
        <f>IF(Customers!G123="","",(Customers!G123-Statistics!$C$7)/Statistics!$C$9)</f>
        <v>-5.1589708086595285E-2</v>
      </c>
      <c r="C123" s="4" t="str">
        <f>IF(Customers!G123="","",IF(OR(Customers!G123&lt;Statistics!$C$15,Customers!G123&gt;Statistics!$C$16),"Outside 1.5·IQR",""))</f>
        <v/>
      </c>
      <c r="D123" s="4" t="str">
        <f>IF(OR(Customers!B123&lt;18,Customers!B123&gt;100),"Implausible age","")</f>
        <v/>
      </c>
      <c r="E123" s="4" t="str">
        <f>IF(Customers!H123&gt;Customers!B123-18,"Tenure &gt; age-18","")</f>
        <v/>
      </c>
      <c r="F123" s="4" t="str">
        <f>IF(Customers!R123&gt;Customers!Q123,"Card spend &gt; limit","")</f>
        <v/>
      </c>
      <c r="G123" s="4" t="str">
        <f>IF(OR(AND(Customers!S123&gt;0,Customers!T123=0),AND(Customers!S123=0,Customers!T123&gt;0)),"Mortgage/payment inconsistent","")</f>
        <v/>
      </c>
      <c r="H123" s="4" t="str">
        <f>IF(AND(Customers!G123&lt;&gt;"",Customers!G123&gt;0,Customers!T123&gt;Customers!G123/12),"Payment &gt; monthly income","")</f>
        <v/>
      </c>
      <c r="I123" s="4" t="str">
        <f>IF(OR(Customers!I123&gt;DATE(2026,9,13),YEAR(Customers!I123)&lt;1980),"Implausible date","")</f>
        <v/>
      </c>
      <c r="J123" s="4" t="str">
        <f>IF(Customers!I123&gt;DATE(2026,9,13),"",IF(ABS(INT((DATE(2026,9,13)-Customers!I123)/365.25)-Customers!H123)&gt;1,"Date/tenure inconsistent",""))</f>
        <v/>
      </c>
      <c r="K123" s="4" t="str">
        <f>IF(COUNTIF(Customers!$A$2:$A$1001,Customers!A123)&gt;1,"Duplicate ID","")</f>
        <v/>
      </c>
      <c r="L123" s="4" t="str">
        <f>IF(COUNTIFS(Customers!$B$2:$B$1001,Customers!B123,Customers!$D$2:$D$1001,Customers!D123,Customers!$G$2:$G$1001,Customers!G123,Customers!$I$2:$I$1001,Customers!I123,Customers!$L$2:$L$1001,Customers!L123)&gt;1,"Duplicate record","")</f>
        <v/>
      </c>
      <c r="M123" s="4" t="str">
        <f>IF(OR(Customers!U123&lt;300,Customers!U123&gt;850),"Score out of range","")</f>
        <v/>
      </c>
      <c r="N123" s="4" t="str">
        <f>IF(AND(Customers!G123&lt;&gt;"",Customers!G123&lt;=0),"Income ≤ 0","")</f>
        <v/>
      </c>
      <c r="O123" s="4" t="str">
        <f>IF(OR(Customers!G123="",Customers!M123=""),"Missing value","")</f>
        <v/>
      </c>
      <c r="P123" s="4">
        <f t="shared" si="1"/>
        <v>0</v>
      </c>
    </row>
    <row r="124" spans="1:16" x14ac:dyDescent="0.25">
      <c r="A124" s="4" t="str">
        <f>Customers!A124</f>
        <v>CL00123</v>
      </c>
      <c r="B124" s="20">
        <f>IF(Customers!G124="","",(Customers!G124-Statistics!$C$7)/Statistics!$C$9)</f>
        <v>-4.1641981691775423E-2</v>
      </c>
      <c r="C124" s="4" t="str">
        <f>IF(Customers!G124="","",IF(OR(Customers!G124&lt;Statistics!$C$15,Customers!G124&gt;Statistics!$C$16),"Outside 1.5·IQR",""))</f>
        <v/>
      </c>
      <c r="D124" s="4" t="str">
        <f>IF(OR(Customers!B124&lt;18,Customers!B124&gt;100),"Implausible age","")</f>
        <v/>
      </c>
      <c r="E124" s="4" t="str">
        <f>IF(Customers!H124&gt;Customers!B124-18,"Tenure &gt; age-18","")</f>
        <v/>
      </c>
      <c r="F124" s="4" t="str">
        <f>IF(Customers!R124&gt;Customers!Q124,"Card spend &gt; limit","")</f>
        <v/>
      </c>
      <c r="G124" s="4" t="str">
        <f>IF(OR(AND(Customers!S124&gt;0,Customers!T124=0),AND(Customers!S124=0,Customers!T124&gt;0)),"Mortgage/payment inconsistent","")</f>
        <v/>
      </c>
      <c r="H124" s="4" t="str">
        <f>IF(AND(Customers!G124&lt;&gt;"",Customers!G124&gt;0,Customers!T124&gt;Customers!G124/12),"Payment &gt; monthly income","")</f>
        <v/>
      </c>
      <c r="I124" s="4" t="str">
        <f>IF(OR(Customers!I124&gt;DATE(2026,9,13),YEAR(Customers!I124)&lt;1980),"Implausible date","")</f>
        <v/>
      </c>
      <c r="J124" s="4" t="str">
        <f>IF(Customers!I124&gt;DATE(2026,9,13),"",IF(ABS(INT((DATE(2026,9,13)-Customers!I124)/365.25)-Customers!H124)&gt;1,"Date/tenure inconsistent",""))</f>
        <v/>
      </c>
      <c r="K124" s="4" t="str">
        <f>IF(COUNTIF(Customers!$A$2:$A$1001,Customers!A124)&gt;1,"Duplicate ID","")</f>
        <v/>
      </c>
      <c r="L124" s="4" t="str">
        <f>IF(COUNTIFS(Customers!$B$2:$B$1001,Customers!B124,Customers!$D$2:$D$1001,Customers!D124,Customers!$G$2:$G$1001,Customers!G124,Customers!$I$2:$I$1001,Customers!I124,Customers!$L$2:$L$1001,Customers!L124)&gt;1,"Duplicate record","")</f>
        <v/>
      </c>
      <c r="M124" s="4" t="str">
        <f>IF(OR(Customers!U124&lt;300,Customers!U124&gt;850),"Score out of range","")</f>
        <v/>
      </c>
      <c r="N124" s="4" t="str">
        <f>IF(AND(Customers!G124&lt;&gt;"",Customers!G124&lt;=0),"Income ≤ 0","")</f>
        <v/>
      </c>
      <c r="O124" s="4" t="str">
        <f>IF(OR(Customers!G124="",Customers!M124=""),"Missing value","")</f>
        <v/>
      </c>
      <c r="P124" s="4">
        <f t="shared" si="1"/>
        <v>0</v>
      </c>
    </row>
    <row r="125" spans="1:16" x14ac:dyDescent="0.25">
      <c r="A125" s="4" t="str">
        <f>Customers!A125</f>
        <v>CL00124</v>
      </c>
      <c r="B125" s="20">
        <f>IF(Customers!G125="","",(Customers!G125-Statistics!$C$7)/Statistics!$C$9)</f>
        <v>-4.9422876594654323E-2</v>
      </c>
      <c r="C125" s="4" t="str">
        <f>IF(Customers!G125="","",IF(OR(Customers!G125&lt;Statistics!$C$15,Customers!G125&gt;Statistics!$C$16),"Outside 1.5·IQR",""))</f>
        <v/>
      </c>
      <c r="D125" s="4" t="str">
        <f>IF(OR(Customers!B125&lt;18,Customers!B125&gt;100),"Implausible age","")</f>
        <v/>
      </c>
      <c r="E125" s="4" t="str">
        <f>IF(Customers!H125&gt;Customers!B125-18,"Tenure &gt; age-18","")</f>
        <v/>
      </c>
      <c r="F125" s="4" t="str">
        <f>IF(Customers!R125&gt;Customers!Q125,"Card spend &gt; limit","")</f>
        <v/>
      </c>
      <c r="G125" s="4" t="str">
        <f>IF(OR(AND(Customers!S125&gt;0,Customers!T125=0),AND(Customers!S125=0,Customers!T125&gt;0)),"Mortgage/payment inconsistent","")</f>
        <v/>
      </c>
      <c r="H125" s="4" t="str">
        <f>IF(AND(Customers!G125&lt;&gt;"",Customers!G125&gt;0,Customers!T125&gt;Customers!G125/12),"Payment &gt; monthly income","")</f>
        <v/>
      </c>
      <c r="I125" s="4" t="str">
        <f>IF(OR(Customers!I125&gt;DATE(2026,9,13),YEAR(Customers!I125)&lt;1980),"Implausible date","")</f>
        <v/>
      </c>
      <c r="J125" s="4" t="str">
        <f>IF(Customers!I125&gt;DATE(2026,9,13),"",IF(ABS(INT((DATE(2026,9,13)-Customers!I125)/365.25)-Customers!H125)&gt;1,"Date/tenure inconsistent",""))</f>
        <v/>
      </c>
      <c r="K125" s="4" t="str">
        <f>IF(COUNTIF(Customers!$A$2:$A$1001,Customers!A125)&gt;1,"Duplicate ID","")</f>
        <v/>
      </c>
      <c r="L125" s="4" t="str">
        <f>IF(COUNTIFS(Customers!$B$2:$B$1001,Customers!B125,Customers!$D$2:$D$1001,Customers!D125,Customers!$G$2:$G$1001,Customers!G125,Customers!$I$2:$I$1001,Customers!I125,Customers!$L$2:$L$1001,Customers!L125)&gt;1,"Duplicate record","")</f>
        <v/>
      </c>
      <c r="M125" s="4" t="str">
        <f>IF(OR(Customers!U125&lt;300,Customers!U125&gt;850),"Score out of range","")</f>
        <v/>
      </c>
      <c r="N125" s="4" t="str">
        <f>IF(AND(Customers!G125&lt;&gt;"",Customers!G125&lt;=0),"Income ≤ 0","")</f>
        <v/>
      </c>
      <c r="O125" s="4" t="str">
        <f>IF(OR(Customers!G125="",Customers!M125=""),"Missing value","")</f>
        <v/>
      </c>
      <c r="P125" s="4">
        <f t="shared" si="1"/>
        <v>0</v>
      </c>
    </row>
    <row r="126" spans="1:16" x14ac:dyDescent="0.25">
      <c r="A126" s="4" t="str">
        <f>Customers!A126</f>
        <v>CL00125</v>
      </c>
      <c r="B126" s="20">
        <f>IF(Customers!G126="","",(Customers!G126-Statistics!$C$7)/Statistics!$C$9)</f>
        <v>-5.3067093194736847E-2</v>
      </c>
      <c r="C126" s="4" t="str">
        <f>IF(Customers!G126="","",IF(OR(Customers!G126&lt;Statistics!$C$15,Customers!G126&gt;Statistics!$C$16),"Outside 1.5·IQR",""))</f>
        <v/>
      </c>
      <c r="D126" s="4" t="str">
        <f>IF(OR(Customers!B126&lt;18,Customers!B126&gt;100),"Implausible age","")</f>
        <v/>
      </c>
      <c r="E126" s="4" t="str">
        <f>IF(Customers!H126&gt;Customers!B126-18,"Tenure &gt; age-18","")</f>
        <v/>
      </c>
      <c r="F126" s="4" t="str">
        <f>IF(Customers!R126&gt;Customers!Q126,"Card spend &gt; limit","")</f>
        <v/>
      </c>
      <c r="G126" s="4" t="str">
        <f>IF(OR(AND(Customers!S126&gt;0,Customers!T126=0),AND(Customers!S126=0,Customers!T126&gt;0)),"Mortgage/payment inconsistent","")</f>
        <v/>
      </c>
      <c r="H126" s="4" t="str">
        <f>IF(AND(Customers!G126&lt;&gt;"",Customers!G126&gt;0,Customers!T126&gt;Customers!G126/12),"Payment &gt; monthly income","")</f>
        <v/>
      </c>
      <c r="I126" s="4" t="str">
        <f>IF(OR(Customers!I126&gt;DATE(2026,9,13),YEAR(Customers!I126)&lt;1980),"Implausible date","")</f>
        <v/>
      </c>
      <c r="J126" s="4" t="str">
        <f>IF(Customers!I126&gt;DATE(2026,9,13),"",IF(ABS(INT((DATE(2026,9,13)-Customers!I126)/365.25)-Customers!H126)&gt;1,"Date/tenure inconsistent",""))</f>
        <v/>
      </c>
      <c r="K126" s="4" t="str">
        <f>IF(COUNTIF(Customers!$A$2:$A$1001,Customers!A126)&gt;1,"Duplicate ID","")</f>
        <v/>
      </c>
      <c r="L126" s="4" t="str">
        <f>IF(COUNTIFS(Customers!$B$2:$B$1001,Customers!B126,Customers!$D$2:$D$1001,Customers!D126,Customers!$G$2:$G$1001,Customers!G126,Customers!$I$2:$I$1001,Customers!I126,Customers!$L$2:$L$1001,Customers!L126)&gt;1,"Duplicate record","")</f>
        <v/>
      </c>
      <c r="M126" s="4" t="str">
        <f>IF(OR(Customers!U126&lt;300,Customers!U126&gt;850),"Score out of range","")</f>
        <v/>
      </c>
      <c r="N126" s="4" t="str">
        <f>IF(AND(Customers!G126&lt;&gt;"",Customers!G126&lt;=0),"Income ≤ 0","")</f>
        <v/>
      </c>
      <c r="O126" s="4" t="str">
        <f>IF(OR(Customers!G126="",Customers!M126=""),"Missing value","")</f>
        <v/>
      </c>
      <c r="P126" s="4">
        <f t="shared" si="1"/>
        <v>0</v>
      </c>
    </row>
    <row r="127" spans="1:16" x14ac:dyDescent="0.25">
      <c r="A127" s="4" t="str">
        <f>Customers!A127</f>
        <v>CL00126</v>
      </c>
      <c r="B127" s="20">
        <f>IF(Customers!G127="","",(Customers!G127-Statistics!$C$7)/Statistics!$C$9)</f>
        <v>-4.6088616476935669E-3</v>
      </c>
      <c r="C127" s="4" t="str">
        <f>IF(Customers!G127="","",IF(OR(Customers!G127&lt;Statistics!$C$15,Customers!G127&gt;Statistics!$C$16),"Outside 1.5·IQR",""))</f>
        <v/>
      </c>
      <c r="D127" s="4" t="str">
        <f>IF(OR(Customers!B127&lt;18,Customers!B127&gt;100),"Implausible age","")</f>
        <v/>
      </c>
      <c r="E127" s="4" t="str">
        <f>IF(Customers!H127&gt;Customers!B127-18,"Tenure &gt; age-18","")</f>
        <v/>
      </c>
      <c r="F127" s="4" t="str">
        <f>IF(Customers!R127&gt;Customers!Q127,"Card spend &gt; limit","")</f>
        <v/>
      </c>
      <c r="G127" s="4" t="str">
        <f>IF(OR(AND(Customers!S127&gt;0,Customers!T127=0),AND(Customers!S127=0,Customers!T127&gt;0)),"Mortgage/payment inconsistent","")</f>
        <v/>
      </c>
      <c r="H127" s="4" t="str">
        <f>IF(AND(Customers!G127&lt;&gt;"",Customers!G127&gt;0,Customers!T127&gt;Customers!G127/12),"Payment &gt; monthly income","")</f>
        <v/>
      </c>
      <c r="I127" s="4" t="str">
        <f>IF(OR(Customers!I127&gt;DATE(2026,9,13),YEAR(Customers!I127)&lt;1980),"Implausible date","")</f>
        <v/>
      </c>
      <c r="J127" s="4" t="str">
        <f>IF(Customers!I127&gt;DATE(2026,9,13),"",IF(ABS(INT((DATE(2026,9,13)-Customers!I127)/365.25)-Customers!H127)&gt;1,"Date/tenure inconsistent",""))</f>
        <v/>
      </c>
      <c r="K127" s="4" t="str">
        <f>IF(COUNTIF(Customers!$A$2:$A$1001,Customers!A127)&gt;1,"Duplicate ID","")</f>
        <v/>
      </c>
      <c r="L127" s="4" t="str">
        <f>IF(COUNTIFS(Customers!$B$2:$B$1001,Customers!B127,Customers!$D$2:$D$1001,Customers!D127,Customers!$G$2:$G$1001,Customers!G127,Customers!$I$2:$I$1001,Customers!I127,Customers!$L$2:$L$1001,Customers!L127)&gt;1,"Duplicate record","")</f>
        <v/>
      </c>
      <c r="M127" s="4" t="str">
        <f>IF(OR(Customers!U127&lt;300,Customers!U127&gt;850),"Score out of range","")</f>
        <v/>
      </c>
      <c r="N127" s="4" t="str">
        <f>IF(AND(Customers!G127&lt;&gt;"",Customers!G127&lt;=0),"Income ≤ 0","")</f>
        <v/>
      </c>
      <c r="O127" s="4" t="str">
        <f>IF(OR(Customers!G127="",Customers!M127=""),"Missing value","")</f>
        <v/>
      </c>
      <c r="P127" s="4">
        <f t="shared" si="1"/>
        <v>0</v>
      </c>
    </row>
    <row r="128" spans="1:16" x14ac:dyDescent="0.25">
      <c r="A128" s="4" t="str">
        <f>Customers!A128</f>
        <v>CL00127</v>
      </c>
      <c r="B128" s="20">
        <f>IF(Customers!G128="","",(Customers!G128-Statistics!$C$7)/Statistics!$C$9)</f>
        <v>-3.4550533172695921E-2</v>
      </c>
      <c r="C128" s="4" t="str">
        <f>IF(Customers!G128="","",IF(OR(Customers!G128&lt;Statistics!$C$15,Customers!G128&gt;Statistics!$C$16),"Outside 1.5·IQR",""))</f>
        <v/>
      </c>
      <c r="D128" s="4" t="str">
        <f>IF(OR(Customers!B128&lt;18,Customers!B128&gt;100),"Implausible age","")</f>
        <v/>
      </c>
      <c r="E128" s="4" t="str">
        <f>IF(Customers!H128&gt;Customers!B128-18,"Tenure &gt; age-18","")</f>
        <v/>
      </c>
      <c r="F128" s="4" t="str">
        <f>IF(Customers!R128&gt;Customers!Q128,"Card spend &gt; limit","")</f>
        <v/>
      </c>
      <c r="G128" s="4" t="str">
        <f>IF(OR(AND(Customers!S128&gt;0,Customers!T128=0),AND(Customers!S128=0,Customers!T128&gt;0)),"Mortgage/payment inconsistent","")</f>
        <v/>
      </c>
      <c r="H128" s="4" t="str">
        <f>IF(AND(Customers!G128&lt;&gt;"",Customers!G128&gt;0,Customers!T128&gt;Customers!G128/12),"Payment &gt; monthly income","")</f>
        <v/>
      </c>
      <c r="I128" s="4" t="str">
        <f>IF(OR(Customers!I128&gt;DATE(2026,9,13),YEAR(Customers!I128)&lt;1980),"Implausible date","")</f>
        <v/>
      </c>
      <c r="J128" s="4" t="str">
        <f>IF(Customers!I128&gt;DATE(2026,9,13),"",IF(ABS(INT((DATE(2026,9,13)-Customers!I128)/365.25)-Customers!H128)&gt;1,"Date/tenure inconsistent",""))</f>
        <v/>
      </c>
      <c r="K128" s="4" t="str">
        <f>IF(COUNTIF(Customers!$A$2:$A$1001,Customers!A128)&gt;1,"Duplicate ID","")</f>
        <v/>
      </c>
      <c r="L128" s="4" t="str">
        <f>IF(COUNTIFS(Customers!$B$2:$B$1001,Customers!B128,Customers!$D$2:$D$1001,Customers!D128,Customers!$G$2:$G$1001,Customers!G128,Customers!$I$2:$I$1001,Customers!I128,Customers!$L$2:$L$1001,Customers!L128)&gt;1,"Duplicate record","")</f>
        <v/>
      </c>
      <c r="M128" s="4" t="str">
        <f>IF(OR(Customers!U128&lt;300,Customers!U128&gt;850),"Score out of range","")</f>
        <v/>
      </c>
      <c r="N128" s="4" t="str">
        <f>IF(AND(Customers!G128&lt;&gt;"",Customers!G128&lt;=0),"Income ≤ 0","")</f>
        <v/>
      </c>
      <c r="O128" s="4" t="str">
        <f>IF(OR(Customers!G128="",Customers!M128=""),"Missing value","")</f>
        <v/>
      </c>
      <c r="P128" s="4">
        <f t="shared" si="1"/>
        <v>0</v>
      </c>
    </row>
    <row r="129" spans="1:16" x14ac:dyDescent="0.25">
      <c r="A129" s="4" t="str">
        <f>Customers!A129</f>
        <v>CL00128</v>
      </c>
      <c r="B129" s="20">
        <f>IF(Customers!G129="","",(Customers!G129-Statistics!$C$7)/Statistics!$C$9)</f>
        <v>-1.7609850599339325E-2</v>
      </c>
      <c r="C129" s="4" t="str">
        <f>IF(Customers!G129="","",IF(OR(Customers!G129&lt;Statistics!$C$15,Customers!G129&gt;Statistics!$C$16),"Outside 1.5·IQR",""))</f>
        <v/>
      </c>
      <c r="D129" s="4" t="str">
        <f>IF(OR(Customers!B129&lt;18,Customers!B129&gt;100),"Implausible age","")</f>
        <v/>
      </c>
      <c r="E129" s="4" t="str">
        <f>IF(Customers!H129&gt;Customers!B129-18,"Tenure &gt; age-18","")</f>
        <v/>
      </c>
      <c r="F129" s="4" t="str">
        <f>IF(Customers!R129&gt;Customers!Q129,"Card spend &gt; limit","")</f>
        <v/>
      </c>
      <c r="G129" s="4" t="str">
        <f>IF(OR(AND(Customers!S129&gt;0,Customers!T129=0),AND(Customers!S129=0,Customers!T129&gt;0)),"Mortgage/payment inconsistent","")</f>
        <v/>
      </c>
      <c r="H129" s="4" t="str">
        <f>IF(AND(Customers!G129&lt;&gt;"",Customers!G129&gt;0,Customers!T129&gt;Customers!G129/12),"Payment &gt; monthly income","")</f>
        <v/>
      </c>
      <c r="I129" s="4" t="str">
        <f>IF(OR(Customers!I129&gt;DATE(2026,9,13),YEAR(Customers!I129)&lt;1980),"Implausible date","")</f>
        <v/>
      </c>
      <c r="J129" s="4" t="str">
        <f>IF(Customers!I129&gt;DATE(2026,9,13),"",IF(ABS(INT((DATE(2026,9,13)-Customers!I129)/365.25)-Customers!H129)&gt;1,"Date/tenure inconsistent",""))</f>
        <v/>
      </c>
      <c r="K129" s="4" t="str">
        <f>IF(COUNTIF(Customers!$A$2:$A$1001,Customers!A129)&gt;1,"Duplicate ID","")</f>
        <v/>
      </c>
      <c r="L129" s="4" t="str">
        <f>IF(COUNTIFS(Customers!$B$2:$B$1001,Customers!B129,Customers!$D$2:$D$1001,Customers!D129,Customers!$G$2:$G$1001,Customers!G129,Customers!$I$2:$I$1001,Customers!I129,Customers!$L$2:$L$1001,Customers!L129)&gt;1,"Duplicate record","")</f>
        <v/>
      </c>
      <c r="M129" s="4" t="str">
        <f>IF(OR(Customers!U129&lt;300,Customers!U129&gt;850),"Score out of range","")</f>
        <v/>
      </c>
      <c r="N129" s="4" t="str">
        <f>IF(AND(Customers!G129&lt;&gt;"",Customers!G129&lt;=0),"Income ≤ 0","")</f>
        <v/>
      </c>
      <c r="O129" s="4" t="str">
        <f>IF(OR(Customers!G129="",Customers!M129=""),"Missing value","")</f>
        <v/>
      </c>
      <c r="P129" s="4">
        <f t="shared" si="1"/>
        <v>0</v>
      </c>
    </row>
    <row r="130" spans="1:16" x14ac:dyDescent="0.25">
      <c r="A130" s="4" t="str">
        <f>Customers!A130</f>
        <v>CL00129</v>
      </c>
      <c r="B130" s="20">
        <f>IF(Customers!G130="","",(Customers!G130-Statistics!$C$7)/Statistics!$C$9)</f>
        <v>-5.1491215746052511E-2</v>
      </c>
      <c r="C130" s="4" t="str">
        <f>IF(Customers!G130="","",IF(OR(Customers!G130&lt;Statistics!$C$15,Customers!G130&gt;Statistics!$C$16),"Outside 1.5·IQR",""))</f>
        <v/>
      </c>
      <c r="D130" s="4" t="str">
        <f>IF(OR(Customers!B130&lt;18,Customers!B130&gt;100),"Implausible age","")</f>
        <v/>
      </c>
      <c r="E130" s="4" t="str">
        <f>IF(Customers!H130&gt;Customers!B130-18,"Tenure &gt; age-18","")</f>
        <v/>
      </c>
      <c r="F130" s="4" t="str">
        <f>IF(Customers!R130&gt;Customers!Q130,"Card spend &gt; limit","")</f>
        <v/>
      </c>
      <c r="G130" s="4" t="str">
        <f>IF(OR(AND(Customers!S130&gt;0,Customers!T130=0),AND(Customers!S130=0,Customers!T130&gt;0)),"Mortgage/payment inconsistent","")</f>
        <v/>
      </c>
      <c r="H130" s="4" t="str">
        <f>IF(AND(Customers!G130&lt;&gt;"",Customers!G130&gt;0,Customers!T130&gt;Customers!G130/12),"Payment &gt; monthly income","")</f>
        <v/>
      </c>
      <c r="I130" s="4" t="str">
        <f>IF(OR(Customers!I130&gt;DATE(2026,9,13),YEAR(Customers!I130)&lt;1980),"Implausible date","")</f>
        <v/>
      </c>
      <c r="J130" s="4" t="str">
        <f>IF(Customers!I130&gt;DATE(2026,9,13),"",IF(ABS(INT((DATE(2026,9,13)-Customers!I130)/365.25)-Customers!H130)&gt;1,"Date/tenure inconsistent",""))</f>
        <v/>
      </c>
      <c r="K130" s="4" t="str">
        <f>IF(COUNTIF(Customers!$A$2:$A$1001,Customers!A130)&gt;1,"Duplicate ID","")</f>
        <v/>
      </c>
      <c r="L130" s="4" t="str">
        <f>IF(COUNTIFS(Customers!$B$2:$B$1001,Customers!B130,Customers!$D$2:$D$1001,Customers!D130,Customers!$G$2:$G$1001,Customers!G130,Customers!$I$2:$I$1001,Customers!I130,Customers!$L$2:$L$1001,Customers!L130)&gt;1,"Duplicate record","")</f>
        <v/>
      </c>
      <c r="M130" s="4" t="str">
        <f>IF(OR(Customers!U130&lt;300,Customers!U130&gt;850),"Score out of range","")</f>
        <v/>
      </c>
      <c r="N130" s="4" t="str">
        <f>IF(AND(Customers!G130&lt;&gt;"",Customers!G130&lt;=0),"Income ≤ 0","")</f>
        <v/>
      </c>
      <c r="O130" s="4" t="str">
        <f>IF(OR(Customers!G130="",Customers!M130=""),"Missing value","")</f>
        <v/>
      </c>
      <c r="P130" s="4">
        <f t="shared" ref="P130:P193" si="2">SUMPRODUCT(--(C130:O130&lt;&gt;""))</f>
        <v>0</v>
      </c>
    </row>
    <row r="131" spans="1:16" x14ac:dyDescent="0.25">
      <c r="A131" s="4" t="str">
        <f>Customers!A131</f>
        <v>CL00130</v>
      </c>
      <c r="B131" s="20">
        <f>IF(Customers!G131="","",(Customers!G131-Statistics!$C$7)/Statistics!$C$9)</f>
        <v>2.0278357816664978E-5</v>
      </c>
      <c r="C131" s="4" t="str">
        <f>IF(Customers!G131="","",IF(OR(Customers!G131&lt;Statistics!$C$15,Customers!G131&gt;Statistics!$C$16),"Outside 1.5·IQR",""))</f>
        <v/>
      </c>
      <c r="D131" s="4" t="str">
        <f>IF(OR(Customers!B131&lt;18,Customers!B131&gt;100),"Implausible age","")</f>
        <v/>
      </c>
      <c r="E131" s="4" t="str">
        <f>IF(Customers!H131&gt;Customers!B131-18,"Tenure &gt; age-18","")</f>
        <v/>
      </c>
      <c r="F131" s="4" t="str">
        <f>IF(Customers!R131&gt;Customers!Q131,"Card spend &gt; limit","")</f>
        <v/>
      </c>
      <c r="G131" s="4" t="str">
        <f>IF(OR(AND(Customers!S131&gt;0,Customers!T131=0),AND(Customers!S131=0,Customers!T131&gt;0)),"Mortgage/payment inconsistent","")</f>
        <v/>
      </c>
      <c r="H131" s="4" t="str">
        <f>IF(AND(Customers!G131&lt;&gt;"",Customers!G131&gt;0,Customers!T131&gt;Customers!G131/12),"Payment &gt; monthly income","")</f>
        <v/>
      </c>
      <c r="I131" s="4" t="str">
        <f>IF(OR(Customers!I131&gt;DATE(2026,9,13),YEAR(Customers!I131)&lt;1980),"Implausible date","")</f>
        <v/>
      </c>
      <c r="J131" s="4" t="str">
        <f>IF(Customers!I131&gt;DATE(2026,9,13),"",IF(ABS(INT((DATE(2026,9,13)-Customers!I131)/365.25)-Customers!H131)&gt;1,"Date/tenure inconsistent",""))</f>
        <v/>
      </c>
      <c r="K131" s="4" t="str">
        <f>IF(COUNTIF(Customers!$A$2:$A$1001,Customers!A131)&gt;1,"Duplicate ID","")</f>
        <v/>
      </c>
      <c r="L131" s="4" t="str">
        <f>IF(COUNTIFS(Customers!$B$2:$B$1001,Customers!B131,Customers!$D$2:$D$1001,Customers!D131,Customers!$G$2:$G$1001,Customers!G131,Customers!$I$2:$I$1001,Customers!I131,Customers!$L$2:$L$1001,Customers!L131)&gt;1,"Duplicate record","")</f>
        <v/>
      </c>
      <c r="M131" s="4" t="str">
        <f>IF(OR(Customers!U131&lt;300,Customers!U131&gt;850),"Score out of range","")</f>
        <v/>
      </c>
      <c r="N131" s="4" t="str">
        <f>IF(AND(Customers!G131&lt;&gt;"",Customers!G131&lt;=0),"Income ≤ 0","")</f>
        <v/>
      </c>
      <c r="O131" s="4" t="str">
        <f>IF(OR(Customers!G131="",Customers!M131=""),"Missing value","")</f>
        <v/>
      </c>
      <c r="P131" s="4">
        <f t="shared" si="2"/>
        <v>0</v>
      </c>
    </row>
    <row r="132" spans="1:16" x14ac:dyDescent="0.25">
      <c r="A132" s="4" t="str">
        <f>Customers!A132</f>
        <v>CL00131</v>
      </c>
      <c r="B132" s="20">
        <f>IF(Customers!G132="","",(Customers!G132-Statistics!$C$7)/Statistics!$C$9)</f>
        <v>-6.6462051508553693E-2</v>
      </c>
      <c r="C132" s="4" t="str">
        <f>IF(Customers!G132="","",IF(OR(Customers!G132&lt;Statistics!$C$15,Customers!G132&gt;Statistics!$C$16),"Outside 1.5·IQR",""))</f>
        <v/>
      </c>
      <c r="D132" s="4" t="str">
        <f>IF(OR(Customers!B132&lt;18,Customers!B132&gt;100),"Implausible age","")</f>
        <v/>
      </c>
      <c r="E132" s="4" t="str">
        <f>IF(Customers!H132&gt;Customers!B132-18,"Tenure &gt; age-18","")</f>
        <v/>
      </c>
      <c r="F132" s="4" t="str">
        <f>IF(Customers!R132&gt;Customers!Q132,"Card spend &gt; limit","")</f>
        <v/>
      </c>
      <c r="G132" s="4" t="str">
        <f>IF(OR(AND(Customers!S132&gt;0,Customers!T132=0),AND(Customers!S132=0,Customers!T132&gt;0)),"Mortgage/payment inconsistent","")</f>
        <v/>
      </c>
      <c r="H132" s="4" t="str">
        <f>IF(AND(Customers!G132&lt;&gt;"",Customers!G132&gt;0,Customers!T132&gt;Customers!G132/12),"Payment &gt; monthly income","")</f>
        <v/>
      </c>
      <c r="I132" s="4" t="str">
        <f>IF(OR(Customers!I132&gt;DATE(2026,9,13),YEAR(Customers!I132)&lt;1980),"Implausible date","")</f>
        <v/>
      </c>
      <c r="J132" s="4" t="str">
        <f>IF(Customers!I132&gt;DATE(2026,9,13),"",IF(ABS(INT((DATE(2026,9,13)-Customers!I132)/365.25)-Customers!H132)&gt;1,"Date/tenure inconsistent",""))</f>
        <v/>
      </c>
      <c r="K132" s="4" t="str">
        <f>IF(COUNTIF(Customers!$A$2:$A$1001,Customers!A132)&gt;1,"Duplicate ID","")</f>
        <v/>
      </c>
      <c r="L132" s="4" t="str">
        <f>IF(COUNTIFS(Customers!$B$2:$B$1001,Customers!B132,Customers!$D$2:$D$1001,Customers!D132,Customers!$G$2:$G$1001,Customers!G132,Customers!$I$2:$I$1001,Customers!I132,Customers!$L$2:$L$1001,Customers!L132)&gt;1,"Duplicate record","")</f>
        <v/>
      </c>
      <c r="M132" s="4" t="str">
        <f>IF(OR(Customers!U132&lt;300,Customers!U132&gt;850),"Score out of range","")</f>
        <v/>
      </c>
      <c r="N132" s="4" t="str">
        <f>IF(AND(Customers!G132&lt;&gt;"",Customers!G132&lt;=0),"Income ≤ 0","")</f>
        <v/>
      </c>
      <c r="O132" s="4" t="str">
        <f>IF(OR(Customers!G132="",Customers!M132=""),"Missing value","")</f>
        <v/>
      </c>
      <c r="P132" s="4">
        <f t="shared" si="2"/>
        <v>0</v>
      </c>
    </row>
    <row r="133" spans="1:16" x14ac:dyDescent="0.25">
      <c r="A133" s="4" t="str">
        <f>Customers!A133</f>
        <v>CL00132</v>
      </c>
      <c r="B133" s="20">
        <f>IF(Customers!G133="","",(Customers!G133-Statistics!$C$7)/Statistics!$C$9)</f>
        <v>2.1885577958311805E-2</v>
      </c>
      <c r="C133" s="4" t="str">
        <f>IF(Customers!G133="","",IF(OR(Customers!G133&lt;Statistics!$C$15,Customers!G133&gt;Statistics!$C$16),"Outside 1.5·IQR",""))</f>
        <v>Outside 1.5·IQR</v>
      </c>
      <c r="D133" s="4" t="str">
        <f>IF(OR(Customers!B133&lt;18,Customers!B133&gt;100),"Implausible age","")</f>
        <v/>
      </c>
      <c r="E133" s="4" t="str">
        <f>IF(Customers!H133&gt;Customers!B133-18,"Tenure &gt; age-18","")</f>
        <v/>
      </c>
      <c r="F133" s="4" t="str">
        <f>IF(Customers!R133&gt;Customers!Q133,"Card spend &gt; limit","")</f>
        <v/>
      </c>
      <c r="G133" s="4" t="str">
        <f>IF(OR(AND(Customers!S133&gt;0,Customers!T133=0),AND(Customers!S133=0,Customers!T133&gt;0)),"Mortgage/payment inconsistent","")</f>
        <v/>
      </c>
      <c r="H133" s="4" t="str">
        <f>IF(AND(Customers!G133&lt;&gt;"",Customers!G133&gt;0,Customers!T133&gt;Customers!G133/12),"Payment &gt; monthly income","")</f>
        <v/>
      </c>
      <c r="I133" s="4" t="str">
        <f>IF(OR(Customers!I133&gt;DATE(2026,9,13),YEAR(Customers!I133)&lt;1980),"Implausible date","")</f>
        <v/>
      </c>
      <c r="J133" s="4" t="str">
        <f>IF(Customers!I133&gt;DATE(2026,9,13),"",IF(ABS(INT((DATE(2026,9,13)-Customers!I133)/365.25)-Customers!H133)&gt;1,"Date/tenure inconsistent",""))</f>
        <v/>
      </c>
      <c r="K133" s="4" t="str">
        <f>IF(COUNTIF(Customers!$A$2:$A$1001,Customers!A133)&gt;1,"Duplicate ID","")</f>
        <v/>
      </c>
      <c r="L133" s="4" t="str">
        <f>IF(COUNTIFS(Customers!$B$2:$B$1001,Customers!B133,Customers!$D$2:$D$1001,Customers!D133,Customers!$G$2:$G$1001,Customers!G133,Customers!$I$2:$I$1001,Customers!I133,Customers!$L$2:$L$1001,Customers!L133)&gt;1,"Duplicate record","")</f>
        <v/>
      </c>
      <c r="M133" s="4" t="str">
        <f>IF(OR(Customers!U133&lt;300,Customers!U133&gt;850),"Score out of range","")</f>
        <v/>
      </c>
      <c r="N133" s="4" t="str">
        <f>IF(AND(Customers!G133&lt;&gt;"",Customers!G133&lt;=0),"Income ≤ 0","")</f>
        <v/>
      </c>
      <c r="O133" s="4" t="str">
        <f>IF(OR(Customers!G133="",Customers!M133=""),"Missing value","")</f>
        <v/>
      </c>
      <c r="P133" s="4">
        <f t="shared" si="2"/>
        <v>1</v>
      </c>
    </row>
    <row r="134" spans="1:16" x14ac:dyDescent="0.25">
      <c r="A134" s="4" t="str">
        <f>Customers!A134</f>
        <v>CL00133</v>
      </c>
      <c r="B134" s="20">
        <f>IF(Customers!G134="","",(Customers!G134-Statistics!$C$7)/Statistics!$C$9)</f>
        <v>0.10067945039252853</v>
      </c>
      <c r="C134" s="4" t="str">
        <f>IF(Customers!G134="","",IF(OR(Customers!G134&lt;Statistics!$C$15,Customers!G134&gt;Statistics!$C$16),"Outside 1.5·IQR",""))</f>
        <v>Outside 1.5·IQR</v>
      </c>
      <c r="D134" s="4" t="str">
        <f>IF(OR(Customers!B134&lt;18,Customers!B134&gt;100),"Implausible age","")</f>
        <v/>
      </c>
      <c r="E134" s="4" t="str">
        <f>IF(Customers!H134&gt;Customers!B134-18,"Tenure &gt; age-18","")</f>
        <v/>
      </c>
      <c r="F134" s="4" t="str">
        <f>IF(Customers!R134&gt;Customers!Q134,"Card spend &gt; limit","")</f>
        <v/>
      </c>
      <c r="G134" s="4" t="str">
        <f>IF(OR(AND(Customers!S134&gt;0,Customers!T134=0),AND(Customers!S134=0,Customers!T134&gt;0)),"Mortgage/payment inconsistent","")</f>
        <v/>
      </c>
      <c r="H134" s="4" t="str">
        <f>IF(AND(Customers!G134&lt;&gt;"",Customers!G134&gt;0,Customers!T134&gt;Customers!G134/12),"Payment &gt; monthly income","")</f>
        <v/>
      </c>
      <c r="I134" s="4" t="str">
        <f>IF(OR(Customers!I134&gt;DATE(2026,9,13),YEAR(Customers!I134)&lt;1980),"Implausible date","")</f>
        <v/>
      </c>
      <c r="J134" s="4" t="str">
        <f>IF(Customers!I134&gt;DATE(2026,9,13),"",IF(ABS(INT((DATE(2026,9,13)-Customers!I134)/365.25)-Customers!H134)&gt;1,"Date/tenure inconsistent",""))</f>
        <v/>
      </c>
      <c r="K134" s="4" t="str">
        <f>IF(COUNTIF(Customers!$A$2:$A$1001,Customers!A134)&gt;1,"Duplicate ID","")</f>
        <v/>
      </c>
      <c r="L134" s="4" t="str">
        <f>IF(COUNTIFS(Customers!$B$2:$B$1001,Customers!B134,Customers!$D$2:$D$1001,Customers!D134,Customers!$G$2:$G$1001,Customers!G134,Customers!$I$2:$I$1001,Customers!I134,Customers!$L$2:$L$1001,Customers!L134)&gt;1,"Duplicate record","")</f>
        <v/>
      </c>
      <c r="M134" s="4" t="str">
        <f>IF(OR(Customers!U134&lt;300,Customers!U134&gt;850),"Score out of range","")</f>
        <v/>
      </c>
      <c r="N134" s="4" t="str">
        <f>IF(AND(Customers!G134&lt;&gt;"",Customers!G134&lt;=0),"Income ≤ 0","")</f>
        <v/>
      </c>
      <c r="O134" s="4" t="str">
        <f>IF(OR(Customers!G134="",Customers!M134=""),"Missing value","")</f>
        <v/>
      </c>
      <c r="P134" s="4">
        <f t="shared" si="2"/>
        <v>1</v>
      </c>
    </row>
    <row r="135" spans="1:16" x14ac:dyDescent="0.25">
      <c r="A135" s="4" t="str">
        <f>Customers!A135</f>
        <v>CL00134</v>
      </c>
      <c r="B135" s="20">
        <f>IF(Customers!G135="","",(Customers!G135-Statistics!$C$7)/Statistics!$C$9)</f>
        <v>-3.1989732318583874E-2</v>
      </c>
      <c r="C135" s="4" t="str">
        <f>IF(Customers!G135="","",IF(OR(Customers!G135&lt;Statistics!$C$15,Customers!G135&gt;Statistics!$C$16),"Outside 1.5·IQR",""))</f>
        <v/>
      </c>
      <c r="D135" s="4" t="str">
        <f>IF(OR(Customers!B135&lt;18,Customers!B135&gt;100),"Implausible age","")</f>
        <v/>
      </c>
      <c r="E135" s="4" t="str">
        <f>IF(Customers!H135&gt;Customers!B135-18,"Tenure &gt; age-18","")</f>
        <v/>
      </c>
      <c r="F135" s="4" t="str">
        <f>IF(Customers!R135&gt;Customers!Q135,"Card spend &gt; limit","")</f>
        <v/>
      </c>
      <c r="G135" s="4" t="str">
        <f>IF(OR(AND(Customers!S135&gt;0,Customers!T135=0),AND(Customers!S135=0,Customers!T135&gt;0)),"Mortgage/payment inconsistent","")</f>
        <v/>
      </c>
      <c r="H135" s="4" t="str">
        <f>IF(AND(Customers!G135&lt;&gt;"",Customers!G135&gt;0,Customers!T135&gt;Customers!G135/12),"Payment &gt; monthly income","")</f>
        <v/>
      </c>
      <c r="I135" s="4" t="str">
        <f>IF(OR(Customers!I135&gt;DATE(2026,9,13),YEAR(Customers!I135)&lt;1980),"Implausible date","")</f>
        <v/>
      </c>
      <c r="J135" s="4" t="str">
        <f>IF(Customers!I135&gt;DATE(2026,9,13),"",IF(ABS(INT((DATE(2026,9,13)-Customers!I135)/365.25)-Customers!H135)&gt;1,"Date/tenure inconsistent",""))</f>
        <v/>
      </c>
      <c r="K135" s="4" t="str">
        <f>IF(COUNTIF(Customers!$A$2:$A$1001,Customers!A135)&gt;1,"Duplicate ID","")</f>
        <v/>
      </c>
      <c r="L135" s="4" t="str">
        <f>IF(COUNTIFS(Customers!$B$2:$B$1001,Customers!B135,Customers!$D$2:$D$1001,Customers!D135,Customers!$G$2:$G$1001,Customers!G135,Customers!$I$2:$I$1001,Customers!I135,Customers!$L$2:$L$1001,Customers!L135)&gt;1,"Duplicate record","")</f>
        <v/>
      </c>
      <c r="M135" s="4" t="str">
        <f>IF(OR(Customers!U135&lt;300,Customers!U135&gt;850),"Score out of range","")</f>
        <v/>
      </c>
      <c r="N135" s="4" t="str">
        <f>IF(AND(Customers!G135&lt;&gt;"",Customers!G135&lt;=0),"Income ≤ 0","")</f>
        <v/>
      </c>
      <c r="O135" s="4" t="str">
        <f>IF(OR(Customers!G135="",Customers!M135=""),"Missing value","")</f>
        <v/>
      </c>
      <c r="P135" s="4">
        <f t="shared" si="2"/>
        <v>0</v>
      </c>
    </row>
    <row r="136" spans="1:16" x14ac:dyDescent="0.25">
      <c r="A136" s="4" t="str">
        <f>Customers!A136</f>
        <v>CL00135</v>
      </c>
      <c r="B136" s="20">
        <f>IF(Customers!G136="","",(Customers!G136-Statistics!$C$7)/Statistics!$C$9)</f>
        <v>-2.0761605496707993E-2</v>
      </c>
      <c r="C136" s="4" t="str">
        <f>IF(Customers!G136="","",IF(OR(Customers!G136&lt;Statistics!$C$15,Customers!G136&gt;Statistics!$C$16),"Outside 1.5·IQR",""))</f>
        <v/>
      </c>
      <c r="D136" s="4" t="str">
        <f>IF(OR(Customers!B136&lt;18,Customers!B136&gt;100),"Implausible age","")</f>
        <v/>
      </c>
      <c r="E136" s="4" t="str">
        <f>IF(Customers!H136&gt;Customers!B136-18,"Tenure &gt; age-18","")</f>
        <v/>
      </c>
      <c r="F136" s="4" t="str">
        <f>IF(Customers!R136&gt;Customers!Q136,"Card spend &gt; limit","")</f>
        <v/>
      </c>
      <c r="G136" s="4" t="str">
        <f>IF(OR(AND(Customers!S136&gt;0,Customers!T136=0),AND(Customers!S136=0,Customers!T136&gt;0)),"Mortgage/payment inconsistent","")</f>
        <v/>
      </c>
      <c r="H136" s="4" t="str">
        <f>IF(AND(Customers!G136&lt;&gt;"",Customers!G136&gt;0,Customers!T136&gt;Customers!G136/12),"Payment &gt; monthly income","")</f>
        <v/>
      </c>
      <c r="I136" s="4" t="str">
        <f>IF(OR(Customers!I136&gt;DATE(2026,9,13),YEAR(Customers!I136)&lt;1980),"Implausible date","")</f>
        <v/>
      </c>
      <c r="J136" s="4" t="str">
        <f>IF(Customers!I136&gt;DATE(2026,9,13),"",IF(ABS(INT((DATE(2026,9,13)-Customers!I136)/365.25)-Customers!H136)&gt;1,"Date/tenure inconsistent",""))</f>
        <v/>
      </c>
      <c r="K136" s="4" t="str">
        <f>IF(COUNTIF(Customers!$A$2:$A$1001,Customers!A136)&gt;1,"Duplicate ID","")</f>
        <v/>
      </c>
      <c r="L136" s="4" t="str">
        <f>IF(COUNTIFS(Customers!$B$2:$B$1001,Customers!B136,Customers!$D$2:$D$1001,Customers!D136,Customers!$G$2:$G$1001,Customers!G136,Customers!$I$2:$I$1001,Customers!I136,Customers!$L$2:$L$1001,Customers!L136)&gt;1,"Duplicate record","")</f>
        <v/>
      </c>
      <c r="M136" s="4" t="str">
        <f>IF(OR(Customers!U136&lt;300,Customers!U136&gt;850),"Score out of range","")</f>
        <v/>
      </c>
      <c r="N136" s="4" t="str">
        <f>IF(AND(Customers!G136&lt;&gt;"",Customers!G136&lt;=0),"Income ≤ 0","")</f>
        <v/>
      </c>
      <c r="O136" s="4" t="str">
        <f>IF(OR(Customers!G136="",Customers!M136=""),"Missing value","")</f>
        <v/>
      </c>
      <c r="P136" s="4">
        <f t="shared" si="2"/>
        <v>0</v>
      </c>
    </row>
    <row r="137" spans="1:16" x14ac:dyDescent="0.25">
      <c r="A137" s="4" t="str">
        <f>Customers!A137</f>
        <v>CL00136</v>
      </c>
      <c r="B137" s="20">
        <f>IF(Customers!G137="","",(Customers!G137-Statistics!$C$7)/Statistics!$C$9)</f>
        <v>-4.1937458713403736E-2</v>
      </c>
      <c r="C137" s="4" t="str">
        <f>IF(Customers!G137="","",IF(OR(Customers!G137&lt;Statistics!$C$15,Customers!G137&gt;Statistics!$C$16),"Outside 1.5·IQR",""))</f>
        <v/>
      </c>
      <c r="D137" s="4" t="str">
        <f>IF(OR(Customers!B137&lt;18,Customers!B137&gt;100),"Implausible age","")</f>
        <v/>
      </c>
      <c r="E137" s="4" t="str">
        <f>IF(Customers!H137&gt;Customers!B137-18,"Tenure &gt; age-18","")</f>
        <v/>
      </c>
      <c r="F137" s="4" t="str">
        <f>IF(Customers!R137&gt;Customers!Q137,"Card spend &gt; limit","")</f>
        <v/>
      </c>
      <c r="G137" s="4" t="str">
        <f>IF(OR(AND(Customers!S137&gt;0,Customers!T137=0),AND(Customers!S137=0,Customers!T137&gt;0)),"Mortgage/payment inconsistent","")</f>
        <v/>
      </c>
      <c r="H137" s="4" t="str">
        <f>IF(AND(Customers!G137&lt;&gt;"",Customers!G137&gt;0,Customers!T137&gt;Customers!G137/12),"Payment &gt; monthly income","")</f>
        <v/>
      </c>
      <c r="I137" s="4" t="str">
        <f>IF(OR(Customers!I137&gt;DATE(2026,9,13),YEAR(Customers!I137)&lt;1980),"Implausible date","")</f>
        <v/>
      </c>
      <c r="J137" s="4" t="str">
        <f>IF(Customers!I137&gt;DATE(2026,9,13),"",IF(ABS(INT((DATE(2026,9,13)-Customers!I137)/365.25)-Customers!H137)&gt;1,"Date/tenure inconsistent",""))</f>
        <v/>
      </c>
      <c r="K137" s="4" t="str">
        <f>IF(COUNTIF(Customers!$A$2:$A$1001,Customers!A137)&gt;1,"Duplicate ID","")</f>
        <v/>
      </c>
      <c r="L137" s="4" t="str">
        <f>IF(COUNTIFS(Customers!$B$2:$B$1001,Customers!B137,Customers!$D$2:$D$1001,Customers!D137,Customers!$G$2:$G$1001,Customers!G137,Customers!$I$2:$I$1001,Customers!I137,Customers!$L$2:$L$1001,Customers!L137)&gt;1,"Duplicate record","")</f>
        <v/>
      </c>
      <c r="M137" s="4" t="str">
        <f>IF(OR(Customers!U137&lt;300,Customers!U137&gt;850),"Score out of range","")</f>
        <v/>
      </c>
      <c r="N137" s="4" t="str">
        <f>IF(AND(Customers!G137&lt;&gt;"",Customers!G137&lt;=0),"Income ≤ 0","")</f>
        <v/>
      </c>
      <c r="O137" s="4" t="str">
        <f>IF(OR(Customers!G137="",Customers!M137=""),"Missing value","")</f>
        <v/>
      </c>
      <c r="P137" s="4">
        <f t="shared" si="2"/>
        <v>0</v>
      </c>
    </row>
    <row r="138" spans="1:16" x14ac:dyDescent="0.25">
      <c r="A138" s="4" t="str">
        <f>Customers!A138</f>
        <v>CL00137</v>
      </c>
      <c r="B138" s="20">
        <f>IF(Customers!G138="","",(Customers!G138-Statistics!$C$7)/Statistics!$C$9)</f>
        <v>-4.016459658363386E-2</v>
      </c>
      <c r="C138" s="4" t="str">
        <f>IF(Customers!G138="","",IF(OR(Customers!G138&lt;Statistics!$C$15,Customers!G138&gt;Statistics!$C$16),"Outside 1.5·IQR",""))</f>
        <v/>
      </c>
      <c r="D138" s="4" t="str">
        <f>IF(OR(Customers!B138&lt;18,Customers!B138&gt;100),"Implausible age","")</f>
        <v/>
      </c>
      <c r="E138" s="4" t="str">
        <f>IF(Customers!H138&gt;Customers!B138-18,"Tenure &gt; age-18","")</f>
        <v/>
      </c>
      <c r="F138" s="4" t="str">
        <f>IF(Customers!R138&gt;Customers!Q138,"Card spend &gt; limit","")</f>
        <v/>
      </c>
      <c r="G138" s="4" t="str">
        <f>IF(OR(AND(Customers!S138&gt;0,Customers!T138=0),AND(Customers!S138=0,Customers!T138&gt;0)),"Mortgage/payment inconsistent","")</f>
        <v/>
      </c>
      <c r="H138" s="4" t="str">
        <f>IF(AND(Customers!G138&lt;&gt;"",Customers!G138&gt;0,Customers!T138&gt;Customers!G138/12),"Payment &gt; monthly income","")</f>
        <v/>
      </c>
      <c r="I138" s="4" t="str">
        <f>IF(OR(Customers!I138&gt;DATE(2026,9,13),YEAR(Customers!I138)&lt;1980),"Implausible date","")</f>
        <v/>
      </c>
      <c r="J138" s="4" t="str">
        <f>IF(Customers!I138&gt;DATE(2026,9,13),"",IF(ABS(INT((DATE(2026,9,13)-Customers!I138)/365.25)-Customers!H138)&gt;1,"Date/tenure inconsistent",""))</f>
        <v/>
      </c>
      <c r="K138" s="4" t="str">
        <f>IF(COUNTIF(Customers!$A$2:$A$1001,Customers!A138)&gt;1,"Duplicate ID","")</f>
        <v/>
      </c>
      <c r="L138" s="4" t="str">
        <f>IF(COUNTIFS(Customers!$B$2:$B$1001,Customers!B138,Customers!$D$2:$D$1001,Customers!D138,Customers!$G$2:$G$1001,Customers!G138,Customers!$I$2:$I$1001,Customers!I138,Customers!$L$2:$L$1001,Customers!L138)&gt;1,"Duplicate record","")</f>
        <v/>
      </c>
      <c r="M138" s="4" t="str">
        <f>IF(OR(Customers!U138&lt;300,Customers!U138&gt;850),"Score out of range","")</f>
        <v/>
      </c>
      <c r="N138" s="4" t="str">
        <f>IF(AND(Customers!G138&lt;&gt;"",Customers!G138&lt;=0),"Income ≤ 0","")</f>
        <v/>
      </c>
      <c r="O138" s="4" t="str">
        <f>IF(OR(Customers!G138="",Customers!M138=""),"Missing value","")</f>
        <v/>
      </c>
      <c r="P138" s="4">
        <f t="shared" si="2"/>
        <v>0</v>
      </c>
    </row>
    <row r="139" spans="1:16" x14ac:dyDescent="0.25">
      <c r="A139" s="4" t="str">
        <f>Customers!A139</f>
        <v>CL00138</v>
      </c>
      <c r="B139" s="20">
        <f>IF(Customers!G139="","",(Customers!G139-Statistics!$C$7)/Statistics!$C$9)</f>
        <v>9.5557848684304433E-2</v>
      </c>
      <c r="C139" s="4" t="str">
        <f>IF(Customers!G139="","",IF(OR(Customers!G139&lt;Statistics!$C$15,Customers!G139&gt;Statistics!$C$16),"Outside 1.5·IQR",""))</f>
        <v>Outside 1.5·IQR</v>
      </c>
      <c r="D139" s="4" t="str">
        <f>IF(OR(Customers!B139&lt;18,Customers!B139&gt;100),"Implausible age","")</f>
        <v/>
      </c>
      <c r="E139" s="4" t="str">
        <f>IF(Customers!H139&gt;Customers!B139-18,"Tenure &gt; age-18","")</f>
        <v/>
      </c>
      <c r="F139" s="4" t="str">
        <f>IF(Customers!R139&gt;Customers!Q139,"Card spend &gt; limit","")</f>
        <v/>
      </c>
      <c r="G139" s="4" t="str">
        <f>IF(OR(AND(Customers!S139&gt;0,Customers!T139=0),AND(Customers!S139=0,Customers!T139&gt;0)),"Mortgage/payment inconsistent","")</f>
        <v/>
      </c>
      <c r="H139" s="4" t="str">
        <f>IF(AND(Customers!G139&lt;&gt;"",Customers!G139&gt;0,Customers!T139&gt;Customers!G139/12),"Payment &gt; monthly income","")</f>
        <v/>
      </c>
      <c r="I139" s="4" t="str">
        <f>IF(OR(Customers!I139&gt;DATE(2026,9,13),YEAR(Customers!I139)&lt;1980),"Implausible date","")</f>
        <v/>
      </c>
      <c r="J139" s="4" t="str">
        <f>IF(Customers!I139&gt;DATE(2026,9,13),"",IF(ABS(INT((DATE(2026,9,13)-Customers!I139)/365.25)-Customers!H139)&gt;1,"Date/tenure inconsistent",""))</f>
        <v/>
      </c>
      <c r="K139" s="4" t="str">
        <f>IF(COUNTIF(Customers!$A$2:$A$1001,Customers!A139)&gt;1,"Duplicate ID","")</f>
        <v/>
      </c>
      <c r="L139" s="4" t="str">
        <f>IF(COUNTIFS(Customers!$B$2:$B$1001,Customers!B139,Customers!$D$2:$D$1001,Customers!D139,Customers!$G$2:$G$1001,Customers!G139,Customers!$I$2:$I$1001,Customers!I139,Customers!$L$2:$L$1001,Customers!L139)&gt;1,"Duplicate record","")</f>
        <v/>
      </c>
      <c r="M139" s="4" t="str">
        <f>IF(OR(Customers!U139&lt;300,Customers!U139&gt;850),"Score out of range","")</f>
        <v/>
      </c>
      <c r="N139" s="4" t="str">
        <f>IF(AND(Customers!G139&lt;&gt;"",Customers!G139&lt;=0),"Income ≤ 0","")</f>
        <v/>
      </c>
      <c r="O139" s="4" t="str">
        <f>IF(OR(Customers!G139="",Customers!M139=""),"Missing value","")</f>
        <v/>
      </c>
      <c r="P139" s="4">
        <f t="shared" si="2"/>
        <v>1</v>
      </c>
    </row>
    <row r="140" spans="1:16" x14ac:dyDescent="0.25">
      <c r="A140" s="4" t="str">
        <f>Customers!A140</f>
        <v>CL00997</v>
      </c>
      <c r="B140" s="20">
        <f>IF(Customers!G140="","",(Customers!G140-Statistics!$C$7)/Statistics!$C$9)</f>
        <v>-4.7453029783798908E-2</v>
      </c>
      <c r="C140" s="4" t="str">
        <f>IF(Customers!G140="","",IF(OR(Customers!G140&lt;Statistics!$C$15,Customers!G140&gt;Statistics!$C$16),"Outside 1.5·IQR",""))</f>
        <v/>
      </c>
      <c r="D140" s="4" t="str">
        <f>IF(OR(Customers!B140&lt;18,Customers!B140&gt;100),"Implausible age","")</f>
        <v/>
      </c>
      <c r="E140" s="4" t="str">
        <f>IF(Customers!H140&gt;Customers!B140-18,"Tenure &gt; age-18","")</f>
        <v/>
      </c>
      <c r="F140" s="4" t="str">
        <f>IF(Customers!R140&gt;Customers!Q140,"Card spend &gt; limit","")</f>
        <v/>
      </c>
      <c r="G140" s="4" t="str">
        <f>IF(OR(AND(Customers!S140&gt;0,Customers!T140=0),AND(Customers!S140=0,Customers!T140&gt;0)),"Mortgage/payment inconsistent","")</f>
        <v/>
      </c>
      <c r="H140" s="4" t="str">
        <f>IF(AND(Customers!G140&lt;&gt;"",Customers!G140&gt;0,Customers!T140&gt;Customers!G140/12),"Payment &gt; monthly income","")</f>
        <v/>
      </c>
      <c r="I140" s="4" t="str">
        <f>IF(OR(Customers!I140&gt;DATE(2026,9,13),YEAR(Customers!I140)&lt;1980),"Implausible date","")</f>
        <v/>
      </c>
      <c r="J140" s="4" t="str">
        <f>IF(Customers!I140&gt;DATE(2026,9,13),"",IF(ABS(INT((DATE(2026,9,13)-Customers!I140)/365.25)-Customers!H140)&gt;1,"Date/tenure inconsistent",""))</f>
        <v/>
      </c>
      <c r="K140" s="4" t="str">
        <f>IF(COUNTIF(Customers!$A$2:$A$1001,Customers!A140)&gt;1,"Duplicate ID","")</f>
        <v/>
      </c>
      <c r="L140" s="4" t="str">
        <f>IF(COUNTIFS(Customers!$B$2:$B$1001,Customers!B140,Customers!$D$2:$D$1001,Customers!D140,Customers!$G$2:$G$1001,Customers!G140,Customers!$I$2:$I$1001,Customers!I140,Customers!$L$2:$L$1001,Customers!L140)&gt;1,"Duplicate record","")</f>
        <v>Duplicate record</v>
      </c>
      <c r="M140" s="4" t="str">
        <f>IF(OR(Customers!U140&lt;300,Customers!U140&gt;850),"Score out of range","")</f>
        <v/>
      </c>
      <c r="N140" s="4" t="str">
        <f>IF(AND(Customers!G140&lt;&gt;"",Customers!G140&lt;=0),"Income ≤ 0","")</f>
        <v/>
      </c>
      <c r="O140" s="4" t="str">
        <f>IF(OR(Customers!G140="",Customers!M140=""),"Missing value","")</f>
        <v/>
      </c>
      <c r="P140" s="4">
        <f t="shared" si="2"/>
        <v>1</v>
      </c>
    </row>
    <row r="141" spans="1:16" x14ac:dyDescent="0.25">
      <c r="A141" s="4" t="str">
        <f>Customers!A141</f>
        <v>CL00139</v>
      </c>
      <c r="B141" s="20">
        <f>IF(Customers!G141="","",(Customers!G141-Statistics!$C$7)/Statistics!$C$9)</f>
        <v>-5.740075617861877E-2</v>
      </c>
      <c r="C141" s="4" t="str">
        <f>IF(Customers!G141="","",IF(OR(Customers!G141&lt;Statistics!$C$15,Customers!G141&gt;Statistics!$C$16),"Outside 1.5·IQR",""))</f>
        <v/>
      </c>
      <c r="D141" s="4" t="str">
        <f>IF(OR(Customers!B141&lt;18,Customers!B141&gt;100),"Implausible age","")</f>
        <v/>
      </c>
      <c r="E141" s="4" t="str">
        <f>IF(Customers!H141&gt;Customers!B141-18,"Tenure &gt; age-18","")</f>
        <v/>
      </c>
      <c r="F141" s="4" t="str">
        <f>IF(Customers!R141&gt;Customers!Q141,"Card spend &gt; limit","")</f>
        <v/>
      </c>
      <c r="G141" s="4" t="str">
        <f>IF(OR(AND(Customers!S141&gt;0,Customers!T141=0),AND(Customers!S141=0,Customers!T141&gt;0)),"Mortgage/payment inconsistent","")</f>
        <v/>
      </c>
      <c r="H141" s="4" t="str">
        <f>IF(AND(Customers!G141&lt;&gt;"",Customers!G141&gt;0,Customers!T141&gt;Customers!G141/12),"Payment &gt; monthly income","")</f>
        <v/>
      </c>
      <c r="I141" s="4" t="str">
        <f>IF(OR(Customers!I141&gt;DATE(2026,9,13),YEAR(Customers!I141)&lt;1980),"Implausible date","")</f>
        <v/>
      </c>
      <c r="J141" s="4" t="str">
        <f>IF(Customers!I141&gt;DATE(2026,9,13),"",IF(ABS(INT((DATE(2026,9,13)-Customers!I141)/365.25)-Customers!H141)&gt;1,"Date/tenure inconsistent",""))</f>
        <v/>
      </c>
      <c r="K141" s="4" t="str">
        <f>IF(COUNTIF(Customers!$A$2:$A$1001,Customers!A141)&gt;1,"Duplicate ID","")</f>
        <v/>
      </c>
      <c r="L141" s="4" t="str">
        <f>IF(COUNTIFS(Customers!$B$2:$B$1001,Customers!B141,Customers!$D$2:$D$1001,Customers!D141,Customers!$G$2:$G$1001,Customers!G141,Customers!$I$2:$I$1001,Customers!I141,Customers!$L$2:$L$1001,Customers!L141)&gt;1,"Duplicate record","")</f>
        <v/>
      </c>
      <c r="M141" s="4" t="str">
        <f>IF(OR(Customers!U141&lt;300,Customers!U141&gt;850),"Score out of range","")</f>
        <v/>
      </c>
      <c r="N141" s="4" t="str">
        <f>IF(AND(Customers!G141&lt;&gt;"",Customers!G141&lt;=0),"Income ≤ 0","")</f>
        <v/>
      </c>
      <c r="O141" s="4" t="str">
        <f>IF(OR(Customers!G141="",Customers!M141=""),"Missing value","")</f>
        <v/>
      </c>
      <c r="P141" s="4">
        <f t="shared" si="2"/>
        <v>0</v>
      </c>
    </row>
    <row r="142" spans="1:16" x14ac:dyDescent="0.25">
      <c r="A142" s="4" t="str">
        <f>Customers!A142</f>
        <v>CL00140</v>
      </c>
      <c r="B142" s="20">
        <f>IF(Customers!G142="","",(Customers!G142-Statistics!$C$7)/Statistics!$C$9)</f>
        <v>1.3612221352719049E-2</v>
      </c>
      <c r="C142" s="4" t="str">
        <f>IF(Customers!G142="","",IF(OR(Customers!G142&lt;Statistics!$C$15,Customers!G142&gt;Statistics!$C$16),"Outside 1.5·IQR",""))</f>
        <v>Outside 1.5·IQR</v>
      </c>
      <c r="D142" s="4" t="str">
        <f>IF(OR(Customers!B142&lt;18,Customers!B142&gt;100),"Implausible age","")</f>
        <v/>
      </c>
      <c r="E142" s="4" t="str">
        <f>IF(Customers!H142&gt;Customers!B142-18,"Tenure &gt; age-18","")</f>
        <v/>
      </c>
      <c r="F142" s="4" t="str">
        <f>IF(Customers!R142&gt;Customers!Q142,"Card spend &gt; limit","")</f>
        <v/>
      </c>
      <c r="G142" s="4" t="str">
        <f>IF(OR(AND(Customers!S142&gt;0,Customers!T142=0),AND(Customers!S142=0,Customers!T142&gt;0)),"Mortgage/payment inconsistent","")</f>
        <v/>
      </c>
      <c r="H142" s="4" t="str">
        <f>IF(AND(Customers!G142&lt;&gt;"",Customers!G142&gt;0,Customers!T142&gt;Customers!G142/12),"Payment &gt; monthly income","")</f>
        <v/>
      </c>
      <c r="I142" s="4" t="str">
        <f>IF(OR(Customers!I142&gt;DATE(2026,9,13),YEAR(Customers!I142)&lt;1980),"Implausible date","")</f>
        <v/>
      </c>
      <c r="J142" s="4" t="str">
        <f>IF(Customers!I142&gt;DATE(2026,9,13),"",IF(ABS(INT((DATE(2026,9,13)-Customers!I142)/365.25)-Customers!H142)&gt;1,"Date/tenure inconsistent",""))</f>
        <v/>
      </c>
      <c r="K142" s="4" t="str">
        <f>IF(COUNTIF(Customers!$A$2:$A$1001,Customers!A142)&gt;1,"Duplicate ID","")</f>
        <v/>
      </c>
      <c r="L142" s="4" t="str">
        <f>IF(COUNTIFS(Customers!$B$2:$B$1001,Customers!B142,Customers!$D$2:$D$1001,Customers!D142,Customers!$G$2:$G$1001,Customers!G142,Customers!$I$2:$I$1001,Customers!I142,Customers!$L$2:$L$1001,Customers!L142)&gt;1,"Duplicate record","")</f>
        <v/>
      </c>
      <c r="M142" s="4" t="str">
        <f>IF(OR(Customers!U142&lt;300,Customers!U142&gt;850),"Score out of range","")</f>
        <v/>
      </c>
      <c r="N142" s="4" t="str">
        <f>IF(AND(Customers!G142&lt;&gt;"",Customers!G142&lt;=0),"Income ≤ 0","")</f>
        <v/>
      </c>
      <c r="O142" s="4" t="str">
        <f>IF(OR(Customers!G142="",Customers!M142=""),"Missing value","")</f>
        <v/>
      </c>
      <c r="P142" s="4">
        <f t="shared" si="2"/>
        <v>1</v>
      </c>
    </row>
    <row r="143" spans="1:16" x14ac:dyDescent="0.25">
      <c r="A143" s="4" t="str">
        <f>Customers!A143</f>
        <v>CL00141</v>
      </c>
      <c r="B143" s="20">
        <f>IF(Customers!G143="","",(Customers!G143-Statistics!$C$7)/Statistics!$C$9)</f>
        <v>-2.2140498264306786E-2</v>
      </c>
      <c r="C143" s="4" t="str">
        <f>IF(Customers!G143="","",IF(OR(Customers!G143&lt;Statistics!$C$15,Customers!G143&gt;Statistics!$C$16),"Outside 1.5·IQR",""))</f>
        <v/>
      </c>
      <c r="D143" s="4" t="str">
        <f>IF(OR(Customers!B143&lt;18,Customers!B143&gt;100),"Implausible age","")</f>
        <v/>
      </c>
      <c r="E143" s="4" t="str">
        <f>IF(Customers!H143&gt;Customers!B143-18,"Tenure &gt; age-18","")</f>
        <v/>
      </c>
      <c r="F143" s="4" t="str">
        <f>IF(Customers!R143&gt;Customers!Q143,"Card spend &gt; limit","")</f>
        <v/>
      </c>
      <c r="G143" s="4" t="str">
        <f>IF(OR(AND(Customers!S143&gt;0,Customers!T143=0),AND(Customers!S143=0,Customers!T143&gt;0)),"Mortgage/payment inconsistent","")</f>
        <v/>
      </c>
      <c r="H143" s="4" t="str">
        <f>IF(AND(Customers!G143&lt;&gt;"",Customers!G143&gt;0,Customers!T143&gt;Customers!G143/12),"Payment &gt; monthly income","")</f>
        <v/>
      </c>
      <c r="I143" s="4" t="str">
        <f>IF(OR(Customers!I143&gt;DATE(2026,9,13),YEAR(Customers!I143)&lt;1980),"Implausible date","")</f>
        <v/>
      </c>
      <c r="J143" s="4" t="str">
        <f>IF(Customers!I143&gt;DATE(2026,9,13),"",IF(ABS(INT((DATE(2026,9,13)-Customers!I143)/365.25)-Customers!H143)&gt;1,"Date/tenure inconsistent",""))</f>
        <v/>
      </c>
      <c r="K143" s="4" t="str">
        <f>IF(COUNTIF(Customers!$A$2:$A$1001,Customers!A143)&gt;1,"Duplicate ID","")</f>
        <v/>
      </c>
      <c r="L143" s="4" t="str">
        <f>IF(COUNTIFS(Customers!$B$2:$B$1001,Customers!B143,Customers!$D$2:$D$1001,Customers!D143,Customers!$G$2:$G$1001,Customers!G143,Customers!$I$2:$I$1001,Customers!I143,Customers!$L$2:$L$1001,Customers!L143)&gt;1,"Duplicate record","")</f>
        <v/>
      </c>
      <c r="M143" s="4" t="str">
        <f>IF(OR(Customers!U143&lt;300,Customers!U143&gt;850),"Score out of range","")</f>
        <v/>
      </c>
      <c r="N143" s="4" t="str">
        <f>IF(AND(Customers!G143&lt;&gt;"",Customers!G143&lt;=0),"Income ≤ 0","")</f>
        <v/>
      </c>
      <c r="O143" s="4" t="str">
        <f>IF(OR(Customers!G143="",Customers!M143=""),"Missing value","")</f>
        <v/>
      </c>
      <c r="P143" s="4">
        <f t="shared" si="2"/>
        <v>0</v>
      </c>
    </row>
    <row r="144" spans="1:16" x14ac:dyDescent="0.25">
      <c r="A144" s="4" t="str">
        <f>Customers!A144</f>
        <v>CL00142</v>
      </c>
      <c r="B144" s="20">
        <f>IF(Customers!G144="","",(Customers!G144-Statistics!$C$7)/Statistics!$C$9)</f>
        <v>-1.6526434853368847E-2</v>
      </c>
      <c r="C144" s="4" t="str">
        <f>IF(Customers!G144="","",IF(OR(Customers!G144&lt;Statistics!$C$15,Customers!G144&gt;Statistics!$C$16),"Outside 1.5·IQR",""))</f>
        <v/>
      </c>
      <c r="D144" s="4" t="str">
        <f>IF(OR(Customers!B144&lt;18,Customers!B144&gt;100),"Implausible age","")</f>
        <v/>
      </c>
      <c r="E144" s="4" t="str">
        <f>IF(Customers!H144&gt;Customers!B144-18,"Tenure &gt; age-18","")</f>
        <v/>
      </c>
      <c r="F144" s="4" t="str">
        <f>IF(Customers!R144&gt;Customers!Q144,"Card spend &gt; limit","")</f>
        <v/>
      </c>
      <c r="G144" s="4" t="str">
        <f>IF(OR(AND(Customers!S144&gt;0,Customers!T144=0),AND(Customers!S144=0,Customers!T144&gt;0)),"Mortgage/payment inconsistent","")</f>
        <v/>
      </c>
      <c r="H144" s="4" t="str">
        <f>IF(AND(Customers!G144&lt;&gt;"",Customers!G144&gt;0,Customers!T144&gt;Customers!G144/12),"Payment &gt; monthly income","")</f>
        <v/>
      </c>
      <c r="I144" s="4" t="str">
        <f>IF(OR(Customers!I144&gt;DATE(2026,9,13),YEAR(Customers!I144)&lt;1980),"Implausible date","")</f>
        <v/>
      </c>
      <c r="J144" s="4" t="str">
        <f>IF(Customers!I144&gt;DATE(2026,9,13),"",IF(ABS(INT((DATE(2026,9,13)-Customers!I144)/365.25)-Customers!H144)&gt;1,"Date/tenure inconsistent",""))</f>
        <v/>
      </c>
      <c r="K144" s="4" t="str">
        <f>IF(COUNTIF(Customers!$A$2:$A$1001,Customers!A144)&gt;1,"Duplicate ID","")</f>
        <v/>
      </c>
      <c r="L144" s="4" t="str">
        <f>IF(COUNTIFS(Customers!$B$2:$B$1001,Customers!B144,Customers!$D$2:$D$1001,Customers!D144,Customers!$G$2:$G$1001,Customers!G144,Customers!$I$2:$I$1001,Customers!I144,Customers!$L$2:$L$1001,Customers!L144)&gt;1,"Duplicate record","")</f>
        <v/>
      </c>
      <c r="M144" s="4" t="str">
        <f>IF(OR(Customers!U144&lt;300,Customers!U144&gt;850),"Score out of range","")</f>
        <v/>
      </c>
      <c r="N144" s="4" t="str">
        <f>IF(AND(Customers!G144&lt;&gt;"",Customers!G144&lt;=0),"Income ≤ 0","")</f>
        <v/>
      </c>
      <c r="O144" s="4" t="str">
        <f>IF(OR(Customers!G144="",Customers!M144=""),"Missing value","")</f>
        <v/>
      </c>
      <c r="P144" s="4">
        <f t="shared" si="2"/>
        <v>0</v>
      </c>
    </row>
    <row r="145" spans="1:16" x14ac:dyDescent="0.25">
      <c r="A145" s="4" t="str">
        <f>Customers!A145</f>
        <v>CL00143</v>
      </c>
      <c r="B145" s="20">
        <f>IF(Customers!G145="","",(Customers!G145-Statistics!$C$7)/Statistics!$C$9)</f>
        <v>-4.3513336162088072E-2</v>
      </c>
      <c r="C145" s="4" t="str">
        <f>IF(Customers!G145="","",IF(OR(Customers!G145&lt;Statistics!$C$15,Customers!G145&gt;Statistics!$C$16),"Outside 1.5·IQR",""))</f>
        <v/>
      </c>
      <c r="D145" s="4" t="str">
        <f>IF(OR(Customers!B145&lt;18,Customers!B145&gt;100),"Implausible age","")</f>
        <v/>
      </c>
      <c r="E145" s="4" t="str">
        <f>IF(Customers!H145&gt;Customers!B145-18,"Tenure &gt; age-18","")</f>
        <v/>
      </c>
      <c r="F145" s="4" t="str">
        <f>IF(Customers!R145&gt;Customers!Q145,"Card spend &gt; limit","")</f>
        <v/>
      </c>
      <c r="G145" s="4" t="str">
        <f>IF(OR(AND(Customers!S145&gt;0,Customers!T145=0),AND(Customers!S145=0,Customers!T145&gt;0)),"Mortgage/payment inconsistent","")</f>
        <v/>
      </c>
      <c r="H145" s="4" t="str">
        <f>IF(AND(Customers!G145&lt;&gt;"",Customers!G145&gt;0,Customers!T145&gt;Customers!G145/12),"Payment &gt; monthly income","")</f>
        <v/>
      </c>
      <c r="I145" s="4" t="str">
        <f>IF(OR(Customers!I145&gt;DATE(2026,9,13),YEAR(Customers!I145)&lt;1980),"Implausible date","")</f>
        <v/>
      </c>
      <c r="J145" s="4" t="str">
        <f>IF(Customers!I145&gt;DATE(2026,9,13),"",IF(ABS(INT((DATE(2026,9,13)-Customers!I145)/365.25)-Customers!H145)&gt;1,"Date/tenure inconsistent",""))</f>
        <v/>
      </c>
      <c r="K145" s="4" t="str">
        <f>IF(COUNTIF(Customers!$A$2:$A$1001,Customers!A145)&gt;1,"Duplicate ID","")</f>
        <v/>
      </c>
      <c r="L145" s="4" t="str">
        <f>IF(COUNTIFS(Customers!$B$2:$B$1001,Customers!B145,Customers!$D$2:$D$1001,Customers!D145,Customers!$G$2:$G$1001,Customers!G145,Customers!$I$2:$I$1001,Customers!I145,Customers!$L$2:$L$1001,Customers!L145)&gt;1,"Duplicate record","")</f>
        <v/>
      </c>
      <c r="M145" s="4" t="str">
        <f>IF(OR(Customers!U145&lt;300,Customers!U145&gt;850),"Score out of range","")</f>
        <v/>
      </c>
      <c r="N145" s="4" t="str">
        <f>IF(AND(Customers!G145&lt;&gt;"",Customers!G145&lt;=0),"Income ≤ 0","")</f>
        <v/>
      </c>
      <c r="O145" s="4" t="str">
        <f>IF(OR(Customers!G145="",Customers!M145=""),"Missing value","")</f>
        <v/>
      </c>
      <c r="P145" s="4">
        <f t="shared" si="2"/>
        <v>0</v>
      </c>
    </row>
    <row r="146" spans="1:16" x14ac:dyDescent="0.25">
      <c r="A146" s="4" t="str">
        <f>Customers!A146</f>
        <v>CL00144</v>
      </c>
      <c r="B146" s="20">
        <f>IF(Customers!G146="","",(Customers!G146-Statistics!$C$7)/Statistics!$C$9)</f>
        <v>-5.0604784681167574E-2</v>
      </c>
      <c r="C146" s="4" t="str">
        <f>IF(Customers!G146="","",IF(OR(Customers!G146&lt;Statistics!$C$15,Customers!G146&gt;Statistics!$C$16),"Outside 1.5·IQR",""))</f>
        <v/>
      </c>
      <c r="D146" s="4" t="str">
        <f>IF(OR(Customers!B146&lt;18,Customers!B146&gt;100),"Implausible age","")</f>
        <v/>
      </c>
      <c r="E146" s="4" t="str">
        <f>IF(Customers!H146&gt;Customers!B146-18,"Tenure &gt; age-18","")</f>
        <v/>
      </c>
      <c r="F146" s="4" t="str">
        <f>IF(Customers!R146&gt;Customers!Q146,"Card spend &gt; limit","")</f>
        <v/>
      </c>
      <c r="G146" s="4" t="str">
        <f>IF(OR(AND(Customers!S146&gt;0,Customers!T146=0),AND(Customers!S146=0,Customers!T146&gt;0)),"Mortgage/payment inconsistent","")</f>
        <v/>
      </c>
      <c r="H146" s="4" t="str">
        <f>IF(AND(Customers!G146&lt;&gt;"",Customers!G146&gt;0,Customers!T146&gt;Customers!G146/12),"Payment &gt; monthly income","")</f>
        <v/>
      </c>
      <c r="I146" s="4" t="str">
        <f>IF(OR(Customers!I146&gt;DATE(2026,9,13),YEAR(Customers!I146)&lt;1980),"Implausible date","")</f>
        <v/>
      </c>
      <c r="J146" s="4" t="str">
        <f>IF(Customers!I146&gt;DATE(2026,9,13),"",IF(ABS(INT((DATE(2026,9,13)-Customers!I146)/365.25)-Customers!H146)&gt;1,"Date/tenure inconsistent",""))</f>
        <v/>
      </c>
      <c r="K146" s="4" t="str">
        <f>IF(COUNTIF(Customers!$A$2:$A$1001,Customers!A146)&gt;1,"Duplicate ID","")</f>
        <v/>
      </c>
      <c r="L146" s="4" t="str">
        <f>IF(COUNTIFS(Customers!$B$2:$B$1001,Customers!B146,Customers!$D$2:$D$1001,Customers!D146,Customers!$G$2:$G$1001,Customers!G146,Customers!$I$2:$I$1001,Customers!I146,Customers!$L$2:$L$1001,Customers!L146)&gt;1,"Duplicate record","")</f>
        <v/>
      </c>
      <c r="M146" s="4" t="str">
        <f>IF(OR(Customers!U146&lt;300,Customers!U146&gt;850),"Score out of range","")</f>
        <v/>
      </c>
      <c r="N146" s="4" t="str">
        <f>IF(AND(Customers!G146&lt;&gt;"",Customers!G146&lt;=0),"Income ≤ 0","")</f>
        <v/>
      </c>
      <c r="O146" s="4" t="str">
        <f>IF(OR(Customers!G146="",Customers!M146=""),"Missing value","")</f>
        <v/>
      </c>
      <c r="P146" s="4">
        <f t="shared" si="2"/>
        <v>0</v>
      </c>
    </row>
    <row r="147" spans="1:16" x14ac:dyDescent="0.25">
      <c r="A147" s="4" t="str">
        <f>Customers!A147</f>
        <v>CL00145</v>
      </c>
      <c r="B147" s="20">
        <f>IF(Customers!G147="","",(Customers!G147-Statistics!$C$7)/Statistics!$C$9)</f>
        <v>-4.7453029783798908E-2</v>
      </c>
      <c r="C147" s="4" t="str">
        <f>IF(Customers!G147="","",IF(OR(Customers!G147&lt;Statistics!$C$15,Customers!G147&gt;Statistics!$C$16),"Outside 1.5·IQR",""))</f>
        <v/>
      </c>
      <c r="D147" s="4" t="str">
        <f>IF(OR(Customers!B147&lt;18,Customers!B147&gt;100),"Implausible age","")</f>
        <v/>
      </c>
      <c r="E147" s="4" t="str">
        <f>IF(Customers!H147&gt;Customers!B147-18,"Tenure &gt; age-18","")</f>
        <v/>
      </c>
      <c r="F147" s="4" t="str">
        <f>IF(Customers!R147&gt;Customers!Q147,"Card spend &gt; limit","")</f>
        <v/>
      </c>
      <c r="G147" s="4" t="str">
        <f>IF(OR(AND(Customers!S147&gt;0,Customers!T147=0),AND(Customers!S147=0,Customers!T147&gt;0)),"Mortgage/payment inconsistent","")</f>
        <v/>
      </c>
      <c r="H147" s="4" t="str">
        <f>IF(AND(Customers!G147&lt;&gt;"",Customers!G147&gt;0,Customers!T147&gt;Customers!G147/12),"Payment &gt; monthly income","")</f>
        <v/>
      </c>
      <c r="I147" s="4" t="str">
        <f>IF(OR(Customers!I147&gt;DATE(2026,9,13),YEAR(Customers!I147)&lt;1980),"Implausible date","")</f>
        <v/>
      </c>
      <c r="J147" s="4" t="str">
        <f>IF(Customers!I147&gt;DATE(2026,9,13),"",IF(ABS(INT((DATE(2026,9,13)-Customers!I147)/365.25)-Customers!H147)&gt;1,"Date/tenure inconsistent",""))</f>
        <v/>
      </c>
      <c r="K147" s="4" t="str">
        <f>IF(COUNTIF(Customers!$A$2:$A$1001,Customers!A147)&gt;1,"Duplicate ID","")</f>
        <v/>
      </c>
      <c r="L147" s="4" t="str">
        <f>IF(COUNTIFS(Customers!$B$2:$B$1001,Customers!B147,Customers!$D$2:$D$1001,Customers!D147,Customers!$G$2:$G$1001,Customers!G147,Customers!$I$2:$I$1001,Customers!I147,Customers!$L$2:$L$1001,Customers!L147)&gt;1,"Duplicate record","")</f>
        <v/>
      </c>
      <c r="M147" s="4" t="str">
        <f>IF(OR(Customers!U147&lt;300,Customers!U147&gt;850),"Score out of range","")</f>
        <v/>
      </c>
      <c r="N147" s="4" t="str">
        <f>IF(AND(Customers!G147&lt;&gt;"",Customers!G147&lt;=0),"Income ≤ 0","")</f>
        <v/>
      </c>
      <c r="O147" s="4" t="str">
        <f>IF(OR(Customers!G147="",Customers!M147=""),"Missing value","")</f>
        <v/>
      </c>
      <c r="P147" s="4">
        <f t="shared" si="2"/>
        <v>0</v>
      </c>
    </row>
    <row r="148" spans="1:16" x14ac:dyDescent="0.25">
      <c r="A148" s="4" t="str">
        <f>Customers!A148</f>
        <v>CL00146</v>
      </c>
      <c r="B148" s="20">
        <f>IF(Customers!G148="","",(Customers!G148-Statistics!$C$7)/Statistics!$C$9)</f>
        <v>-3.376259444835375E-2</v>
      </c>
      <c r="C148" s="4" t="str">
        <f>IF(Customers!G148="","",IF(OR(Customers!G148&lt;Statistics!$C$15,Customers!G148&gt;Statistics!$C$16),"Outside 1.5·IQR",""))</f>
        <v/>
      </c>
      <c r="D148" s="4" t="str">
        <f>IF(OR(Customers!B148&lt;18,Customers!B148&gt;100),"Implausible age","")</f>
        <v/>
      </c>
      <c r="E148" s="4" t="str">
        <f>IF(Customers!H148&gt;Customers!B148-18,"Tenure &gt; age-18","")</f>
        <v/>
      </c>
      <c r="F148" s="4" t="str">
        <f>IF(Customers!R148&gt;Customers!Q148,"Card spend &gt; limit","")</f>
        <v/>
      </c>
      <c r="G148" s="4" t="str">
        <f>IF(OR(AND(Customers!S148&gt;0,Customers!T148=0),AND(Customers!S148=0,Customers!T148&gt;0)),"Mortgage/payment inconsistent","")</f>
        <v/>
      </c>
      <c r="H148" s="4" t="str">
        <f>IF(AND(Customers!G148&lt;&gt;"",Customers!G148&gt;0,Customers!T148&gt;Customers!G148/12),"Payment &gt; monthly income","")</f>
        <v/>
      </c>
      <c r="I148" s="4" t="str">
        <f>IF(OR(Customers!I148&gt;DATE(2026,9,13),YEAR(Customers!I148)&lt;1980),"Implausible date","")</f>
        <v/>
      </c>
      <c r="J148" s="4" t="str">
        <f>IF(Customers!I148&gt;DATE(2026,9,13),"",IF(ABS(INT((DATE(2026,9,13)-Customers!I148)/365.25)-Customers!H148)&gt;1,"Date/tenure inconsistent",""))</f>
        <v/>
      </c>
      <c r="K148" s="4" t="str">
        <f>IF(COUNTIF(Customers!$A$2:$A$1001,Customers!A148)&gt;1,"Duplicate ID","")</f>
        <v/>
      </c>
      <c r="L148" s="4" t="str">
        <f>IF(COUNTIFS(Customers!$B$2:$B$1001,Customers!B148,Customers!$D$2:$D$1001,Customers!D148,Customers!$G$2:$G$1001,Customers!G148,Customers!$I$2:$I$1001,Customers!I148,Customers!$L$2:$L$1001,Customers!L148)&gt;1,"Duplicate record","")</f>
        <v/>
      </c>
      <c r="M148" s="4" t="str">
        <f>IF(OR(Customers!U148&lt;300,Customers!U148&gt;850),"Score out of range","")</f>
        <v/>
      </c>
      <c r="N148" s="4" t="str">
        <f>IF(AND(Customers!G148&lt;&gt;"",Customers!G148&lt;=0),"Income ≤ 0","")</f>
        <v/>
      </c>
      <c r="O148" s="4" t="str">
        <f>IF(OR(Customers!G148="",Customers!M148=""),"Missing value","")</f>
        <v/>
      </c>
      <c r="P148" s="4">
        <f t="shared" si="2"/>
        <v>0</v>
      </c>
    </row>
    <row r="149" spans="1:16" x14ac:dyDescent="0.25">
      <c r="A149" s="4" t="str">
        <f>Customers!A149</f>
        <v>CL00051</v>
      </c>
      <c r="B149" s="20">
        <f>IF(Customers!G149="","",(Customers!G149-Statistics!$C$7)/Statistics!$C$9)</f>
        <v>-5.2279154470394683E-2</v>
      </c>
      <c r="C149" s="4" t="str">
        <f>IF(Customers!G149="","",IF(OR(Customers!G149&lt;Statistics!$C$15,Customers!G149&gt;Statistics!$C$16),"Outside 1.5·IQR",""))</f>
        <v/>
      </c>
      <c r="D149" s="4" t="str">
        <f>IF(OR(Customers!B149&lt;18,Customers!B149&gt;100),"Implausible age","")</f>
        <v/>
      </c>
      <c r="E149" s="4" t="str">
        <f>IF(Customers!H149&gt;Customers!B149-18,"Tenure &gt; age-18","")</f>
        <v/>
      </c>
      <c r="F149" s="4" t="str">
        <f>IF(Customers!R149&gt;Customers!Q149,"Card spend &gt; limit","")</f>
        <v/>
      </c>
      <c r="G149" s="4" t="str">
        <f>IF(OR(AND(Customers!S149&gt;0,Customers!T149=0),AND(Customers!S149=0,Customers!T149&gt;0)),"Mortgage/payment inconsistent","")</f>
        <v/>
      </c>
      <c r="H149" s="4" t="str">
        <f>IF(AND(Customers!G149&lt;&gt;"",Customers!G149&gt;0,Customers!T149&gt;Customers!G149/12),"Payment &gt; monthly income","")</f>
        <v/>
      </c>
      <c r="I149" s="4" t="str">
        <f>IF(OR(Customers!I149&gt;DATE(2026,9,13),YEAR(Customers!I149)&lt;1980),"Implausible date","")</f>
        <v/>
      </c>
      <c r="J149" s="4" t="str">
        <f>IF(Customers!I149&gt;DATE(2026,9,13),"",IF(ABS(INT((DATE(2026,9,13)-Customers!I149)/365.25)-Customers!H149)&gt;1,"Date/tenure inconsistent",""))</f>
        <v/>
      </c>
      <c r="K149" s="4" t="str">
        <f>IF(COUNTIF(Customers!$A$2:$A$1001,Customers!A149)&gt;1,"Duplicate ID","")</f>
        <v>Duplicate ID</v>
      </c>
      <c r="L149" s="4" t="str">
        <f>IF(COUNTIFS(Customers!$B$2:$B$1001,Customers!B149,Customers!$D$2:$D$1001,Customers!D149,Customers!$G$2:$G$1001,Customers!G149,Customers!$I$2:$I$1001,Customers!I149,Customers!$L$2:$L$1001,Customers!L149)&gt;1,"Duplicate record","")</f>
        <v>Duplicate record</v>
      </c>
      <c r="M149" s="4" t="str">
        <f>IF(OR(Customers!U149&lt;300,Customers!U149&gt;850),"Score out of range","")</f>
        <v/>
      </c>
      <c r="N149" s="4" t="str">
        <f>IF(AND(Customers!G149&lt;&gt;"",Customers!G149&lt;=0),"Income ≤ 0","")</f>
        <v/>
      </c>
      <c r="O149" s="4" t="str">
        <f>IF(OR(Customers!G149="",Customers!M149=""),"Missing value","")</f>
        <v/>
      </c>
      <c r="P149" s="4">
        <f t="shared" si="2"/>
        <v>2</v>
      </c>
    </row>
    <row r="150" spans="1:16" x14ac:dyDescent="0.25">
      <c r="A150" s="4" t="str">
        <f>Customers!A150</f>
        <v>CL00147</v>
      </c>
      <c r="B150" s="20">
        <f>IF(Customers!G150="","",(Customers!G150-Statistics!$C$7)/Statistics!$C$9)</f>
        <v>-3.8588719134949524E-2</v>
      </c>
      <c r="C150" s="4" t="str">
        <f>IF(Customers!G150="","",IF(OR(Customers!G150&lt;Statistics!$C$15,Customers!G150&gt;Statistics!$C$16),"Outside 1.5·IQR",""))</f>
        <v/>
      </c>
      <c r="D150" s="4" t="str">
        <f>IF(OR(Customers!B150&lt;18,Customers!B150&gt;100),"Implausible age","")</f>
        <v/>
      </c>
      <c r="E150" s="4" t="str">
        <f>IF(Customers!H150&gt;Customers!B150-18,"Tenure &gt; age-18","")</f>
        <v/>
      </c>
      <c r="F150" s="4" t="str">
        <f>IF(Customers!R150&gt;Customers!Q150,"Card spend &gt; limit","")</f>
        <v/>
      </c>
      <c r="G150" s="4" t="str">
        <f>IF(OR(AND(Customers!S150&gt;0,Customers!T150=0),AND(Customers!S150=0,Customers!T150&gt;0)),"Mortgage/payment inconsistent","")</f>
        <v/>
      </c>
      <c r="H150" s="4" t="str">
        <f>IF(AND(Customers!G150&lt;&gt;"",Customers!G150&gt;0,Customers!T150&gt;Customers!G150/12),"Payment &gt; monthly income","")</f>
        <v/>
      </c>
      <c r="I150" s="4" t="str">
        <f>IF(OR(Customers!I150&gt;DATE(2026,9,13),YEAR(Customers!I150)&lt;1980),"Implausible date","")</f>
        <v/>
      </c>
      <c r="J150" s="4" t="str">
        <f>IF(Customers!I150&gt;DATE(2026,9,13),"",IF(ABS(INT((DATE(2026,9,13)-Customers!I150)/365.25)-Customers!H150)&gt;1,"Date/tenure inconsistent",""))</f>
        <v/>
      </c>
      <c r="K150" s="4" t="str">
        <f>IF(COUNTIF(Customers!$A$2:$A$1001,Customers!A150)&gt;1,"Duplicate ID","")</f>
        <v/>
      </c>
      <c r="L150" s="4" t="str">
        <f>IF(COUNTIFS(Customers!$B$2:$B$1001,Customers!B150,Customers!$D$2:$D$1001,Customers!D150,Customers!$G$2:$G$1001,Customers!G150,Customers!$I$2:$I$1001,Customers!I150,Customers!$L$2:$L$1001,Customers!L150)&gt;1,"Duplicate record","")</f>
        <v/>
      </c>
      <c r="M150" s="4" t="str">
        <f>IF(OR(Customers!U150&lt;300,Customers!U150&gt;850),"Score out of range","")</f>
        <v/>
      </c>
      <c r="N150" s="4" t="str">
        <f>IF(AND(Customers!G150&lt;&gt;"",Customers!G150&lt;=0),"Income ≤ 0","")</f>
        <v/>
      </c>
      <c r="O150" s="4" t="str">
        <f>IF(OR(Customers!G150="",Customers!M150=""),"Missing value","")</f>
        <v/>
      </c>
      <c r="P150" s="4">
        <f t="shared" si="2"/>
        <v>0</v>
      </c>
    </row>
    <row r="151" spans="1:16" x14ac:dyDescent="0.25">
      <c r="A151" s="4" t="str">
        <f>Customers!A151</f>
        <v>CL00148</v>
      </c>
      <c r="B151" s="20">
        <f>IF(Customers!G151="","",(Customers!G151-Statistics!$C$7)/Statistics!$C$9)</f>
        <v>-5.2377646810937449E-2</v>
      </c>
      <c r="C151" s="4" t="str">
        <f>IF(Customers!G151="","",IF(OR(Customers!G151&lt;Statistics!$C$15,Customers!G151&gt;Statistics!$C$16),"Outside 1.5·IQR",""))</f>
        <v/>
      </c>
      <c r="D151" s="4" t="str">
        <f>IF(OR(Customers!B151&lt;18,Customers!B151&gt;100),"Implausible age","")</f>
        <v/>
      </c>
      <c r="E151" s="4" t="str">
        <f>IF(Customers!H151&gt;Customers!B151-18,"Tenure &gt; age-18","")</f>
        <v/>
      </c>
      <c r="F151" s="4" t="str">
        <f>IF(Customers!R151&gt;Customers!Q151,"Card spend &gt; limit","")</f>
        <v/>
      </c>
      <c r="G151" s="4" t="str">
        <f>IF(OR(AND(Customers!S151&gt;0,Customers!T151=0),AND(Customers!S151=0,Customers!T151&gt;0)),"Mortgage/payment inconsistent","")</f>
        <v/>
      </c>
      <c r="H151" s="4" t="str">
        <f>IF(AND(Customers!G151&lt;&gt;"",Customers!G151&gt;0,Customers!T151&gt;Customers!G151/12),"Payment &gt; monthly income","")</f>
        <v/>
      </c>
      <c r="I151" s="4" t="str">
        <f>IF(OR(Customers!I151&gt;DATE(2026,9,13),YEAR(Customers!I151)&lt;1980),"Implausible date","")</f>
        <v/>
      </c>
      <c r="J151" s="4" t="str">
        <f>IF(Customers!I151&gt;DATE(2026,9,13),"",IF(ABS(INT((DATE(2026,9,13)-Customers!I151)/365.25)-Customers!H151)&gt;1,"Date/tenure inconsistent",""))</f>
        <v/>
      </c>
      <c r="K151" s="4" t="str">
        <f>IF(COUNTIF(Customers!$A$2:$A$1001,Customers!A151)&gt;1,"Duplicate ID","")</f>
        <v/>
      </c>
      <c r="L151" s="4" t="str">
        <f>IF(COUNTIFS(Customers!$B$2:$B$1001,Customers!B151,Customers!$D$2:$D$1001,Customers!D151,Customers!$G$2:$G$1001,Customers!G151,Customers!$I$2:$I$1001,Customers!I151,Customers!$L$2:$L$1001,Customers!L151)&gt;1,"Duplicate record","")</f>
        <v/>
      </c>
      <c r="M151" s="4" t="str">
        <f>IF(OR(Customers!U151&lt;300,Customers!U151&gt;850),"Score out of range","")</f>
        <v/>
      </c>
      <c r="N151" s="4" t="str">
        <f>IF(AND(Customers!G151&lt;&gt;"",Customers!G151&lt;=0),"Income ≤ 0","")</f>
        <v/>
      </c>
      <c r="O151" s="4" t="str">
        <f>IF(OR(Customers!G151="",Customers!M151=""),"Missing value","")</f>
        <v/>
      </c>
      <c r="P151" s="4">
        <f t="shared" si="2"/>
        <v>0</v>
      </c>
    </row>
    <row r="152" spans="1:16" x14ac:dyDescent="0.25">
      <c r="A152" s="4" t="str">
        <f>Customers!A152</f>
        <v>CL00149</v>
      </c>
      <c r="B152" s="20">
        <f>IF(Customers!G152="","",(Customers!G152-Statistics!$C$7)/Statistics!$C$9)</f>
        <v>-2.0480607935815238E-3</v>
      </c>
      <c r="C152" s="4" t="str">
        <f>IF(Customers!G152="","",IF(OR(Customers!G152&lt;Statistics!$C$15,Customers!G152&gt;Statistics!$C$16),"Outside 1.5·IQR",""))</f>
        <v/>
      </c>
      <c r="D152" s="4" t="str">
        <f>IF(OR(Customers!B152&lt;18,Customers!B152&gt;100),"Implausible age","")</f>
        <v/>
      </c>
      <c r="E152" s="4" t="str">
        <f>IF(Customers!H152&gt;Customers!B152-18,"Tenure &gt; age-18","")</f>
        <v/>
      </c>
      <c r="F152" s="4" t="str">
        <f>IF(Customers!R152&gt;Customers!Q152,"Card spend &gt; limit","")</f>
        <v/>
      </c>
      <c r="G152" s="4" t="str">
        <f>IF(OR(AND(Customers!S152&gt;0,Customers!T152=0),AND(Customers!S152=0,Customers!T152&gt;0)),"Mortgage/payment inconsistent","")</f>
        <v/>
      </c>
      <c r="H152" s="4" t="str">
        <f>IF(AND(Customers!G152&lt;&gt;"",Customers!G152&gt;0,Customers!T152&gt;Customers!G152/12),"Payment &gt; monthly income","")</f>
        <v/>
      </c>
      <c r="I152" s="4" t="str">
        <f>IF(OR(Customers!I152&gt;DATE(2026,9,13),YEAR(Customers!I152)&lt;1980),"Implausible date","")</f>
        <v/>
      </c>
      <c r="J152" s="4" t="str">
        <f>IF(Customers!I152&gt;DATE(2026,9,13),"",IF(ABS(INT((DATE(2026,9,13)-Customers!I152)/365.25)-Customers!H152)&gt;1,"Date/tenure inconsistent",""))</f>
        <v/>
      </c>
      <c r="K152" s="4" t="str">
        <f>IF(COUNTIF(Customers!$A$2:$A$1001,Customers!A152)&gt;1,"Duplicate ID","")</f>
        <v/>
      </c>
      <c r="L152" s="4" t="str">
        <f>IF(COUNTIFS(Customers!$B$2:$B$1001,Customers!B152,Customers!$D$2:$D$1001,Customers!D152,Customers!$G$2:$G$1001,Customers!G152,Customers!$I$2:$I$1001,Customers!I152,Customers!$L$2:$L$1001,Customers!L152)&gt;1,"Duplicate record","")</f>
        <v/>
      </c>
      <c r="M152" s="4" t="str">
        <f>IF(OR(Customers!U152&lt;300,Customers!U152&gt;850),"Score out of range","")</f>
        <v/>
      </c>
      <c r="N152" s="4" t="str">
        <f>IF(AND(Customers!G152&lt;&gt;"",Customers!G152&lt;=0),"Income ≤ 0","")</f>
        <v/>
      </c>
      <c r="O152" s="4" t="str">
        <f>IF(OR(Customers!G152="",Customers!M152=""),"Missing value","")</f>
        <v/>
      </c>
      <c r="P152" s="4">
        <f t="shared" si="2"/>
        <v>0</v>
      </c>
    </row>
    <row r="153" spans="1:16" x14ac:dyDescent="0.25">
      <c r="A153" s="4" t="str">
        <f>Customers!A153</f>
        <v>CL00150</v>
      </c>
      <c r="B153" s="20">
        <f>IF(Customers!G153="","",(Customers!G153-Statistics!$C$7)/Statistics!$C$9)</f>
        <v>-3.1891239978041108E-2</v>
      </c>
      <c r="C153" s="4" t="str">
        <f>IF(Customers!G153="","",IF(OR(Customers!G153&lt;Statistics!$C$15,Customers!G153&gt;Statistics!$C$16),"Outside 1.5·IQR",""))</f>
        <v/>
      </c>
      <c r="D153" s="4" t="str">
        <f>IF(OR(Customers!B153&lt;18,Customers!B153&gt;100),"Implausible age","")</f>
        <v/>
      </c>
      <c r="E153" s="4" t="str">
        <f>IF(Customers!H153&gt;Customers!B153-18,"Tenure &gt; age-18","")</f>
        <v/>
      </c>
      <c r="F153" s="4" t="str">
        <f>IF(Customers!R153&gt;Customers!Q153,"Card spend &gt; limit","")</f>
        <v/>
      </c>
      <c r="G153" s="4" t="str">
        <f>IF(OR(AND(Customers!S153&gt;0,Customers!T153=0),AND(Customers!S153=0,Customers!T153&gt;0)),"Mortgage/payment inconsistent","")</f>
        <v/>
      </c>
      <c r="H153" s="4" t="str">
        <f>IF(AND(Customers!G153&lt;&gt;"",Customers!G153&gt;0,Customers!T153&gt;Customers!G153/12),"Payment &gt; monthly income","")</f>
        <v/>
      </c>
      <c r="I153" s="4" t="str">
        <f>IF(OR(Customers!I153&gt;DATE(2026,9,13),YEAR(Customers!I153)&lt;1980),"Implausible date","")</f>
        <v/>
      </c>
      <c r="J153" s="4" t="str">
        <f>IF(Customers!I153&gt;DATE(2026,9,13),"",IF(ABS(INT((DATE(2026,9,13)-Customers!I153)/365.25)-Customers!H153)&gt;1,"Date/tenure inconsistent",""))</f>
        <v/>
      </c>
      <c r="K153" s="4" t="str">
        <f>IF(COUNTIF(Customers!$A$2:$A$1001,Customers!A153)&gt;1,"Duplicate ID","")</f>
        <v/>
      </c>
      <c r="L153" s="4" t="str">
        <f>IF(COUNTIFS(Customers!$B$2:$B$1001,Customers!B153,Customers!$D$2:$D$1001,Customers!D153,Customers!$G$2:$G$1001,Customers!G153,Customers!$I$2:$I$1001,Customers!I153,Customers!$L$2:$L$1001,Customers!L153)&gt;1,"Duplicate record","")</f>
        <v/>
      </c>
      <c r="M153" s="4" t="str">
        <f>IF(OR(Customers!U153&lt;300,Customers!U153&gt;850),"Score out of range","")</f>
        <v/>
      </c>
      <c r="N153" s="4" t="str">
        <f>IF(AND(Customers!G153&lt;&gt;"",Customers!G153&lt;=0),"Income ≤ 0","")</f>
        <v/>
      </c>
      <c r="O153" s="4" t="str">
        <f>IF(OR(Customers!G153="",Customers!M153=""),"Missing value","")</f>
        <v/>
      </c>
      <c r="P153" s="4">
        <f t="shared" si="2"/>
        <v>0</v>
      </c>
    </row>
    <row r="154" spans="1:16" x14ac:dyDescent="0.25">
      <c r="A154" s="4" t="str">
        <f>Customers!A154</f>
        <v>CL00151</v>
      </c>
      <c r="B154" s="20">
        <f>IF(Customers!G154="","",(Customers!G154-Statistics!$C$7)/Statistics!$C$9)</f>
        <v>-2.9133454442843522E-2</v>
      </c>
      <c r="C154" s="4" t="str">
        <f>IF(Customers!G154="","",IF(OR(Customers!G154&lt;Statistics!$C$15,Customers!G154&gt;Statistics!$C$16),"Outside 1.5·IQR",""))</f>
        <v/>
      </c>
      <c r="D154" s="4" t="str">
        <f>IF(OR(Customers!B154&lt;18,Customers!B154&gt;100),"Implausible age","")</f>
        <v/>
      </c>
      <c r="E154" s="4" t="str">
        <f>IF(Customers!H154&gt;Customers!B154-18,"Tenure &gt; age-18","")</f>
        <v/>
      </c>
      <c r="F154" s="4" t="str">
        <f>IF(Customers!R154&gt;Customers!Q154,"Card spend &gt; limit","")</f>
        <v/>
      </c>
      <c r="G154" s="4" t="str">
        <f>IF(OR(AND(Customers!S154&gt;0,Customers!T154=0),AND(Customers!S154=0,Customers!T154&gt;0)),"Mortgage/payment inconsistent","")</f>
        <v/>
      </c>
      <c r="H154" s="4" t="str">
        <f>IF(AND(Customers!G154&lt;&gt;"",Customers!G154&gt;0,Customers!T154&gt;Customers!G154/12),"Payment &gt; monthly income","")</f>
        <v/>
      </c>
      <c r="I154" s="4" t="str">
        <f>IF(OR(Customers!I154&gt;DATE(2026,9,13),YEAR(Customers!I154)&lt;1980),"Implausible date","")</f>
        <v/>
      </c>
      <c r="J154" s="4" t="str">
        <f>IF(Customers!I154&gt;DATE(2026,9,13),"",IF(ABS(INT((DATE(2026,9,13)-Customers!I154)/365.25)-Customers!H154)&gt;1,"Date/tenure inconsistent",""))</f>
        <v/>
      </c>
      <c r="K154" s="4" t="str">
        <f>IF(COUNTIF(Customers!$A$2:$A$1001,Customers!A154)&gt;1,"Duplicate ID","")</f>
        <v/>
      </c>
      <c r="L154" s="4" t="str">
        <f>IF(COUNTIFS(Customers!$B$2:$B$1001,Customers!B154,Customers!$D$2:$D$1001,Customers!D154,Customers!$G$2:$G$1001,Customers!G154,Customers!$I$2:$I$1001,Customers!I154,Customers!$L$2:$L$1001,Customers!L154)&gt;1,"Duplicate record","")</f>
        <v/>
      </c>
      <c r="M154" s="4" t="str">
        <f>IF(OR(Customers!U154&lt;300,Customers!U154&gt;850),"Score out of range","")</f>
        <v/>
      </c>
      <c r="N154" s="4" t="str">
        <f>IF(AND(Customers!G154&lt;&gt;"",Customers!G154&lt;=0),"Income ≤ 0","")</f>
        <v/>
      </c>
      <c r="O154" s="4" t="str">
        <f>IF(OR(Customers!G154="",Customers!M154=""),"Missing value","")</f>
        <v/>
      </c>
      <c r="P154" s="4">
        <f t="shared" si="2"/>
        <v>0</v>
      </c>
    </row>
    <row r="155" spans="1:16" x14ac:dyDescent="0.25">
      <c r="A155" s="4" t="str">
        <f>Customers!A155</f>
        <v>CL00416</v>
      </c>
      <c r="B155" s="20">
        <f>IF(Customers!G155="","",(Customers!G155-Statistics!$C$7)/Statistics!$C$9)</f>
        <v>-5.0407800000082034E-2</v>
      </c>
      <c r="C155" s="4" t="str">
        <f>IF(Customers!G155="","",IF(OR(Customers!G155&lt;Statistics!$C$15,Customers!G155&gt;Statistics!$C$16),"Outside 1.5·IQR",""))</f>
        <v/>
      </c>
      <c r="D155" s="4" t="str">
        <f>IF(OR(Customers!B155&lt;18,Customers!B155&gt;100),"Implausible age","")</f>
        <v/>
      </c>
      <c r="E155" s="4" t="str">
        <f>IF(Customers!H155&gt;Customers!B155-18,"Tenure &gt; age-18","")</f>
        <v/>
      </c>
      <c r="F155" s="4" t="str">
        <f>IF(Customers!R155&gt;Customers!Q155,"Card spend &gt; limit","")</f>
        <v/>
      </c>
      <c r="G155" s="4" t="str">
        <f>IF(OR(AND(Customers!S155&gt;0,Customers!T155=0),AND(Customers!S155=0,Customers!T155&gt;0)),"Mortgage/payment inconsistent","")</f>
        <v/>
      </c>
      <c r="H155" s="4" t="str">
        <f>IF(AND(Customers!G155&lt;&gt;"",Customers!G155&gt;0,Customers!T155&gt;Customers!G155/12),"Payment &gt; monthly income","")</f>
        <v/>
      </c>
      <c r="I155" s="4" t="str">
        <f>IF(OR(Customers!I155&gt;DATE(2026,9,13),YEAR(Customers!I155)&lt;1980),"Implausible date","")</f>
        <v/>
      </c>
      <c r="J155" s="4" t="str">
        <f>IF(Customers!I155&gt;DATE(2026,9,13),"",IF(ABS(INT((DATE(2026,9,13)-Customers!I155)/365.25)-Customers!H155)&gt;1,"Date/tenure inconsistent",""))</f>
        <v/>
      </c>
      <c r="K155" s="4" t="str">
        <f>IF(COUNTIF(Customers!$A$2:$A$1001,Customers!A155)&gt;1,"Duplicate ID","")</f>
        <v>Duplicate ID</v>
      </c>
      <c r="L155" s="4" t="str">
        <f>IF(COUNTIFS(Customers!$B$2:$B$1001,Customers!B155,Customers!$D$2:$D$1001,Customers!D155,Customers!$G$2:$G$1001,Customers!G155,Customers!$I$2:$I$1001,Customers!I155,Customers!$L$2:$L$1001,Customers!L155)&gt;1,"Duplicate record","")</f>
        <v>Duplicate record</v>
      </c>
      <c r="M155" s="4" t="str">
        <f>IF(OR(Customers!U155&lt;300,Customers!U155&gt;850),"Score out of range","")</f>
        <v/>
      </c>
      <c r="N155" s="4" t="str">
        <f>IF(AND(Customers!G155&lt;&gt;"",Customers!G155&lt;=0),"Income ≤ 0","")</f>
        <v/>
      </c>
      <c r="O155" s="4" t="str">
        <f>IF(OR(Customers!G155="",Customers!M155=""),"Missing value","")</f>
        <v/>
      </c>
      <c r="P155" s="4">
        <f t="shared" si="2"/>
        <v>2</v>
      </c>
    </row>
    <row r="156" spans="1:16" x14ac:dyDescent="0.25">
      <c r="A156" s="4" t="str">
        <f>Customers!A156</f>
        <v>CL00152</v>
      </c>
      <c r="B156" s="20">
        <f>IF(Customers!G156="","",(Customers!G156-Statistics!$C$7)/Statistics!$C$9)</f>
        <v>-5.1589708086595285E-2</v>
      </c>
      <c r="C156" s="4" t="str">
        <f>IF(Customers!G156="","",IF(OR(Customers!G156&lt;Statistics!$C$15,Customers!G156&gt;Statistics!$C$16),"Outside 1.5·IQR",""))</f>
        <v/>
      </c>
      <c r="D156" s="4" t="str">
        <f>IF(OR(Customers!B156&lt;18,Customers!B156&gt;100),"Implausible age","")</f>
        <v/>
      </c>
      <c r="E156" s="4" t="str">
        <f>IF(Customers!H156&gt;Customers!B156-18,"Tenure &gt; age-18","")</f>
        <v/>
      </c>
      <c r="F156" s="4" t="str">
        <f>IF(Customers!R156&gt;Customers!Q156,"Card spend &gt; limit","")</f>
        <v/>
      </c>
      <c r="G156" s="4" t="str">
        <f>IF(OR(AND(Customers!S156&gt;0,Customers!T156=0),AND(Customers!S156=0,Customers!T156&gt;0)),"Mortgage/payment inconsistent","")</f>
        <v/>
      </c>
      <c r="H156" s="4" t="str">
        <f>IF(AND(Customers!G156&lt;&gt;"",Customers!G156&gt;0,Customers!T156&gt;Customers!G156/12),"Payment &gt; monthly income","")</f>
        <v/>
      </c>
      <c r="I156" s="4" t="str">
        <f>IF(OR(Customers!I156&gt;DATE(2026,9,13),YEAR(Customers!I156)&lt;1980),"Implausible date","")</f>
        <v/>
      </c>
      <c r="J156" s="4" t="str">
        <f>IF(Customers!I156&gt;DATE(2026,9,13),"",IF(ABS(INT((DATE(2026,9,13)-Customers!I156)/365.25)-Customers!H156)&gt;1,"Date/tenure inconsistent",""))</f>
        <v/>
      </c>
      <c r="K156" s="4" t="str">
        <f>IF(COUNTIF(Customers!$A$2:$A$1001,Customers!A156)&gt;1,"Duplicate ID","")</f>
        <v/>
      </c>
      <c r="L156" s="4" t="str">
        <f>IF(COUNTIFS(Customers!$B$2:$B$1001,Customers!B156,Customers!$D$2:$D$1001,Customers!D156,Customers!$G$2:$G$1001,Customers!G156,Customers!$I$2:$I$1001,Customers!I156,Customers!$L$2:$L$1001,Customers!L156)&gt;1,"Duplicate record","")</f>
        <v/>
      </c>
      <c r="M156" s="4" t="str">
        <f>IF(OR(Customers!U156&lt;300,Customers!U156&gt;850),"Score out of range","")</f>
        <v/>
      </c>
      <c r="N156" s="4" t="str">
        <f>IF(AND(Customers!G156&lt;&gt;"",Customers!G156&lt;=0),"Income ≤ 0","")</f>
        <v/>
      </c>
      <c r="O156" s="4" t="str">
        <f>IF(OR(Customers!G156="",Customers!M156=""),"Missing value","")</f>
        <v/>
      </c>
      <c r="P156" s="4">
        <f t="shared" si="2"/>
        <v>0</v>
      </c>
    </row>
    <row r="157" spans="1:16" x14ac:dyDescent="0.25">
      <c r="A157" s="4" t="str">
        <f>Customers!A157</f>
        <v>CL00153</v>
      </c>
      <c r="B157" s="20">
        <f>IF(Customers!G157="","",(Customers!G157-Statistics!$C$7)/Statistics!$C$9)</f>
        <v>-3.760379572952182E-2</v>
      </c>
      <c r="C157" s="4" t="str">
        <f>IF(Customers!G157="","",IF(OR(Customers!G157&lt;Statistics!$C$15,Customers!G157&gt;Statistics!$C$16),"Outside 1.5·IQR",""))</f>
        <v/>
      </c>
      <c r="D157" s="4" t="str">
        <f>IF(OR(Customers!B157&lt;18,Customers!B157&gt;100),"Implausible age","")</f>
        <v/>
      </c>
      <c r="E157" s="4" t="str">
        <f>IF(Customers!H157&gt;Customers!B157-18,"Tenure &gt; age-18","")</f>
        <v/>
      </c>
      <c r="F157" s="4" t="str">
        <f>IF(Customers!R157&gt;Customers!Q157,"Card spend &gt; limit","")</f>
        <v/>
      </c>
      <c r="G157" s="4" t="str">
        <f>IF(OR(AND(Customers!S157&gt;0,Customers!T157=0),AND(Customers!S157=0,Customers!T157&gt;0)),"Mortgage/payment inconsistent","")</f>
        <v/>
      </c>
      <c r="H157" s="4" t="str">
        <f>IF(AND(Customers!G157&lt;&gt;"",Customers!G157&gt;0,Customers!T157&gt;Customers!G157/12),"Payment &gt; monthly income","")</f>
        <v/>
      </c>
      <c r="I157" s="4" t="str">
        <f>IF(OR(Customers!I157&gt;DATE(2026,9,13),YEAR(Customers!I157)&lt;1980),"Implausible date","")</f>
        <v/>
      </c>
      <c r="J157" s="4" t="str">
        <f>IF(Customers!I157&gt;DATE(2026,9,13),"",IF(ABS(INT((DATE(2026,9,13)-Customers!I157)/365.25)-Customers!H157)&gt;1,"Date/tenure inconsistent",""))</f>
        <v/>
      </c>
      <c r="K157" s="4" t="str">
        <f>IF(COUNTIF(Customers!$A$2:$A$1001,Customers!A157)&gt;1,"Duplicate ID","")</f>
        <v/>
      </c>
      <c r="L157" s="4" t="str">
        <f>IF(COUNTIFS(Customers!$B$2:$B$1001,Customers!B157,Customers!$D$2:$D$1001,Customers!D157,Customers!$G$2:$G$1001,Customers!G157,Customers!$I$2:$I$1001,Customers!I157,Customers!$L$2:$L$1001,Customers!L157)&gt;1,"Duplicate record","")</f>
        <v/>
      </c>
      <c r="M157" s="4" t="str">
        <f>IF(OR(Customers!U157&lt;300,Customers!U157&gt;850),"Score out of range","")</f>
        <v/>
      </c>
      <c r="N157" s="4" t="str">
        <f>IF(AND(Customers!G157&lt;&gt;"",Customers!G157&lt;=0),"Income ≤ 0","")</f>
        <v/>
      </c>
      <c r="O157" s="4" t="str">
        <f>IF(OR(Customers!G157="",Customers!M157=""),"Missing value","")</f>
        <v/>
      </c>
      <c r="P157" s="4">
        <f t="shared" si="2"/>
        <v>0</v>
      </c>
    </row>
    <row r="158" spans="1:16" x14ac:dyDescent="0.25">
      <c r="A158" s="4" t="str">
        <f>Customers!A158</f>
        <v>CL00154</v>
      </c>
      <c r="B158" s="20">
        <f>IF(Customers!G158="","",(Customers!G158-Statistics!$C$7)/Statistics!$C$9)</f>
        <v>-5.3855031919079019E-2</v>
      </c>
      <c r="C158" s="4" t="str">
        <f>IF(Customers!G158="","",IF(OR(Customers!G158&lt;Statistics!$C$15,Customers!G158&gt;Statistics!$C$16),"Outside 1.5·IQR",""))</f>
        <v/>
      </c>
      <c r="D158" s="4" t="str">
        <f>IF(OR(Customers!B158&lt;18,Customers!B158&gt;100),"Implausible age","")</f>
        <v/>
      </c>
      <c r="E158" s="4" t="str">
        <f>IF(Customers!H158&gt;Customers!B158-18,"Tenure &gt; age-18","")</f>
        <v/>
      </c>
      <c r="F158" s="4" t="str">
        <f>IF(Customers!R158&gt;Customers!Q158,"Card spend &gt; limit","")</f>
        <v/>
      </c>
      <c r="G158" s="4" t="str">
        <f>IF(OR(AND(Customers!S158&gt;0,Customers!T158=0),AND(Customers!S158=0,Customers!T158&gt;0)),"Mortgage/payment inconsistent","")</f>
        <v/>
      </c>
      <c r="H158" s="4" t="str">
        <f>IF(AND(Customers!G158&lt;&gt;"",Customers!G158&gt;0,Customers!T158&gt;Customers!G158/12),"Payment &gt; monthly income","")</f>
        <v/>
      </c>
      <c r="I158" s="4" t="str">
        <f>IF(OR(Customers!I158&gt;DATE(2026,9,13),YEAR(Customers!I158)&lt;1980),"Implausible date","")</f>
        <v/>
      </c>
      <c r="J158" s="4" t="str">
        <f>IF(Customers!I158&gt;DATE(2026,9,13),"",IF(ABS(INT((DATE(2026,9,13)-Customers!I158)/365.25)-Customers!H158)&gt;1,"Date/tenure inconsistent",""))</f>
        <v/>
      </c>
      <c r="K158" s="4" t="str">
        <f>IF(COUNTIF(Customers!$A$2:$A$1001,Customers!A158)&gt;1,"Duplicate ID","")</f>
        <v/>
      </c>
      <c r="L158" s="4" t="str">
        <f>IF(COUNTIFS(Customers!$B$2:$B$1001,Customers!B158,Customers!$D$2:$D$1001,Customers!D158,Customers!$G$2:$G$1001,Customers!G158,Customers!$I$2:$I$1001,Customers!I158,Customers!$L$2:$L$1001,Customers!L158)&gt;1,"Duplicate record","")</f>
        <v/>
      </c>
      <c r="M158" s="4" t="str">
        <f>IF(OR(Customers!U158&lt;300,Customers!U158&gt;850),"Score out of range","")</f>
        <v/>
      </c>
      <c r="N158" s="4" t="str">
        <f>IF(AND(Customers!G158&lt;&gt;"",Customers!G158&lt;=0),"Income ≤ 0","")</f>
        <v/>
      </c>
      <c r="O158" s="4" t="str">
        <f>IF(OR(Customers!G158="",Customers!M158=""),"Missing value","")</f>
        <v/>
      </c>
      <c r="P158" s="4">
        <f t="shared" si="2"/>
        <v>0</v>
      </c>
    </row>
    <row r="159" spans="1:16" x14ac:dyDescent="0.25">
      <c r="A159" s="4" t="str">
        <f>Customers!A159</f>
        <v>CL00155</v>
      </c>
      <c r="B159" s="20">
        <f>IF(Customers!G159="","",(Customers!G159-Statistics!$C$7)/Statistics!$C$9)</f>
        <v>-5.3264077875822394E-2</v>
      </c>
      <c r="C159" s="4" t="str">
        <f>IF(Customers!G159="","",IF(OR(Customers!G159&lt;Statistics!$C$15,Customers!G159&gt;Statistics!$C$16),"Outside 1.5·IQR",""))</f>
        <v/>
      </c>
      <c r="D159" s="4" t="str">
        <f>IF(OR(Customers!B159&lt;18,Customers!B159&gt;100),"Implausible age","")</f>
        <v/>
      </c>
      <c r="E159" s="4" t="str">
        <f>IF(Customers!H159&gt;Customers!B159-18,"Tenure &gt; age-18","")</f>
        <v/>
      </c>
      <c r="F159" s="4" t="str">
        <f>IF(Customers!R159&gt;Customers!Q159,"Card spend &gt; limit","")</f>
        <v/>
      </c>
      <c r="G159" s="4" t="str">
        <f>IF(OR(AND(Customers!S159&gt;0,Customers!T159=0),AND(Customers!S159=0,Customers!T159&gt;0)),"Mortgage/payment inconsistent","")</f>
        <v/>
      </c>
      <c r="H159" s="4" t="str">
        <f>IF(AND(Customers!G159&lt;&gt;"",Customers!G159&gt;0,Customers!T159&gt;Customers!G159/12),"Payment &gt; monthly income","")</f>
        <v/>
      </c>
      <c r="I159" s="4" t="str">
        <f>IF(OR(Customers!I159&gt;DATE(2026,9,13),YEAR(Customers!I159)&lt;1980),"Implausible date","")</f>
        <v/>
      </c>
      <c r="J159" s="4" t="str">
        <f>IF(Customers!I159&gt;DATE(2026,9,13),"",IF(ABS(INT((DATE(2026,9,13)-Customers!I159)/365.25)-Customers!H159)&gt;1,"Date/tenure inconsistent",""))</f>
        <v/>
      </c>
      <c r="K159" s="4" t="str">
        <f>IF(COUNTIF(Customers!$A$2:$A$1001,Customers!A159)&gt;1,"Duplicate ID","")</f>
        <v/>
      </c>
      <c r="L159" s="4" t="str">
        <f>IF(COUNTIFS(Customers!$B$2:$B$1001,Customers!B159,Customers!$D$2:$D$1001,Customers!D159,Customers!$G$2:$G$1001,Customers!G159,Customers!$I$2:$I$1001,Customers!I159,Customers!$L$2:$L$1001,Customers!L159)&gt;1,"Duplicate record","")</f>
        <v/>
      </c>
      <c r="M159" s="4" t="str">
        <f>IF(OR(Customers!U159&lt;300,Customers!U159&gt;850),"Score out of range","")</f>
        <v/>
      </c>
      <c r="N159" s="4" t="str">
        <f>IF(AND(Customers!G159&lt;&gt;"",Customers!G159&lt;=0),"Income ≤ 0","")</f>
        <v/>
      </c>
      <c r="O159" s="4" t="str">
        <f>IF(OR(Customers!G159="",Customers!M159=""),"Missing value","")</f>
        <v/>
      </c>
      <c r="P159" s="4">
        <f t="shared" si="2"/>
        <v>0</v>
      </c>
    </row>
    <row r="160" spans="1:16" x14ac:dyDescent="0.25">
      <c r="A160" s="4" t="str">
        <f>Customers!A160</f>
        <v>CL00156</v>
      </c>
      <c r="B160" s="20">
        <f>IF(Customers!G160="","",(Customers!G160-Statistics!$C$7)/Statistics!$C$9)</f>
        <v>-2.2140498264306786E-2</v>
      </c>
      <c r="C160" s="4" t="str">
        <f>IF(Customers!G160="","",IF(OR(Customers!G160&lt;Statistics!$C$15,Customers!G160&gt;Statistics!$C$16),"Outside 1.5·IQR",""))</f>
        <v/>
      </c>
      <c r="D160" s="4" t="str">
        <f>IF(OR(Customers!B160&lt;18,Customers!B160&gt;100),"Implausible age","")</f>
        <v/>
      </c>
      <c r="E160" s="4" t="str">
        <f>IF(Customers!H160&gt;Customers!B160-18,"Tenure &gt; age-18","")</f>
        <v/>
      </c>
      <c r="F160" s="4" t="str">
        <f>IF(Customers!R160&gt;Customers!Q160,"Card spend &gt; limit","")</f>
        <v/>
      </c>
      <c r="G160" s="4" t="str">
        <f>IF(OR(AND(Customers!S160&gt;0,Customers!T160=0),AND(Customers!S160=0,Customers!T160&gt;0)),"Mortgage/payment inconsistent","")</f>
        <v/>
      </c>
      <c r="H160" s="4" t="str">
        <f>IF(AND(Customers!G160&lt;&gt;"",Customers!G160&gt;0,Customers!T160&gt;Customers!G160/12),"Payment &gt; monthly income","")</f>
        <v/>
      </c>
      <c r="I160" s="4" t="str">
        <f>IF(OR(Customers!I160&gt;DATE(2026,9,13),YEAR(Customers!I160)&lt;1980),"Implausible date","")</f>
        <v/>
      </c>
      <c r="J160" s="4" t="str">
        <f>IF(Customers!I160&gt;DATE(2026,9,13),"",IF(ABS(INT((DATE(2026,9,13)-Customers!I160)/365.25)-Customers!H160)&gt;1,"Date/tenure inconsistent",""))</f>
        <v/>
      </c>
      <c r="K160" s="4" t="str">
        <f>IF(COUNTIF(Customers!$A$2:$A$1001,Customers!A160)&gt;1,"Duplicate ID","")</f>
        <v/>
      </c>
      <c r="L160" s="4" t="str">
        <f>IF(COUNTIFS(Customers!$B$2:$B$1001,Customers!B160,Customers!$D$2:$D$1001,Customers!D160,Customers!$G$2:$G$1001,Customers!G160,Customers!$I$2:$I$1001,Customers!I160,Customers!$L$2:$L$1001,Customers!L160)&gt;1,"Duplicate record","")</f>
        <v/>
      </c>
      <c r="M160" s="4" t="str">
        <f>IF(OR(Customers!U160&lt;300,Customers!U160&gt;850),"Score out of range","")</f>
        <v/>
      </c>
      <c r="N160" s="4" t="str">
        <f>IF(AND(Customers!G160&lt;&gt;"",Customers!G160&lt;=0),"Income ≤ 0","")</f>
        <v/>
      </c>
      <c r="O160" s="4" t="str">
        <f>IF(OR(Customers!G160="",Customers!M160=""),"Missing value","")</f>
        <v/>
      </c>
      <c r="P160" s="4">
        <f t="shared" si="2"/>
        <v>0</v>
      </c>
    </row>
    <row r="161" spans="1:16" x14ac:dyDescent="0.25">
      <c r="A161" s="4" t="str">
        <f>Customers!A161</f>
        <v>CL00157</v>
      </c>
      <c r="B161" s="20">
        <f>IF(Customers!G161="","",(Customers!G161-Statistics!$C$7)/Statistics!$C$9)</f>
        <v>-4.2823889778288673E-2</v>
      </c>
      <c r="C161" s="4" t="str">
        <f>IF(Customers!G161="","",IF(OR(Customers!G161&lt;Statistics!$C$15,Customers!G161&gt;Statistics!$C$16),"Outside 1.5·IQR",""))</f>
        <v/>
      </c>
      <c r="D161" s="4" t="str">
        <f>IF(OR(Customers!B161&lt;18,Customers!B161&gt;100),"Implausible age","")</f>
        <v/>
      </c>
      <c r="E161" s="4" t="str">
        <f>IF(Customers!H161&gt;Customers!B161-18,"Tenure &gt; age-18","")</f>
        <v/>
      </c>
      <c r="F161" s="4" t="str">
        <f>IF(Customers!R161&gt;Customers!Q161,"Card spend &gt; limit","")</f>
        <v/>
      </c>
      <c r="G161" s="4" t="str">
        <f>IF(OR(AND(Customers!S161&gt;0,Customers!T161=0),AND(Customers!S161=0,Customers!T161&gt;0)),"Mortgage/payment inconsistent","")</f>
        <v/>
      </c>
      <c r="H161" s="4" t="str">
        <f>IF(AND(Customers!G161&lt;&gt;"",Customers!G161&gt;0,Customers!T161&gt;Customers!G161/12),"Payment &gt; monthly income","")</f>
        <v/>
      </c>
      <c r="I161" s="4" t="str">
        <f>IF(OR(Customers!I161&gt;DATE(2026,9,13),YEAR(Customers!I161)&lt;1980),"Implausible date","")</f>
        <v/>
      </c>
      <c r="J161" s="4" t="str">
        <f>IF(Customers!I161&gt;DATE(2026,9,13),"",IF(ABS(INT((DATE(2026,9,13)-Customers!I161)/365.25)-Customers!H161)&gt;1,"Date/tenure inconsistent",""))</f>
        <v/>
      </c>
      <c r="K161" s="4" t="str">
        <f>IF(COUNTIF(Customers!$A$2:$A$1001,Customers!A161)&gt;1,"Duplicate ID","")</f>
        <v/>
      </c>
      <c r="L161" s="4" t="str">
        <f>IF(COUNTIFS(Customers!$B$2:$B$1001,Customers!B161,Customers!$D$2:$D$1001,Customers!D161,Customers!$G$2:$G$1001,Customers!G161,Customers!$I$2:$I$1001,Customers!I161,Customers!$L$2:$L$1001,Customers!L161)&gt;1,"Duplicate record","")</f>
        <v/>
      </c>
      <c r="M161" s="4" t="str">
        <f>IF(OR(Customers!U161&lt;300,Customers!U161&gt;850),"Score out of range","")</f>
        <v/>
      </c>
      <c r="N161" s="4" t="str">
        <f>IF(AND(Customers!G161&lt;&gt;"",Customers!G161&lt;=0),"Income ≤ 0","")</f>
        <v/>
      </c>
      <c r="O161" s="4" t="str">
        <f>IF(OR(Customers!G161="",Customers!M161=""),"Missing value","")</f>
        <v/>
      </c>
      <c r="P161" s="4">
        <f t="shared" si="2"/>
        <v>0</v>
      </c>
    </row>
    <row r="162" spans="1:16" x14ac:dyDescent="0.25">
      <c r="A162" s="4" t="str">
        <f>Customers!A162</f>
        <v>CL00158</v>
      </c>
      <c r="B162" s="20">
        <f>IF(Customers!G162="","",(Customers!G162-Statistics!$C$7)/Statistics!$C$9)</f>
        <v>-6.488617405986935E-2</v>
      </c>
      <c r="C162" s="4" t="str">
        <f>IF(Customers!G162="","",IF(OR(Customers!G162&lt;Statistics!$C$15,Customers!G162&gt;Statistics!$C$16),"Outside 1.5·IQR",""))</f>
        <v/>
      </c>
      <c r="D162" s="4" t="str">
        <f>IF(OR(Customers!B162&lt;18,Customers!B162&gt;100),"Implausible age","")</f>
        <v/>
      </c>
      <c r="E162" s="4" t="str">
        <f>IF(Customers!H162&gt;Customers!B162-18,"Tenure &gt; age-18","")</f>
        <v/>
      </c>
      <c r="F162" s="4" t="str">
        <f>IF(Customers!R162&gt;Customers!Q162,"Card spend &gt; limit","")</f>
        <v/>
      </c>
      <c r="G162" s="4" t="str">
        <f>IF(OR(AND(Customers!S162&gt;0,Customers!T162=0),AND(Customers!S162=0,Customers!T162&gt;0)),"Mortgage/payment inconsistent","")</f>
        <v/>
      </c>
      <c r="H162" s="4" t="str">
        <f>IF(AND(Customers!G162&lt;&gt;"",Customers!G162&gt;0,Customers!T162&gt;Customers!G162/12),"Payment &gt; monthly income","")</f>
        <v/>
      </c>
      <c r="I162" s="4" t="str">
        <f>IF(OR(Customers!I162&gt;DATE(2026,9,13),YEAR(Customers!I162)&lt;1980),"Implausible date","")</f>
        <v/>
      </c>
      <c r="J162" s="4" t="str">
        <f>IF(Customers!I162&gt;DATE(2026,9,13),"",IF(ABS(INT((DATE(2026,9,13)-Customers!I162)/365.25)-Customers!H162)&gt;1,"Date/tenure inconsistent",""))</f>
        <v/>
      </c>
      <c r="K162" s="4" t="str">
        <f>IF(COUNTIF(Customers!$A$2:$A$1001,Customers!A162)&gt;1,"Duplicate ID","")</f>
        <v/>
      </c>
      <c r="L162" s="4" t="str">
        <f>IF(COUNTIFS(Customers!$B$2:$B$1001,Customers!B162,Customers!$D$2:$D$1001,Customers!D162,Customers!$G$2:$G$1001,Customers!G162,Customers!$I$2:$I$1001,Customers!I162,Customers!$L$2:$L$1001,Customers!L162)&gt;1,"Duplicate record","")</f>
        <v/>
      </c>
      <c r="M162" s="4" t="str">
        <f>IF(OR(Customers!U162&lt;300,Customers!U162&gt;850),"Score out of range","")</f>
        <v/>
      </c>
      <c r="N162" s="4" t="str">
        <f>IF(AND(Customers!G162&lt;&gt;"",Customers!G162&lt;=0),"Income ≤ 0","")</f>
        <v/>
      </c>
      <c r="O162" s="4" t="str">
        <f>IF(OR(Customers!G162="",Customers!M162=""),"Missing value","")</f>
        <v/>
      </c>
      <c r="P162" s="4">
        <f t="shared" si="2"/>
        <v>0</v>
      </c>
    </row>
    <row r="163" spans="1:16" x14ac:dyDescent="0.25">
      <c r="A163" s="4" t="str">
        <f>Customers!A163</f>
        <v>CL00159</v>
      </c>
      <c r="B163" s="20">
        <f>IF(Customers!G163="","",(Customers!G163-Statistics!$C$7)/Statistics!$C$9)</f>
        <v>-2.9527423805014604E-2</v>
      </c>
      <c r="C163" s="4" t="str">
        <f>IF(Customers!G163="","",IF(OR(Customers!G163&lt;Statistics!$C$15,Customers!G163&gt;Statistics!$C$16),"Outside 1.5·IQR",""))</f>
        <v/>
      </c>
      <c r="D163" s="4" t="str">
        <f>IF(OR(Customers!B163&lt;18,Customers!B163&gt;100),"Implausible age","")</f>
        <v/>
      </c>
      <c r="E163" s="4" t="str">
        <f>IF(Customers!H163&gt;Customers!B163-18,"Tenure &gt; age-18","")</f>
        <v/>
      </c>
      <c r="F163" s="4" t="str">
        <f>IF(Customers!R163&gt;Customers!Q163,"Card spend &gt; limit","")</f>
        <v/>
      </c>
      <c r="G163" s="4" t="str">
        <f>IF(OR(AND(Customers!S163&gt;0,Customers!T163=0),AND(Customers!S163=0,Customers!T163&gt;0)),"Mortgage/payment inconsistent","")</f>
        <v/>
      </c>
      <c r="H163" s="4" t="str">
        <f>IF(AND(Customers!G163&lt;&gt;"",Customers!G163&gt;0,Customers!T163&gt;Customers!G163/12),"Payment &gt; monthly income","")</f>
        <v/>
      </c>
      <c r="I163" s="4" t="str">
        <f>IF(OR(Customers!I163&gt;DATE(2026,9,13),YEAR(Customers!I163)&lt;1980),"Implausible date","")</f>
        <v/>
      </c>
      <c r="J163" s="4" t="str">
        <f>IF(Customers!I163&gt;DATE(2026,9,13),"",IF(ABS(INT((DATE(2026,9,13)-Customers!I163)/365.25)-Customers!H163)&gt;1,"Date/tenure inconsistent",""))</f>
        <v/>
      </c>
      <c r="K163" s="4" t="str">
        <f>IF(COUNTIF(Customers!$A$2:$A$1001,Customers!A163)&gt;1,"Duplicate ID","")</f>
        <v/>
      </c>
      <c r="L163" s="4" t="str">
        <f>IF(COUNTIFS(Customers!$B$2:$B$1001,Customers!B163,Customers!$D$2:$D$1001,Customers!D163,Customers!$G$2:$G$1001,Customers!G163,Customers!$I$2:$I$1001,Customers!I163,Customers!$L$2:$L$1001,Customers!L163)&gt;1,"Duplicate record","")</f>
        <v/>
      </c>
      <c r="M163" s="4" t="str">
        <f>IF(OR(Customers!U163&lt;300,Customers!U163&gt;850),"Score out of range","")</f>
        <v/>
      </c>
      <c r="N163" s="4" t="str">
        <f>IF(AND(Customers!G163&lt;&gt;"",Customers!G163&lt;=0),"Income ≤ 0","")</f>
        <v/>
      </c>
      <c r="O163" s="4" t="str">
        <f>IF(OR(Customers!G163="",Customers!M163=""),"Missing value","")</f>
        <v/>
      </c>
      <c r="P163" s="4">
        <f t="shared" si="2"/>
        <v>0</v>
      </c>
    </row>
    <row r="164" spans="1:16" x14ac:dyDescent="0.25">
      <c r="A164" s="4" t="str">
        <f>Customers!A164</f>
        <v>CL00160</v>
      </c>
      <c r="B164" s="20">
        <f>IF(Customers!G164="","",(Customers!G164-Statistics!$C$7)/Statistics!$C$9)</f>
        <v>-3.5239979556495313E-2</v>
      </c>
      <c r="C164" s="4" t="str">
        <f>IF(Customers!G164="","",IF(OR(Customers!G164&lt;Statistics!$C$15,Customers!G164&gt;Statistics!$C$16),"Outside 1.5·IQR",""))</f>
        <v/>
      </c>
      <c r="D164" s="4" t="str">
        <f>IF(OR(Customers!B164&lt;18,Customers!B164&gt;100),"Implausible age","")</f>
        <v/>
      </c>
      <c r="E164" s="4" t="str">
        <f>IF(Customers!H164&gt;Customers!B164-18,"Tenure &gt; age-18","")</f>
        <v/>
      </c>
      <c r="F164" s="4" t="str">
        <f>IF(Customers!R164&gt;Customers!Q164,"Card spend &gt; limit","")</f>
        <v/>
      </c>
      <c r="G164" s="4" t="str">
        <f>IF(OR(AND(Customers!S164&gt;0,Customers!T164=0),AND(Customers!S164=0,Customers!T164&gt;0)),"Mortgage/payment inconsistent","")</f>
        <v/>
      </c>
      <c r="H164" s="4" t="str">
        <f>IF(AND(Customers!G164&lt;&gt;"",Customers!G164&gt;0,Customers!T164&gt;Customers!G164/12),"Payment &gt; monthly income","")</f>
        <v/>
      </c>
      <c r="I164" s="4" t="str">
        <f>IF(OR(Customers!I164&gt;DATE(2026,9,13),YEAR(Customers!I164)&lt;1980),"Implausible date","")</f>
        <v/>
      </c>
      <c r="J164" s="4" t="str">
        <f>IF(Customers!I164&gt;DATE(2026,9,13),"",IF(ABS(INT((DATE(2026,9,13)-Customers!I164)/365.25)-Customers!H164)&gt;1,"Date/tenure inconsistent",""))</f>
        <v/>
      </c>
      <c r="K164" s="4" t="str">
        <f>IF(COUNTIF(Customers!$A$2:$A$1001,Customers!A164)&gt;1,"Duplicate ID","")</f>
        <v/>
      </c>
      <c r="L164" s="4" t="str">
        <f>IF(COUNTIFS(Customers!$B$2:$B$1001,Customers!B164,Customers!$D$2:$D$1001,Customers!D164,Customers!$G$2:$G$1001,Customers!G164,Customers!$I$2:$I$1001,Customers!I164,Customers!$L$2:$L$1001,Customers!L164)&gt;1,"Duplicate record","")</f>
        <v/>
      </c>
      <c r="M164" s="4" t="str">
        <f>IF(OR(Customers!U164&lt;300,Customers!U164&gt;850),"Score out of range","")</f>
        <v/>
      </c>
      <c r="N164" s="4" t="str">
        <f>IF(AND(Customers!G164&lt;&gt;"",Customers!G164&lt;=0),"Income ≤ 0","")</f>
        <v/>
      </c>
      <c r="O164" s="4" t="str">
        <f>IF(OR(Customers!G164="",Customers!M164=""),"Missing value","")</f>
        <v/>
      </c>
      <c r="P164" s="4">
        <f t="shared" si="2"/>
        <v>0</v>
      </c>
    </row>
    <row r="165" spans="1:16" x14ac:dyDescent="0.25">
      <c r="A165" s="4" t="str">
        <f>Customers!A165</f>
        <v>CL00161</v>
      </c>
      <c r="B165" s="20">
        <f>IF(Customers!G165="","",(Customers!G165-Statistics!$C$7)/Statistics!$C$9)</f>
        <v>-6.2719342567928396E-2</v>
      </c>
      <c r="C165" s="4" t="str">
        <f>IF(Customers!G165="","",IF(OR(Customers!G165&lt;Statistics!$C$15,Customers!G165&gt;Statistics!$C$16),"Outside 1.5·IQR",""))</f>
        <v/>
      </c>
      <c r="D165" s="4" t="str">
        <f>IF(OR(Customers!B165&lt;18,Customers!B165&gt;100),"Implausible age","")</f>
        <v/>
      </c>
      <c r="E165" s="4" t="str">
        <f>IF(Customers!H165&gt;Customers!B165-18,"Tenure &gt; age-18","")</f>
        <v/>
      </c>
      <c r="F165" s="4" t="str">
        <f>IF(Customers!R165&gt;Customers!Q165,"Card spend &gt; limit","")</f>
        <v/>
      </c>
      <c r="G165" s="4" t="str">
        <f>IF(OR(AND(Customers!S165&gt;0,Customers!T165=0),AND(Customers!S165=0,Customers!T165&gt;0)),"Mortgage/payment inconsistent","")</f>
        <v/>
      </c>
      <c r="H165" s="4" t="str">
        <f>IF(AND(Customers!G165&lt;&gt;"",Customers!G165&gt;0,Customers!T165&gt;Customers!G165/12),"Payment &gt; monthly income","")</f>
        <v/>
      </c>
      <c r="I165" s="4" t="str">
        <f>IF(OR(Customers!I165&gt;DATE(2026,9,13),YEAR(Customers!I165)&lt;1980),"Implausible date","")</f>
        <v/>
      </c>
      <c r="J165" s="4" t="str">
        <f>IF(Customers!I165&gt;DATE(2026,9,13),"",IF(ABS(INT((DATE(2026,9,13)-Customers!I165)/365.25)-Customers!H165)&gt;1,"Date/tenure inconsistent",""))</f>
        <v/>
      </c>
      <c r="K165" s="4" t="str">
        <f>IF(COUNTIF(Customers!$A$2:$A$1001,Customers!A165)&gt;1,"Duplicate ID","")</f>
        <v/>
      </c>
      <c r="L165" s="4" t="str">
        <f>IF(COUNTIFS(Customers!$B$2:$B$1001,Customers!B165,Customers!$D$2:$D$1001,Customers!D165,Customers!$G$2:$G$1001,Customers!G165,Customers!$I$2:$I$1001,Customers!I165,Customers!$L$2:$L$1001,Customers!L165)&gt;1,"Duplicate record","")</f>
        <v/>
      </c>
      <c r="M165" s="4" t="str">
        <f>IF(OR(Customers!U165&lt;300,Customers!U165&gt;850),"Score out of range","")</f>
        <v/>
      </c>
      <c r="N165" s="4" t="str">
        <f>IF(AND(Customers!G165&lt;&gt;"",Customers!G165&lt;=0),"Income ≤ 0","")</f>
        <v/>
      </c>
      <c r="O165" s="4" t="str">
        <f>IF(OR(Customers!G165="",Customers!M165=""),"Missing value","")</f>
        <v/>
      </c>
      <c r="P165" s="4">
        <f t="shared" si="2"/>
        <v>0</v>
      </c>
    </row>
    <row r="166" spans="1:16" x14ac:dyDescent="0.25">
      <c r="A166" s="4" t="str">
        <f>Customers!A166</f>
        <v>CL00162</v>
      </c>
      <c r="B166" s="20">
        <f>IF(Customers!G166="","",(Customers!G166-Statistics!$C$7)/Statistics!$C$9)</f>
        <v>-5.8878141286760333E-2</v>
      </c>
      <c r="C166" s="4" t="str">
        <f>IF(Customers!G166="","",IF(OR(Customers!G166&lt;Statistics!$C$15,Customers!G166&gt;Statistics!$C$16),"Outside 1.5·IQR",""))</f>
        <v/>
      </c>
      <c r="D166" s="4" t="str">
        <f>IF(OR(Customers!B166&lt;18,Customers!B166&gt;100),"Implausible age","")</f>
        <v/>
      </c>
      <c r="E166" s="4" t="str">
        <f>IF(Customers!H166&gt;Customers!B166-18,"Tenure &gt; age-18","")</f>
        <v/>
      </c>
      <c r="F166" s="4" t="str">
        <f>IF(Customers!R166&gt;Customers!Q166,"Card spend &gt; limit","")</f>
        <v/>
      </c>
      <c r="G166" s="4" t="str">
        <f>IF(OR(AND(Customers!S166&gt;0,Customers!T166=0),AND(Customers!S166=0,Customers!T166&gt;0)),"Mortgage/payment inconsistent","")</f>
        <v/>
      </c>
      <c r="H166" s="4" t="str">
        <f>IF(AND(Customers!G166&lt;&gt;"",Customers!G166&gt;0,Customers!T166&gt;Customers!G166/12),"Payment &gt; monthly income","")</f>
        <v/>
      </c>
      <c r="I166" s="4" t="str">
        <f>IF(OR(Customers!I166&gt;DATE(2026,9,13),YEAR(Customers!I166)&lt;1980),"Implausible date","")</f>
        <v/>
      </c>
      <c r="J166" s="4" t="str">
        <f>IF(Customers!I166&gt;DATE(2026,9,13),"",IF(ABS(INT((DATE(2026,9,13)-Customers!I166)/365.25)-Customers!H166)&gt;1,"Date/tenure inconsistent",""))</f>
        <v/>
      </c>
      <c r="K166" s="4" t="str">
        <f>IF(COUNTIF(Customers!$A$2:$A$1001,Customers!A166)&gt;1,"Duplicate ID","")</f>
        <v/>
      </c>
      <c r="L166" s="4" t="str">
        <f>IF(COUNTIFS(Customers!$B$2:$B$1001,Customers!B166,Customers!$D$2:$D$1001,Customers!D166,Customers!$G$2:$G$1001,Customers!G166,Customers!$I$2:$I$1001,Customers!I166,Customers!$L$2:$L$1001,Customers!L166)&gt;1,"Duplicate record","")</f>
        <v/>
      </c>
      <c r="M166" s="4" t="str">
        <f>IF(OR(Customers!U166&lt;300,Customers!U166&gt;850),"Score out of range","")</f>
        <v/>
      </c>
      <c r="N166" s="4" t="str">
        <f>IF(AND(Customers!G166&lt;&gt;"",Customers!G166&lt;=0),"Income ≤ 0","")</f>
        <v/>
      </c>
      <c r="O166" s="4" t="str">
        <f>IF(OR(Customers!G166="",Customers!M166=""),"Missing value","")</f>
        <v/>
      </c>
      <c r="P166" s="4">
        <f t="shared" si="2"/>
        <v>0</v>
      </c>
    </row>
    <row r="167" spans="1:16" x14ac:dyDescent="0.25">
      <c r="A167" s="4" t="str">
        <f>Customers!A167</f>
        <v>CL00163</v>
      </c>
      <c r="B167" s="20">
        <f>IF(Customers!G167="","",(Customers!G167-Statistics!$C$7)/Statistics!$C$9)</f>
        <v>-5.2771616173108535E-2</v>
      </c>
      <c r="C167" s="4" t="str">
        <f>IF(Customers!G167="","",IF(OR(Customers!G167&lt;Statistics!$C$15,Customers!G167&gt;Statistics!$C$16),"Outside 1.5·IQR",""))</f>
        <v/>
      </c>
      <c r="D167" s="4" t="str">
        <f>IF(OR(Customers!B167&lt;18,Customers!B167&gt;100),"Implausible age","")</f>
        <v/>
      </c>
      <c r="E167" s="4" t="str">
        <f>IF(Customers!H167&gt;Customers!B167-18,"Tenure &gt; age-18","")</f>
        <v/>
      </c>
      <c r="F167" s="4" t="str">
        <f>IF(Customers!R167&gt;Customers!Q167,"Card spend &gt; limit","")</f>
        <v/>
      </c>
      <c r="G167" s="4" t="str">
        <f>IF(OR(AND(Customers!S167&gt;0,Customers!T167=0),AND(Customers!S167=0,Customers!T167&gt;0)),"Mortgage/payment inconsistent","")</f>
        <v/>
      </c>
      <c r="H167" s="4" t="str">
        <f>IF(AND(Customers!G167&lt;&gt;"",Customers!G167&gt;0,Customers!T167&gt;Customers!G167/12),"Payment &gt; monthly income","")</f>
        <v/>
      </c>
      <c r="I167" s="4" t="str">
        <f>IF(OR(Customers!I167&gt;DATE(2026,9,13),YEAR(Customers!I167)&lt;1980),"Implausible date","")</f>
        <v/>
      </c>
      <c r="J167" s="4" t="str">
        <f>IF(Customers!I167&gt;DATE(2026,9,13),"",IF(ABS(INT((DATE(2026,9,13)-Customers!I167)/365.25)-Customers!H167)&gt;1,"Date/tenure inconsistent",""))</f>
        <v/>
      </c>
      <c r="K167" s="4" t="str">
        <f>IF(COUNTIF(Customers!$A$2:$A$1001,Customers!A167)&gt;1,"Duplicate ID","")</f>
        <v/>
      </c>
      <c r="L167" s="4" t="str">
        <f>IF(COUNTIFS(Customers!$B$2:$B$1001,Customers!B167,Customers!$D$2:$D$1001,Customers!D167,Customers!$G$2:$G$1001,Customers!G167,Customers!$I$2:$I$1001,Customers!I167,Customers!$L$2:$L$1001,Customers!L167)&gt;1,"Duplicate record","")</f>
        <v/>
      </c>
      <c r="M167" s="4" t="str">
        <f>IF(OR(Customers!U167&lt;300,Customers!U167&gt;850),"Score out of range","")</f>
        <v/>
      </c>
      <c r="N167" s="4" t="str">
        <f>IF(AND(Customers!G167&lt;&gt;"",Customers!G167&lt;=0),"Income ≤ 0","")</f>
        <v/>
      </c>
      <c r="O167" s="4" t="str">
        <f>IF(OR(Customers!G167="",Customers!M167=""),"Missing value","")</f>
        <v/>
      </c>
      <c r="P167" s="4">
        <f t="shared" si="2"/>
        <v>0</v>
      </c>
    </row>
    <row r="168" spans="1:16" x14ac:dyDescent="0.25">
      <c r="A168" s="4" t="str">
        <f>Customers!A168</f>
        <v>CL00164</v>
      </c>
      <c r="B168" s="20">
        <f>IF(Customers!G168="","",(Customers!G168-Statistics!$C$7)/Statistics!$C$9)</f>
        <v>-1.3586144097821277E-3</v>
      </c>
      <c r="C168" s="4" t="str">
        <f>IF(Customers!G168="","",IF(OR(Customers!G168&lt;Statistics!$C$15,Customers!G168&gt;Statistics!$C$16),"Outside 1.5·IQR",""))</f>
        <v/>
      </c>
      <c r="D168" s="4" t="str">
        <f>IF(OR(Customers!B168&lt;18,Customers!B168&gt;100),"Implausible age","")</f>
        <v/>
      </c>
      <c r="E168" s="4" t="str">
        <f>IF(Customers!H168&gt;Customers!B168-18,"Tenure &gt; age-18","")</f>
        <v/>
      </c>
      <c r="F168" s="4" t="str">
        <f>IF(Customers!R168&gt;Customers!Q168,"Card spend &gt; limit","")</f>
        <v/>
      </c>
      <c r="G168" s="4" t="str">
        <f>IF(OR(AND(Customers!S168&gt;0,Customers!T168=0),AND(Customers!S168=0,Customers!T168&gt;0)),"Mortgage/payment inconsistent","")</f>
        <v/>
      </c>
      <c r="H168" s="4" t="str">
        <f>IF(AND(Customers!G168&lt;&gt;"",Customers!G168&gt;0,Customers!T168&gt;Customers!G168/12),"Payment &gt; monthly income","")</f>
        <v/>
      </c>
      <c r="I168" s="4" t="str">
        <f>IF(OR(Customers!I168&gt;DATE(2026,9,13),YEAR(Customers!I168)&lt;1980),"Implausible date","")</f>
        <v/>
      </c>
      <c r="J168" s="4" t="str">
        <f>IF(Customers!I168&gt;DATE(2026,9,13),"",IF(ABS(INT((DATE(2026,9,13)-Customers!I168)/365.25)-Customers!H168)&gt;1,"Date/tenure inconsistent",""))</f>
        <v/>
      </c>
      <c r="K168" s="4" t="str">
        <f>IF(COUNTIF(Customers!$A$2:$A$1001,Customers!A168)&gt;1,"Duplicate ID","")</f>
        <v/>
      </c>
      <c r="L168" s="4" t="str">
        <f>IF(COUNTIFS(Customers!$B$2:$B$1001,Customers!B168,Customers!$D$2:$D$1001,Customers!D168,Customers!$G$2:$G$1001,Customers!G168,Customers!$I$2:$I$1001,Customers!I168,Customers!$L$2:$L$1001,Customers!L168)&gt;1,"Duplicate record","")</f>
        <v/>
      </c>
      <c r="M168" s="4" t="str">
        <f>IF(OR(Customers!U168&lt;300,Customers!U168&gt;850),"Score out of range","")</f>
        <v/>
      </c>
      <c r="N168" s="4" t="str">
        <f>IF(AND(Customers!G168&lt;&gt;"",Customers!G168&lt;=0),"Income ≤ 0","")</f>
        <v/>
      </c>
      <c r="O168" s="4" t="str">
        <f>IF(OR(Customers!G168="",Customers!M168=""),"Missing value","")</f>
        <v/>
      </c>
      <c r="P168" s="4">
        <f t="shared" si="2"/>
        <v>0</v>
      </c>
    </row>
    <row r="169" spans="1:16" x14ac:dyDescent="0.25">
      <c r="A169" s="4" t="str">
        <f>Customers!A169</f>
        <v>CL00165</v>
      </c>
      <c r="B169" s="20">
        <f>IF(Customers!G169="","",(Customers!G169-Statistics!$C$7)/Statistics!$C$9)</f>
        <v>-1.7525837719532113E-3</v>
      </c>
      <c r="C169" s="4" t="str">
        <f>IF(Customers!G169="","",IF(OR(Customers!G169&lt;Statistics!$C$15,Customers!G169&gt;Statistics!$C$16),"Outside 1.5·IQR",""))</f>
        <v/>
      </c>
      <c r="D169" s="4" t="str">
        <f>IF(OR(Customers!B169&lt;18,Customers!B169&gt;100),"Implausible age","")</f>
        <v/>
      </c>
      <c r="E169" s="4" t="str">
        <f>IF(Customers!H169&gt;Customers!B169-18,"Tenure &gt; age-18","")</f>
        <v/>
      </c>
      <c r="F169" s="4" t="str">
        <f>IF(Customers!R169&gt;Customers!Q169,"Card spend &gt; limit","")</f>
        <v/>
      </c>
      <c r="G169" s="4" t="str">
        <f>IF(OR(AND(Customers!S169&gt;0,Customers!T169=0),AND(Customers!S169=0,Customers!T169&gt;0)),"Mortgage/payment inconsistent","")</f>
        <v/>
      </c>
      <c r="H169" s="4" t="str">
        <f>IF(AND(Customers!G169&lt;&gt;"",Customers!G169&gt;0,Customers!T169&gt;Customers!G169/12),"Payment &gt; monthly income","")</f>
        <v/>
      </c>
      <c r="I169" s="4" t="str">
        <f>IF(OR(Customers!I169&gt;DATE(2026,9,13),YEAR(Customers!I169)&lt;1980),"Implausible date","")</f>
        <v/>
      </c>
      <c r="J169" s="4" t="str">
        <f>IF(Customers!I169&gt;DATE(2026,9,13),"",IF(ABS(INT((DATE(2026,9,13)-Customers!I169)/365.25)-Customers!H169)&gt;1,"Date/tenure inconsistent",""))</f>
        <v/>
      </c>
      <c r="K169" s="4" t="str">
        <f>IF(COUNTIF(Customers!$A$2:$A$1001,Customers!A169)&gt;1,"Duplicate ID","")</f>
        <v/>
      </c>
      <c r="L169" s="4" t="str">
        <f>IF(COUNTIFS(Customers!$B$2:$B$1001,Customers!B169,Customers!$D$2:$D$1001,Customers!D169,Customers!$G$2:$G$1001,Customers!G169,Customers!$I$2:$I$1001,Customers!I169,Customers!$L$2:$L$1001,Customers!L169)&gt;1,"Duplicate record","")</f>
        <v/>
      </c>
      <c r="M169" s="4" t="str">
        <f>IF(OR(Customers!U169&lt;300,Customers!U169&gt;850),"Score out of range","")</f>
        <v/>
      </c>
      <c r="N169" s="4" t="str">
        <f>IF(AND(Customers!G169&lt;&gt;"",Customers!G169&lt;=0),"Income ≤ 0","")</f>
        <v/>
      </c>
      <c r="O169" s="4" t="str">
        <f>IF(OR(Customers!G169="",Customers!M169=""),"Missing value","")</f>
        <v/>
      </c>
      <c r="P169" s="4">
        <f t="shared" si="2"/>
        <v>0</v>
      </c>
    </row>
    <row r="170" spans="1:16" x14ac:dyDescent="0.25">
      <c r="A170" s="4" t="str">
        <f>Customers!A170</f>
        <v>CL00166</v>
      </c>
      <c r="B170" s="20">
        <f>IF(Customers!G170="","",(Customers!G170-Statistics!$C$7)/Statistics!$C$9)</f>
        <v>-5.2476139151480222E-2</v>
      </c>
      <c r="C170" s="4" t="str">
        <f>IF(Customers!G170="","",IF(OR(Customers!G170&lt;Statistics!$C$15,Customers!G170&gt;Statistics!$C$16),"Outside 1.5·IQR",""))</f>
        <v/>
      </c>
      <c r="D170" s="4" t="str">
        <f>IF(OR(Customers!B170&lt;18,Customers!B170&gt;100),"Implausible age","")</f>
        <v/>
      </c>
      <c r="E170" s="4" t="str">
        <f>IF(Customers!H170&gt;Customers!B170-18,"Tenure &gt; age-18","")</f>
        <v/>
      </c>
      <c r="F170" s="4" t="str">
        <f>IF(Customers!R170&gt;Customers!Q170,"Card spend &gt; limit","")</f>
        <v/>
      </c>
      <c r="G170" s="4" t="str">
        <f>IF(OR(AND(Customers!S170&gt;0,Customers!T170=0),AND(Customers!S170=0,Customers!T170&gt;0)),"Mortgage/payment inconsistent","")</f>
        <v/>
      </c>
      <c r="H170" s="4" t="str">
        <f>IF(AND(Customers!G170&lt;&gt;"",Customers!G170&gt;0,Customers!T170&gt;Customers!G170/12),"Payment &gt; monthly income","")</f>
        <v/>
      </c>
      <c r="I170" s="4" t="str">
        <f>IF(OR(Customers!I170&gt;DATE(2026,9,13),YEAR(Customers!I170)&lt;1980),"Implausible date","")</f>
        <v/>
      </c>
      <c r="J170" s="4" t="str">
        <f>IF(Customers!I170&gt;DATE(2026,9,13),"",IF(ABS(INT((DATE(2026,9,13)-Customers!I170)/365.25)-Customers!H170)&gt;1,"Date/tenure inconsistent",""))</f>
        <v/>
      </c>
      <c r="K170" s="4" t="str">
        <f>IF(COUNTIF(Customers!$A$2:$A$1001,Customers!A170)&gt;1,"Duplicate ID","")</f>
        <v/>
      </c>
      <c r="L170" s="4" t="str">
        <f>IF(COUNTIFS(Customers!$B$2:$B$1001,Customers!B170,Customers!$D$2:$D$1001,Customers!D170,Customers!$G$2:$G$1001,Customers!G170,Customers!$I$2:$I$1001,Customers!I170,Customers!$L$2:$L$1001,Customers!L170)&gt;1,"Duplicate record","")</f>
        <v/>
      </c>
      <c r="M170" s="4" t="str">
        <f>IF(OR(Customers!U170&lt;300,Customers!U170&gt;850),"Score out of range","")</f>
        <v/>
      </c>
      <c r="N170" s="4" t="str">
        <f>IF(AND(Customers!G170&lt;&gt;"",Customers!G170&lt;=0),"Income ≤ 0","")</f>
        <v/>
      </c>
      <c r="O170" s="4" t="str">
        <f>IF(OR(Customers!G170="",Customers!M170=""),"Missing value","")</f>
        <v/>
      </c>
      <c r="P170" s="4">
        <f t="shared" si="2"/>
        <v>0</v>
      </c>
    </row>
    <row r="171" spans="1:16" x14ac:dyDescent="0.25">
      <c r="A171" s="4" t="str">
        <f>Customers!A171</f>
        <v>CL00167</v>
      </c>
      <c r="B171" s="20">
        <f>IF(Customers!G171="","",(Customers!G171-Statistics!$C$7)/Statistics!$C$9)</f>
        <v>-5.218066212985191E-2</v>
      </c>
      <c r="C171" s="4" t="str">
        <f>IF(Customers!G171="","",IF(OR(Customers!G171&lt;Statistics!$C$15,Customers!G171&gt;Statistics!$C$16),"Outside 1.5·IQR",""))</f>
        <v/>
      </c>
      <c r="D171" s="4" t="str">
        <f>IF(OR(Customers!B171&lt;18,Customers!B171&gt;100),"Implausible age","")</f>
        <v/>
      </c>
      <c r="E171" s="4" t="str">
        <f>IF(Customers!H171&gt;Customers!B171-18,"Tenure &gt; age-18","")</f>
        <v/>
      </c>
      <c r="F171" s="4" t="str">
        <f>IF(Customers!R171&gt;Customers!Q171,"Card spend &gt; limit","")</f>
        <v/>
      </c>
      <c r="G171" s="4" t="str">
        <f>IF(OR(AND(Customers!S171&gt;0,Customers!T171=0),AND(Customers!S171=0,Customers!T171&gt;0)),"Mortgage/payment inconsistent","")</f>
        <v/>
      </c>
      <c r="H171" s="4" t="str">
        <f>IF(AND(Customers!G171&lt;&gt;"",Customers!G171&gt;0,Customers!T171&gt;Customers!G171/12),"Payment &gt; monthly income","")</f>
        <v/>
      </c>
      <c r="I171" s="4" t="str">
        <f>IF(OR(Customers!I171&gt;DATE(2026,9,13),YEAR(Customers!I171)&lt;1980),"Implausible date","")</f>
        <v/>
      </c>
      <c r="J171" s="4" t="str">
        <f>IF(Customers!I171&gt;DATE(2026,9,13),"",IF(ABS(INT((DATE(2026,9,13)-Customers!I171)/365.25)-Customers!H171)&gt;1,"Date/tenure inconsistent",""))</f>
        <v/>
      </c>
      <c r="K171" s="4" t="str">
        <f>IF(COUNTIF(Customers!$A$2:$A$1001,Customers!A171)&gt;1,"Duplicate ID","")</f>
        <v/>
      </c>
      <c r="L171" s="4" t="str">
        <f>IF(COUNTIFS(Customers!$B$2:$B$1001,Customers!B171,Customers!$D$2:$D$1001,Customers!D171,Customers!$G$2:$G$1001,Customers!G171,Customers!$I$2:$I$1001,Customers!I171,Customers!$L$2:$L$1001,Customers!L171)&gt;1,"Duplicate record","")</f>
        <v/>
      </c>
      <c r="M171" s="4" t="str">
        <f>IF(OR(Customers!U171&lt;300,Customers!U171&gt;850),"Score out of range","")</f>
        <v/>
      </c>
      <c r="N171" s="4" t="str">
        <f>IF(AND(Customers!G171&lt;&gt;"",Customers!G171&lt;=0),"Income ≤ 0","")</f>
        <v/>
      </c>
      <c r="O171" s="4" t="str">
        <f>IF(OR(Customers!G171="",Customers!M171=""),"Missing value","")</f>
        <v/>
      </c>
      <c r="P171" s="4">
        <f t="shared" si="2"/>
        <v>0</v>
      </c>
    </row>
    <row r="172" spans="1:16" x14ac:dyDescent="0.25">
      <c r="A172" s="4" t="str">
        <f>Customers!A172</f>
        <v>CL00168</v>
      </c>
      <c r="B172" s="20">
        <f>IF(Customers!G172="","",(Customers!G172-Statistics!$C$7)/Statistics!$C$9)</f>
        <v>-2.5981699545474853E-2</v>
      </c>
      <c r="C172" s="4" t="str">
        <f>IF(Customers!G172="","",IF(OR(Customers!G172&lt;Statistics!$C$15,Customers!G172&gt;Statistics!$C$16),"Outside 1.5·IQR",""))</f>
        <v/>
      </c>
      <c r="D172" s="4" t="str">
        <f>IF(OR(Customers!B172&lt;18,Customers!B172&gt;100),"Implausible age","")</f>
        <v/>
      </c>
      <c r="E172" s="4" t="str">
        <f>IF(Customers!H172&gt;Customers!B172-18,"Tenure &gt; age-18","")</f>
        <v/>
      </c>
      <c r="F172" s="4" t="str">
        <f>IF(Customers!R172&gt;Customers!Q172,"Card spend &gt; limit","")</f>
        <v/>
      </c>
      <c r="G172" s="4" t="str">
        <f>IF(OR(AND(Customers!S172&gt;0,Customers!T172=0),AND(Customers!S172=0,Customers!T172&gt;0)),"Mortgage/payment inconsistent","")</f>
        <v/>
      </c>
      <c r="H172" s="4" t="str">
        <f>IF(AND(Customers!G172&lt;&gt;"",Customers!G172&gt;0,Customers!T172&gt;Customers!G172/12),"Payment &gt; monthly income","")</f>
        <v/>
      </c>
      <c r="I172" s="4" t="str">
        <f>IF(OR(Customers!I172&gt;DATE(2026,9,13),YEAR(Customers!I172)&lt;1980),"Implausible date","")</f>
        <v/>
      </c>
      <c r="J172" s="4" t="str">
        <f>IF(Customers!I172&gt;DATE(2026,9,13),"",IF(ABS(INT((DATE(2026,9,13)-Customers!I172)/365.25)-Customers!H172)&gt;1,"Date/tenure inconsistent",""))</f>
        <v/>
      </c>
      <c r="K172" s="4" t="str">
        <f>IF(COUNTIF(Customers!$A$2:$A$1001,Customers!A172)&gt;1,"Duplicate ID","")</f>
        <v/>
      </c>
      <c r="L172" s="4" t="str">
        <f>IF(COUNTIFS(Customers!$B$2:$B$1001,Customers!B172,Customers!$D$2:$D$1001,Customers!D172,Customers!$G$2:$G$1001,Customers!G172,Customers!$I$2:$I$1001,Customers!I172,Customers!$L$2:$L$1001,Customers!L172)&gt;1,"Duplicate record","")</f>
        <v/>
      </c>
      <c r="M172" s="4" t="str">
        <f>IF(OR(Customers!U172&lt;300,Customers!U172&gt;850),"Score out of range","")</f>
        <v/>
      </c>
      <c r="N172" s="4" t="str">
        <f>IF(AND(Customers!G172&lt;&gt;"",Customers!G172&lt;=0),"Income ≤ 0","")</f>
        <v/>
      </c>
      <c r="O172" s="4" t="str">
        <f>IF(OR(Customers!G172="",Customers!M172=""),"Missing value","")</f>
        <v/>
      </c>
      <c r="P172" s="4">
        <f t="shared" si="2"/>
        <v>0</v>
      </c>
    </row>
    <row r="173" spans="1:16" x14ac:dyDescent="0.25">
      <c r="A173" s="4" t="str">
        <f>Customers!A173</f>
        <v>CL00169</v>
      </c>
      <c r="B173" s="20">
        <f>IF(Customers!G173="","",(Customers!G173-Statistics!$C$7)/Statistics!$C$9)</f>
        <v>-4.6665091059456737E-2</v>
      </c>
      <c r="C173" s="4" t="str">
        <f>IF(Customers!G173="","",IF(OR(Customers!G173&lt;Statistics!$C$15,Customers!G173&gt;Statistics!$C$16),"Outside 1.5·IQR",""))</f>
        <v/>
      </c>
      <c r="D173" s="4" t="str">
        <f>IF(OR(Customers!B173&lt;18,Customers!B173&gt;100),"Implausible age","")</f>
        <v/>
      </c>
      <c r="E173" s="4" t="str">
        <f>IF(Customers!H173&gt;Customers!B173-18,"Tenure &gt; age-18","")</f>
        <v/>
      </c>
      <c r="F173" s="4" t="str">
        <f>IF(Customers!R173&gt;Customers!Q173,"Card spend &gt; limit","")</f>
        <v/>
      </c>
      <c r="G173" s="4" t="str">
        <f>IF(OR(AND(Customers!S173&gt;0,Customers!T173=0),AND(Customers!S173=0,Customers!T173&gt;0)),"Mortgage/payment inconsistent","")</f>
        <v/>
      </c>
      <c r="H173" s="4" t="str">
        <f>IF(AND(Customers!G173&lt;&gt;"",Customers!G173&gt;0,Customers!T173&gt;Customers!G173/12),"Payment &gt; monthly income","")</f>
        <v/>
      </c>
      <c r="I173" s="4" t="str">
        <f>IF(OR(Customers!I173&gt;DATE(2026,9,13),YEAR(Customers!I173)&lt;1980),"Implausible date","")</f>
        <v/>
      </c>
      <c r="J173" s="4" t="str">
        <f>IF(Customers!I173&gt;DATE(2026,9,13),"",IF(ABS(INT((DATE(2026,9,13)-Customers!I173)/365.25)-Customers!H173)&gt;1,"Date/tenure inconsistent",""))</f>
        <v/>
      </c>
      <c r="K173" s="4" t="str">
        <f>IF(COUNTIF(Customers!$A$2:$A$1001,Customers!A173)&gt;1,"Duplicate ID","")</f>
        <v/>
      </c>
      <c r="L173" s="4" t="str">
        <f>IF(COUNTIFS(Customers!$B$2:$B$1001,Customers!B173,Customers!$D$2:$D$1001,Customers!D173,Customers!$G$2:$G$1001,Customers!G173,Customers!$I$2:$I$1001,Customers!I173,Customers!$L$2:$L$1001,Customers!L173)&gt;1,"Duplicate record","")</f>
        <v/>
      </c>
      <c r="M173" s="4" t="str">
        <f>IF(OR(Customers!U173&lt;300,Customers!U173&gt;850),"Score out of range","")</f>
        <v/>
      </c>
      <c r="N173" s="4" t="str">
        <f>IF(AND(Customers!G173&lt;&gt;"",Customers!G173&lt;=0),"Income ≤ 0","")</f>
        <v/>
      </c>
      <c r="O173" s="4" t="str">
        <f>IF(OR(Customers!G173="",Customers!M173=""),"Missing value","")</f>
        <v/>
      </c>
      <c r="P173" s="4">
        <f t="shared" si="2"/>
        <v>0</v>
      </c>
    </row>
    <row r="174" spans="1:16" x14ac:dyDescent="0.25">
      <c r="A174" s="4" t="str">
        <f>Customers!A174</f>
        <v>CL00170</v>
      </c>
      <c r="B174" s="20">
        <f>IF(Customers!G174="","",(Customers!G174-Statistics!$C$7)/Statistics!$C$9)</f>
        <v>-1.4359603361427886E-2</v>
      </c>
      <c r="C174" s="4" t="str">
        <f>IF(Customers!G174="","",IF(OR(Customers!G174&lt;Statistics!$C$15,Customers!G174&gt;Statistics!$C$16),"Outside 1.5·IQR",""))</f>
        <v/>
      </c>
      <c r="D174" s="4" t="str">
        <f>IF(OR(Customers!B174&lt;18,Customers!B174&gt;100),"Implausible age","")</f>
        <v/>
      </c>
      <c r="E174" s="4" t="str">
        <f>IF(Customers!H174&gt;Customers!B174-18,"Tenure &gt; age-18","")</f>
        <v/>
      </c>
      <c r="F174" s="4" t="str">
        <f>IF(Customers!R174&gt;Customers!Q174,"Card spend &gt; limit","")</f>
        <v/>
      </c>
      <c r="G174" s="4" t="str">
        <f>IF(OR(AND(Customers!S174&gt;0,Customers!T174=0),AND(Customers!S174=0,Customers!T174&gt;0)),"Mortgage/payment inconsistent","")</f>
        <v/>
      </c>
      <c r="H174" s="4" t="str">
        <f>IF(AND(Customers!G174&lt;&gt;"",Customers!G174&gt;0,Customers!T174&gt;Customers!G174/12),"Payment &gt; monthly income","")</f>
        <v/>
      </c>
      <c r="I174" s="4" t="str">
        <f>IF(OR(Customers!I174&gt;DATE(2026,9,13),YEAR(Customers!I174)&lt;1980),"Implausible date","")</f>
        <v/>
      </c>
      <c r="J174" s="4" t="str">
        <f>IF(Customers!I174&gt;DATE(2026,9,13),"",IF(ABS(INT((DATE(2026,9,13)-Customers!I174)/365.25)-Customers!H174)&gt;1,"Date/tenure inconsistent",""))</f>
        <v/>
      </c>
      <c r="K174" s="4" t="str">
        <f>IF(COUNTIF(Customers!$A$2:$A$1001,Customers!A174)&gt;1,"Duplicate ID","")</f>
        <v/>
      </c>
      <c r="L174" s="4" t="str">
        <f>IF(COUNTIFS(Customers!$B$2:$B$1001,Customers!B174,Customers!$D$2:$D$1001,Customers!D174,Customers!$G$2:$G$1001,Customers!G174,Customers!$I$2:$I$1001,Customers!I174,Customers!$L$2:$L$1001,Customers!L174)&gt;1,"Duplicate record","")</f>
        <v/>
      </c>
      <c r="M174" s="4" t="str">
        <f>IF(OR(Customers!U174&lt;300,Customers!U174&gt;850),"Score out of range","")</f>
        <v/>
      </c>
      <c r="N174" s="4" t="str">
        <f>IF(AND(Customers!G174&lt;&gt;"",Customers!G174&lt;=0),"Income ≤ 0","")</f>
        <v/>
      </c>
      <c r="O174" s="4" t="str">
        <f>IF(OR(Customers!G174="",Customers!M174=""),"Missing value","")</f>
        <v/>
      </c>
      <c r="P174" s="4">
        <f t="shared" si="2"/>
        <v>0</v>
      </c>
    </row>
    <row r="175" spans="1:16" x14ac:dyDescent="0.25">
      <c r="A175" s="4" t="str">
        <f>Customers!A175</f>
        <v>CL00171</v>
      </c>
      <c r="B175" s="20">
        <f>IF(Customers!G175="","",(Customers!G175-Statistics!$C$7)/Statistics!$C$9)</f>
        <v>-5.740075617861877E-2</v>
      </c>
      <c r="C175" s="4" t="str">
        <f>IF(Customers!G175="","",IF(OR(Customers!G175&lt;Statistics!$C$15,Customers!G175&gt;Statistics!$C$16),"Outside 1.5·IQR",""))</f>
        <v/>
      </c>
      <c r="D175" s="4" t="str">
        <f>IF(OR(Customers!B175&lt;18,Customers!B175&gt;100),"Implausible age","")</f>
        <v/>
      </c>
      <c r="E175" s="4" t="str">
        <f>IF(Customers!H175&gt;Customers!B175-18,"Tenure &gt; age-18","")</f>
        <v/>
      </c>
      <c r="F175" s="4" t="str">
        <f>IF(Customers!R175&gt;Customers!Q175,"Card spend &gt; limit","")</f>
        <v/>
      </c>
      <c r="G175" s="4" t="str">
        <f>IF(OR(AND(Customers!S175&gt;0,Customers!T175=0),AND(Customers!S175=0,Customers!T175&gt;0)),"Mortgage/payment inconsistent","")</f>
        <v/>
      </c>
      <c r="H175" s="4" t="str">
        <f>IF(AND(Customers!G175&lt;&gt;"",Customers!G175&gt;0,Customers!T175&gt;Customers!G175/12),"Payment &gt; monthly income","")</f>
        <v/>
      </c>
      <c r="I175" s="4" t="str">
        <f>IF(OR(Customers!I175&gt;DATE(2026,9,13),YEAR(Customers!I175)&lt;1980),"Implausible date","")</f>
        <v/>
      </c>
      <c r="J175" s="4" t="str">
        <f>IF(Customers!I175&gt;DATE(2026,9,13),"",IF(ABS(INT((DATE(2026,9,13)-Customers!I175)/365.25)-Customers!H175)&gt;1,"Date/tenure inconsistent",""))</f>
        <v/>
      </c>
      <c r="K175" s="4" t="str">
        <f>IF(COUNTIF(Customers!$A$2:$A$1001,Customers!A175)&gt;1,"Duplicate ID","")</f>
        <v/>
      </c>
      <c r="L175" s="4" t="str">
        <f>IF(COUNTIFS(Customers!$B$2:$B$1001,Customers!B175,Customers!$D$2:$D$1001,Customers!D175,Customers!$G$2:$G$1001,Customers!G175,Customers!$I$2:$I$1001,Customers!I175,Customers!$L$2:$L$1001,Customers!L175)&gt;1,"Duplicate record","")</f>
        <v/>
      </c>
      <c r="M175" s="4" t="str">
        <f>IF(OR(Customers!U175&lt;300,Customers!U175&gt;850),"Score out of range","")</f>
        <v/>
      </c>
      <c r="N175" s="4" t="str">
        <f>IF(AND(Customers!G175&lt;&gt;"",Customers!G175&lt;=0),"Income ≤ 0","")</f>
        <v/>
      </c>
      <c r="O175" s="4" t="str">
        <f>IF(OR(Customers!G175="",Customers!M175=""),"Missing value","")</f>
        <v/>
      </c>
      <c r="P175" s="4">
        <f t="shared" si="2"/>
        <v>0</v>
      </c>
    </row>
    <row r="176" spans="1:16" x14ac:dyDescent="0.25">
      <c r="A176" s="4" t="str">
        <f>Customers!A176</f>
        <v>CL00172</v>
      </c>
      <c r="B176" s="20">
        <f>IF(Customers!G176="","",(Customers!G176-Statistics!$C$7)/Statistics!$C$9)</f>
        <v>-2.7360592313073643E-2</v>
      </c>
      <c r="C176" s="4" t="str">
        <f>IF(Customers!G176="","",IF(OR(Customers!G176&lt;Statistics!$C$15,Customers!G176&gt;Statistics!$C$16),"Outside 1.5·IQR",""))</f>
        <v/>
      </c>
      <c r="D176" s="4" t="str">
        <f>IF(OR(Customers!B176&lt;18,Customers!B176&gt;100),"Implausible age","")</f>
        <v/>
      </c>
      <c r="E176" s="4" t="str">
        <f>IF(Customers!H176&gt;Customers!B176-18,"Tenure &gt; age-18","")</f>
        <v/>
      </c>
      <c r="F176" s="4" t="str">
        <f>IF(Customers!R176&gt;Customers!Q176,"Card spend &gt; limit","")</f>
        <v/>
      </c>
      <c r="G176" s="4" t="str">
        <f>IF(OR(AND(Customers!S176&gt;0,Customers!T176=0),AND(Customers!S176=0,Customers!T176&gt;0)),"Mortgage/payment inconsistent","")</f>
        <v/>
      </c>
      <c r="H176" s="4" t="str">
        <f>IF(AND(Customers!G176&lt;&gt;"",Customers!G176&gt;0,Customers!T176&gt;Customers!G176/12),"Payment &gt; monthly income","")</f>
        <v/>
      </c>
      <c r="I176" s="4" t="str">
        <f>IF(OR(Customers!I176&gt;DATE(2026,9,13),YEAR(Customers!I176)&lt;1980),"Implausible date","")</f>
        <v/>
      </c>
      <c r="J176" s="4" t="str">
        <f>IF(Customers!I176&gt;DATE(2026,9,13),"",IF(ABS(INT((DATE(2026,9,13)-Customers!I176)/365.25)-Customers!H176)&gt;1,"Date/tenure inconsistent",""))</f>
        <v/>
      </c>
      <c r="K176" s="4" t="str">
        <f>IF(COUNTIF(Customers!$A$2:$A$1001,Customers!A176)&gt;1,"Duplicate ID","")</f>
        <v/>
      </c>
      <c r="L176" s="4" t="str">
        <f>IF(COUNTIFS(Customers!$B$2:$B$1001,Customers!B176,Customers!$D$2:$D$1001,Customers!D176,Customers!$G$2:$G$1001,Customers!G176,Customers!$I$2:$I$1001,Customers!I176,Customers!$L$2:$L$1001,Customers!L176)&gt;1,"Duplicate record","")</f>
        <v/>
      </c>
      <c r="M176" s="4" t="str">
        <f>IF(OR(Customers!U176&lt;300,Customers!U176&gt;850),"Score out of range","")</f>
        <v/>
      </c>
      <c r="N176" s="4" t="str">
        <f>IF(AND(Customers!G176&lt;&gt;"",Customers!G176&lt;=0),"Income ≤ 0","")</f>
        <v/>
      </c>
      <c r="O176" s="4" t="str">
        <f>IF(OR(Customers!G176="",Customers!M176=""),"Missing value","")</f>
        <v/>
      </c>
      <c r="P176" s="4">
        <f t="shared" si="2"/>
        <v>0</v>
      </c>
    </row>
    <row r="177" spans="1:16" x14ac:dyDescent="0.25">
      <c r="A177" s="4" t="str">
        <f>Customers!A177</f>
        <v>CL00173</v>
      </c>
      <c r="B177" s="20">
        <f>IF(Customers!G177="","",(Customers!G177-Statistics!$C$7)/Statistics!$C$9)</f>
        <v>-2.9133454442843522E-2</v>
      </c>
      <c r="C177" s="4" t="str">
        <f>IF(Customers!G177="","",IF(OR(Customers!G177&lt;Statistics!$C$15,Customers!G177&gt;Statistics!$C$16),"Outside 1.5·IQR",""))</f>
        <v/>
      </c>
      <c r="D177" s="4" t="str">
        <f>IF(OR(Customers!B177&lt;18,Customers!B177&gt;100),"Implausible age","")</f>
        <v/>
      </c>
      <c r="E177" s="4" t="str">
        <f>IF(Customers!H177&gt;Customers!B177-18,"Tenure &gt; age-18","")</f>
        <v/>
      </c>
      <c r="F177" s="4" t="str">
        <f>IF(Customers!R177&gt;Customers!Q177,"Card spend &gt; limit","")</f>
        <v/>
      </c>
      <c r="G177" s="4" t="str">
        <f>IF(OR(AND(Customers!S177&gt;0,Customers!T177=0),AND(Customers!S177=0,Customers!T177&gt;0)),"Mortgage/payment inconsistent","")</f>
        <v/>
      </c>
      <c r="H177" s="4" t="str">
        <f>IF(AND(Customers!G177&lt;&gt;"",Customers!G177&gt;0,Customers!T177&gt;Customers!G177/12),"Payment &gt; monthly income","")</f>
        <v/>
      </c>
      <c r="I177" s="4" t="str">
        <f>IF(OR(Customers!I177&gt;DATE(2026,9,13),YEAR(Customers!I177)&lt;1980),"Implausible date","")</f>
        <v/>
      </c>
      <c r="J177" s="4" t="str">
        <f>IF(Customers!I177&gt;DATE(2026,9,13),"",IF(ABS(INT((DATE(2026,9,13)-Customers!I177)/365.25)-Customers!H177)&gt;1,"Date/tenure inconsistent",""))</f>
        <v/>
      </c>
      <c r="K177" s="4" t="str">
        <f>IF(COUNTIF(Customers!$A$2:$A$1001,Customers!A177)&gt;1,"Duplicate ID","")</f>
        <v/>
      </c>
      <c r="L177" s="4" t="str">
        <f>IF(COUNTIFS(Customers!$B$2:$B$1001,Customers!B177,Customers!$D$2:$D$1001,Customers!D177,Customers!$G$2:$G$1001,Customers!G177,Customers!$I$2:$I$1001,Customers!I177,Customers!$L$2:$L$1001,Customers!L177)&gt;1,"Duplicate record","")</f>
        <v/>
      </c>
      <c r="M177" s="4" t="str">
        <f>IF(OR(Customers!U177&lt;300,Customers!U177&gt;850),"Score out of range","")</f>
        <v/>
      </c>
      <c r="N177" s="4" t="str">
        <f>IF(AND(Customers!G177&lt;&gt;"",Customers!G177&lt;=0),"Income ≤ 0","")</f>
        <v/>
      </c>
      <c r="O177" s="4" t="str">
        <f>IF(OR(Customers!G177="",Customers!M177=""),"Missing value","")</f>
        <v/>
      </c>
      <c r="P177" s="4">
        <f t="shared" si="2"/>
        <v>0</v>
      </c>
    </row>
    <row r="178" spans="1:16" x14ac:dyDescent="0.25">
      <c r="A178" s="4" t="str">
        <f>Customers!A178</f>
        <v>CL00174</v>
      </c>
      <c r="B178" s="20">
        <f>IF(Customers!G178="","",(Customers!G178-Statistics!$C$7)/Statistics!$C$9)</f>
        <v>-5.3559554897450706E-2</v>
      </c>
      <c r="C178" s="4" t="str">
        <f>IF(Customers!G178="","",IF(OR(Customers!G178&lt;Statistics!$C$15,Customers!G178&gt;Statistics!$C$16),"Outside 1.5·IQR",""))</f>
        <v/>
      </c>
      <c r="D178" s="4" t="str">
        <f>IF(OR(Customers!B178&lt;18,Customers!B178&gt;100),"Implausible age","")</f>
        <v/>
      </c>
      <c r="E178" s="4" t="str">
        <f>IF(Customers!H178&gt;Customers!B178-18,"Tenure &gt; age-18","")</f>
        <v/>
      </c>
      <c r="F178" s="4" t="str">
        <f>IF(Customers!R178&gt;Customers!Q178,"Card spend &gt; limit","")</f>
        <v/>
      </c>
      <c r="G178" s="4" t="str">
        <f>IF(OR(AND(Customers!S178&gt;0,Customers!T178=0),AND(Customers!S178=0,Customers!T178&gt;0)),"Mortgage/payment inconsistent","")</f>
        <v/>
      </c>
      <c r="H178" s="4" t="str">
        <f>IF(AND(Customers!G178&lt;&gt;"",Customers!G178&gt;0,Customers!T178&gt;Customers!G178/12),"Payment &gt; monthly income","")</f>
        <v/>
      </c>
      <c r="I178" s="4" t="str">
        <f>IF(OR(Customers!I178&gt;DATE(2026,9,13),YEAR(Customers!I178)&lt;1980),"Implausible date","")</f>
        <v/>
      </c>
      <c r="J178" s="4" t="str">
        <f>IF(Customers!I178&gt;DATE(2026,9,13),"",IF(ABS(INT((DATE(2026,9,13)-Customers!I178)/365.25)-Customers!H178)&gt;1,"Date/tenure inconsistent",""))</f>
        <v/>
      </c>
      <c r="K178" s="4" t="str">
        <f>IF(COUNTIF(Customers!$A$2:$A$1001,Customers!A178)&gt;1,"Duplicate ID","")</f>
        <v/>
      </c>
      <c r="L178" s="4" t="str">
        <f>IF(COUNTIFS(Customers!$B$2:$B$1001,Customers!B178,Customers!$D$2:$D$1001,Customers!D178,Customers!$G$2:$G$1001,Customers!G178,Customers!$I$2:$I$1001,Customers!I178,Customers!$L$2:$L$1001,Customers!L178)&gt;1,"Duplicate record","")</f>
        <v/>
      </c>
      <c r="M178" s="4" t="str">
        <f>IF(OR(Customers!U178&lt;300,Customers!U178&gt;850),"Score out of range","")</f>
        <v/>
      </c>
      <c r="N178" s="4" t="str">
        <f>IF(AND(Customers!G178&lt;&gt;"",Customers!G178&lt;=0),"Income ≤ 0","")</f>
        <v/>
      </c>
      <c r="O178" s="4" t="str">
        <f>IF(OR(Customers!G178="",Customers!M178=""),"Missing value","")</f>
        <v/>
      </c>
      <c r="P178" s="4">
        <f t="shared" si="2"/>
        <v>0</v>
      </c>
    </row>
    <row r="179" spans="1:16" x14ac:dyDescent="0.25">
      <c r="A179" s="4" t="str">
        <f>Customers!A179</f>
        <v>CL00175</v>
      </c>
      <c r="B179" s="20">
        <f>IF(Customers!G179="","",(Customers!G179-Statistics!$C$7)/Statistics!$C$9)</f>
        <v>1.3612221352719049E-2</v>
      </c>
      <c r="C179" s="4" t="str">
        <f>IF(Customers!G179="","",IF(OR(Customers!G179&lt;Statistics!$C$15,Customers!G179&gt;Statistics!$C$16),"Outside 1.5·IQR",""))</f>
        <v>Outside 1.5·IQR</v>
      </c>
      <c r="D179" s="4" t="str">
        <f>IF(OR(Customers!B179&lt;18,Customers!B179&gt;100),"Implausible age","")</f>
        <v/>
      </c>
      <c r="E179" s="4" t="str">
        <f>IF(Customers!H179&gt;Customers!B179-18,"Tenure &gt; age-18","")</f>
        <v/>
      </c>
      <c r="F179" s="4" t="str">
        <f>IF(Customers!R179&gt;Customers!Q179,"Card spend &gt; limit","")</f>
        <v/>
      </c>
      <c r="G179" s="4" t="str">
        <f>IF(OR(AND(Customers!S179&gt;0,Customers!T179=0),AND(Customers!S179=0,Customers!T179&gt;0)),"Mortgage/payment inconsistent","")</f>
        <v/>
      </c>
      <c r="H179" s="4" t="str">
        <f>IF(AND(Customers!G179&lt;&gt;"",Customers!G179&gt;0,Customers!T179&gt;Customers!G179/12),"Payment &gt; monthly income","")</f>
        <v/>
      </c>
      <c r="I179" s="4" t="str">
        <f>IF(OR(Customers!I179&gt;DATE(2026,9,13),YEAR(Customers!I179)&lt;1980),"Implausible date","")</f>
        <v/>
      </c>
      <c r="J179" s="4" t="str">
        <f>IF(Customers!I179&gt;DATE(2026,9,13),"",IF(ABS(INT((DATE(2026,9,13)-Customers!I179)/365.25)-Customers!H179)&gt;1,"Date/tenure inconsistent",""))</f>
        <v/>
      </c>
      <c r="K179" s="4" t="str">
        <f>IF(COUNTIF(Customers!$A$2:$A$1001,Customers!A179)&gt;1,"Duplicate ID","")</f>
        <v/>
      </c>
      <c r="L179" s="4" t="str">
        <f>IF(COUNTIFS(Customers!$B$2:$B$1001,Customers!B179,Customers!$D$2:$D$1001,Customers!D179,Customers!$G$2:$G$1001,Customers!G179,Customers!$I$2:$I$1001,Customers!I179,Customers!$L$2:$L$1001,Customers!L179)&gt;1,"Duplicate record","")</f>
        <v/>
      </c>
      <c r="M179" s="4" t="str">
        <f>IF(OR(Customers!U179&lt;300,Customers!U179&gt;850),"Score out of range","")</f>
        <v/>
      </c>
      <c r="N179" s="4" t="str">
        <f>IF(AND(Customers!G179&lt;&gt;"",Customers!G179&lt;=0),"Income ≤ 0","")</f>
        <v/>
      </c>
      <c r="O179" s="4" t="str">
        <f>IF(OR(Customers!G179="",Customers!M179=""),"Missing value","")</f>
        <v/>
      </c>
      <c r="P179" s="4">
        <f t="shared" si="2"/>
        <v>1</v>
      </c>
    </row>
    <row r="180" spans="1:16" x14ac:dyDescent="0.25">
      <c r="A180" s="4" t="str">
        <f>Customers!A180</f>
        <v>CL00176</v>
      </c>
      <c r="B180" s="20">
        <f>IF(Customers!G180="","",(Customers!G180-Statistics!$C$7)/Statistics!$C$9)</f>
        <v>-4.4596751908058549E-2</v>
      </c>
      <c r="C180" s="4" t="str">
        <f>IF(Customers!G180="","",IF(OR(Customers!G180&lt;Statistics!$C$15,Customers!G180&gt;Statistics!$C$16),"Outside 1.5·IQR",""))</f>
        <v/>
      </c>
      <c r="D180" s="4" t="str">
        <f>IF(OR(Customers!B180&lt;18,Customers!B180&gt;100),"Implausible age","")</f>
        <v/>
      </c>
      <c r="E180" s="4" t="str">
        <f>IF(Customers!H180&gt;Customers!B180-18,"Tenure &gt; age-18","")</f>
        <v/>
      </c>
      <c r="F180" s="4" t="str">
        <f>IF(Customers!R180&gt;Customers!Q180,"Card spend &gt; limit","")</f>
        <v/>
      </c>
      <c r="G180" s="4" t="str">
        <f>IF(OR(AND(Customers!S180&gt;0,Customers!T180=0),AND(Customers!S180=0,Customers!T180&gt;0)),"Mortgage/payment inconsistent","")</f>
        <v/>
      </c>
      <c r="H180" s="4" t="str">
        <f>IF(AND(Customers!G180&lt;&gt;"",Customers!G180&gt;0,Customers!T180&gt;Customers!G180/12),"Payment &gt; monthly income","")</f>
        <v/>
      </c>
      <c r="I180" s="4" t="str">
        <f>IF(OR(Customers!I180&gt;DATE(2026,9,13),YEAR(Customers!I180)&lt;1980),"Implausible date","")</f>
        <v/>
      </c>
      <c r="J180" s="4" t="str">
        <f>IF(Customers!I180&gt;DATE(2026,9,13),"",IF(ABS(INT((DATE(2026,9,13)-Customers!I180)/365.25)-Customers!H180)&gt;1,"Date/tenure inconsistent",""))</f>
        <v/>
      </c>
      <c r="K180" s="4" t="str">
        <f>IF(COUNTIF(Customers!$A$2:$A$1001,Customers!A180)&gt;1,"Duplicate ID","")</f>
        <v/>
      </c>
      <c r="L180" s="4" t="str">
        <f>IF(COUNTIFS(Customers!$B$2:$B$1001,Customers!B180,Customers!$D$2:$D$1001,Customers!D180,Customers!$G$2:$G$1001,Customers!G180,Customers!$I$2:$I$1001,Customers!I180,Customers!$L$2:$L$1001,Customers!L180)&gt;1,"Duplicate record","")</f>
        <v/>
      </c>
      <c r="M180" s="4" t="str">
        <f>IF(OR(Customers!U180&lt;300,Customers!U180&gt;850),"Score out of range","")</f>
        <v/>
      </c>
      <c r="N180" s="4" t="str">
        <f>IF(AND(Customers!G180&lt;&gt;"",Customers!G180&lt;=0),"Income ≤ 0","")</f>
        <v/>
      </c>
      <c r="O180" s="4" t="str">
        <f>IF(OR(Customers!G180="",Customers!M180=""),"Missing value","")</f>
        <v/>
      </c>
      <c r="P180" s="4">
        <f t="shared" si="2"/>
        <v>0</v>
      </c>
    </row>
    <row r="181" spans="1:16" x14ac:dyDescent="0.25">
      <c r="A181" s="4" t="str">
        <f>Customers!A181</f>
        <v>CL00177</v>
      </c>
      <c r="B181" s="20">
        <f>IF(Customers!G181="","",(Customers!G181-Statistics!$C$7)/Statistics!$C$9)</f>
        <v>-4.9225891913568784E-2</v>
      </c>
      <c r="C181" s="4" t="str">
        <f>IF(Customers!G181="","",IF(OR(Customers!G181&lt;Statistics!$C$15,Customers!G181&gt;Statistics!$C$16),"Outside 1.5·IQR",""))</f>
        <v/>
      </c>
      <c r="D181" s="4" t="str">
        <f>IF(OR(Customers!B181&lt;18,Customers!B181&gt;100),"Implausible age","")</f>
        <v/>
      </c>
      <c r="E181" s="4" t="str">
        <f>IF(Customers!H181&gt;Customers!B181-18,"Tenure &gt; age-18","")</f>
        <v/>
      </c>
      <c r="F181" s="4" t="str">
        <f>IF(Customers!R181&gt;Customers!Q181,"Card spend &gt; limit","")</f>
        <v/>
      </c>
      <c r="G181" s="4" t="str">
        <f>IF(OR(AND(Customers!S181&gt;0,Customers!T181=0),AND(Customers!S181=0,Customers!T181&gt;0)),"Mortgage/payment inconsistent","")</f>
        <v/>
      </c>
      <c r="H181" s="4" t="str">
        <f>IF(AND(Customers!G181&lt;&gt;"",Customers!G181&gt;0,Customers!T181&gt;Customers!G181/12),"Payment &gt; monthly income","")</f>
        <v/>
      </c>
      <c r="I181" s="4" t="str">
        <f>IF(OR(Customers!I181&gt;DATE(2026,9,13),YEAR(Customers!I181)&lt;1980),"Implausible date","")</f>
        <v/>
      </c>
      <c r="J181" s="4" t="str">
        <f>IF(Customers!I181&gt;DATE(2026,9,13),"",IF(ABS(INT((DATE(2026,9,13)-Customers!I181)/365.25)-Customers!H181)&gt;1,"Date/tenure inconsistent",""))</f>
        <v/>
      </c>
      <c r="K181" s="4" t="str">
        <f>IF(COUNTIF(Customers!$A$2:$A$1001,Customers!A181)&gt;1,"Duplicate ID","")</f>
        <v/>
      </c>
      <c r="L181" s="4" t="str">
        <f>IF(COUNTIFS(Customers!$B$2:$B$1001,Customers!B181,Customers!$D$2:$D$1001,Customers!D181,Customers!$G$2:$G$1001,Customers!G181,Customers!$I$2:$I$1001,Customers!I181,Customers!$L$2:$L$1001,Customers!L181)&gt;1,"Duplicate record","")</f>
        <v/>
      </c>
      <c r="M181" s="4" t="str">
        <f>IF(OR(Customers!U181&lt;300,Customers!U181&gt;850),"Score out of range","")</f>
        <v/>
      </c>
      <c r="N181" s="4" t="str">
        <f>IF(AND(Customers!G181&lt;&gt;"",Customers!G181&lt;=0),"Income ≤ 0","")</f>
        <v/>
      </c>
      <c r="O181" s="4" t="str">
        <f>IF(OR(Customers!G181="",Customers!M181=""),"Missing value","")</f>
        <v/>
      </c>
      <c r="P181" s="4">
        <f t="shared" si="2"/>
        <v>0</v>
      </c>
    </row>
    <row r="182" spans="1:16" x14ac:dyDescent="0.25">
      <c r="A182" s="4" t="str">
        <f>Customers!A182</f>
        <v>CL00178</v>
      </c>
      <c r="B182" s="20">
        <f>IF(Customers!G182="","",(Customers!G182-Statistics!$C$7)/Statistics!$C$9)</f>
        <v>-6.5772605124754288E-2</v>
      </c>
      <c r="C182" s="4" t="str">
        <f>IF(Customers!G182="","",IF(OR(Customers!G182&lt;Statistics!$C$15,Customers!G182&gt;Statistics!$C$16),"Outside 1.5·IQR",""))</f>
        <v/>
      </c>
      <c r="D182" s="4" t="str">
        <f>IF(OR(Customers!B182&lt;18,Customers!B182&gt;100),"Implausible age","")</f>
        <v/>
      </c>
      <c r="E182" s="4" t="str">
        <f>IF(Customers!H182&gt;Customers!B182-18,"Tenure &gt; age-18","")</f>
        <v/>
      </c>
      <c r="F182" s="4" t="str">
        <f>IF(Customers!R182&gt;Customers!Q182,"Card spend &gt; limit","")</f>
        <v/>
      </c>
      <c r="G182" s="4" t="str">
        <f>IF(OR(AND(Customers!S182&gt;0,Customers!T182=0),AND(Customers!S182=0,Customers!T182&gt;0)),"Mortgage/payment inconsistent","")</f>
        <v/>
      </c>
      <c r="H182" s="4" t="str">
        <f>IF(AND(Customers!G182&lt;&gt;"",Customers!G182&gt;0,Customers!T182&gt;Customers!G182/12),"Payment &gt; monthly income","")</f>
        <v/>
      </c>
      <c r="I182" s="4" t="str">
        <f>IF(OR(Customers!I182&gt;DATE(2026,9,13),YEAR(Customers!I182)&lt;1980),"Implausible date","")</f>
        <v/>
      </c>
      <c r="J182" s="4" t="str">
        <f>IF(Customers!I182&gt;DATE(2026,9,13),"",IF(ABS(INT((DATE(2026,9,13)-Customers!I182)/365.25)-Customers!H182)&gt;1,"Date/tenure inconsistent",""))</f>
        <v/>
      </c>
      <c r="K182" s="4" t="str">
        <f>IF(COUNTIF(Customers!$A$2:$A$1001,Customers!A182)&gt;1,"Duplicate ID","")</f>
        <v/>
      </c>
      <c r="L182" s="4" t="str">
        <f>IF(COUNTIFS(Customers!$B$2:$B$1001,Customers!B182,Customers!$D$2:$D$1001,Customers!D182,Customers!$G$2:$G$1001,Customers!G182,Customers!$I$2:$I$1001,Customers!I182,Customers!$L$2:$L$1001,Customers!L182)&gt;1,"Duplicate record","")</f>
        <v/>
      </c>
      <c r="M182" s="4" t="str">
        <f>IF(OR(Customers!U182&lt;300,Customers!U182&gt;850),"Score out of range","")</f>
        <v/>
      </c>
      <c r="N182" s="4" t="str">
        <f>IF(AND(Customers!G182&lt;&gt;"",Customers!G182&lt;=0),"Income ≤ 0","")</f>
        <v/>
      </c>
      <c r="O182" s="4" t="str">
        <f>IF(OR(Customers!G182="",Customers!M182=""),"Missing value","")</f>
        <v/>
      </c>
      <c r="P182" s="4">
        <f t="shared" si="2"/>
        <v>0</v>
      </c>
    </row>
    <row r="183" spans="1:16" x14ac:dyDescent="0.25">
      <c r="A183" s="4" t="str">
        <f>Customers!A183</f>
        <v>CL00179</v>
      </c>
      <c r="B183" s="20">
        <f>IF(Customers!G183="","",(Customers!G183-Statistics!$C$7)/Statistics!$C$9)</f>
        <v>-3.5830933599751945E-2</v>
      </c>
      <c r="C183" s="4" t="str">
        <f>IF(Customers!G183="","",IF(OR(Customers!G183&lt;Statistics!$C$15,Customers!G183&gt;Statistics!$C$16),"Outside 1.5·IQR",""))</f>
        <v/>
      </c>
      <c r="D183" s="4" t="str">
        <f>IF(OR(Customers!B183&lt;18,Customers!B183&gt;100),"Implausible age","")</f>
        <v/>
      </c>
      <c r="E183" s="4" t="str">
        <f>IF(Customers!H183&gt;Customers!B183-18,"Tenure &gt; age-18","")</f>
        <v/>
      </c>
      <c r="F183" s="4" t="str">
        <f>IF(Customers!R183&gt;Customers!Q183,"Card spend &gt; limit","")</f>
        <v/>
      </c>
      <c r="G183" s="4" t="str">
        <f>IF(OR(AND(Customers!S183&gt;0,Customers!T183=0),AND(Customers!S183=0,Customers!T183&gt;0)),"Mortgage/payment inconsistent","")</f>
        <v/>
      </c>
      <c r="H183" s="4" t="str">
        <f>IF(AND(Customers!G183&lt;&gt;"",Customers!G183&gt;0,Customers!T183&gt;Customers!G183/12),"Payment &gt; monthly income","")</f>
        <v/>
      </c>
      <c r="I183" s="4" t="str">
        <f>IF(OR(Customers!I183&gt;DATE(2026,9,13),YEAR(Customers!I183)&lt;1980),"Implausible date","")</f>
        <v/>
      </c>
      <c r="J183" s="4" t="str">
        <f>IF(Customers!I183&gt;DATE(2026,9,13),"",IF(ABS(INT((DATE(2026,9,13)-Customers!I183)/365.25)-Customers!H183)&gt;1,"Date/tenure inconsistent",""))</f>
        <v/>
      </c>
      <c r="K183" s="4" t="str">
        <f>IF(COUNTIF(Customers!$A$2:$A$1001,Customers!A183)&gt;1,"Duplicate ID","")</f>
        <v/>
      </c>
      <c r="L183" s="4" t="str">
        <f>IF(COUNTIFS(Customers!$B$2:$B$1001,Customers!B183,Customers!$D$2:$D$1001,Customers!D183,Customers!$G$2:$G$1001,Customers!G183,Customers!$I$2:$I$1001,Customers!I183,Customers!$L$2:$L$1001,Customers!L183)&gt;1,"Duplicate record","")</f>
        <v/>
      </c>
      <c r="M183" s="4" t="str">
        <f>IF(OR(Customers!U183&lt;300,Customers!U183&gt;850),"Score out of range","")</f>
        <v/>
      </c>
      <c r="N183" s="4" t="str">
        <f>IF(AND(Customers!G183&lt;&gt;"",Customers!G183&lt;=0),"Income ≤ 0","")</f>
        <v/>
      </c>
      <c r="O183" s="4" t="str">
        <f>IF(OR(Customers!G183="",Customers!M183=""),"Missing value","")</f>
        <v/>
      </c>
      <c r="P183" s="4">
        <f t="shared" si="2"/>
        <v>0</v>
      </c>
    </row>
    <row r="184" spans="1:16" x14ac:dyDescent="0.25">
      <c r="A184" s="4" t="str">
        <f>Customers!A184</f>
        <v>CL00180</v>
      </c>
      <c r="B184" s="20">
        <f>IF(Customers!G184="","",(Customers!G184-Statistics!$C$7)/Statistics!$C$9)</f>
        <v>-2.4110345075162205E-2</v>
      </c>
      <c r="C184" s="4" t="str">
        <f>IF(Customers!G184="","",IF(OR(Customers!G184&lt;Statistics!$C$15,Customers!G184&gt;Statistics!$C$16),"Outside 1.5·IQR",""))</f>
        <v/>
      </c>
      <c r="D184" s="4" t="str">
        <f>IF(OR(Customers!B184&lt;18,Customers!B184&gt;100),"Implausible age","")</f>
        <v/>
      </c>
      <c r="E184" s="4" t="str">
        <f>IF(Customers!H184&gt;Customers!B184-18,"Tenure &gt; age-18","")</f>
        <v/>
      </c>
      <c r="F184" s="4" t="str">
        <f>IF(Customers!R184&gt;Customers!Q184,"Card spend &gt; limit","")</f>
        <v/>
      </c>
      <c r="G184" s="4" t="str">
        <f>IF(OR(AND(Customers!S184&gt;0,Customers!T184=0),AND(Customers!S184=0,Customers!T184&gt;0)),"Mortgage/payment inconsistent","")</f>
        <v/>
      </c>
      <c r="H184" s="4" t="str">
        <f>IF(AND(Customers!G184&lt;&gt;"",Customers!G184&gt;0,Customers!T184&gt;Customers!G184/12),"Payment &gt; monthly income","")</f>
        <v/>
      </c>
      <c r="I184" s="4" t="str">
        <f>IF(OR(Customers!I184&gt;DATE(2026,9,13),YEAR(Customers!I184)&lt;1980),"Implausible date","")</f>
        <v/>
      </c>
      <c r="J184" s="4" t="str">
        <f>IF(Customers!I184&gt;DATE(2026,9,13),"",IF(ABS(INT((DATE(2026,9,13)-Customers!I184)/365.25)-Customers!H184)&gt;1,"Date/tenure inconsistent",""))</f>
        <v/>
      </c>
      <c r="K184" s="4" t="str">
        <f>IF(COUNTIF(Customers!$A$2:$A$1001,Customers!A184)&gt;1,"Duplicate ID","")</f>
        <v/>
      </c>
      <c r="L184" s="4" t="str">
        <f>IF(COUNTIFS(Customers!$B$2:$B$1001,Customers!B184,Customers!$D$2:$D$1001,Customers!D184,Customers!$G$2:$G$1001,Customers!G184,Customers!$I$2:$I$1001,Customers!I184,Customers!$L$2:$L$1001,Customers!L184)&gt;1,"Duplicate record","")</f>
        <v/>
      </c>
      <c r="M184" s="4" t="str">
        <f>IF(OR(Customers!U184&lt;300,Customers!U184&gt;850),"Score out of range","")</f>
        <v/>
      </c>
      <c r="N184" s="4" t="str">
        <f>IF(AND(Customers!G184&lt;&gt;"",Customers!G184&lt;=0),"Income ≤ 0","")</f>
        <v/>
      </c>
      <c r="O184" s="4" t="str">
        <f>IF(OR(Customers!G184="",Customers!M184=""),"Missing value","")</f>
        <v/>
      </c>
      <c r="P184" s="4">
        <f t="shared" si="2"/>
        <v>0</v>
      </c>
    </row>
    <row r="185" spans="1:16" x14ac:dyDescent="0.25">
      <c r="A185" s="4" t="str">
        <f>Customers!A185</f>
        <v>CL00181</v>
      </c>
      <c r="B185" s="20">
        <f>IF(Customers!G185="","",(Customers!G185-Statistics!$C$7)/Statistics!$C$9)</f>
        <v>2.9469488180105162E-2</v>
      </c>
      <c r="C185" s="4" t="str">
        <f>IF(Customers!G185="","",IF(OR(Customers!G185&lt;Statistics!$C$15,Customers!G185&gt;Statistics!$C$16),"Outside 1.5·IQR",""))</f>
        <v>Outside 1.5·IQR</v>
      </c>
      <c r="D185" s="4" t="str">
        <f>IF(OR(Customers!B185&lt;18,Customers!B185&gt;100),"Implausible age","")</f>
        <v/>
      </c>
      <c r="E185" s="4" t="str">
        <f>IF(Customers!H185&gt;Customers!B185-18,"Tenure &gt; age-18","")</f>
        <v/>
      </c>
      <c r="F185" s="4" t="str">
        <f>IF(Customers!R185&gt;Customers!Q185,"Card spend &gt; limit","")</f>
        <v/>
      </c>
      <c r="G185" s="4" t="str">
        <f>IF(OR(AND(Customers!S185&gt;0,Customers!T185=0),AND(Customers!S185=0,Customers!T185&gt;0)),"Mortgage/payment inconsistent","")</f>
        <v/>
      </c>
      <c r="H185" s="4" t="str">
        <f>IF(AND(Customers!G185&lt;&gt;"",Customers!G185&gt;0,Customers!T185&gt;Customers!G185/12),"Payment &gt; monthly income","")</f>
        <v/>
      </c>
      <c r="I185" s="4" t="str">
        <f>IF(OR(Customers!I185&gt;DATE(2026,9,13),YEAR(Customers!I185)&lt;1980),"Implausible date","")</f>
        <v/>
      </c>
      <c r="J185" s="4" t="str">
        <f>IF(Customers!I185&gt;DATE(2026,9,13),"",IF(ABS(INT((DATE(2026,9,13)-Customers!I185)/365.25)-Customers!H185)&gt;1,"Date/tenure inconsistent",""))</f>
        <v/>
      </c>
      <c r="K185" s="4" t="str">
        <f>IF(COUNTIF(Customers!$A$2:$A$1001,Customers!A185)&gt;1,"Duplicate ID","")</f>
        <v/>
      </c>
      <c r="L185" s="4" t="str">
        <f>IF(COUNTIFS(Customers!$B$2:$B$1001,Customers!B185,Customers!$D$2:$D$1001,Customers!D185,Customers!$G$2:$G$1001,Customers!G185,Customers!$I$2:$I$1001,Customers!I185,Customers!$L$2:$L$1001,Customers!L185)&gt;1,"Duplicate record","")</f>
        <v/>
      </c>
      <c r="M185" s="4" t="str">
        <f>IF(OR(Customers!U185&lt;300,Customers!U185&gt;850),"Score out of range","")</f>
        <v/>
      </c>
      <c r="N185" s="4" t="str">
        <f>IF(AND(Customers!G185&lt;&gt;"",Customers!G185&lt;=0),"Income ≤ 0","")</f>
        <v/>
      </c>
      <c r="O185" s="4" t="str">
        <f>IF(OR(Customers!G185="",Customers!M185=""),"Missing value","")</f>
        <v/>
      </c>
      <c r="P185" s="4">
        <f t="shared" si="2"/>
        <v>1</v>
      </c>
    </row>
    <row r="186" spans="1:16" x14ac:dyDescent="0.25">
      <c r="A186" s="4" t="str">
        <f>Customers!A186</f>
        <v>CL00182</v>
      </c>
      <c r="B186" s="20">
        <f>IF(Customers!G186="","",(Customers!G186-Statistics!$C$7)/Statistics!$C$9)</f>
        <v>-4.3808813183716384E-2</v>
      </c>
      <c r="C186" s="4" t="str">
        <f>IF(Customers!G186="","",IF(OR(Customers!G186&lt;Statistics!$C$15,Customers!G186&gt;Statistics!$C$16),"Outside 1.5·IQR",""))</f>
        <v/>
      </c>
      <c r="D186" s="4" t="str">
        <f>IF(OR(Customers!B186&lt;18,Customers!B186&gt;100),"Implausible age","")</f>
        <v/>
      </c>
      <c r="E186" s="4" t="str">
        <f>IF(Customers!H186&gt;Customers!B186-18,"Tenure &gt; age-18","")</f>
        <v/>
      </c>
      <c r="F186" s="4" t="str">
        <f>IF(Customers!R186&gt;Customers!Q186,"Card spend &gt; limit","")</f>
        <v/>
      </c>
      <c r="G186" s="4" t="str">
        <f>IF(OR(AND(Customers!S186&gt;0,Customers!T186=0),AND(Customers!S186=0,Customers!T186&gt;0)),"Mortgage/payment inconsistent","")</f>
        <v/>
      </c>
      <c r="H186" s="4" t="str">
        <f>IF(AND(Customers!G186&lt;&gt;"",Customers!G186&gt;0,Customers!T186&gt;Customers!G186/12),"Payment &gt; monthly income","")</f>
        <v/>
      </c>
      <c r="I186" s="4" t="str">
        <f>IF(OR(Customers!I186&gt;DATE(2026,9,13),YEAR(Customers!I186)&lt;1980),"Implausible date","")</f>
        <v/>
      </c>
      <c r="J186" s="4" t="str">
        <f>IF(Customers!I186&gt;DATE(2026,9,13),"",IF(ABS(INT((DATE(2026,9,13)-Customers!I186)/365.25)-Customers!H186)&gt;1,"Date/tenure inconsistent",""))</f>
        <v/>
      </c>
      <c r="K186" s="4" t="str">
        <f>IF(COUNTIF(Customers!$A$2:$A$1001,Customers!A186)&gt;1,"Duplicate ID","")</f>
        <v/>
      </c>
      <c r="L186" s="4" t="str">
        <f>IF(COUNTIFS(Customers!$B$2:$B$1001,Customers!B186,Customers!$D$2:$D$1001,Customers!D186,Customers!$G$2:$G$1001,Customers!G186,Customers!$I$2:$I$1001,Customers!I186,Customers!$L$2:$L$1001,Customers!L186)&gt;1,"Duplicate record","")</f>
        <v/>
      </c>
      <c r="M186" s="4" t="str">
        <f>IF(OR(Customers!U186&lt;300,Customers!U186&gt;850),"Score out of range","")</f>
        <v/>
      </c>
      <c r="N186" s="4" t="str">
        <f>IF(AND(Customers!G186&lt;&gt;"",Customers!G186&lt;=0),"Income ≤ 0","")</f>
        <v/>
      </c>
      <c r="O186" s="4" t="str">
        <f>IF(OR(Customers!G186="",Customers!M186=""),"Missing value","")</f>
        <v/>
      </c>
      <c r="P186" s="4">
        <f t="shared" si="2"/>
        <v>0</v>
      </c>
    </row>
    <row r="187" spans="1:16" x14ac:dyDescent="0.25">
      <c r="A187" s="4" t="str">
        <f>Customers!A187</f>
        <v>CL00183</v>
      </c>
      <c r="B187" s="20">
        <f>IF(Customers!G187="","",(Customers!G187-Statistics!$C$7)/Statistics!$C$9)</f>
        <v>1.1149912839149777E-2</v>
      </c>
      <c r="C187" s="4" t="str">
        <f>IF(Customers!G187="","",IF(OR(Customers!G187&lt;Statistics!$C$15,Customers!G187&gt;Statistics!$C$16),"Outside 1.5·IQR",""))</f>
        <v>Outside 1.5·IQR</v>
      </c>
      <c r="D187" s="4" t="str">
        <f>IF(OR(Customers!B187&lt;18,Customers!B187&gt;100),"Implausible age","")</f>
        <v/>
      </c>
      <c r="E187" s="4" t="str">
        <f>IF(Customers!H187&gt;Customers!B187-18,"Tenure &gt; age-18","")</f>
        <v/>
      </c>
      <c r="F187" s="4" t="str">
        <f>IF(Customers!R187&gt;Customers!Q187,"Card spend &gt; limit","")</f>
        <v/>
      </c>
      <c r="G187" s="4" t="str">
        <f>IF(OR(AND(Customers!S187&gt;0,Customers!T187=0),AND(Customers!S187=0,Customers!T187&gt;0)),"Mortgage/payment inconsistent","")</f>
        <v/>
      </c>
      <c r="H187" s="4" t="str">
        <f>IF(AND(Customers!G187&lt;&gt;"",Customers!G187&gt;0,Customers!T187&gt;Customers!G187/12),"Payment &gt; monthly income","")</f>
        <v/>
      </c>
      <c r="I187" s="4" t="str">
        <f>IF(OR(Customers!I187&gt;DATE(2026,9,13),YEAR(Customers!I187)&lt;1980),"Implausible date","")</f>
        <v/>
      </c>
      <c r="J187" s="4" t="str">
        <f>IF(Customers!I187&gt;DATE(2026,9,13),"",IF(ABS(INT((DATE(2026,9,13)-Customers!I187)/365.25)-Customers!H187)&gt;1,"Date/tenure inconsistent",""))</f>
        <v/>
      </c>
      <c r="K187" s="4" t="str">
        <f>IF(COUNTIF(Customers!$A$2:$A$1001,Customers!A187)&gt;1,"Duplicate ID","")</f>
        <v/>
      </c>
      <c r="L187" s="4" t="str">
        <f>IF(COUNTIFS(Customers!$B$2:$B$1001,Customers!B187,Customers!$D$2:$D$1001,Customers!D187,Customers!$G$2:$G$1001,Customers!G187,Customers!$I$2:$I$1001,Customers!I187,Customers!$L$2:$L$1001,Customers!L187)&gt;1,"Duplicate record","")</f>
        <v/>
      </c>
      <c r="M187" s="4" t="str">
        <f>IF(OR(Customers!U187&lt;300,Customers!U187&gt;850),"Score out of range","")</f>
        <v/>
      </c>
      <c r="N187" s="4" t="str">
        <f>IF(AND(Customers!G187&lt;&gt;"",Customers!G187&lt;=0),"Income ≤ 0","")</f>
        <v/>
      </c>
      <c r="O187" s="4" t="str">
        <f>IF(OR(Customers!G187="",Customers!M187=""),"Missing value","")</f>
        <v/>
      </c>
      <c r="P187" s="4">
        <f t="shared" si="2"/>
        <v>1</v>
      </c>
    </row>
    <row r="188" spans="1:16" x14ac:dyDescent="0.25">
      <c r="A188" s="4" t="str">
        <f>Customers!A188</f>
        <v>CL00184</v>
      </c>
      <c r="B188" s="20">
        <f>IF(Customers!G188="","",(Customers!G188-Statistics!$C$7)/Statistics!$C$9)</f>
        <v>-8.0560935666905489E-3</v>
      </c>
      <c r="C188" s="4" t="str">
        <f>IF(Customers!G188="","",IF(OR(Customers!G188&lt;Statistics!$C$15,Customers!G188&gt;Statistics!$C$16),"Outside 1.5·IQR",""))</f>
        <v/>
      </c>
      <c r="D188" s="4" t="str">
        <f>IF(OR(Customers!B188&lt;18,Customers!B188&gt;100),"Implausible age","")</f>
        <v/>
      </c>
      <c r="E188" s="4" t="str">
        <f>IF(Customers!H188&gt;Customers!B188-18,"Tenure &gt; age-18","")</f>
        <v/>
      </c>
      <c r="F188" s="4" t="str">
        <f>IF(Customers!R188&gt;Customers!Q188,"Card spend &gt; limit","")</f>
        <v/>
      </c>
      <c r="G188" s="4" t="str">
        <f>IF(OR(AND(Customers!S188&gt;0,Customers!T188=0),AND(Customers!S188=0,Customers!T188&gt;0)),"Mortgage/payment inconsistent","")</f>
        <v/>
      </c>
      <c r="H188" s="4" t="str">
        <f>IF(AND(Customers!G188&lt;&gt;"",Customers!G188&gt;0,Customers!T188&gt;Customers!G188/12),"Payment &gt; monthly income","")</f>
        <v/>
      </c>
      <c r="I188" s="4" t="str">
        <f>IF(OR(Customers!I188&gt;DATE(2026,9,13),YEAR(Customers!I188)&lt;1980),"Implausible date","")</f>
        <v/>
      </c>
      <c r="J188" s="4" t="str">
        <f>IF(Customers!I188&gt;DATE(2026,9,13),"",IF(ABS(INT((DATE(2026,9,13)-Customers!I188)/365.25)-Customers!H188)&gt;1,"Date/tenure inconsistent",""))</f>
        <v/>
      </c>
      <c r="K188" s="4" t="str">
        <f>IF(COUNTIF(Customers!$A$2:$A$1001,Customers!A188)&gt;1,"Duplicate ID","")</f>
        <v/>
      </c>
      <c r="L188" s="4" t="str">
        <f>IF(COUNTIFS(Customers!$B$2:$B$1001,Customers!B188,Customers!$D$2:$D$1001,Customers!D188,Customers!$G$2:$G$1001,Customers!G188,Customers!$I$2:$I$1001,Customers!I188,Customers!$L$2:$L$1001,Customers!L188)&gt;1,"Duplicate record","")</f>
        <v/>
      </c>
      <c r="M188" s="4" t="str">
        <f>IF(OR(Customers!U188&lt;300,Customers!U188&gt;850),"Score out of range","")</f>
        <v/>
      </c>
      <c r="N188" s="4" t="str">
        <f>IF(AND(Customers!G188&lt;&gt;"",Customers!G188&lt;=0),"Income ≤ 0","")</f>
        <v/>
      </c>
      <c r="O188" s="4" t="str">
        <f>IF(OR(Customers!G188="",Customers!M188=""),"Missing value","")</f>
        <v/>
      </c>
      <c r="P188" s="4">
        <f t="shared" si="2"/>
        <v>0</v>
      </c>
    </row>
    <row r="189" spans="1:16" x14ac:dyDescent="0.25">
      <c r="A189" s="4" t="str">
        <f>Customers!A189</f>
        <v>CL00185</v>
      </c>
      <c r="B189" s="20">
        <f>IF(Customers!G189="","",(Customers!G189-Statistics!$C$7)/Statistics!$C$9)</f>
        <v>-3.25806863618405E-2</v>
      </c>
      <c r="C189" s="4" t="str">
        <f>IF(Customers!G189="","",IF(OR(Customers!G189&lt;Statistics!$C$15,Customers!G189&gt;Statistics!$C$16),"Outside 1.5·IQR",""))</f>
        <v/>
      </c>
      <c r="D189" s="4" t="str">
        <f>IF(OR(Customers!B189&lt;18,Customers!B189&gt;100),"Implausible age","")</f>
        <v/>
      </c>
      <c r="E189" s="4" t="str">
        <f>IF(Customers!H189&gt;Customers!B189-18,"Tenure &gt; age-18","")</f>
        <v/>
      </c>
      <c r="F189" s="4" t="str">
        <f>IF(Customers!R189&gt;Customers!Q189,"Card spend &gt; limit","")</f>
        <v/>
      </c>
      <c r="G189" s="4" t="str">
        <f>IF(OR(AND(Customers!S189&gt;0,Customers!T189=0),AND(Customers!S189=0,Customers!T189&gt;0)),"Mortgage/payment inconsistent","")</f>
        <v/>
      </c>
      <c r="H189" s="4" t="str">
        <f>IF(AND(Customers!G189&lt;&gt;"",Customers!G189&gt;0,Customers!T189&gt;Customers!G189/12),"Payment &gt; monthly income","")</f>
        <v/>
      </c>
      <c r="I189" s="4" t="str">
        <f>IF(OR(Customers!I189&gt;DATE(2026,9,13),YEAR(Customers!I189)&lt;1980),"Implausible date","")</f>
        <v/>
      </c>
      <c r="J189" s="4" t="str">
        <f>IF(Customers!I189&gt;DATE(2026,9,13),"",IF(ABS(INT((DATE(2026,9,13)-Customers!I189)/365.25)-Customers!H189)&gt;1,"Date/tenure inconsistent",""))</f>
        <v/>
      </c>
      <c r="K189" s="4" t="str">
        <f>IF(COUNTIF(Customers!$A$2:$A$1001,Customers!A189)&gt;1,"Duplicate ID","")</f>
        <v/>
      </c>
      <c r="L189" s="4" t="str">
        <f>IF(COUNTIFS(Customers!$B$2:$B$1001,Customers!B189,Customers!$D$2:$D$1001,Customers!D189,Customers!$G$2:$G$1001,Customers!G189,Customers!$I$2:$I$1001,Customers!I189,Customers!$L$2:$L$1001,Customers!L189)&gt;1,"Duplicate record","")</f>
        <v/>
      </c>
      <c r="M189" s="4" t="str">
        <f>IF(OR(Customers!U189&lt;300,Customers!U189&gt;850),"Score out of range","")</f>
        <v/>
      </c>
      <c r="N189" s="4" t="str">
        <f>IF(AND(Customers!G189&lt;&gt;"",Customers!G189&lt;=0),"Income ≤ 0","")</f>
        <v/>
      </c>
      <c r="O189" s="4" t="str">
        <f>IF(OR(Customers!G189="",Customers!M189=""),"Missing value","")</f>
        <v/>
      </c>
      <c r="P189" s="4">
        <f t="shared" si="2"/>
        <v>0</v>
      </c>
    </row>
    <row r="190" spans="1:16" x14ac:dyDescent="0.25">
      <c r="A190" s="4" t="str">
        <f>Customers!A190</f>
        <v>CL00186</v>
      </c>
      <c r="B190" s="20">
        <f>IF(Customers!G190="","",(Customers!G190-Statistics!$C$7)/Statistics!$C$9)</f>
        <v>-6.6265066827468147E-2</v>
      </c>
      <c r="C190" s="4" t="str">
        <f>IF(Customers!G190="","",IF(OR(Customers!G190&lt;Statistics!$C$15,Customers!G190&gt;Statistics!$C$16),"Outside 1.5·IQR",""))</f>
        <v/>
      </c>
      <c r="D190" s="4" t="str">
        <f>IF(OR(Customers!B190&lt;18,Customers!B190&gt;100),"Implausible age","")</f>
        <v/>
      </c>
      <c r="E190" s="4" t="str">
        <f>IF(Customers!H190&gt;Customers!B190-18,"Tenure &gt; age-18","")</f>
        <v/>
      </c>
      <c r="F190" s="4" t="str">
        <f>IF(Customers!R190&gt;Customers!Q190,"Card spend &gt; limit","")</f>
        <v/>
      </c>
      <c r="G190" s="4" t="str">
        <f>IF(OR(AND(Customers!S190&gt;0,Customers!T190=0),AND(Customers!S190=0,Customers!T190&gt;0)),"Mortgage/payment inconsistent","")</f>
        <v/>
      </c>
      <c r="H190" s="4" t="str">
        <f>IF(AND(Customers!G190&lt;&gt;"",Customers!G190&gt;0,Customers!T190&gt;Customers!G190/12),"Payment &gt; monthly income","")</f>
        <v/>
      </c>
      <c r="I190" s="4" t="str">
        <f>IF(OR(Customers!I190&gt;DATE(2026,9,13),YEAR(Customers!I190)&lt;1980),"Implausible date","")</f>
        <v/>
      </c>
      <c r="J190" s="4" t="str">
        <f>IF(Customers!I190&gt;DATE(2026,9,13),"",IF(ABS(INT((DATE(2026,9,13)-Customers!I190)/365.25)-Customers!H190)&gt;1,"Date/tenure inconsistent",""))</f>
        <v/>
      </c>
      <c r="K190" s="4" t="str">
        <f>IF(COUNTIF(Customers!$A$2:$A$1001,Customers!A190)&gt;1,"Duplicate ID","")</f>
        <v/>
      </c>
      <c r="L190" s="4" t="str">
        <f>IF(COUNTIFS(Customers!$B$2:$B$1001,Customers!B190,Customers!$D$2:$D$1001,Customers!D190,Customers!$G$2:$G$1001,Customers!G190,Customers!$I$2:$I$1001,Customers!I190,Customers!$L$2:$L$1001,Customers!L190)&gt;1,"Duplicate record","")</f>
        <v/>
      </c>
      <c r="M190" s="4" t="str">
        <f>IF(OR(Customers!U190&lt;300,Customers!U190&gt;850),"Score out of range","")</f>
        <v/>
      </c>
      <c r="N190" s="4" t="str">
        <f>IF(AND(Customers!G190&lt;&gt;"",Customers!G190&lt;=0),"Income ≤ 0","")</f>
        <v/>
      </c>
      <c r="O190" s="4" t="str">
        <f>IF(OR(Customers!G190="",Customers!M190=""),"Missing value","")</f>
        <v/>
      </c>
      <c r="P190" s="4">
        <f t="shared" si="2"/>
        <v>0</v>
      </c>
    </row>
    <row r="191" spans="1:16" x14ac:dyDescent="0.25">
      <c r="A191" s="4" t="str">
        <f>Customers!A191</f>
        <v>CL00187</v>
      </c>
      <c r="B191" s="20">
        <f>IF(Customers!G191="","",(Customers!G191-Statistics!$C$7)/Statistics!$C$9)</f>
        <v>-4.2331428075574822E-2</v>
      </c>
      <c r="C191" s="4" t="str">
        <f>IF(Customers!G191="","",IF(OR(Customers!G191&lt;Statistics!$C$15,Customers!G191&gt;Statistics!$C$16),"Outside 1.5·IQR",""))</f>
        <v/>
      </c>
      <c r="D191" s="4" t="str">
        <f>IF(OR(Customers!B191&lt;18,Customers!B191&gt;100),"Implausible age","")</f>
        <v/>
      </c>
      <c r="E191" s="4" t="str">
        <f>IF(Customers!H191&gt;Customers!B191-18,"Tenure &gt; age-18","")</f>
        <v/>
      </c>
      <c r="F191" s="4" t="str">
        <f>IF(Customers!R191&gt;Customers!Q191,"Card spend &gt; limit","")</f>
        <v/>
      </c>
      <c r="G191" s="4" t="str">
        <f>IF(OR(AND(Customers!S191&gt;0,Customers!T191=0),AND(Customers!S191=0,Customers!T191&gt;0)),"Mortgage/payment inconsistent","")</f>
        <v/>
      </c>
      <c r="H191" s="4" t="str">
        <f>IF(AND(Customers!G191&lt;&gt;"",Customers!G191&gt;0,Customers!T191&gt;Customers!G191/12),"Payment &gt; monthly income","")</f>
        <v/>
      </c>
      <c r="I191" s="4" t="str">
        <f>IF(OR(Customers!I191&gt;DATE(2026,9,13),YEAR(Customers!I191)&lt;1980),"Implausible date","")</f>
        <v/>
      </c>
      <c r="J191" s="4" t="str">
        <f>IF(Customers!I191&gt;DATE(2026,9,13),"",IF(ABS(INT((DATE(2026,9,13)-Customers!I191)/365.25)-Customers!H191)&gt;1,"Date/tenure inconsistent",""))</f>
        <v/>
      </c>
      <c r="K191" s="4" t="str">
        <f>IF(COUNTIF(Customers!$A$2:$A$1001,Customers!A191)&gt;1,"Duplicate ID","")</f>
        <v/>
      </c>
      <c r="L191" s="4" t="str">
        <f>IF(COUNTIFS(Customers!$B$2:$B$1001,Customers!B191,Customers!$D$2:$D$1001,Customers!D191,Customers!$G$2:$G$1001,Customers!G191,Customers!$I$2:$I$1001,Customers!I191,Customers!$L$2:$L$1001,Customers!L191)&gt;1,"Duplicate record","")</f>
        <v/>
      </c>
      <c r="M191" s="4" t="str">
        <f>IF(OR(Customers!U191&lt;300,Customers!U191&gt;850),"Score out of range","")</f>
        <v/>
      </c>
      <c r="N191" s="4" t="str">
        <f>IF(AND(Customers!G191&lt;&gt;"",Customers!G191&lt;=0),"Income ≤ 0","")</f>
        <v/>
      </c>
      <c r="O191" s="4" t="str">
        <f>IF(OR(Customers!G191="",Customers!M191=""),"Missing value","")</f>
        <v/>
      </c>
      <c r="P191" s="4">
        <f t="shared" si="2"/>
        <v>0</v>
      </c>
    </row>
    <row r="192" spans="1:16" x14ac:dyDescent="0.25">
      <c r="A192" s="4" t="str">
        <f>Customers!A192</f>
        <v>CL00188</v>
      </c>
      <c r="B192" s="20">
        <f>IF(Customers!G192="","",(Customers!G192-Statistics!$C$7)/Statistics!$C$9)</f>
        <v>6.5207728336395439E-3</v>
      </c>
      <c r="C192" s="4" t="str">
        <f>IF(Customers!G192="","",IF(OR(Customers!G192&lt;Statistics!$C$15,Customers!G192&gt;Statistics!$C$16),"Outside 1.5·IQR",""))</f>
        <v>Outside 1.5·IQR</v>
      </c>
      <c r="D192" s="4" t="str">
        <f>IF(OR(Customers!B192&lt;18,Customers!B192&gt;100),"Implausible age","")</f>
        <v/>
      </c>
      <c r="E192" s="4" t="str">
        <f>IF(Customers!H192&gt;Customers!B192-18,"Tenure &gt; age-18","")</f>
        <v/>
      </c>
      <c r="F192" s="4" t="str">
        <f>IF(Customers!R192&gt;Customers!Q192,"Card spend &gt; limit","")</f>
        <v/>
      </c>
      <c r="G192" s="4" t="str">
        <f>IF(OR(AND(Customers!S192&gt;0,Customers!T192=0),AND(Customers!S192=0,Customers!T192&gt;0)),"Mortgage/payment inconsistent","")</f>
        <v/>
      </c>
      <c r="H192" s="4" t="str">
        <f>IF(AND(Customers!G192&lt;&gt;"",Customers!G192&gt;0,Customers!T192&gt;Customers!G192/12),"Payment &gt; monthly income","")</f>
        <v/>
      </c>
      <c r="I192" s="4" t="str">
        <f>IF(OR(Customers!I192&gt;DATE(2026,9,13),YEAR(Customers!I192)&lt;1980),"Implausible date","")</f>
        <v/>
      </c>
      <c r="J192" s="4" t="str">
        <f>IF(Customers!I192&gt;DATE(2026,9,13),"",IF(ABS(INT((DATE(2026,9,13)-Customers!I192)/365.25)-Customers!H192)&gt;1,"Date/tenure inconsistent",""))</f>
        <v/>
      </c>
      <c r="K192" s="4" t="str">
        <f>IF(COUNTIF(Customers!$A$2:$A$1001,Customers!A192)&gt;1,"Duplicate ID","")</f>
        <v/>
      </c>
      <c r="L192" s="4" t="str">
        <f>IF(COUNTIFS(Customers!$B$2:$B$1001,Customers!B192,Customers!$D$2:$D$1001,Customers!D192,Customers!$G$2:$G$1001,Customers!G192,Customers!$I$2:$I$1001,Customers!I192,Customers!$L$2:$L$1001,Customers!L192)&gt;1,"Duplicate record","")</f>
        <v/>
      </c>
      <c r="M192" s="4" t="str">
        <f>IF(OR(Customers!U192&lt;300,Customers!U192&gt;850),"Score out of range","")</f>
        <v/>
      </c>
      <c r="N192" s="4" t="str">
        <f>IF(AND(Customers!G192&lt;&gt;"",Customers!G192&lt;=0),"Income ≤ 0","")</f>
        <v/>
      </c>
      <c r="O192" s="4" t="str">
        <f>IF(OR(Customers!G192="",Customers!M192=""),"Missing value","")</f>
        <v/>
      </c>
      <c r="P192" s="4">
        <f t="shared" si="2"/>
        <v>1</v>
      </c>
    </row>
    <row r="193" spans="1:16" x14ac:dyDescent="0.25">
      <c r="A193" s="4" t="str">
        <f>Customers!A193</f>
        <v>CL00189</v>
      </c>
      <c r="B193" s="20">
        <f>IF(Customers!G193="","",(Customers!G193-Statistics!$C$7)/Statistics!$C$9)</f>
        <v>-4.8634937870312159E-2</v>
      </c>
      <c r="C193" s="4" t="str">
        <f>IF(Customers!G193="","",IF(OR(Customers!G193&lt;Statistics!$C$15,Customers!G193&gt;Statistics!$C$16),"Outside 1.5·IQR",""))</f>
        <v/>
      </c>
      <c r="D193" s="4" t="str">
        <f>IF(OR(Customers!B193&lt;18,Customers!B193&gt;100),"Implausible age","")</f>
        <v/>
      </c>
      <c r="E193" s="4" t="str">
        <f>IF(Customers!H193&gt;Customers!B193-18,"Tenure &gt; age-18","")</f>
        <v/>
      </c>
      <c r="F193" s="4" t="str">
        <f>IF(Customers!R193&gt;Customers!Q193,"Card spend &gt; limit","")</f>
        <v/>
      </c>
      <c r="G193" s="4" t="str">
        <f>IF(OR(AND(Customers!S193&gt;0,Customers!T193=0),AND(Customers!S193=0,Customers!T193&gt;0)),"Mortgage/payment inconsistent","")</f>
        <v/>
      </c>
      <c r="H193" s="4" t="str">
        <f>IF(AND(Customers!G193&lt;&gt;"",Customers!G193&gt;0,Customers!T193&gt;Customers!G193/12),"Payment &gt; monthly income","")</f>
        <v/>
      </c>
      <c r="I193" s="4" t="str">
        <f>IF(OR(Customers!I193&gt;DATE(2026,9,13),YEAR(Customers!I193)&lt;1980),"Implausible date","")</f>
        <v/>
      </c>
      <c r="J193" s="4" t="str">
        <f>IF(Customers!I193&gt;DATE(2026,9,13),"",IF(ABS(INT((DATE(2026,9,13)-Customers!I193)/365.25)-Customers!H193)&gt;1,"Date/tenure inconsistent",""))</f>
        <v/>
      </c>
      <c r="K193" s="4" t="str">
        <f>IF(COUNTIF(Customers!$A$2:$A$1001,Customers!A193)&gt;1,"Duplicate ID","")</f>
        <v/>
      </c>
      <c r="L193" s="4" t="str">
        <f>IF(COUNTIFS(Customers!$B$2:$B$1001,Customers!B193,Customers!$D$2:$D$1001,Customers!D193,Customers!$G$2:$G$1001,Customers!G193,Customers!$I$2:$I$1001,Customers!I193,Customers!$L$2:$L$1001,Customers!L193)&gt;1,"Duplicate record","")</f>
        <v/>
      </c>
      <c r="M193" s="4" t="str">
        <f>IF(OR(Customers!U193&lt;300,Customers!U193&gt;850),"Score out of range","")</f>
        <v/>
      </c>
      <c r="N193" s="4" t="str">
        <f>IF(AND(Customers!G193&lt;&gt;"",Customers!G193&lt;=0),"Income ≤ 0","")</f>
        <v/>
      </c>
      <c r="O193" s="4" t="str">
        <f>IF(OR(Customers!G193="",Customers!M193=""),"Missing value","")</f>
        <v/>
      </c>
      <c r="P193" s="4">
        <f t="shared" si="2"/>
        <v>0</v>
      </c>
    </row>
    <row r="194" spans="1:16" x14ac:dyDescent="0.25">
      <c r="A194" s="4" t="str">
        <f>Customers!A194</f>
        <v>CL00190</v>
      </c>
      <c r="B194" s="20">
        <f>IF(Customers!G194="","",(Customers!G194-Statistics!$C$7)/Statistics!$C$9)</f>
        <v>-4.3907305524259158E-2</v>
      </c>
      <c r="C194" s="4" t="str">
        <f>IF(Customers!G194="","",IF(OR(Customers!G194&lt;Statistics!$C$15,Customers!G194&gt;Statistics!$C$16),"Outside 1.5·IQR",""))</f>
        <v/>
      </c>
      <c r="D194" s="4" t="str">
        <f>IF(OR(Customers!B194&lt;18,Customers!B194&gt;100),"Implausible age","")</f>
        <v/>
      </c>
      <c r="E194" s="4" t="str">
        <f>IF(Customers!H194&gt;Customers!B194-18,"Tenure &gt; age-18","")</f>
        <v/>
      </c>
      <c r="F194" s="4" t="str">
        <f>IF(Customers!R194&gt;Customers!Q194,"Card spend &gt; limit","")</f>
        <v/>
      </c>
      <c r="G194" s="4" t="str">
        <f>IF(OR(AND(Customers!S194&gt;0,Customers!T194=0),AND(Customers!S194=0,Customers!T194&gt;0)),"Mortgage/payment inconsistent","")</f>
        <v/>
      </c>
      <c r="H194" s="4" t="str">
        <f>IF(AND(Customers!G194&lt;&gt;"",Customers!G194&gt;0,Customers!T194&gt;Customers!G194/12),"Payment &gt; monthly income","")</f>
        <v/>
      </c>
      <c r="I194" s="4" t="str">
        <f>IF(OR(Customers!I194&gt;DATE(2026,9,13),YEAR(Customers!I194)&lt;1980),"Implausible date","")</f>
        <v/>
      </c>
      <c r="J194" s="4" t="str">
        <f>IF(Customers!I194&gt;DATE(2026,9,13),"",IF(ABS(INT((DATE(2026,9,13)-Customers!I194)/365.25)-Customers!H194)&gt;1,"Date/tenure inconsistent",""))</f>
        <v/>
      </c>
      <c r="K194" s="4" t="str">
        <f>IF(COUNTIF(Customers!$A$2:$A$1001,Customers!A194)&gt;1,"Duplicate ID","")</f>
        <v/>
      </c>
      <c r="L194" s="4" t="str">
        <f>IF(COUNTIFS(Customers!$B$2:$B$1001,Customers!B194,Customers!$D$2:$D$1001,Customers!D194,Customers!$G$2:$G$1001,Customers!G194,Customers!$I$2:$I$1001,Customers!I194,Customers!$L$2:$L$1001,Customers!L194)&gt;1,"Duplicate record","")</f>
        <v/>
      </c>
      <c r="M194" s="4" t="str">
        <f>IF(OR(Customers!U194&lt;300,Customers!U194&gt;850),"Score out of range","")</f>
        <v/>
      </c>
      <c r="N194" s="4" t="str">
        <f>IF(AND(Customers!G194&lt;&gt;"",Customers!G194&lt;=0),"Income ≤ 0","")</f>
        <v/>
      </c>
      <c r="O194" s="4" t="str">
        <f>IF(OR(Customers!G194="",Customers!M194=""),"Missing value","")</f>
        <v/>
      </c>
      <c r="P194" s="4">
        <f t="shared" ref="P194:P257" si="3">SUMPRODUCT(--(C194:O194&lt;&gt;""))</f>
        <v>0</v>
      </c>
    </row>
    <row r="195" spans="1:16" x14ac:dyDescent="0.25">
      <c r="A195" s="4" t="str">
        <f>Customers!A195</f>
        <v>CL00191</v>
      </c>
      <c r="B195" s="20">
        <f>IF(Customers!G195="","",(Customers!G195-Statistics!$C$7)/Statistics!$C$9)</f>
        <v>-4.1740474032318196E-2</v>
      </c>
      <c r="C195" s="4" t="str">
        <f>IF(Customers!G195="","",IF(OR(Customers!G195&lt;Statistics!$C$15,Customers!G195&gt;Statistics!$C$16),"Outside 1.5·IQR",""))</f>
        <v/>
      </c>
      <c r="D195" s="4" t="str">
        <f>IF(OR(Customers!B195&lt;18,Customers!B195&gt;100),"Implausible age","")</f>
        <v/>
      </c>
      <c r="E195" s="4" t="str">
        <f>IF(Customers!H195&gt;Customers!B195-18,"Tenure &gt; age-18","")</f>
        <v/>
      </c>
      <c r="F195" s="4" t="str">
        <f>IF(Customers!R195&gt;Customers!Q195,"Card spend &gt; limit","")</f>
        <v/>
      </c>
      <c r="G195" s="4" t="str">
        <f>IF(OR(AND(Customers!S195&gt;0,Customers!T195=0),AND(Customers!S195=0,Customers!T195&gt;0)),"Mortgage/payment inconsistent","")</f>
        <v/>
      </c>
      <c r="H195" s="4" t="str">
        <f>IF(AND(Customers!G195&lt;&gt;"",Customers!G195&gt;0,Customers!T195&gt;Customers!G195/12),"Payment &gt; monthly income","")</f>
        <v/>
      </c>
      <c r="I195" s="4" t="str">
        <f>IF(OR(Customers!I195&gt;DATE(2026,9,13),YEAR(Customers!I195)&lt;1980),"Implausible date","")</f>
        <v/>
      </c>
      <c r="J195" s="4" t="str">
        <f>IF(Customers!I195&gt;DATE(2026,9,13),"",IF(ABS(INT((DATE(2026,9,13)-Customers!I195)/365.25)-Customers!H195)&gt;1,"Date/tenure inconsistent",""))</f>
        <v/>
      </c>
      <c r="K195" s="4" t="str">
        <f>IF(COUNTIF(Customers!$A$2:$A$1001,Customers!A195)&gt;1,"Duplicate ID","")</f>
        <v/>
      </c>
      <c r="L195" s="4" t="str">
        <f>IF(COUNTIFS(Customers!$B$2:$B$1001,Customers!B195,Customers!$D$2:$D$1001,Customers!D195,Customers!$G$2:$G$1001,Customers!G195,Customers!$I$2:$I$1001,Customers!I195,Customers!$L$2:$L$1001,Customers!L195)&gt;1,"Duplicate record","")</f>
        <v/>
      </c>
      <c r="M195" s="4" t="str">
        <f>IF(OR(Customers!U195&lt;300,Customers!U195&gt;850),"Score out of range","")</f>
        <v/>
      </c>
      <c r="N195" s="4" t="str">
        <f>IF(AND(Customers!G195&lt;&gt;"",Customers!G195&lt;=0),"Income ≤ 0","")</f>
        <v/>
      </c>
      <c r="O195" s="4" t="str">
        <f>IF(OR(Customers!G195="",Customers!M195=""),"Missing value","")</f>
        <v/>
      </c>
      <c r="P195" s="4">
        <f t="shared" si="3"/>
        <v>0</v>
      </c>
    </row>
    <row r="196" spans="1:16" x14ac:dyDescent="0.25">
      <c r="A196" s="4" t="str">
        <f>Customers!A196</f>
        <v>CL00192</v>
      </c>
      <c r="B196" s="20">
        <f>IF(Customers!G196="","",(Customers!G196-Statistics!$C$7)/Statistics!$C$9)</f>
        <v>-4.7157552762170596E-2</v>
      </c>
      <c r="C196" s="4" t="str">
        <f>IF(Customers!G196="","",IF(OR(Customers!G196&lt;Statistics!$C$15,Customers!G196&gt;Statistics!$C$16),"Outside 1.5·IQR",""))</f>
        <v/>
      </c>
      <c r="D196" s="4" t="str">
        <f>IF(OR(Customers!B196&lt;18,Customers!B196&gt;100),"Implausible age","")</f>
        <v/>
      </c>
      <c r="E196" s="4" t="str">
        <f>IF(Customers!H196&gt;Customers!B196-18,"Tenure &gt; age-18","")</f>
        <v/>
      </c>
      <c r="F196" s="4" t="str">
        <f>IF(Customers!R196&gt;Customers!Q196,"Card spend &gt; limit","")</f>
        <v/>
      </c>
      <c r="G196" s="4" t="str">
        <f>IF(OR(AND(Customers!S196&gt;0,Customers!T196=0),AND(Customers!S196=0,Customers!T196&gt;0)),"Mortgage/payment inconsistent","")</f>
        <v/>
      </c>
      <c r="H196" s="4" t="str">
        <f>IF(AND(Customers!G196&lt;&gt;"",Customers!G196&gt;0,Customers!T196&gt;Customers!G196/12),"Payment &gt; monthly income","")</f>
        <v/>
      </c>
      <c r="I196" s="4" t="str">
        <f>IF(OR(Customers!I196&gt;DATE(2026,9,13),YEAR(Customers!I196)&lt;1980),"Implausible date","")</f>
        <v/>
      </c>
      <c r="J196" s="4" t="str">
        <f>IF(Customers!I196&gt;DATE(2026,9,13),"",IF(ABS(INT((DATE(2026,9,13)-Customers!I196)/365.25)-Customers!H196)&gt;1,"Date/tenure inconsistent",""))</f>
        <v/>
      </c>
      <c r="K196" s="4" t="str">
        <f>IF(COUNTIF(Customers!$A$2:$A$1001,Customers!A196)&gt;1,"Duplicate ID","")</f>
        <v/>
      </c>
      <c r="L196" s="4" t="str">
        <f>IF(COUNTIFS(Customers!$B$2:$B$1001,Customers!B196,Customers!$D$2:$D$1001,Customers!D196,Customers!$G$2:$G$1001,Customers!G196,Customers!$I$2:$I$1001,Customers!I196,Customers!$L$2:$L$1001,Customers!L196)&gt;1,"Duplicate record","")</f>
        <v/>
      </c>
      <c r="M196" s="4" t="str">
        <f>IF(OR(Customers!U196&lt;300,Customers!U196&gt;850),"Score out of range","")</f>
        <v/>
      </c>
      <c r="N196" s="4" t="str">
        <f>IF(AND(Customers!G196&lt;&gt;"",Customers!G196&lt;=0),"Income ≤ 0","")</f>
        <v/>
      </c>
      <c r="O196" s="4" t="str">
        <f>IF(OR(Customers!G196="",Customers!M196=""),"Missing value","")</f>
        <v/>
      </c>
      <c r="P196" s="4">
        <f t="shared" si="3"/>
        <v>0</v>
      </c>
    </row>
    <row r="197" spans="1:16" x14ac:dyDescent="0.25">
      <c r="A197" s="4" t="str">
        <f>Customers!A197</f>
        <v>CL00996</v>
      </c>
      <c r="B197" s="20">
        <f>IF(Customers!G197="","",(Customers!G197-Statistics!$C$7)/Statistics!$C$9)</f>
        <v>-2.3322406350820037E-2</v>
      </c>
      <c r="C197" s="4" t="str">
        <f>IF(Customers!G197="","",IF(OR(Customers!G197&lt;Statistics!$C$15,Customers!G197&gt;Statistics!$C$16),"Outside 1.5·IQR",""))</f>
        <v/>
      </c>
      <c r="D197" s="4" t="str">
        <f>IF(OR(Customers!B197&lt;18,Customers!B197&gt;100),"Implausible age","")</f>
        <v/>
      </c>
      <c r="E197" s="4" t="str">
        <f>IF(Customers!H197&gt;Customers!B197-18,"Tenure &gt; age-18","")</f>
        <v/>
      </c>
      <c r="F197" s="4" t="str">
        <f>IF(Customers!R197&gt;Customers!Q197,"Card spend &gt; limit","")</f>
        <v/>
      </c>
      <c r="G197" s="4" t="str">
        <f>IF(OR(AND(Customers!S197&gt;0,Customers!T197=0),AND(Customers!S197=0,Customers!T197&gt;0)),"Mortgage/payment inconsistent","")</f>
        <v/>
      </c>
      <c r="H197" s="4" t="str">
        <f>IF(AND(Customers!G197&lt;&gt;"",Customers!G197&gt;0,Customers!T197&gt;Customers!G197/12),"Payment &gt; monthly income","")</f>
        <v/>
      </c>
      <c r="I197" s="4" t="str">
        <f>IF(OR(Customers!I197&gt;DATE(2026,9,13),YEAR(Customers!I197)&lt;1980),"Implausible date","")</f>
        <v/>
      </c>
      <c r="J197" s="4" t="str">
        <f>IF(Customers!I197&gt;DATE(2026,9,13),"",IF(ABS(INT((DATE(2026,9,13)-Customers!I197)/365.25)-Customers!H197)&gt;1,"Date/tenure inconsistent",""))</f>
        <v/>
      </c>
      <c r="K197" s="4" t="str">
        <f>IF(COUNTIF(Customers!$A$2:$A$1001,Customers!A197)&gt;1,"Duplicate ID","")</f>
        <v/>
      </c>
      <c r="L197" s="4" t="str">
        <f>IF(COUNTIFS(Customers!$B$2:$B$1001,Customers!B197,Customers!$D$2:$D$1001,Customers!D197,Customers!$G$2:$G$1001,Customers!G197,Customers!$I$2:$I$1001,Customers!I197,Customers!$L$2:$L$1001,Customers!L197)&gt;1,"Duplicate record","")</f>
        <v>Duplicate record</v>
      </c>
      <c r="M197" s="4" t="str">
        <f>IF(OR(Customers!U197&lt;300,Customers!U197&gt;850),"Score out of range","")</f>
        <v/>
      </c>
      <c r="N197" s="4" t="str">
        <f>IF(AND(Customers!G197&lt;&gt;"",Customers!G197&lt;=0),"Income ≤ 0","")</f>
        <v/>
      </c>
      <c r="O197" s="4" t="str">
        <f>IF(OR(Customers!G197="",Customers!M197=""),"Missing value","")</f>
        <v/>
      </c>
      <c r="P197" s="4">
        <f t="shared" si="3"/>
        <v>1</v>
      </c>
    </row>
    <row r="198" spans="1:16" x14ac:dyDescent="0.25">
      <c r="A198" s="4" t="str">
        <f>Customers!A198</f>
        <v>CL00193</v>
      </c>
      <c r="B198" s="20">
        <f>IF(Customers!G198="","",(Customers!G198-Statistics!$C$7)/Statistics!$C$9)</f>
        <v>-4.8142476167598307E-2</v>
      </c>
      <c r="C198" s="4" t="str">
        <f>IF(Customers!G198="","",IF(OR(Customers!G198&lt;Statistics!$C$15,Customers!G198&gt;Statistics!$C$16),"Outside 1.5·IQR",""))</f>
        <v/>
      </c>
      <c r="D198" s="4" t="str">
        <f>IF(OR(Customers!B198&lt;18,Customers!B198&gt;100),"Implausible age","")</f>
        <v/>
      </c>
      <c r="E198" s="4" t="str">
        <f>IF(Customers!H198&gt;Customers!B198-18,"Tenure &gt; age-18","")</f>
        <v/>
      </c>
      <c r="F198" s="4" t="str">
        <f>IF(Customers!R198&gt;Customers!Q198,"Card spend &gt; limit","")</f>
        <v/>
      </c>
      <c r="G198" s="4" t="str">
        <f>IF(OR(AND(Customers!S198&gt;0,Customers!T198=0),AND(Customers!S198=0,Customers!T198&gt;0)),"Mortgage/payment inconsistent","")</f>
        <v/>
      </c>
      <c r="H198" s="4" t="str">
        <f>IF(AND(Customers!G198&lt;&gt;"",Customers!G198&gt;0,Customers!T198&gt;Customers!G198/12),"Payment &gt; monthly income","")</f>
        <v/>
      </c>
      <c r="I198" s="4" t="str">
        <f>IF(OR(Customers!I198&gt;DATE(2026,9,13),YEAR(Customers!I198)&lt;1980),"Implausible date","")</f>
        <v/>
      </c>
      <c r="J198" s="4" t="str">
        <f>IF(Customers!I198&gt;DATE(2026,9,13),"",IF(ABS(INT((DATE(2026,9,13)-Customers!I198)/365.25)-Customers!H198)&gt;1,"Date/tenure inconsistent",""))</f>
        <v/>
      </c>
      <c r="K198" s="4" t="str">
        <f>IF(COUNTIF(Customers!$A$2:$A$1001,Customers!A198)&gt;1,"Duplicate ID","")</f>
        <v/>
      </c>
      <c r="L198" s="4" t="str">
        <f>IF(COUNTIFS(Customers!$B$2:$B$1001,Customers!B198,Customers!$D$2:$D$1001,Customers!D198,Customers!$G$2:$G$1001,Customers!G198,Customers!$I$2:$I$1001,Customers!I198,Customers!$L$2:$L$1001,Customers!L198)&gt;1,"Duplicate record","")</f>
        <v/>
      </c>
      <c r="M198" s="4" t="str">
        <f>IF(OR(Customers!U198&lt;300,Customers!U198&gt;850),"Score out of range","")</f>
        <v/>
      </c>
      <c r="N198" s="4" t="str">
        <f>IF(AND(Customers!G198&lt;&gt;"",Customers!G198&lt;=0),"Income ≤ 0","")</f>
        <v/>
      </c>
      <c r="O198" s="4" t="str">
        <f>IF(OR(Customers!G198="",Customers!M198=""),"Missing value","")</f>
        <v/>
      </c>
      <c r="P198" s="4">
        <f t="shared" si="3"/>
        <v>0</v>
      </c>
    </row>
    <row r="199" spans="1:16" x14ac:dyDescent="0.25">
      <c r="A199" s="4" t="str">
        <f>Customers!A199</f>
        <v>CL00194</v>
      </c>
      <c r="B199" s="20">
        <f>IF(Customers!G199="","",(Customers!G199-Statistics!$C$7)/Statistics!$C$9)</f>
        <v>-3.5535456578123632E-2</v>
      </c>
      <c r="C199" s="4" t="str">
        <f>IF(Customers!G199="","",IF(OR(Customers!G199&lt;Statistics!$C$15,Customers!G199&gt;Statistics!$C$16),"Outside 1.5·IQR",""))</f>
        <v/>
      </c>
      <c r="D199" s="4" t="str">
        <f>IF(OR(Customers!B199&lt;18,Customers!B199&gt;100),"Implausible age","")</f>
        <v/>
      </c>
      <c r="E199" s="4" t="str">
        <f>IF(Customers!H199&gt;Customers!B199-18,"Tenure &gt; age-18","")</f>
        <v/>
      </c>
      <c r="F199" s="4" t="str">
        <f>IF(Customers!R199&gt;Customers!Q199,"Card spend &gt; limit","")</f>
        <v/>
      </c>
      <c r="G199" s="4" t="str">
        <f>IF(OR(AND(Customers!S199&gt;0,Customers!T199=0),AND(Customers!S199=0,Customers!T199&gt;0)),"Mortgage/payment inconsistent","")</f>
        <v/>
      </c>
      <c r="H199" s="4" t="str">
        <f>IF(AND(Customers!G199&lt;&gt;"",Customers!G199&gt;0,Customers!T199&gt;Customers!G199/12),"Payment &gt; monthly income","")</f>
        <v/>
      </c>
      <c r="I199" s="4" t="str">
        <f>IF(OR(Customers!I199&gt;DATE(2026,9,13),YEAR(Customers!I199)&lt;1980),"Implausible date","")</f>
        <v/>
      </c>
      <c r="J199" s="4" t="str">
        <f>IF(Customers!I199&gt;DATE(2026,9,13),"",IF(ABS(INT((DATE(2026,9,13)-Customers!I199)/365.25)-Customers!H199)&gt;1,"Date/tenure inconsistent",""))</f>
        <v/>
      </c>
      <c r="K199" s="4" t="str">
        <f>IF(COUNTIF(Customers!$A$2:$A$1001,Customers!A199)&gt;1,"Duplicate ID","")</f>
        <v/>
      </c>
      <c r="L199" s="4" t="str">
        <f>IF(COUNTIFS(Customers!$B$2:$B$1001,Customers!B199,Customers!$D$2:$D$1001,Customers!D199,Customers!$G$2:$G$1001,Customers!G199,Customers!$I$2:$I$1001,Customers!I199,Customers!$L$2:$L$1001,Customers!L199)&gt;1,"Duplicate record","")</f>
        <v/>
      </c>
      <c r="M199" s="4" t="str">
        <f>IF(OR(Customers!U199&lt;300,Customers!U199&gt;850),"Score out of range","")</f>
        <v/>
      </c>
      <c r="N199" s="4" t="str">
        <f>IF(AND(Customers!G199&lt;&gt;"",Customers!G199&lt;=0),"Income ≤ 0","")</f>
        <v/>
      </c>
      <c r="O199" s="4" t="str">
        <f>IF(OR(Customers!G199="",Customers!M199=""),"Missing value","")</f>
        <v/>
      </c>
      <c r="P199" s="4">
        <f t="shared" si="3"/>
        <v>0</v>
      </c>
    </row>
    <row r="200" spans="1:16" x14ac:dyDescent="0.25">
      <c r="A200" s="4" t="str">
        <f>Customers!A200</f>
        <v>CL00195</v>
      </c>
      <c r="B200" s="20">
        <f>IF(Customers!G200="","",(Customers!G200-Statistics!$C$7)/Statistics!$C$9)</f>
        <v>-4.0854042967433259E-2</v>
      </c>
      <c r="C200" s="4" t="str">
        <f>IF(Customers!G200="","",IF(OR(Customers!G200&lt;Statistics!$C$15,Customers!G200&gt;Statistics!$C$16),"Outside 1.5·IQR",""))</f>
        <v/>
      </c>
      <c r="D200" s="4" t="str">
        <f>IF(OR(Customers!B200&lt;18,Customers!B200&gt;100),"Implausible age","")</f>
        <v/>
      </c>
      <c r="E200" s="4" t="str">
        <f>IF(Customers!H200&gt;Customers!B200-18,"Tenure &gt; age-18","")</f>
        <v/>
      </c>
      <c r="F200" s="4" t="str">
        <f>IF(Customers!R200&gt;Customers!Q200,"Card spend &gt; limit","")</f>
        <v/>
      </c>
      <c r="G200" s="4" t="str">
        <f>IF(OR(AND(Customers!S200&gt;0,Customers!T200=0),AND(Customers!S200=0,Customers!T200&gt;0)),"Mortgage/payment inconsistent","")</f>
        <v/>
      </c>
      <c r="H200" s="4" t="str">
        <f>IF(AND(Customers!G200&lt;&gt;"",Customers!G200&gt;0,Customers!T200&gt;Customers!G200/12),"Payment &gt; monthly income","")</f>
        <v/>
      </c>
      <c r="I200" s="4" t="str">
        <f>IF(OR(Customers!I200&gt;DATE(2026,9,13),YEAR(Customers!I200)&lt;1980),"Implausible date","")</f>
        <v/>
      </c>
      <c r="J200" s="4" t="str">
        <f>IF(Customers!I200&gt;DATE(2026,9,13),"",IF(ABS(INT((DATE(2026,9,13)-Customers!I200)/365.25)-Customers!H200)&gt;1,"Date/tenure inconsistent",""))</f>
        <v/>
      </c>
      <c r="K200" s="4" t="str">
        <f>IF(COUNTIF(Customers!$A$2:$A$1001,Customers!A200)&gt;1,"Duplicate ID","")</f>
        <v/>
      </c>
      <c r="L200" s="4" t="str">
        <f>IF(COUNTIFS(Customers!$B$2:$B$1001,Customers!B200,Customers!$D$2:$D$1001,Customers!D200,Customers!$G$2:$G$1001,Customers!G200,Customers!$I$2:$I$1001,Customers!I200,Customers!$L$2:$L$1001,Customers!L200)&gt;1,"Duplicate record","")</f>
        <v/>
      </c>
      <c r="M200" s="4" t="str">
        <f>IF(OR(Customers!U200&lt;300,Customers!U200&gt;850),"Score out of range","")</f>
        <v/>
      </c>
      <c r="N200" s="4" t="str">
        <f>IF(AND(Customers!G200&lt;&gt;"",Customers!G200&lt;=0),"Income ≤ 0","")</f>
        <v/>
      </c>
      <c r="O200" s="4" t="str">
        <f>IF(OR(Customers!G200="",Customers!M200=""),"Missing value","")</f>
        <v/>
      </c>
      <c r="P200" s="4">
        <f t="shared" si="3"/>
        <v>0</v>
      </c>
    </row>
    <row r="201" spans="1:16" x14ac:dyDescent="0.25">
      <c r="A201" s="4" t="str">
        <f>Customers!A201</f>
        <v>CL00196</v>
      </c>
      <c r="B201" s="20">
        <f>IF(Customers!G201="","",(Customers!G201-Statistics!$C$7)/Statistics!$C$9)</f>
        <v>-6.4492204697698272E-2</v>
      </c>
      <c r="C201" s="4" t="str">
        <f>IF(Customers!G201="","",IF(OR(Customers!G201&lt;Statistics!$C$15,Customers!G201&gt;Statistics!$C$16),"Outside 1.5·IQR",""))</f>
        <v/>
      </c>
      <c r="D201" s="4" t="str">
        <f>IF(OR(Customers!B201&lt;18,Customers!B201&gt;100),"Implausible age","")</f>
        <v/>
      </c>
      <c r="E201" s="4" t="str">
        <f>IF(Customers!H201&gt;Customers!B201-18,"Tenure &gt; age-18","")</f>
        <v/>
      </c>
      <c r="F201" s="4" t="str">
        <f>IF(Customers!R201&gt;Customers!Q201,"Card spend &gt; limit","")</f>
        <v/>
      </c>
      <c r="G201" s="4" t="str">
        <f>IF(OR(AND(Customers!S201&gt;0,Customers!T201=0),AND(Customers!S201=0,Customers!T201&gt;0)),"Mortgage/payment inconsistent","")</f>
        <v/>
      </c>
      <c r="H201" s="4" t="str">
        <f>IF(AND(Customers!G201&lt;&gt;"",Customers!G201&gt;0,Customers!T201&gt;Customers!G201/12),"Payment &gt; monthly income","")</f>
        <v/>
      </c>
      <c r="I201" s="4" t="str">
        <f>IF(OR(Customers!I201&gt;DATE(2026,9,13),YEAR(Customers!I201)&lt;1980),"Implausible date","")</f>
        <v/>
      </c>
      <c r="J201" s="4" t="str">
        <f>IF(Customers!I201&gt;DATE(2026,9,13),"",IF(ABS(INT((DATE(2026,9,13)-Customers!I201)/365.25)-Customers!H201)&gt;1,"Date/tenure inconsistent",""))</f>
        <v/>
      </c>
      <c r="K201" s="4" t="str">
        <f>IF(COUNTIF(Customers!$A$2:$A$1001,Customers!A201)&gt;1,"Duplicate ID","")</f>
        <v/>
      </c>
      <c r="L201" s="4" t="str">
        <f>IF(COUNTIFS(Customers!$B$2:$B$1001,Customers!B201,Customers!$D$2:$D$1001,Customers!D201,Customers!$G$2:$G$1001,Customers!G201,Customers!$I$2:$I$1001,Customers!I201,Customers!$L$2:$L$1001,Customers!L201)&gt;1,"Duplicate record","")</f>
        <v/>
      </c>
      <c r="M201" s="4" t="str">
        <f>IF(OR(Customers!U201&lt;300,Customers!U201&gt;850),"Score out of range","")</f>
        <v/>
      </c>
      <c r="N201" s="4" t="str">
        <f>IF(AND(Customers!G201&lt;&gt;"",Customers!G201&lt;=0),"Income ≤ 0","")</f>
        <v/>
      </c>
      <c r="O201" s="4" t="str">
        <f>IF(OR(Customers!G201="",Customers!M201=""),"Missing value","")</f>
        <v/>
      </c>
      <c r="P201" s="4">
        <f t="shared" si="3"/>
        <v>0</v>
      </c>
    </row>
    <row r="202" spans="1:16" x14ac:dyDescent="0.25">
      <c r="A202" s="4" t="str">
        <f>Customers!A202</f>
        <v>CL00197</v>
      </c>
      <c r="B202" s="20">
        <f>IF(Customers!G202="","",(Customers!G202-Statistics!$C$7)/Statistics!$C$9)</f>
        <v>-5.1195738724424199E-2</v>
      </c>
      <c r="C202" s="4" t="str">
        <f>IF(Customers!G202="","",IF(OR(Customers!G202&lt;Statistics!$C$15,Customers!G202&gt;Statistics!$C$16),"Outside 1.5·IQR",""))</f>
        <v/>
      </c>
      <c r="D202" s="4" t="str">
        <f>IF(OR(Customers!B202&lt;18,Customers!B202&gt;100),"Implausible age","")</f>
        <v/>
      </c>
      <c r="E202" s="4" t="str">
        <f>IF(Customers!H202&gt;Customers!B202-18,"Tenure &gt; age-18","")</f>
        <v/>
      </c>
      <c r="F202" s="4" t="str">
        <f>IF(Customers!R202&gt;Customers!Q202,"Card spend &gt; limit","")</f>
        <v/>
      </c>
      <c r="G202" s="4" t="str">
        <f>IF(OR(AND(Customers!S202&gt;0,Customers!T202=0),AND(Customers!S202=0,Customers!T202&gt;0)),"Mortgage/payment inconsistent","")</f>
        <v/>
      </c>
      <c r="H202" s="4" t="str">
        <f>IF(AND(Customers!G202&lt;&gt;"",Customers!G202&gt;0,Customers!T202&gt;Customers!G202/12),"Payment &gt; monthly income","")</f>
        <v/>
      </c>
      <c r="I202" s="4" t="str">
        <f>IF(OR(Customers!I202&gt;DATE(2026,9,13),YEAR(Customers!I202)&lt;1980),"Implausible date","")</f>
        <v/>
      </c>
      <c r="J202" s="4" t="str">
        <f>IF(Customers!I202&gt;DATE(2026,9,13),"",IF(ABS(INT((DATE(2026,9,13)-Customers!I202)/365.25)-Customers!H202)&gt;1,"Date/tenure inconsistent",""))</f>
        <v/>
      </c>
      <c r="K202" s="4" t="str">
        <f>IF(COUNTIF(Customers!$A$2:$A$1001,Customers!A202)&gt;1,"Duplicate ID","")</f>
        <v/>
      </c>
      <c r="L202" s="4" t="str">
        <f>IF(COUNTIFS(Customers!$B$2:$B$1001,Customers!B202,Customers!$D$2:$D$1001,Customers!D202,Customers!$G$2:$G$1001,Customers!G202,Customers!$I$2:$I$1001,Customers!I202,Customers!$L$2:$L$1001,Customers!L202)&gt;1,"Duplicate record","")</f>
        <v/>
      </c>
      <c r="M202" s="4" t="str">
        <f>IF(OR(Customers!U202&lt;300,Customers!U202&gt;850),"Score out of range","")</f>
        <v>Score out of range</v>
      </c>
      <c r="N202" s="4" t="str">
        <f>IF(AND(Customers!G202&lt;&gt;"",Customers!G202&lt;=0),"Income ≤ 0","")</f>
        <v/>
      </c>
      <c r="O202" s="4" t="str">
        <f>IF(OR(Customers!G202="",Customers!M202=""),"Missing value","")</f>
        <v/>
      </c>
      <c r="P202" s="4">
        <f t="shared" si="3"/>
        <v>1</v>
      </c>
    </row>
    <row r="203" spans="1:16" x14ac:dyDescent="0.25">
      <c r="A203" s="4" t="str">
        <f>Customers!A203</f>
        <v>CL00198</v>
      </c>
      <c r="B203" s="20">
        <f>IF(Customers!G203="","",(Customers!G203-Statistics!$C$7)/Statistics!$C$9)</f>
        <v>-2.342089869136281E-2</v>
      </c>
      <c r="C203" s="4" t="str">
        <f>IF(Customers!G203="","",IF(OR(Customers!G203&lt;Statistics!$C$15,Customers!G203&gt;Statistics!$C$16),"Outside 1.5·IQR",""))</f>
        <v/>
      </c>
      <c r="D203" s="4" t="str">
        <f>IF(OR(Customers!B203&lt;18,Customers!B203&gt;100),"Implausible age","")</f>
        <v/>
      </c>
      <c r="E203" s="4" t="str">
        <f>IF(Customers!H203&gt;Customers!B203-18,"Tenure &gt; age-18","")</f>
        <v/>
      </c>
      <c r="F203" s="4" t="str">
        <f>IF(Customers!R203&gt;Customers!Q203,"Card spend &gt; limit","")</f>
        <v/>
      </c>
      <c r="G203" s="4" t="str">
        <f>IF(OR(AND(Customers!S203&gt;0,Customers!T203=0),AND(Customers!S203=0,Customers!T203&gt;0)),"Mortgage/payment inconsistent","")</f>
        <v/>
      </c>
      <c r="H203" s="4" t="str">
        <f>IF(AND(Customers!G203&lt;&gt;"",Customers!G203&gt;0,Customers!T203&gt;Customers!G203/12),"Payment &gt; monthly income","")</f>
        <v/>
      </c>
      <c r="I203" s="4" t="str">
        <f>IF(OR(Customers!I203&gt;DATE(2026,9,13),YEAR(Customers!I203)&lt;1980),"Implausible date","")</f>
        <v/>
      </c>
      <c r="J203" s="4" t="str">
        <f>IF(Customers!I203&gt;DATE(2026,9,13),"",IF(ABS(INT((DATE(2026,9,13)-Customers!I203)/365.25)-Customers!H203)&gt;1,"Date/tenure inconsistent",""))</f>
        <v/>
      </c>
      <c r="K203" s="4" t="str">
        <f>IF(COUNTIF(Customers!$A$2:$A$1001,Customers!A203)&gt;1,"Duplicate ID","")</f>
        <v/>
      </c>
      <c r="L203" s="4" t="str">
        <f>IF(COUNTIFS(Customers!$B$2:$B$1001,Customers!B203,Customers!$D$2:$D$1001,Customers!D203,Customers!$G$2:$G$1001,Customers!G203,Customers!$I$2:$I$1001,Customers!I203,Customers!$L$2:$L$1001,Customers!L203)&gt;1,"Duplicate record","")</f>
        <v/>
      </c>
      <c r="M203" s="4" t="str">
        <f>IF(OR(Customers!U203&lt;300,Customers!U203&gt;850),"Score out of range","")</f>
        <v/>
      </c>
      <c r="N203" s="4" t="str">
        <f>IF(AND(Customers!G203&lt;&gt;"",Customers!G203&lt;=0),"Income ≤ 0","")</f>
        <v/>
      </c>
      <c r="O203" s="4" t="str">
        <f>IF(OR(Customers!G203="",Customers!M203=""),"Missing value","")</f>
        <v/>
      </c>
      <c r="P203" s="4">
        <f t="shared" si="3"/>
        <v>0</v>
      </c>
    </row>
    <row r="204" spans="1:16" x14ac:dyDescent="0.25">
      <c r="A204" s="4" t="str">
        <f>Customers!A204</f>
        <v>CL00199</v>
      </c>
      <c r="B204" s="20">
        <f>IF(Customers!G204="","",(Customers!G204-Statistics!$C$7)/Statistics!$C$9)</f>
        <v>1.7507216315055694</v>
      </c>
      <c r="C204" s="4" t="str">
        <f>IF(Customers!G204="","",IF(OR(Customers!G204&lt;Statistics!$C$15,Customers!G204&gt;Statistics!$C$16),"Outside 1.5·IQR",""))</f>
        <v>Outside 1.5·IQR</v>
      </c>
      <c r="D204" s="4" t="str">
        <f>IF(OR(Customers!B204&lt;18,Customers!B204&gt;100),"Implausible age","")</f>
        <v/>
      </c>
      <c r="E204" s="4" t="str">
        <f>IF(Customers!H204&gt;Customers!B204-18,"Tenure &gt; age-18","")</f>
        <v/>
      </c>
      <c r="F204" s="4" t="str">
        <f>IF(Customers!R204&gt;Customers!Q204,"Card spend &gt; limit","")</f>
        <v/>
      </c>
      <c r="G204" s="4" t="str">
        <f>IF(OR(AND(Customers!S204&gt;0,Customers!T204=0),AND(Customers!S204=0,Customers!T204&gt;0)),"Mortgage/payment inconsistent","")</f>
        <v/>
      </c>
      <c r="H204" s="4" t="str">
        <f>IF(AND(Customers!G204&lt;&gt;"",Customers!G204&gt;0,Customers!T204&gt;Customers!G204/12),"Payment &gt; monthly income","")</f>
        <v/>
      </c>
      <c r="I204" s="4" t="str">
        <f>IF(OR(Customers!I204&gt;DATE(2026,9,13),YEAR(Customers!I204)&lt;1980),"Implausible date","")</f>
        <v/>
      </c>
      <c r="J204" s="4" t="str">
        <f>IF(Customers!I204&gt;DATE(2026,9,13),"",IF(ABS(INT((DATE(2026,9,13)-Customers!I204)/365.25)-Customers!H204)&gt;1,"Date/tenure inconsistent",""))</f>
        <v/>
      </c>
      <c r="K204" s="4" t="str">
        <f>IF(COUNTIF(Customers!$A$2:$A$1001,Customers!A204)&gt;1,"Duplicate ID","")</f>
        <v/>
      </c>
      <c r="L204" s="4" t="str">
        <f>IF(COUNTIFS(Customers!$B$2:$B$1001,Customers!B204,Customers!$D$2:$D$1001,Customers!D204,Customers!$G$2:$G$1001,Customers!G204,Customers!$I$2:$I$1001,Customers!I204,Customers!$L$2:$L$1001,Customers!L204)&gt;1,"Duplicate record","")</f>
        <v/>
      </c>
      <c r="M204" s="4" t="str">
        <f>IF(OR(Customers!U204&lt;300,Customers!U204&gt;850),"Score out of range","")</f>
        <v/>
      </c>
      <c r="N204" s="4" t="str">
        <f>IF(AND(Customers!G204&lt;&gt;"",Customers!G204&lt;=0),"Income ≤ 0","")</f>
        <v/>
      </c>
      <c r="O204" s="4" t="str">
        <f>IF(OR(Customers!G204="",Customers!M204=""),"Missing value","")</f>
        <v/>
      </c>
      <c r="P204" s="4">
        <f t="shared" si="3"/>
        <v>1</v>
      </c>
    </row>
    <row r="205" spans="1:16" x14ac:dyDescent="0.25">
      <c r="A205" s="4" t="str">
        <f>Customers!A205</f>
        <v>CL00200</v>
      </c>
      <c r="B205" s="20">
        <f>IF(Customers!G205="","",(Customers!G205-Statistics!$C$7)/Statistics!$C$9)</f>
        <v>-4.3133846260652543E-3</v>
      </c>
      <c r="C205" s="4" t="str">
        <f>IF(Customers!G205="","",IF(OR(Customers!G205&lt;Statistics!$C$15,Customers!G205&gt;Statistics!$C$16),"Outside 1.5·IQR",""))</f>
        <v/>
      </c>
      <c r="D205" s="4" t="str">
        <f>IF(OR(Customers!B205&lt;18,Customers!B205&gt;100),"Implausible age","")</f>
        <v/>
      </c>
      <c r="E205" s="4" t="str">
        <f>IF(Customers!H205&gt;Customers!B205-18,"Tenure &gt; age-18","")</f>
        <v/>
      </c>
      <c r="F205" s="4" t="str">
        <f>IF(Customers!R205&gt;Customers!Q205,"Card spend &gt; limit","")</f>
        <v/>
      </c>
      <c r="G205" s="4" t="str">
        <f>IF(OR(AND(Customers!S205&gt;0,Customers!T205=0),AND(Customers!S205=0,Customers!T205&gt;0)),"Mortgage/payment inconsistent","")</f>
        <v/>
      </c>
      <c r="H205" s="4" t="str">
        <f>IF(AND(Customers!G205&lt;&gt;"",Customers!G205&gt;0,Customers!T205&gt;Customers!G205/12),"Payment &gt; monthly income","")</f>
        <v/>
      </c>
      <c r="I205" s="4" t="str">
        <f>IF(OR(Customers!I205&gt;DATE(2026,9,13),YEAR(Customers!I205)&lt;1980),"Implausible date","")</f>
        <v/>
      </c>
      <c r="J205" s="4" t="str">
        <f>IF(Customers!I205&gt;DATE(2026,9,13),"",IF(ABS(INT((DATE(2026,9,13)-Customers!I205)/365.25)-Customers!H205)&gt;1,"Date/tenure inconsistent",""))</f>
        <v/>
      </c>
      <c r="K205" s="4" t="str">
        <f>IF(COUNTIF(Customers!$A$2:$A$1001,Customers!A205)&gt;1,"Duplicate ID","")</f>
        <v/>
      </c>
      <c r="L205" s="4" t="str">
        <f>IF(COUNTIFS(Customers!$B$2:$B$1001,Customers!B205,Customers!$D$2:$D$1001,Customers!D205,Customers!$G$2:$G$1001,Customers!G205,Customers!$I$2:$I$1001,Customers!I205,Customers!$L$2:$L$1001,Customers!L205)&gt;1,"Duplicate record","")</f>
        <v/>
      </c>
      <c r="M205" s="4" t="str">
        <f>IF(OR(Customers!U205&lt;300,Customers!U205&gt;850),"Score out of range","")</f>
        <v/>
      </c>
      <c r="N205" s="4" t="str">
        <f>IF(AND(Customers!G205&lt;&gt;"",Customers!G205&lt;=0),"Income ≤ 0","")</f>
        <v/>
      </c>
      <c r="O205" s="4" t="str">
        <f>IF(OR(Customers!G205="",Customers!M205=""),"Missing value","")</f>
        <v/>
      </c>
      <c r="P205" s="4">
        <f t="shared" si="3"/>
        <v>0</v>
      </c>
    </row>
    <row r="206" spans="1:16" x14ac:dyDescent="0.25">
      <c r="A206" s="4" t="str">
        <f>Customers!A206</f>
        <v>CL00201</v>
      </c>
      <c r="B206" s="20">
        <f>IF(Customers!G206="","",(Customers!G206-Statistics!$C$7)/Statistics!$C$9)</f>
        <v>-2.1549544221050161E-2</v>
      </c>
      <c r="C206" s="4" t="str">
        <f>IF(Customers!G206="","",IF(OR(Customers!G206&lt;Statistics!$C$15,Customers!G206&gt;Statistics!$C$16),"Outside 1.5·IQR",""))</f>
        <v/>
      </c>
      <c r="D206" s="4" t="str">
        <f>IF(OR(Customers!B206&lt;18,Customers!B206&gt;100),"Implausible age","")</f>
        <v/>
      </c>
      <c r="E206" s="4" t="str">
        <f>IF(Customers!H206&gt;Customers!B206-18,"Tenure &gt; age-18","")</f>
        <v/>
      </c>
      <c r="F206" s="4" t="str">
        <f>IF(Customers!R206&gt;Customers!Q206,"Card spend &gt; limit","")</f>
        <v/>
      </c>
      <c r="G206" s="4" t="str">
        <f>IF(OR(AND(Customers!S206&gt;0,Customers!T206=0),AND(Customers!S206=0,Customers!T206&gt;0)),"Mortgage/payment inconsistent","")</f>
        <v/>
      </c>
      <c r="H206" s="4" t="str">
        <f>IF(AND(Customers!G206&lt;&gt;"",Customers!G206&gt;0,Customers!T206&gt;Customers!G206/12),"Payment &gt; monthly income","")</f>
        <v/>
      </c>
      <c r="I206" s="4" t="str">
        <f>IF(OR(Customers!I206&gt;DATE(2026,9,13),YEAR(Customers!I206)&lt;1980),"Implausible date","")</f>
        <v/>
      </c>
      <c r="J206" s="4" t="str">
        <f>IF(Customers!I206&gt;DATE(2026,9,13),"",IF(ABS(INT((DATE(2026,9,13)-Customers!I206)/365.25)-Customers!H206)&gt;1,"Date/tenure inconsistent",""))</f>
        <v/>
      </c>
      <c r="K206" s="4" t="str">
        <f>IF(COUNTIF(Customers!$A$2:$A$1001,Customers!A206)&gt;1,"Duplicate ID","")</f>
        <v/>
      </c>
      <c r="L206" s="4" t="str">
        <f>IF(COUNTIFS(Customers!$B$2:$B$1001,Customers!B206,Customers!$D$2:$D$1001,Customers!D206,Customers!$G$2:$G$1001,Customers!G206,Customers!$I$2:$I$1001,Customers!I206,Customers!$L$2:$L$1001,Customers!L206)&gt;1,"Duplicate record","")</f>
        <v/>
      </c>
      <c r="M206" s="4" t="str">
        <f>IF(OR(Customers!U206&lt;300,Customers!U206&gt;850),"Score out of range","")</f>
        <v/>
      </c>
      <c r="N206" s="4" t="str">
        <f>IF(AND(Customers!G206&lt;&gt;"",Customers!G206&lt;=0),"Income ≤ 0","")</f>
        <v/>
      </c>
      <c r="O206" s="4" t="str">
        <f>IF(OR(Customers!G206="",Customers!M206=""),"Missing value","")</f>
        <v/>
      </c>
      <c r="P206" s="4">
        <f t="shared" si="3"/>
        <v>0</v>
      </c>
    </row>
    <row r="207" spans="1:16" x14ac:dyDescent="0.25">
      <c r="A207" s="4" t="str">
        <f>Customers!A207</f>
        <v>CL00202</v>
      </c>
      <c r="B207" s="20">
        <f>IF(Customers!G207="","",(Customers!G207-Statistics!$C$7)/Statistics!$C$9)</f>
        <v>7.0639286526983397E-2</v>
      </c>
      <c r="C207" s="4" t="str">
        <f>IF(Customers!G207="","",IF(OR(Customers!G207&lt;Statistics!$C$15,Customers!G207&gt;Statistics!$C$16),"Outside 1.5·IQR",""))</f>
        <v>Outside 1.5·IQR</v>
      </c>
      <c r="D207" s="4" t="str">
        <f>IF(OR(Customers!B207&lt;18,Customers!B207&gt;100),"Implausible age","")</f>
        <v/>
      </c>
      <c r="E207" s="4" t="str">
        <f>IF(Customers!H207&gt;Customers!B207-18,"Tenure &gt; age-18","")</f>
        <v/>
      </c>
      <c r="F207" s="4" t="str">
        <f>IF(Customers!R207&gt;Customers!Q207,"Card spend &gt; limit","")</f>
        <v/>
      </c>
      <c r="G207" s="4" t="str">
        <f>IF(OR(AND(Customers!S207&gt;0,Customers!T207=0),AND(Customers!S207=0,Customers!T207&gt;0)),"Mortgage/payment inconsistent","")</f>
        <v/>
      </c>
      <c r="H207" s="4" t="str">
        <f>IF(AND(Customers!G207&lt;&gt;"",Customers!G207&gt;0,Customers!T207&gt;Customers!G207/12),"Payment &gt; monthly income","")</f>
        <v/>
      </c>
      <c r="I207" s="4" t="str">
        <f>IF(OR(Customers!I207&gt;DATE(2026,9,13),YEAR(Customers!I207)&lt;1980),"Implausible date","")</f>
        <v/>
      </c>
      <c r="J207" s="4" t="str">
        <f>IF(Customers!I207&gt;DATE(2026,9,13),"",IF(ABS(INT((DATE(2026,9,13)-Customers!I207)/365.25)-Customers!H207)&gt;1,"Date/tenure inconsistent",""))</f>
        <v/>
      </c>
      <c r="K207" s="4" t="str">
        <f>IF(COUNTIF(Customers!$A$2:$A$1001,Customers!A207)&gt;1,"Duplicate ID","")</f>
        <v/>
      </c>
      <c r="L207" s="4" t="str">
        <f>IF(COUNTIFS(Customers!$B$2:$B$1001,Customers!B207,Customers!$D$2:$D$1001,Customers!D207,Customers!$G$2:$G$1001,Customers!G207,Customers!$I$2:$I$1001,Customers!I207,Customers!$L$2:$L$1001,Customers!L207)&gt;1,"Duplicate record","")</f>
        <v/>
      </c>
      <c r="M207" s="4" t="str">
        <f>IF(OR(Customers!U207&lt;300,Customers!U207&gt;850),"Score out of range","")</f>
        <v/>
      </c>
      <c r="N207" s="4" t="str">
        <f>IF(AND(Customers!G207&lt;&gt;"",Customers!G207&lt;=0),"Income ≤ 0","")</f>
        <v/>
      </c>
      <c r="O207" s="4" t="str">
        <f>IF(OR(Customers!G207="",Customers!M207=""),"Missing value","")</f>
        <v/>
      </c>
      <c r="P207" s="4">
        <f t="shared" si="3"/>
        <v>1</v>
      </c>
    </row>
    <row r="208" spans="1:16" x14ac:dyDescent="0.25">
      <c r="A208" s="4" t="str">
        <f>Customers!A208</f>
        <v>CL00203</v>
      </c>
      <c r="B208" s="20">
        <f>IF(Customers!G208="","",(Customers!G208-Statistics!$C$7)/Statistics!$C$9)</f>
        <v>-4.8437953189226619E-2</v>
      </c>
      <c r="C208" s="4" t="str">
        <f>IF(Customers!G208="","",IF(OR(Customers!G208&lt;Statistics!$C$15,Customers!G208&gt;Statistics!$C$16),"Outside 1.5·IQR",""))</f>
        <v/>
      </c>
      <c r="D208" s="4" t="str">
        <f>IF(OR(Customers!B208&lt;18,Customers!B208&gt;100),"Implausible age","")</f>
        <v/>
      </c>
      <c r="E208" s="4" t="str">
        <f>IF(Customers!H208&gt;Customers!B208-18,"Tenure &gt; age-18","")</f>
        <v/>
      </c>
      <c r="F208" s="4" t="str">
        <f>IF(Customers!R208&gt;Customers!Q208,"Card spend &gt; limit","")</f>
        <v/>
      </c>
      <c r="G208" s="4" t="str">
        <f>IF(OR(AND(Customers!S208&gt;0,Customers!T208=0),AND(Customers!S208=0,Customers!T208&gt;0)),"Mortgage/payment inconsistent","")</f>
        <v/>
      </c>
      <c r="H208" s="4" t="str">
        <f>IF(AND(Customers!G208&lt;&gt;"",Customers!G208&gt;0,Customers!T208&gt;Customers!G208/12),"Payment &gt; monthly income","")</f>
        <v/>
      </c>
      <c r="I208" s="4" t="str">
        <f>IF(OR(Customers!I208&gt;DATE(2026,9,13),YEAR(Customers!I208)&lt;1980),"Implausible date","")</f>
        <v/>
      </c>
      <c r="J208" s="4" t="str">
        <f>IF(Customers!I208&gt;DATE(2026,9,13),"",IF(ABS(INT((DATE(2026,9,13)-Customers!I208)/365.25)-Customers!H208)&gt;1,"Date/tenure inconsistent",""))</f>
        <v/>
      </c>
      <c r="K208" s="4" t="str">
        <f>IF(COUNTIF(Customers!$A$2:$A$1001,Customers!A208)&gt;1,"Duplicate ID","")</f>
        <v/>
      </c>
      <c r="L208" s="4" t="str">
        <f>IF(COUNTIFS(Customers!$B$2:$B$1001,Customers!B208,Customers!$D$2:$D$1001,Customers!D208,Customers!$G$2:$G$1001,Customers!G208,Customers!$I$2:$I$1001,Customers!I208,Customers!$L$2:$L$1001,Customers!L208)&gt;1,"Duplicate record","")</f>
        <v/>
      </c>
      <c r="M208" s="4" t="str">
        <f>IF(OR(Customers!U208&lt;300,Customers!U208&gt;850),"Score out of range","")</f>
        <v/>
      </c>
      <c r="N208" s="4" t="str">
        <f>IF(AND(Customers!G208&lt;&gt;"",Customers!G208&lt;=0),"Income ≤ 0","")</f>
        <v/>
      </c>
      <c r="O208" s="4" t="str">
        <f>IF(OR(Customers!G208="",Customers!M208=""),"Missing value","")</f>
        <v/>
      </c>
      <c r="P208" s="4">
        <f t="shared" si="3"/>
        <v>0</v>
      </c>
    </row>
    <row r="209" spans="1:16" x14ac:dyDescent="0.25">
      <c r="A209" s="4" t="str">
        <f>Customers!A209</f>
        <v>CL00204</v>
      </c>
      <c r="B209" s="20">
        <f>IF(Customers!G209="","",(Customers!G209-Statistics!$C$7)/Statistics!$C$9)</f>
        <v>-2.3322406350820037E-2</v>
      </c>
      <c r="C209" s="4" t="str">
        <f>IF(Customers!G209="","",IF(OR(Customers!G209&lt;Statistics!$C$15,Customers!G209&gt;Statistics!$C$16),"Outside 1.5·IQR",""))</f>
        <v/>
      </c>
      <c r="D209" s="4" t="str">
        <f>IF(OR(Customers!B209&lt;18,Customers!B209&gt;100),"Implausible age","")</f>
        <v/>
      </c>
      <c r="E209" s="4" t="str">
        <f>IF(Customers!H209&gt;Customers!B209-18,"Tenure &gt; age-18","")</f>
        <v/>
      </c>
      <c r="F209" s="4" t="str">
        <f>IF(Customers!R209&gt;Customers!Q209,"Card spend &gt; limit","")</f>
        <v/>
      </c>
      <c r="G209" s="4" t="str">
        <f>IF(OR(AND(Customers!S209&gt;0,Customers!T209=0),AND(Customers!S209=0,Customers!T209&gt;0)),"Mortgage/payment inconsistent","")</f>
        <v/>
      </c>
      <c r="H209" s="4" t="str">
        <f>IF(AND(Customers!G209&lt;&gt;"",Customers!G209&gt;0,Customers!T209&gt;Customers!G209/12),"Payment &gt; monthly income","")</f>
        <v/>
      </c>
      <c r="I209" s="4" t="str">
        <f>IF(OR(Customers!I209&gt;DATE(2026,9,13),YEAR(Customers!I209)&lt;1980),"Implausible date","")</f>
        <v/>
      </c>
      <c r="J209" s="4" t="str">
        <f>IF(Customers!I209&gt;DATE(2026,9,13),"",IF(ABS(INT((DATE(2026,9,13)-Customers!I209)/365.25)-Customers!H209)&gt;1,"Date/tenure inconsistent",""))</f>
        <v/>
      </c>
      <c r="K209" s="4" t="str">
        <f>IF(COUNTIF(Customers!$A$2:$A$1001,Customers!A209)&gt;1,"Duplicate ID","")</f>
        <v/>
      </c>
      <c r="L209" s="4" t="str">
        <f>IF(COUNTIFS(Customers!$B$2:$B$1001,Customers!B209,Customers!$D$2:$D$1001,Customers!D209,Customers!$G$2:$G$1001,Customers!G209,Customers!$I$2:$I$1001,Customers!I209,Customers!$L$2:$L$1001,Customers!L209)&gt;1,"Duplicate record","")</f>
        <v/>
      </c>
      <c r="M209" s="4" t="str">
        <f>IF(OR(Customers!U209&lt;300,Customers!U209&gt;850),"Score out of range","")</f>
        <v/>
      </c>
      <c r="N209" s="4" t="str">
        <f>IF(AND(Customers!G209&lt;&gt;"",Customers!G209&lt;=0),"Income ≤ 0","")</f>
        <v/>
      </c>
      <c r="O209" s="4" t="str">
        <f>IF(OR(Customers!G209="",Customers!M209=""),"Missing value","")</f>
        <v/>
      </c>
      <c r="P209" s="4">
        <f t="shared" si="3"/>
        <v>0</v>
      </c>
    </row>
    <row r="210" spans="1:16" x14ac:dyDescent="0.25">
      <c r="A210" s="4" t="str">
        <f>Customers!A210</f>
        <v>CL00205</v>
      </c>
      <c r="B210" s="20">
        <f>IF(Customers!G210="","",(Customers!G210-Statistics!$C$7)/Statistics!$C$9)</f>
        <v>-5.3756539578536246E-2</v>
      </c>
      <c r="C210" s="4" t="str">
        <f>IF(Customers!G210="","",IF(OR(Customers!G210&lt;Statistics!$C$15,Customers!G210&gt;Statistics!$C$16),"Outside 1.5·IQR",""))</f>
        <v/>
      </c>
      <c r="D210" s="4" t="str">
        <f>IF(OR(Customers!B210&lt;18,Customers!B210&gt;100),"Implausible age","")</f>
        <v/>
      </c>
      <c r="E210" s="4" t="str">
        <f>IF(Customers!H210&gt;Customers!B210-18,"Tenure &gt; age-18","")</f>
        <v/>
      </c>
      <c r="F210" s="4" t="str">
        <f>IF(Customers!R210&gt;Customers!Q210,"Card spend &gt; limit","")</f>
        <v/>
      </c>
      <c r="G210" s="4" t="str">
        <f>IF(OR(AND(Customers!S210&gt;0,Customers!T210=0),AND(Customers!S210=0,Customers!T210&gt;0)),"Mortgage/payment inconsistent","")</f>
        <v/>
      </c>
      <c r="H210" s="4" t="str">
        <f>IF(AND(Customers!G210&lt;&gt;"",Customers!G210&gt;0,Customers!T210&gt;Customers!G210/12),"Payment &gt; monthly income","")</f>
        <v/>
      </c>
      <c r="I210" s="4" t="str">
        <f>IF(OR(Customers!I210&gt;DATE(2026,9,13),YEAR(Customers!I210)&lt;1980),"Implausible date","")</f>
        <v/>
      </c>
      <c r="J210" s="4" t="str">
        <f>IF(Customers!I210&gt;DATE(2026,9,13),"",IF(ABS(INT((DATE(2026,9,13)-Customers!I210)/365.25)-Customers!H210)&gt;1,"Date/tenure inconsistent",""))</f>
        <v/>
      </c>
      <c r="K210" s="4" t="str">
        <f>IF(COUNTIF(Customers!$A$2:$A$1001,Customers!A210)&gt;1,"Duplicate ID","")</f>
        <v/>
      </c>
      <c r="L210" s="4" t="str">
        <f>IF(COUNTIFS(Customers!$B$2:$B$1001,Customers!B210,Customers!$D$2:$D$1001,Customers!D210,Customers!$G$2:$G$1001,Customers!G210,Customers!$I$2:$I$1001,Customers!I210,Customers!$L$2:$L$1001,Customers!L210)&gt;1,"Duplicate record","")</f>
        <v/>
      </c>
      <c r="M210" s="4" t="str">
        <f>IF(OR(Customers!U210&lt;300,Customers!U210&gt;850),"Score out of range","")</f>
        <v/>
      </c>
      <c r="N210" s="4" t="str">
        <f>IF(AND(Customers!G210&lt;&gt;"",Customers!G210&lt;=0),"Income ≤ 0","")</f>
        <v/>
      </c>
      <c r="O210" s="4" t="str">
        <f>IF(OR(Customers!G210="",Customers!M210=""),"Missing value","")</f>
        <v/>
      </c>
      <c r="P210" s="4">
        <f t="shared" si="3"/>
        <v>0</v>
      </c>
    </row>
    <row r="211" spans="1:16" x14ac:dyDescent="0.25">
      <c r="A211" s="4" t="str">
        <f>Customers!A211</f>
        <v>CL00206</v>
      </c>
      <c r="B211" s="20">
        <f>IF(Customers!G211="","",(Customers!G211-Statistics!$C$7)/Statistics!$C$9)</f>
        <v>-5.5726386389391661E-2</v>
      </c>
      <c r="C211" s="4" t="str">
        <f>IF(Customers!G211="","",IF(OR(Customers!G211&lt;Statistics!$C$15,Customers!G211&gt;Statistics!$C$16),"Outside 1.5·IQR",""))</f>
        <v/>
      </c>
      <c r="D211" s="4" t="str">
        <f>IF(OR(Customers!B211&lt;18,Customers!B211&gt;100),"Implausible age","")</f>
        <v/>
      </c>
      <c r="E211" s="4" t="str">
        <f>IF(Customers!H211&gt;Customers!B211-18,"Tenure &gt; age-18","")</f>
        <v/>
      </c>
      <c r="F211" s="4" t="str">
        <f>IF(Customers!R211&gt;Customers!Q211,"Card spend &gt; limit","")</f>
        <v/>
      </c>
      <c r="G211" s="4" t="str">
        <f>IF(OR(AND(Customers!S211&gt;0,Customers!T211=0),AND(Customers!S211=0,Customers!T211&gt;0)),"Mortgage/payment inconsistent","")</f>
        <v/>
      </c>
      <c r="H211" s="4" t="str">
        <f>IF(AND(Customers!G211&lt;&gt;"",Customers!G211&gt;0,Customers!T211&gt;Customers!G211/12),"Payment &gt; monthly income","")</f>
        <v/>
      </c>
      <c r="I211" s="4" t="str">
        <f>IF(OR(Customers!I211&gt;DATE(2026,9,13),YEAR(Customers!I211)&lt;1980),"Implausible date","")</f>
        <v/>
      </c>
      <c r="J211" s="4" t="str">
        <f>IF(Customers!I211&gt;DATE(2026,9,13),"",IF(ABS(INT((DATE(2026,9,13)-Customers!I211)/365.25)-Customers!H211)&gt;1,"Date/tenure inconsistent",""))</f>
        <v/>
      </c>
      <c r="K211" s="4" t="str">
        <f>IF(COUNTIF(Customers!$A$2:$A$1001,Customers!A211)&gt;1,"Duplicate ID","")</f>
        <v/>
      </c>
      <c r="L211" s="4" t="str">
        <f>IF(COUNTIFS(Customers!$B$2:$B$1001,Customers!B211,Customers!$D$2:$D$1001,Customers!D211,Customers!$G$2:$G$1001,Customers!G211,Customers!$I$2:$I$1001,Customers!I211,Customers!$L$2:$L$1001,Customers!L211)&gt;1,"Duplicate record","")</f>
        <v/>
      </c>
      <c r="M211" s="4" t="str">
        <f>IF(OR(Customers!U211&lt;300,Customers!U211&gt;850),"Score out of range","")</f>
        <v/>
      </c>
      <c r="N211" s="4" t="str">
        <f>IF(AND(Customers!G211&lt;&gt;"",Customers!G211&lt;=0),"Income ≤ 0","")</f>
        <v/>
      </c>
      <c r="O211" s="4" t="str">
        <f>IF(OR(Customers!G211="",Customers!M211=""),"Missing value","")</f>
        <v/>
      </c>
      <c r="P211" s="4">
        <f t="shared" si="3"/>
        <v>0</v>
      </c>
    </row>
    <row r="212" spans="1:16" x14ac:dyDescent="0.25">
      <c r="A212" s="4" t="str">
        <f>Customers!A212</f>
        <v>CL00207</v>
      </c>
      <c r="B212" s="20">
        <f>IF(Customers!G212="","",(Customers!G212-Statistics!$C$7)/Statistics!$C$9)</f>
        <v>-5.5036940005592269E-2</v>
      </c>
      <c r="C212" s="4" t="str">
        <f>IF(Customers!G212="","",IF(OR(Customers!G212&lt;Statistics!$C$15,Customers!G212&gt;Statistics!$C$16),"Outside 1.5·IQR",""))</f>
        <v/>
      </c>
      <c r="D212" s="4" t="str">
        <f>IF(OR(Customers!B212&lt;18,Customers!B212&gt;100),"Implausible age","")</f>
        <v/>
      </c>
      <c r="E212" s="4" t="str">
        <f>IF(Customers!H212&gt;Customers!B212-18,"Tenure &gt; age-18","")</f>
        <v/>
      </c>
      <c r="F212" s="4" t="str">
        <f>IF(Customers!R212&gt;Customers!Q212,"Card spend &gt; limit","")</f>
        <v/>
      </c>
      <c r="G212" s="4" t="str">
        <f>IF(OR(AND(Customers!S212&gt;0,Customers!T212=0),AND(Customers!S212=0,Customers!T212&gt;0)),"Mortgage/payment inconsistent","")</f>
        <v/>
      </c>
      <c r="H212" s="4" t="str">
        <f>IF(AND(Customers!G212&lt;&gt;"",Customers!G212&gt;0,Customers!T212&gt;Customers!G212/12),"Payment &gt; monthly income","")</f>
        <v/>
      </c>
      <c r="I212" s="4" t="str">
        <f>IF(OR(Customers!I212&gt;DATE(2026,9,13),YEAR(Customers!I212)&lt;1980),"Implausible date","")</f>
        <v/>
      </c>
      <c r="J212" s="4" t="str">
        <f>IF(Customers!I212&gt;DATE(2026,9,13),"",IF(ABS(INT((DATE(2026,9,13)-Customers!I212)/365.25)-Customers!H212)&gt;1,"Date/tenure inconsistent",""))</f>
        <v/>
      </c>
      <c r="K212" s="4" t="str">
        <f>IF(COUNTIF(Customers!$A$2:$A$1001,Customers!A212)&gt;1,"Duplicate ID","")</f>
        <v/>
      </c>
      <c r="L212" s="4" t="str">
        <f>IF(COUNTIFS(Customers!$B$2:$B$1001,Customers!B212,Customers!$D$2:$D$1001,Customers!D212,Customers!$G$2:$G$1001,Customers!G212,Customers!$I$2:$I$1001,Customers!I212,Customers!$L$2:$L$1001,Customers!L212)&gt;1,"Duplicate record","")</f>
        <v/>
      </c>
      <c r="M212" s="4" t="str">
        <f>IF(OR(Customers!U212&lt;300,Customers!U212&gt;850),"Score out of range","")</f>
        <v/>
      </c>
      <c r="N212" s="4" t="str">
        <f>IF(AND(Customers!G212&lt;&gt;"",Customers!G212&lt;=0),"Income ≤ 0","")</f>
        <v/>
      </c>
      <c r="O212" s="4" t="str">
        <f>IF(OR(Customers!G212="",Customers!M212=""),"Missing value","")</f>
        <v/>
      </c>
      <c r="P212" s="4">
        <f t="shared" si="3"/>
        <v>0</v>
      </c>
    </row>
    <row r="213" spans="1:16" x14ac:dyDescent="0.25">
      <c r="A213" s="4" t="str">
        <f>Customers!A213</f>
        <v>CL00208</v>
      </c>
      <c r="B213" s="20">
        <f>IF(Customers!G213="","",(Customers!G213-Statistics!$C$7)/Statistics!$C$9)</f>
        <v>-6.6462051508553693E-2</v>
      </c>
      <c r="C213" s="4" t="str">
        <f>IF(Customers!G213="","",IF(OR(Customers!G213&lt;Statistics!$C$15,Customers!G213&gt;Statistics!$C$16),"Outside 1.5·IQR",""))</f>
        <v/>
      </c>
      <c r="D213" s="4" t="str">
        <f>IF(OR(Customers!B213&lt;18,Customers!B213&gt;100),"Implausible age","")</f>
        <v/>
      </c>
      <c r="E213" s="4" t="str">
        <f>IF(Customers!H213&gt;Customers!B213-18,"Tenure &gt; age-18","")</f>
        <v/>
      </c>
      <c r="F213" s="4" t="str">
        <f>IF(Customers!R213&gt;Customers!Q213,"Card spend &gt; limit","")</f>
        <v/>
      </c>
      <c r="G213" s="4" t="str">
        <f>IF(OR(AND(Customers!S213&gt;0,Customers!T213=0),AND(Customers!S213=0,Customers!T213&gt;0)),"Mortgage/payment inconsistent","")</f>
        <v/>
      </c>
      <c r="H213" s="4" t="str">
        <f>IF(AND(Customers!G213&lt;&gt;"",Customers!G213&gt;0,Customers!T213&gt;Customers!G213/12),"Payment &gt; monthly income","")</f>
        <v/>
      </c>
      <c r="I213" s="4" t="str">
        <f>IF(OR(Customers!I213&gt;DATE(2026,9,13),YEAR(Customers!I213)&lt;1980),"Implausible date","")</f>
        <v/>
      </c>
      <c r="J213" s="4" t="str">
        <f>IF(Customers!I213&gt;DATE(2026,9,13),"",IF(ABS(INT((DATE(2026,9,13)-Customers!I213)/365.25)-Customers!H213)&gt;1,"Date/tenure inconsistent",""))</f>
        <v/>
      </c>
      <c r="K213" s="4" t="str">
        <f>IF(COUNTIF(Customers!$A$2:$A$1001,Customers!A213)&gt;1,"Duplicate ID","")</f>
        <v/>
      </c>
      <c r="L213" s="4" t="str">
        <f>IF(COUNTIFS(Customers!$B$2:$B$1001,Customers!B213,Customers!$D$2:$D$1001,Customers!D213,Customers!$G$2:$G$1001,Customers!G213,Customers!$I$2:$I$1001,Customers!I213,Customers!$L$2:$L$1001,Customers!L213)&gt;1,"Duplicate record","")</f>
        <v/>
      </c>
      <c r="M213" s="4" t="str">
        <f>IF(OR(Customers!U213&lt;300,Customers!U213&gt;850),"Score out of range","")</f>
        <v/>
      </c>
      <c r="N213" s="4" t="str">
        <f>IF(AND(Customers!G213&lt;&gt;"",Customers!G213&lt;=0),"Income ≤ 0","")</f>
        <v/>
      </c>
      <c r="O213" s="4" t="str">
        <f>IF(OR(Customers!G213="",Customers!M213=""),"Missing value","")</f>
        <v/>
      </c>
      <c r="P213" s="4">
        <f t="shared" si="3"/>
        <v>0</v>
      </c>
    </row>
    <row r="214" spans="1:16" x14ac:dyDescent="0.25">
      <c r="A214" s="4" t="str">
        <f>Customers!A214</f>
        <v>CL00209</v>
      </c>
      <c r="B214" s="20">
        <f>IF(Customers!G214="","",(Customers!G214-Statistics!$C$7)/Statistics!$C$9)</f>
        <v>-4.6468106378371198E-2</v>
      </c>
      <c r="C214" s="4" t="str">
        <f>IF(Customers!G214="","",IF(OR(Customers!G214&lt;Statistics!$C$15,Customers!G214&gt;Statistics!$C$16),"Outside 1.5·IQR",""))</f>
        <v/>
      </c>
      <c r="D214" s="4" t="str">
        <f>IF(OR(Customers!B214&lt;18,Customers!B214&gt;100),"Implausible age","")</f>
        <v/>
      </c>
      <c r="E214" s="4" t="str">
        <f>IF(Customers!H214&gt;Customers!B214-18,"Tenure &gt; age-18","")</f>
        <v/>
      </c>
      <c r="F214" s="4" t="str">
        <f>IF(Customers!R214&gt;Customers!Q214,"Card spend &gt; limit","")</f>
        <v/>
      </c>
      <c r="G214" s="4" t="str">
        <f>IF(OR(AND(Customers!S214&gt;0,Customers!T214=0),AND(Customers!S214=0,Customers!T214&gt;0)),"Mortgage/payment inconsistent","")</f>
        <v/>
      </c>
      <c r="H214" s="4" t="str">
        <f>IF(AND(Customers!G214&lt;&gt;"",Customers!G214&gt;0,Customers!T214&gt;Customers!G214/12),"Payment &gt; monthly income","")</f>
        <v/>
      </c>
      <c r="I214" s="4" t="str">
        <f>IF(OR(Customers!I214&gt;DATE(2026,9,13),YEAR(Customers!I214)&lt;1980),"Implausible date","")</f>
        <v/>
      </c>
      <c r="J214" s="4" t="str">
        <f>IF(Customers!I214&gt;DATE(2026,9,13),"",IF(ABS(INT((DATE(2026,9,13)-Customers!I214)/365.25)-Customers!H214)&gt;1,"Date/tenure inconsistent",""))</f>
        <v/>
      </c>
      <c r="K214" s="4" t="str">
        <f>IF(COUNTIF(Customers!$A$2:$A$1001,Customers!A214)&gt;1,"Duplicate ID","")</f>
        <v/>
      </c>
      <c r="L214" s="4" t="str">
        <f>IF(COUNTIFS(Customers!$B$2:$B$1001,Customers!B214,Customers!$D$2:$D$1001,Customers!D214,Customers!$G$2:$G$1001,Customers!G214,Customers!$I$2:$I$1001,Customers!I214,Customers!$L$2:$L$1001,Customers!L214)&gt;1,"Duplicate record","")</f>
        <v/>
      </c>
      <c r="M214" s="4" t="str">
        <f>IF(OR(Customers!U214&lt;300,Customers!U214&gt;850),"Score out of range","")</f>
        <v/>
      </c>
      <c r="N214" s="4" t="str">
        <f>IF(AND(Customers!G214&lt;&gt;"",Customers!G214&lt;=0),"Income ≤ 0","")</f>
        <v/>
      </c>
      <c r="O214" s="4" t="str">
        <f>IF(OR(Customers!G214="",Customers!M214=""),"Missing value","")</f>
        <v/>
      </c>
      <c r="P214" s="4">
        <f t="shared" si="3"/>
        <v>0</v>
      </c>
    </row>
    <row r="215" spans="1:16" x14ac:dyDescent="0.25">
      <c r="A215" s="4" t="str">
        <f>Customers!A215</f>
        <v>CL00210</v>
      </c>
      <c r="B215" s="20">
        <f>IF(Customers!G215="","",(Customers!G215-Statistics!$C$7)/Statistics!$C$9)</f>
        <v>-1.810231230205318E-2</v>
      </c>
      <c r="C215" s="4" t="str">
        <f>IF(Customers!G215="","",IF(OR(Customers!G215&lt;Statistics!$C$15,Customers!G215&gt;Statistics!$C$16),"Outside 1.5·IQR",""))</f>
        <v/>
      </c>
      <c r="D215" s="4" t="str">
        <f>IF(OR(Customers!B215&lt;18,Customers!B215&gt;100),"Implausible age","")</f>
        <v/>
      </c>
      <c r="E215" s="4" t="str">
        <f>IF(Customers!H215&gt;Customers!B215-18,"Tenure &gt; age-18","")</f>
        <v/>
      </c>
      <c r="F215" s="4" t="str">
        <f>IF(Customers!R215&gt;Customers!Q215,"Card spend &gt; limit","")</f>
        <v/>
      </c>
      <c r="G215" s="4" t="str">
        <f>IF(OR(AND(Customers!S215&gt;0,Customers!T215=0),AND(Customers!S215=0,Customers!T215&gt;0)),"Mortgage/payment inconsistent","")</f>
        <v/>
      </c>
      <c r="H215" s="4" t="str">
        <f>IF(AND(Customers!G215&lt;&gt;"",Customers!G215&gt;0,Customers!T215&gt;Customers!G215/12),"Payment &gt; monthly income","")</f>
        <v/>
      </c>
      <c r="I215" s="4" t="str">
        <f>IF(OR(Customers!I215&gt;DATE(2026,9,13),YEAR(Customers!I215)&lt;1980),"Implausible date","")</f>
        <v/>
      </c>
      <c r="J215" s="4" t="str">
        <f>IF(Customers!I215&gt;DATE(2026,9,13),"",IF(ABS(INT((DATE(2026,9,13)-Customers!I215)/365.25)-Customers!H215)&gt;1,"Date/tenure inconsistent",""))</f>
        <v/>
      </c>
      <c r="K215" s="4" t="str">
        <f>IF(COUNTIF(Customers!$A$2:$A$1001,Customers!A215)&gt;1,"Duplicate ID","")</f>
        <v/>
      </c>
      <c r="L215" s="4" t="str">
        <f>IF(COUNTIFS(Customers!$B$2:$B$1001,Customers!B215,Customers!$D$2:$D$1001,Customers!D215,Customers!$G$2:$G$1001,Customers!G215,Customers!$I$2:$I$1001,Customers!I215,Customers!$L$2:$L$1001,Customers!L215)&gt;1,"Duplicate record","")</f>
        <v/>
      </c>
      <c r="M215" s="4" t="str">
        <f>IF(OR(Customers!U215&lt;300,Customers!U215&gt;850),"Score out of range","")</f>
        <v/>
      </c>
      <c r="N215" s="4" t="str">
        <f>IF(AND(Customers!G215&lt;&gt;"",Customers!G215&lt;=0),"Income ≤ 0","")</f>
        <v/>
      </c>
      <c r="O215" s="4" t="str">
        <f>IF(OR(Customers!G215="",Customers!M215=""),"Missing value","")</f>
        <v/>
      </c>
      <c r="P215" s="4">
        <f t="shared" si="3"/>
        <v>0</v>
      </c>
    </row>
    <row r="216" spans="1:16" x14ac:dyDescent="0.25">
      <c r="A216" s="4" t="str">
        <f>Customers!A216</f>
        <v>CL00211</v>
      </c>
      <c r="B216" s="20">
        <f>IF(Customers!G216="","",(Customers!G216-Statistics!$C$7)/Statistics!$C$9)</f>
        <v>9.0731723997708666E-2</v>
      </c>
      <c r="C216" s="4" t="str">
        <f>IF(Customers!G216="","",IF(OR(Customers!G216&lt;Statistics!$C$15,Customers!G216&gt;Statistics!$C$16),"Outside 1.5·IQR",""))</f>
        <v>Outside 1.5·IQR</v>
      </c>
      <c r="D216" s="4" t="str">
        <f>IF(OR(Customers!B216&lt;18,Customers!B216&gt;100),"Implausible age","")</f>
        <v/>
      </c>
      <c r="E216" s="4" t="str">
        <f>IF(Customers!H216&gt;Customers!B216-18,"Tenure &gt; age-18","")</f>
        <v/>
      </c>
      <c r="F216" s="4" t="str">
        <f>IF(Customers!R216&gt;Customers!Q216,"Card spend &gt; limit","")</f>
        <v/>
      </c>
      <c r="G216" s="4" t="str">
        <f>IF(OR(AND(Customers!S216&gt;0,Customers!T216=0),AND(Customers!S216=0,Customers!T216&gt;0)),"Mortgage/payment inconsistent","")</f>
        <v/>
      </c>
      <c r="H216" s="4" t="str">
        <f>IF(AND(Customers!G216&lt;&gt;"",Customers!G216&gt;0,Customers!T216&gt;Customers!G216/12),"Payment &gt; monthly income","")</f>
        <v/>
      </c>
      <c r="I216" s="4" t="str">
        <f>IF(OR(Customers!I216&gt;DATE(2026,9,13),YEAR(Customers!I216)&lt;1980),"Implausible date","")</f>
        <v/>
      </c>
      <c r="J216" s="4" t="str">
        <f>IF(Customers!I216&gt;DATE(2026,9,13),"",IF(ABS(INT((DATE(2026,9,13)-Customers!I216)/365.25)-Customers!H216)&gt;1,"Date/tenure inconsistent",""))</f>
        <v/>
      </c>
      <c r="K216" s="4" t="str">
        <f>IF(COUNTIF(Customers!$A$2:$A$1001,Customers!A216)&gt;1,"Duplicate ID","")</f>
        <v/>
      </c>
      <c r="L216" s="4" t="str">
        <f>IF(COUNTIFS(Customers!$B$2:$B$1001,Customers!B216,Customers!$D$2:$D$1001,Customers!D216,Customers!$G$2:$G$1001,Customers!G216,Customers!$I$2:$I$1001,Customers!I216,Customers!$L$2:$L$1001,Customers!L216)&gt;1,"Duplicate record","")</f>
        <v/>
      </c>
      <c r="M216" s="4" t="str">
        <f>IF(OR(Customers!U216&lt;300,Customers!U216&gt;850),"Score out of range","")</f>
        <v/>
      </c>
      <c r="N216" s="4" t="str">
        <f>IF(AND(Customers!G216&lt;&gt;"",Customers!G216&lt;=0),"Income ≤ 0","")</f>
        <v/>
      </c>
      <c r="O216" s="4" t="str">
        <f>IF(OR(Customers!G216="",Customers!M216=""),"Missing value","")</f>
        <v/>
      </c>
      <c r="P216" s="4">
        <f t="shared" si="3"/>
        <v>1</v>
      </c>
    </row>
    <row r="217" spans="1:16" x14ac:dyDescent="0.25">
      <c r="A217" s="4" t="str">
        <f>Customers!A217</f>
        <v>CL00212</v>
      </c>
      <c r="B217" s="20">
        <f>IF(Customers!G217="","",(Customers!G217-Statistics!$C$7)/Statistics!$C$9)</f>
        <v>-5.9370602989474185E-2</v>
      </c>
      <c r="C217" s="4" t="str">
        <f>IF(Customers!G217="","",IF(OR(Customers!G217&lt;Statistics!$C$15,Customers!G217&gt;Statistics!$C$16),"Outside 1.5·IQR",""))</f>
        <v/>
      </c>
      <c r="D217" s="4" t="str">
        <f>IF(OR(Customers!B217&lt;18,Customers!B217&gt;100),"Implausible age","")</f>
        <v/>
      </c>
      <c r="E217" s="4" t="str">
        <f>IF(Customers!H217&gt;Customers!B217-18,"Tenure &gt; age-18","")</f>
        <v/>
      </c>
      <c r="F217" s="4" t="str">
        <f>IF(Customers!R217&gt;Customers!Q217,"Card spend &gt; limit","")</f>
        <v/>
      </c>
      <c r="G217" s="4" t="str">
        <f>IF(OR(AND(Customers!S217&gt;0,Customers!T217=0),AND(Customers!S217=0,Customers!T217&gt;0)),"Mortgage/payment inconsistent","")</f>
        <v/>
      </c>
      <c r="H217" s="4" t="str">
        <f>IF(AND(Customers!G217&lt;&gt;"",Customers!G217&gt;0,Customers!T217&gt;Customers!G217/12),"Payment &gt; monthly income","")</f>
        <v/>
      </c>
      <c r="I217" s="4" t="str">
        <f>IF(OR(Customers!I217&gt;DATE(2026,9,13),YEAR(Customers!I217)&lt;1980),"Implausible date","")</f>
        <v/>
      </c>
      <c r="J217" s="4" t="str">
        <f>IF(Customers!I217&gt;DATE(2026,9,13),"",IF(ABS(INT((DATE(2026,9,13)-Customers!I217)/365.25)-Customers!H217)&gt;1,"Date/tenure inconsistent",""))</f>
        <v/>
      </c>
      <c r="K217" s="4" t="str">
        <f>IF(COUNTIF(Customers!$A$2:$A$1001,Customers!A217)&gt;1,"Duplicate ID","")</f>
        <v/>
      </c>
      <c r="L217" s="4" t="str">
        <f>IF(COUNTIFS(Customers!$B$2:$B$1001,Customers!B217,Customers!$D$2:$D$1001,Customers!D217,Customers!$G$2:$G$1001,Customers!G217,Customers!$I$2:$I$1001,Customers!I217,Customers!$L$2:$L$1001,Customers!L217)&gt;1,"Duplicate record","")</f>
        <v/>
      </c>
      <c r="M217" s="4" t="str">
        <f>IF(OR(Customers!U217&lt;300,Customers!U217&gt;850),"Score out of range","")</f>
        <v/>
      </c>
      <c r="N217" s="4" t="str">
        <f>IF(AND(Customers!G217&lt;&gt;"",Customers!G217&lt;=0),"Income ≤ 0","")</f>
        <v/>
      </c>
      <c r="O217" s="4" t="str">
        <f>IF(OR(Customers!G217="",Customers!M217=""),"Missing value","")</f>
        <v/>
      </c>
      <c r="P217" s="4">
        <f t="shared" si="3"/>
        <v>0</v>
      </c>
    </row>
    <row r="218" spans="1:16" x14ac:dyDescent="0.25">
      <c r="A218" s="4" t="str">
        <f>Customers!A218</f>
        <v>CL00213</v>
      </c>
      <c r="B218" s="20">
        <f>IF(Customers!G218="","",(Customers!G218-Statistics!$C$7)/Statistics!$C$9)</f>
        <v>-6.774245193560971E-2</v>
      </c>
      <c r="C218" s="4" t="str">
        <f>IF(Customers!G218="","",IF(OR(Customers!G218&lt;Statistics!$C$15,Customers!G218&gt;Statistics!$C$16),"Outside 1.5·IQR",""))</f>
        <v/>
      </c>
      <c r="D218" s="4" t="str">
        <f>IF(OR(Customers!B218&lt;18,Customers!B218&gt;100),"Implausible age","")</f>
        <v/>
      </c>
      <c r="E218" s="4" t="str">
        <f>IF(Customers!H218&gt;Customers!B218-18,"Tenure &gt; age-18","")</f>
        <v/>
      </c>
      <c r="F218" s="4" t="str">
        <f>IF(Customers!R218&gt;Customers!Q218,"Card spend &gt; limit","")</f>
        <v/>
      </c>
      <c r="G218" s="4" t="str">
        <f>IF(OR(AND(Customers!S218&gt;0,Customers!T218=0),AND(Customers!S218=0,Customers!T218&gt;0)),"Mortgage/payment inconsistent","")</f>
        <v/>
      </c>
      <c r="H218" s="4" t="str">
        <f>IF(AND(Customers!G218&lt;&gt;"",Customers!G218&gt;0,Customers!T218&gt;Customers!G218/12),"Payment &gt; monthly income","")</f>
        <v/>
      </c>
      <c r="I218" s="4" t="str">
        <f>IF(OR(Customers!I218&gt;DATE(2026,9,13),YEAR(Customers!I218)&lt;1980),"Implausible date","")</f>
        <v/>
      </c>
      <c r="J218" s="4" t="str">
        <f>IF(Customers!I218&gt;DATE(2026,9,13),"",IF(ABS(INT((DATE(2026,9,13)-Customers!I218)/365.25)-Customers!H218)&gt;1,"Date/tenure inconsistent",""))</f>
        <v/>
      </c>
      <c r="K218" s="4" t="str">
        <f>IF(COUNTIF(Customers!$A$2:$A$1001,Customers!A218)&gt;1,"Duplicate ID","")</f>
        <v/>
      </c>
      <c r="L218" s="4" t="str">
        <f>IF(COUNTIFS(Customers!$B$2:$B$1001,Customers!B218,Customers!$D$2:$D$1001,Customers!D218,Customers!$G$2:$G$1001,Customers!G218,Customers!$I$2:$I$1001,Customers!I218,Customers!$L$2:$L$1001,Customers!L218)&gt;1,"Duplicate record","")</f>
        <v/>
      </c>
      <c r="M218" s="4" t="str">
        <f>IF(OR(Customers!U218&lt;300,Customers!U218&gt;850),"Score out of range","")</f>
        <v/>
      </c>
      <c r="N218" s="4" t="str">
        <f>IF(AND(Customers!G218&lt;&gt;"",Customers!G218&lt;=0),"Income ≤ 0","")</f>
        <v/>
      </c>
      <c r="O218" s="4" t="str">
        <f>IF(OR(Customers!G218="",Customers!M218=""),"Missing value","")</f>
        <v/>
      </c>
      <c r="P218" s="4">
        <f t="shared" si="3"/>
        <v>0</v>
      </c>
    </row>
    <row r="219" spans="1:16" x14ac:dyDescent="0.25">
      <c r="A219" s="4" t="str">
        <f>Customers!A219</f>
        <v>CL00214</v>
      </c>
      <c r="B219" s="20">
        <f>IF(Customers!G219="","",(Customers!G219-Statistics!$C$7)/Statistics!$C$9)</f>
        <v>-4.6369614037828424E-2</v>
      </c>
      <c r="C219" s="4" t="str">
        <f>IF(Customers!G219="","",IF(OR(Customers!G219&lt;Statistics!$C$15,Customers!G219&gt;Statistics!$C$16),"Outside 1.5·IQR",""))</f>
        <v/>
      </c>
      <c r="D219" s="4" t="str">
        <f>IF(OR(Customers!B219&lt;18,Customers!B219&gt;100),"Implausible age","")</f>
        <v/>
      </c>
      <c r="E219" s="4" t="str">
        <f>IF(Customers!H219&gt;Customers!B219-18,"Tenure &gt; age-18","")</f>
        <v/>
      </c>
      <c r="F219" s="4" t="str">
        <f>IF(Customers!R219&gt;Customers!Q219,"Card spend &gt; limit","")</f>
        <v/>
      </c>
      <c r="G219" s="4" t="str">
        <f>IF(OR(AND(Customers!S219&gt;0,Customers!T219=0),AND(Customers!S219=0,Customers!T219&gt;0)),"Mortgage/payment inconsistent","")</f>
        <v/>
      </c>
      <c r="H219" s="4" t="str">
        <f>IF(AND(Customers!G219&lt;&gt;"",Customers!G219&gt;0,Customers!T219&gt;Customers!G219/12),"Payment &gt; monthly income","")</f>
        <v/>
      </c>
      <c r="I219" s="4" t="str">
        <f>IF(OR(Customers!I219&gt;DATE(2026,9,13),YEAR(Customers!I219)&lt;1980),"Implausible date","")</f>
        <v/>
      </c>
      <c r="J219" s="4" t="str">
        <f>IF(Customers!I219&gt;DATE(2026,9,13),"",IF(ABS(INT((DATE(2026,9,13)-Customers!I219)/365.25)-Customers!H219)&gt;1,"Date/tenure inconsistent",""))</f>
        <v/>
      </c>
      <c r="K219" s="4" t="str">
        <f>IF(COUNTIF(Customers!$A$2:$A$1001,Customers!A219)&gt;1,"Duplicate ID","")</f>
        <v/>
      </c>
      <c r="L219" s="4" t="str">
        <f>IF(COUNTIFS(Customers!$B$2:$B$1001,Customers!B219,Customers!$D$2:$D$1001,Customers!D219,Customers!$G$2:$G$1001,Customers!G219,Customers!$I$2:$I$1001,Customers!I219,Customers!$L$2:$L$1001,Customers!L219)&gt;1,"Duplicate record","")</f>
        <v/>
      </c>
      <c r="M219" s="4" t="str">
        <f>IF(OR(Customers!U219&lt;300,Customers!U219&gt;850),"Score out of range","")</f>
        <v/>
      </c>
      <c r="N219" s="4" t="str">
        <f>IF(AND(Customers!G219&lt;&gt;"",Customers!G219&lt;=0),"Income ≤ 0","")</f>
        <v/>
      </c>
      <c r="O219" s="4" t="str">
        <f>IF(OR(Customers!G219="",Customers!M219=""),"Missing value","")</f>
        <v/>
      </c>
      <c r="P219" s="4">
        <f t="shared" si="3"/>
        <v>0</v>
      </c>
    </row>
    <row r="220" spans="1:16" x14ac:dyDescent="0.25">
      <c r="A220" s="4" t="str">
        <f>Customers!A220</f>
        <v>CL00215</v>
      </c>
      <c r="B220" s="20">
        <f>IF(Customers!G220="","",(Customers!G220-Statistics!$C$7)/Statistics!$C$9)</f>
        <v>-5.6021863411019973E-2</v>
      </c>
      <c r="C220" s="4" t="str">
        <f>IF(Customers!G220="","",IF(OR(Customers!G220&lt;Statistics!$C$15,Customers!G220&gt;Statistics!$C$16),"Outside 1.5·IQR",""))</f>
        <v/>
      </c>
      <c r="D220" s="4" t="str">
        <f>IF(OR(Customers!B220&lt;18,Customers!B220&gt;100),"Implausible age","")</f>
        <v/>
      </c>
      <c r="E220" s="4" t="str">
        <f>IF(Customers!H220&gt;Customers!B220-18,"Tenure &gt; age-18","")</f>
        <v/>
      </c>
      <c r="F220" s="4" t="str">
        <f>IF(Customers!R220&gt;Customers!Q220,"Card spend &gt; limit","")</f>
        <v/>
      </c>
      <c r="G220" s="4" t="str">
        <f>IF(OR(AND(Customers!S220&gt;0,Customers!T220=0),AND(Customers!S220=0,Customers!T220&gt;0)),"Mortgage/payment inconsistent","")</f>
        <v/>
      </c>
      <c r="H220" s="4" t="str">
        <f>IF(AND(Customers!G220&lt;&gt;"",Customers!G220&gt;0,Customers!T220&gt;Customers!G220/12),"Payment &gt; monthly income","")</f>
        <v/>
      </c>
      <c r="I220" s="4" t="str">
        <f>IF(OR(Customers!I220&gt;DATE(2026,9,13),YEAR(Customers!I220)&lt;1980),"Implausible date","")</f>
        <v/>
      </c>
      <c r="J220" s="4" t="str">
        <f>IF(Customers!I220&gt;DATE(2026,9,13),"",IF(ABS(INT((DATE(2026,9,13)-Customers!I220)/365.25)-Customers!H220)&gt;1,"Date/tenure inconsistent",""))</f>
        <v/>
      </c>
      <c r="K220" s="4" t="str">
        <f>IF(COUNTIF(Customers!$A$2:$A$1001,Customers!A220)&gt;1,"Duplicate ID","")</f>
        <v/>
      </c>
      <c r="L220" s="4" t="str">
        <f>IF(COUNTIFS(Customers!$B$2:$B$1001,Customers!B220,Customers!$D$2:$D$1001,Customers!D220,Customers!$G$2:$G$1001,Customers!G220,Customers!$I$2:$I$1001,Customers!I220,Customers!$L$2:$L$1001,Customers!L220)&gt;1,"Duplicate record","")</f>
        <v/>
      </c>
      <c r="M220" s="4" t="str">
        <f>IF(OR(Customers!U220&lt;300,Customers!U220&gt;850),"Score out of range","")</f>
        <v/>
      </c>
      <c r="N220" s="4" t="str">
        <f>IF(AND(Customers!G220&lt;&gt;"",Customers!G220&lt;=0),"Income ≤ 0","")</f>
        <v/>
      </c>
      <c r="O220" s="4" t="str">
        <f>IF(OR(Customers!G220="",Customers!M220=""),"Missing value","")</f>
        <v/>
      </c>
      <c r="P220" s="4">
        <f t="shared" si="3"/>
        <v>0</v>
      </c>
    </row>
    <row r="221" spans="1:16" x14ac:dyDescent="0.25">
      <c r="A221" s="4" t="str">
        <f>Customers!A221</f>
        <v>CL00216</v>
      </c>
      <c r="B221" s="20">
        <f>IF(Customers!G221="","",(Customers!G221-Statistics!$C$7)/Statistics!$C$9)</f>
        <v>-5.4347493621792871E-2</v>
      </c>
      <c r="C221" s="4" t="str">
        <f>IF(Customers!G221="","",IF(OR(Customers!G221&lt;Statistics!$C$15,Customers!G221&gt;Statistics!$C$16),"Outside 1.5·IQR",""))</f>
        <v/>
      </c>
      <c r="D221" s="4" t="str">
        <f>IF(OR(Customers!B221&lt;18,Customers!B221&gt;100),"Implausible age","")</f>
        <v/>
      </c>
      <c r="E221" s="4" t="str">
        <f>IF(Customers!H221&gt;Customers!B221-18,"Tenure &gt; age-18","")</f>
        <v/>
      </c>
      <c r="F221" s="4" t="str">
        <f>IF(Customers!R221&gt;Customers!Q221,"Card spend &gt; limit","")</f>
        <v/>
      </c>
      <c r="G221" s="4" t="str">
        <f>IF(OR(AND(Customers!S221&gt;0,Customers!T221=0),AND(Customers!S221=0,Customers!T221&gt;0)),"Mortgage/payment inconsistent","")</f>
        <v/>
      </c>
      <c r="H221" s="4" t="str">
        <f>IF(AND(Customers!G221&lt;&gt;"",Customers!G221&gt;0,Customers!T221&gt;Customers!G221/12),"Payment &gt; monthly income","")</f>
        <v/>
      </c>
      <c r="I221" s="4" t="str">
        <f>IF(OR(Customers!I221&gt;DATE(2026,9,13),YEAR(Customers!I221)&lt;1980),"Implausible date","")</f>
        <v/>
      </c>
      <c r="J221" s="4" t="str">
        <f>IF(Customers!I221&gt;DATE(2026,9,13),"",IF(ABS(INT((DATE(2026,9,13)-Customers!I221)/365.25)-Customers!H221)&gt;1,"Date/tenure inconsistent",""))</f>
        <v/>
      </c>
      <c r="K221" s="4" t="str">
        <f>IF(COUNTIF(Customers!$A$2:$A$1001,Customers!A221)&gt;1,"Duplicate ID","")</f>
        <v/>
      </c>
      <c r="L221" s="4" t="str">
        <f>IF(COUNTIFS(Customers!$B$2:$B$1001,Customers!B221,Customers!$D$2:$D$1001,Customers!D221,Customers!$G$2:$G$1001,Customers!G221,Customers!$I$2:$I$1001,Customers!I221,Customers!$L$2:$L$1001,Customers!L221)&gt;1,"Duplicate record","")</f>
        <v/>
      </c>
      <c r="M221" s="4" t="str">
        <f>IF(OR(Customers!U221&lt;300,Customers!U221&gt;850),"Score out of range","")</f>
        <v/>
      </c>
      <c r="N221" s="4" t="str">
        <f>IF(AND(Customers!G221&lt;&gt;"",Customers!G221&lt;=0),"Income ≤ 0","")</f>
        <v/>
      </c>
      <c r="O221" s="4" t="str">
        <f>IF(OR(Customers!G221="",Customers!M221=""),"Missing value","")</f>
        <v/>
      </c>
      <c r="P221" s="4">
        <f t="shared" si="3"/>
        <v>0</v>
      </c>
    </row>
    <row r="222" spans="1:16" x14ac:dyDescent="0.25">
      <c r="A222" s="4" t="str">
        <f>Customers!A222</f>
        <v>CL00217</v>
      </c>
      <c r="B222" s="20">
        <f>IF(Customers!G222="","",(Customers!G222-Statistics!$C$7)/Statistics!$C$9)</f>
        <v>-3.8391734453863985E-2</v>
      </c>
      <c r="C222" s="4" t="str">
        <f>IF(Customers!G222="","",IF(OR(Customers!G222&lt;Statistics!$C$15,Customers!G222&gt;Statistics!$C$16),"Outside 1.5·IQR",""))</f>
        <v/>
      </c>
      <c r="D222" s="4" t="str">
        <f>IF(OR(Customers!B222&lt;18,Customers!B222&gt;100),"Implausible age","")</f>
        <v/>
      </c>
      <c r="E222" s="4" t="str">
        <f>IF(Customers!H222&gt;Customers!B222-18,"Tenure &gt; age-18","")</f>
        <v/>
      </c>
      <c r="F222" s="4" t="str">
        <f>IF(Customers!R222&gt;Customers!Q222,"Card spend &gt; limit","")</f>
        <v/>
      </c>
      <c r="G222" s="4" t="str">
        <f>IF(OR(AND(Customers!S222&gt;0,Customers!T222=0),AND(Customers!S222=0,Customers!T222&gt;0)),"Mortgage/payment inconsistent","")</f>
        <v/>
      </c>
      <c r="H222" s="4" t="str">
        <f>IF(AND(Customers!G222&lt;&gt;"",Customers!G222&gt;0,Customers!T222&gt;Customers!G222/12),"Payment &gt; monthly income","")</f>
        <v/>
      </c>
      <c r="I222" s="4" t="str">
        <f>IF(OR(Customers!I222&gt;DATE(2026,9,13),YEAR(Customers!I222)&lt;1980),"Implausible date","")</f>
        <v/>
      </c>
      <c r="J222" s="4" t="str">
        <f>IF(Customers!I222&gt;DATE(2026,9,13),"",IF(ABS(INT((DATE(2026,9,13)-Customers!I222)/365.25)-Customers!H222)&gt;1,"Date/tenure inconsistent",""))</f>
        <v/>
      </c>
      <c r="K222" s="4" t="str">
        <f>IF(COUNTIF(Customers!$A$2:$A$1001,Customers!A222)&gt;1,"Duplicate ID","")</f>
        <v/>
      </c>
      <c r="L222" s="4" t="str">
        <f>IF(COUNTIFS(Customers!$B$2:$B$1001,Customers!B222,Customers!$D$2:$D$1001,Customers!D222,Customers!$G$2:$G$1001,Customers!G222,Customers!$I$2:$I$1001,Customers!I222,Customers!$L$2:$L$1001,Customers!L222)&gt;1,"Duplicate record","")</f>
        <v/>
      </c>
      <c r="M222" s="4" t="str">
        <f>IF(OR(Customers!U222&lt;300,Customers!U222&gt;850),"Score out of range","")</f>
        <v/>
      </c>
      <c r="N222" s="4" t="str">
        <f>IF(AND(Customers!G222&lt;&gt;"",Customers!G222&lt;=0),"Income ≤ 0","")</f>
        <v/>
      </c>
      <c r="O222" s="4" t="str">
        <f>IF(OR(Customers!G222="",Customers!M222=""),"Missing value","")</f>
        <v/>
      </c>
      <c r="P222" s="4">
        <f t="shared" si="3"/>
        <v>0</v>
      </c>
    </row>
    <row r="223" spans="1:16" x14ac:dyDescent="0.25">
      <c r="A223" s="4" t="str">
        <f>Customers!A223</f>
        <v>CL00218</v>
      </c>
      <c r="B223" s="20">
        <f>IF(Customers!G223="","",(Customers!G223-Statistics!$C$7)/Statistics!$C$9)</f>
        <v>-4.3414843821545299E-2</v>
      </c>
      <c r="C223" s="4" t="str">
        <f>IF(Customers!G223="","",IF(OR(Customers!G223&lt;Statistics!$C$15,Customers!G223&gt;Statistics!$C$16),"Outside 1.5·IQR",""))</f>
        <v/>
      </c>
      <c r="D223" s="4" t="str">
        <f>IF(OR(Customers!B223&lt;18,Customers!B223&gt;100),"Implausible age","")</f>
        <v/>
      </c>
      <c r="E223" s="4" t="str">
        <f>IF(Customers!H223&gt;Customers!B223-18,"Tenure &gt; age-18","")</f>
        <v/>
      </c>
      <c r="F223" s="4" t="str">
        <f>IF(Customers!R223&gt;Customers!Q223,"Card spend &gt; limit","")</f>
        <v/>
      </c>
      <c r="G223" s="4" t="str">
        <f>IF(OR(AND(Customers!S223&gt;0,Customers!T223=0),AND(Customers!S223=0,Customers!T223&gt;0)),"Mortgage/payment inconsistent","")</f>
        <v/>
      </c>
      <c r="H223" s="4" t="str">
        <f>IF(AND(Customers!G223&lt;&gt;"",Customers!G223&gt;0,Customers!T223&gt;Customers!G223/12),"Payment &gt; monthly income","")</f>
        <v/>
      </c>
      <c r="I223" s="4" t="str">
        <f>IF(OR(Customers!I223&gt;DATE(2026,9,13),YEAR(Customers!I223)&lt;1980),"Implausible date","")</f>
        <v/>
      </c>
      <c r="J223" s="4" t="str">
        <f>IF(Customers!I223&gt;DATE(2026,9,13),"",IF(ABS(INT((DATE(2026,9,13)-Customers!I223)/365.25)-Customers!H223)&gt;1,"Date/tenure inconsistent",""))</f>
        <v/>
      </c>
      <c r="K223" s="4" t="str">
        <f>IF(COUNTIF(Customers!$A$2:$A$1001,Customers!A223)&gt;1,"Duplicate ID","")</f>
        <v/>
      </c>
      <c r="L223" s="4" t="str">
        <f>IF(COUNTIFS(Customers!$B$2:$B$1001,Customers!B223,Customers!$D$2:$D$1001,Customers!D223,Customers!$G$2:$G$1001,Customers!G223,Customers!$I$2:$I$1001,Customers!I223,Customers!$L$2:$L$1001,Customers!L223)&gt;1,"Duplicate record","")</f>
        <v/>
      </c>
      <c r="M223" s="4" t="str">
        <f>IF(OR(Customers!U223&lt;300,Customers!U223&gt;850),"Score out of range","")</f>
        <v/>
      </c>
      <c r="N223" s="4" t="str">
        <f>IF(AND(Customers!G223&lt;&gt;"",Customers!G223&lt;=0),"Income ≤ 0","")</f>
        <v/>
      </c>
      <c r="O223" s="4" t="str">
        <f>IF(OR(Customers!G223="",Customers!M223=""),"Missing value","")</f>
        <v/>
      </c>
      <c r="P223" s="4">
        <f t="shared" si="3"/>
        <v>0</v>
      </c>
    </row>
    <row r="224" spans="1:16" x14ac:dyDescent="0.25">
      <c r="A224" s="4" t="str">
        <f>Customers!A224</f>
        <v>CL00219</v>
      </c>
      <c r="B224" s="20">
        <f>IF(Customers!G224="","",(Customers!G224-Statistics!$C$7)/Statistics!$C$9)</f>
        <v>-4.1641981691775423E-2</v>
      </c>
      <c r="C224" s="4" t="str">
        <f>IF(Customers!G224="","",IF(OR(Customers!G224&lt;Statistics!$C$15,Customers!G224&gt;Statistics!$C$16),"Outside 1.5·IQR",""))</f>
        <v/>
      </c>
      <c r="D224" s="4" t="str">
        <f>IF(OR(Customers!B224&lt;18,Customers!B224&gt;100),"Implausible age","")</f>
        <v/>
      </c>
      <c r="E224" s="4" t="str">
        <f>IF(Customers!H224&gt;Customers!B224-18,"Tenure &gt; age-18","")</f>
        <v/>
      </c>
      <c r="F224" s="4" t="str">
        <f>IF(Customers!R224&gt;Customers!Q224,"Card spend &gt; limit","")</f>
        <v/>
      </c>
      <c r="G224" s="4" t="str">
        <f>IF(OR(AND(Customers!S224&gt;0,Customers!T224=0),AND(Customers!S224=0,Customers!T224&gt;0)),"Mortgage/payment inconsistent","")</f>
        <v/>
      </c>
      <c r="H224" s="4" t="str">
        <f>IF(AND(Customers!G224&lt;&gt;"",Customers!G224&gt;0,Customers!T224&gt;Customers!G224/12),"Payment &gt; monthly income","")</f>
        <v/>
      </c>
      <c r="I224" s="4" t="str">
        <f>IF(OR(Customers!I224&gt;DATE(2026,9,13),YEAR(Customers!I224)&lt;1980),"Implausible date","")</f>
        <v/>
      </c>
      <c r="J224" s="4" t="str">
        <f>IF(Customers!I224&gt;DATE(2026,9,13),"",IF(ABS(INT((DATE(2026,9,13)-Customers!I224)/365.25)-Customers!H224)&gt;1,"Date/tenure inconsistent",""))</f>
        <v/>
      </c>
      <c r="K224" s="4" t="str">
        <f>IF(COUNTIF(Customers!$A$2:$A$1001,Customers!A224)&gt;1,"Duplicate ID","")</f>
        <v/>
      </c>
      <c r="L224" s="4" t="str">
        <f>IF(COUNTIFS(Customers!$B$2:$B$1001,Customers!B224,Customers!$D$2:$D$1001,Customers!D224,Customers!$G$2:$G$1001,Customers!G224,Customers!$I$2:$I$1001,Customers!I224,Customers!$L$2:$L$1001,Customers!L224)&gt;1,"Duplicate record","")</f>
        <v/>
      </c>
      <c r="M224" s="4" t="str">
        <f>IF(OR(Customers!U224&lt;300,Customers!U224&gt;850),"Score out of range","")</f>
        <v/>
      </c>
      <c r="N224" s="4" t="str">
        <f>IF(AND(Customers!G224&lt;&gt;"",Customers!G224&lt;=0),"Income ≤ 0","")</f>
        <v/>
      </c>
      <c r="O224" s="4" t="str">
        <f>IF(OR(Customers!G224="",Customers!M224=""),"Missing value","")</f>
        <v/>
      </c>
      <c r="P224" s="4">
        <f t="shared" si="3"/>
        <v>0</v>
      </c>
    </row>
    <row r="225" spans="1:16" x14ac:dyDescent="0.25">
      <c r="A225" s="4" t="str">
        <f>Customers!A225</f>
        <v>CL00220</v>
      </c>
      <c r="B225" s="20">
        <f>IF(Customers!G225="","",(Customers!G225-Statistics!$C$7)/Statistics!$C$9)</f>
        <v>-3.898268849712061E-2</v>
      </c>
      <c r="C225" s="4" t="str">
        <f>IF(Customers!G225="","",IF(OR(Customers!G225&lt;Statistics!$C$15,Customers!G225&gt;Statistics!$C$16),"Outside 1.5·IQR",""))</f>
        <v/>
      </c>
      <c r="D225" s="4" t="str">
        <f>IF(OR(Customers!B225&lt;18,Customers!B225&gt;100),"Implausible age","")</f>
        <v/>
      </c>
      <c r="E225" s="4" t="str">
        <f>IF(Customers!H225&gt;Customers!B225-18,"Tenure &gt; age-18","")</f>
        <v/>
      </c>
      <c r="F225" s="4" t="str">
        <f>IF(Customers!R225&gt;Customers!Q225,"Card spend &gt; limit","")</f>
        <v/>
      </c>
      <c r="G225" s="4" t="str">
        <f>IF(OR(AND(Customers!S225&gt;0,Customers!T225=0),AND(Customers!S225=0,Customers!T225&gt;0)),"Mortgage/payment inconsistent","")</f>
        <v/>
      </c>
      <c r="H225" s="4" t="str">
        <f>IF(AND(Customers!G225&lt;&gt;"",Customers!G225&gt;0,Customers!T225&gt;Customers!G225/12),"Payment &gt; monthly income","")</f>
        <v/>
      </c>
      <c r="I225" s="4" t="str">
        <f>IF(OR(Customers!I225&gt;DATE(2026,9,13),YEAR(Customers!I225)&lt;1980),"Implausible date","")</f>
        <v/>
      </c>
      <c r="J225" s="4" t="str">
        <f>IF(Customers!I225&gt;DATE(2026,9,13),"",IF(ABS(INT((DATE(2026,9,13)-Customers!I225)/365.25)-Customers!H225)&gt;1,"Date/tenure inconsistent",""))</f>
        <v/>
      </c>
      <c r="K225" s="4" t="str">
        <f>IF(COUNTIF(Customers!$A$2:$A$1001,Customers!A225)&gt;1,"Duplicate ID","")</f>
        <v/>
      </c>
      <c r="L225" s="4" t="str">
        <f>IF(COUNTIFS(Customers!$B$2:$B$1001,Customers!B225,Customers!$D$2:$D$1001,Customers!D225,Customers!$G$2:$G$1001,Customers!G225,Customers!$I$2:$I$1001,Customers!I225,Customers!$L$2:$L$1001,Customers!L225)&gt;1,"Duplicate record","")</f>
        <v/>
      </c>
      <c r="M225" s="4" t="str">
        <f>IF(OR(Customers!U225&lt;300,Customers!U225&gt;850),"Score out of range","")</f>
        <v/>
      </c>
      <c r="N225" s="4" t="str">
        <f>IF(AND(Customers!G225&lt;&gt;"",Customers!G225&lt;=0),"Income ≤ 0","")</f>
        <v/>
      </c>
      <c r="O225" s="4" t="str">
        <f>IF(OR(Customers!G225="",Customers!M225=""),"Missing value","")</f>
        <v/>
      </c>
      <c r="P225" s="4">
        <f t="shared" si="3"/>
        <v>0</v>
      </c>
    </row>
    <row r="226" spans="1:16" x14ac:dyDescent="0.25">
      <c r="A226" s="4" t="str">
        <f>Customers!A226</f>
        <v>CL00221</v>
      </c>
      <c r="B226" s="20">
        <f>IF(Customers!G226="","",(Customers!G226-Statistics!$C$7)/Statistics!$C$9)</f>
        <v>-3.5535456578123632E-2</v>
      </c>
      <c r="C226" s="4" t="str">
        <f>IF(Customers!G226="","",IF(OR(Customers!G226&lt;Statistics!$C$15,Customers!G226&gt;Statistics!$C$16),"Outside 1.5·IQR",""))</f>
        <v/>
      </c>
      <c r="D226" s="4" t="str">
        <f>IF(OR(Customers!B226&lt;18,Customers!B226&gt;100),"Implausible age","")</f>
        <v/>
      </c>
      <c r="E226" s="4" t="str">
        <f>IF(Customers!H226&gt;Customers!B226-18,"Tenure &gt; age-18","")</f>
        <v/>
      </c>
      <c r="F226" s="4" t="str">
        <f>IF(Customers!R226&gt;Customers!Q226,"Card spend &gt; limit","")</f>
        <v/>
      </c>
      <c r="G226" s="4" t="str">
        <f>IF(OR(AND(Customers!S226&gt;0,Customers!T226=0),AND(Customers!S226=0,Customers!T226&gt;0)),"Mortgage/payment inconsistent","")</f>
        <v/>
      </c>
      <c r="H226" s="4" t="str">
        <f>IF(AND(Customers!G226&lt;&gt;"",Customers!G226&gt;0,Customers!T226&gt;Customers!G226/12),"Payment &gt; monthly income","")</f>
        <v/>
      </c>
      <c r="I226" s="4" t="str">
        <f>IF(OR(Customers!I226&gt;DATE(2026,9,13),YEAR(Customers!I226)&lt;1980),"Implausible date","")</f>
        <v/>
      </c>
      <c r="J226" s="4" t="str">
        <f>IF(Customers!I226&gt;DATE(2026,9,13),"",IF(ABS(INT((DATE(2026,9,13)-Customers!I226)/365.25)-Customers!H226)&gt;1,"Date/tenure inconsistent",""))</f>
        <v/>
      </c>
      <c r="K226" s="4" t="str">
        <f>IF(COUNTIF(Customers!$A$2:$A$1001,Customers!A226)&gt;1,"Duplicate ID","")</f>
        <v/>
      </c>
      <c r="L226" s="4" t="str">
        <f>IF(COUNTIFS(Customers!$B$2:$B$1001,Customers!B226,Customers!$D$2:$D$1001,Customers!D226,Customers!$G$2:$G$1001,Customers!G226,Customers!$I$2:$I$1001,Customers!I226,Customers!$L$2:$L$1001,Customers!L226)&gt;1,"Duplicate record","")</f>
        <v/>
      </c>
      <c r="M226" s="4" t="str">
        <f>IF(OR(Customers!U226&lt;300,Customers!U226&gt;850),"Score out of range","")</f>
        <v/>
      </c>
      <c r="N226" s="4" t="str">
        <f>IF(AND(Customers!G226&lt;&gt;"",Customers!G226&lt;=0),"Income ≤ 0","")</f>
        <v/>
      </c>
      <c r="O226" s="4" t="str">
        <f>IF(OR(Customers!G226="",Customers!M226=""),"Missing value","")</f>
        <v/>
      </c>
      <c r="P226" s="4">
        <f t="shared" si="3"/>
        <v>0</v>
      </c>
    </row>
    <row r="227" spans="1:16" x14ac:dyDescent="0.25">
      <c r="A227" s="4" t="str">
        <f>Customers!A227</f>
        <v>CL00222</v>
      </c>
      <c r="B227" s="20">
        <f>IF(Customers!G227="","",(Customers!G227-Statistics!$C$7)/Statistics!$C$9)</f>
        <v>-5.0506292340624807E-2</v>
      </c>
      <c r="C227" s="4" t="str">
        <f>IF(Customers!G227="","",IF(OR(Customers!G227&lt;Statistics!$C$15,Customers!G227&gt;Statistics!$C$16),"Outside 1.5·IQR",""))</f>
        <v/>
      </c>
      <c r="D227" s="4" t="str">
        <f>IF(OR(Customers!B227&lt;18,Customers!B227&gt;100),"Implausible age","")</f>
        <v/>
      </c>
      <c r="E227" s="4" t="str">
        <f>IF(Customers!H227&gt;Customers!B227-18,"Tenure &gt; age-18","")</f>
        <v/>
      </c>
      <c r="F227" s="4" t="str">
        <f>IF(Customers!R227&gt;Customers!Q227,"Card spend &gt; limit","")</f>
        <v/>
      </c>
      <c r="G227" s="4" t="str">
        <f>IF(OR(AND(Customers!S227&gt;0,Customers!T227=0),AND(Customers!S227=0,Customers!T227&gt;0)),"Mortgage/payment inconsistent","")</f>
        <v/>
      </c>
      <c r="H227" s="4" t="str">
        <f>IF(AND(Customers!G227&lt;&gt;"",Customers!G227&gt;0,Customers!T227&gt;Customers!G227/12),"Payment &gt; monthly income","")</f>
        <v/>
      </c>
      <c r="I227" s="4" t="str">
        <f>IF(OR(Customers!I227&gt;DATE(2026,9,13),YEAR(Customers!I227)&lt;1980),"Implausible date","")</f>
        <v/>
      </c>
      <c r="J227" s="4" t="str">
        <f>IF(Customers!I227&gt;DATE(2026,9,13),"",IF(ABS(INT((DATE(2026,9,13)-Customers!I227)/365.25)-Customers!H227)&gt;1,"Date/tenure inconsistent",""))</f>
        <v/>
      </c>
      <c r="K227" s="4" t="str">
        <f>IF(COUNTIF(Customers!$A$2:$A$1001,Customers!A227)&gt;1,"Duplicate ID","")</f>
        <v/>
      </c>
      <c r="L227" s="4" t="str">
        <f>IF(COUNTIFS(Customers!$B$2:$B$1001,Customers!B227,Customers!$D$2:$D$1001,Customers!D227,Customers!$G$2:$G$1001,Customers!G227,Customers!$I$2:$I$1001,Customers!I227,Customers!$L$2:$L$1001,Customers!L227)&gt;1,"Duplicate record","")</f>
        <v/>
      </c>
      <c r="M227" s="4" t="str">
        <f>IF(OR(Customers!U227&lt;300,Customers!U227&gt;850),"Score out of range","")</f>
        <v/>
      </c>
      <c r="N227" s="4" t="str">
        <f>IF(AND(Customers!G227&lt;&gt;"",Customers!G227&lt;=0),"Income ≤ 0","")</f>
        <v/>
      </c>
      <c r="O227" s="4" t="str">
        <f>IF(OR(Customers!G227="",Customers!M227=""),"Missing value","")</f>
        <v/>
      </c>
      <c r="P227" s="4">
        <f t="shared" si="3"/>
        <v>0</v>
      </c>
    </row>
    <row r="228" spans="1:16" x14ac:dyDescent="0.25">
      <c r="A228" s="4" t="str">
        <f>Customers!A228</f>
        <v>CL00223</v>
      </c>
      <c r="B228" s="20">
        <f>IF(Customers!G228="","",(Customers!G228-Statistics!$C$7)/Statistics!$C$9)</f>
        <v>-2.8050038696873041E-2</v>
      </c>
      <c r="C228" s="4" t="str">
        <f>IF(Customers!G228="","",IF(OR(Customers!G228&lt;Statistics!$C$15,Customers!G228&gt;Statistics!$C$16),"Outside 1.5·IQR",""))</f>
        <v/>
      </c>
      <c r="D228" s="4" t="str">
        <f>IF(OR(Customers!B228&lt;18,Customers!B228&gt;100),"Implausible age","")</f>
        <v/>
      </c>
      <c r="E228" s="4" t="str">
        <f>IF(Customers!H228&gt;Customers!B228-18,"Tenure &gt; age-18","")</f>
        <v/>
      </c>
      <c r="F228" s="4" t="str">
        <f>IF(Customers!R228&gt;Customers!Q228,"Card spend &gt; limit","")</f>
        <v/>
      </c>
      <c r="G228" s="4" t="str">
        <f>IF(OR(AND(Customers!S228&gt;0,Customers!T228=0),AND(Customers!S228=0,Customers!T228&gt;0)),"Mortgage/payment inconsistent","")</f>
        <v/>
      </c>
      <c r="H228" s="4" t="str">
        <f>IF(AND(Customers!G228&lt;&gt;"",Customers!G228&gt;0,Customers!T228&gt;Customers!G228/12),"Payment &gt; monthly income","")</f>
        <v/>
      </c>
      <c r="I228" s="4" t="str">
        <f>IF(OR(Customers!I228&gt;DATE(2026,9,13),YEAR(Customers!I228)&lt;1980),"Implausible date","")</f>
        <v/>
      </c>
      <c r="J228" s="4" t="str">
        <f>IF(Customers!I228&gt;DATE(2026,9,13),"",IF(ABS(INT((DATE(2026,9,13)-Customers!I228)/365.25)-Customers!H228)&gt;1,"Date/tenure inconsistent",""))</f>
        <v/>
      </c>
      <c r="K228" s="4" t="str">
        <f>IF(COUNTIF(Customers!$A$2:$A$1001,Customers!A228)&gt;1,"Duplicate ID","")</f>
        <v/>
      </c>
      <c r="L228" s="4" t="str">
        <f>IF(COUNTIFS(Customers!$B$2:$B$1001,Customers!B228,Customers!$D$2:$D$1001,Customers!D228,Customers!$G$2:$G$1001,Customers!G228,Customers!$I$2:$I$1001,Customers!I228,Customers!$L$2:$L$1001,Customers!L228)&gt;1,"Duplicate record","")</f>
        <v/>
      </c>
      <c r="M228" s="4" t="str">
        <f>IF(OR(Customers!U228&lt;300,Customers!U228&gt;850),"Score out of range","")</f>
        <v/>
      </c>
      <c r="N228" s="4" t="str">
        <f>IF(AND(Customers!G228&lt;&gt;"",Customers!G228&lt;=0),"Income ≤ 0","")</f>
        <v/>
      </c>
      <c r="O228" s="4" t="str">
        <f>IF(OR(Customers!G228="",Customers!M228=""),"Missing value","")</f>
        <v/>
      </c>
      <c r="P228" s="4">
        <f t="shared" si="3"/>
        <v>0</v>
      </c>
    </row>
    <row r="229" spans="1:16" x14ac:dyDescent="0.25">
      <c r="A229" s="4" t="str">
        <f>Customers!A229</f>
        <v>CL00224</v>
      </c>
      <c r="B229" s="20">
        <f>IF(Customers!G229="","",(Customers!G229-Statistics!$C$7)/Statistics!$C$9)</f>
        <v>-3.6618872324094109E-2</v>
      </c>
      <c r="C229" s="4" t="str">
        <f>IF(Customers!G229="","",IF(OR(Customers!G229&lt;Statistics!$C$15,Customers!G229&gt;Statistics!$C$16),"Outside 1.5·IQR",""))</f>
        <v/>
      </c>
      <c r="D229" s="4" t="str">
        <f>IF(OR(Customers!B229&lt;18,Customers!B229&gt;100),"Implausible age","")</f>
        <v/>
      </c>
      <c r="E229" s="4" t="str">
        <f>IF(Customers!H229&gt;Customers!B229-18,"Tenure &gt; age-18","")</f>
        <v/>
      </c>
      <c r="F229" s="4" t="str">
        <f>IF(Customers!R229&gt;Customers!Q229,"Card spend &gt; limit","")</f>
        <v/>
      </c>
      <c r="G229" s="4" t="str">
        <f>IF(OR(AND(Customers!S229&gt;0,Customers!T229=0),AND(Customers!S229=0,Customers!T229&gt;0)),"Mortgage/payment inconsistent","")</f>
        <v/>
      </c>
      <c r="H229" s="4" t="str">
        <f>IF(AND(Customers!G229&lt;&gt;"",Customers!G229&gt;0,Customers!T229&gt;Customers!G229/12),"Payment &gt; monthly income","")</f>
        <v/>
      </c>
      <c r="I229" s="4" t="str">
        <f>IF(OR(Customers!I229&gt;DATE(2026,9,13),YEAR(Customers!I229)&lt;1980),"Implausible date","")</f>
        <v/>
      </c>
      <c r="J229" s="4" t="str">
        <f>IF(Customers!I229&gt;DATE(2026,9,13),"",IF(ABS(INT((DATE(2026,9,13)-Customers!I229)/365.25)-Customers!H229)&gt;1,"Date/tenure inconsistent",""))</f>
        <v/>
      </c>
      <c r="K229" s="4" t="str">
        <f>IF(COUNTIF(Customers!$A$2:$A$1001,Customers!A229)&gt;1,"Duplicate ID","")</f>
        <v/>
      </c>
      <c r="L229" s="4" t="str">
        <f>IF(COUNTIFS(Customers!$B$2:$B$1001,Customers!B229,Customers!$D$2:$D$1001,Customers!D229,Customers!$G$2:$G$1001,Customers!G229,Customers!$I$2:$I$1001,Customers!I229,Customers!$L$2:$L$1001,Customers!L229)&gt;1,"Duplicate record","")</f>
        <v/>
      </c>
      <c r="M229" s="4" t="str">
        <f>IF(OR(Customers!U229&lt;300,Customers!U229&gt;850),"Score out of range","")</f>
        <v/>
      </c>
      <c r="N229" s="4" t="str">
        <f>IF(AND(Customers!G229&lt;&gt;"",Customers!G229&lt;=0),"Income ≤ 0","")</f>
        <v/>
      </c>
      <c r="O229" s="4" t="str">
        <f>IF(OR(Customers!G229="",Customers!M229=""),"Missing value","")</f>
        <v/>
      </c>
      <c r="P229" s="4">
        <f t="shared" si="3"/>
        <v>0</v>
      </c>
    </row>
    <row r="230" spans="1:16" x14ac:dyDescent="0.25">
      <c r="A230" s="4" t="str">
        <f>Customers!A230</f>
        <v>CL00225</v>
      </c>
      <c r="B230" s="20">
        <f>IF(Customers!G230="","",(Customers!G230-Statistics!$C$7)/Statistics!$C$9)</f>
        <v>-4.7650014464884448E-2</v>
      </c>
      <c r="C230" s="4" t="str">
        <f>IF(Customers!G230="","",IF(OR(Customers!G230&lt;Statistics!$C$15,Customers!G230&gt;Statistics!$C$16),"Outside 1.5·IQR",""))</f>
        <v/>
      </c>
      <c r="D230" s="4" t="str">
        <f>IF(OR(Customers!B230&lt;18,Customers!B230&gt;100),"Implausible age","")</f>
        <v/>
      </c>
      <c r="E230" s="4" t="str">
        <f>IF(Customers!H230&gt;Customers!B230-18,"Tenure &gt; age-18","")</f>
        <v/>
      </c>
      <c r="F230" s="4" t="str">
        <f>IF(Customers!R230&gt;Customers!Q230,"Card spend &gt; limit","")</f>
        <v/>
      </c>
      <c r="G230" s="4" t="str">
        <f>IF(OR(AND(Customers!S230&gt;0,Customers!T230=0),AND(Customers!S230=0,Customers!T230&gt;0)),"Mortgage/payment inconsistent","")</f>
        <v/>
      </c>
      <c r="H230" s="4" t="str">
        <f>IF(AND(Customers!G230&lt;&gt;"",Customers!G230&gt;0,Customers!T230&gt;Customers!G230/12),"Payment &gt; monthly income","")</f>
        <v/>
      </c>
      <c r="I230" s="4" t="str">
        <f>IF(OR(Customers!I230&gt;DATE(2026,9,13),YEAR(Customers!I230)&lt;1980),"Implausible date","")</f>
        <v/>
      </c>
      <c r="J230" s="4" t="str">
        <f>IF(Customers!I230&gt;DATE(2026,9,13),"",IF(ABS(INT((DATE(2026,9,13)-Customers!I230)/365.25)-Customers!H230)&gt;1,"Date/tenure inconsistent",""))</f>
        <v/>
      </c>
      <c r="K230" s="4" t="str">
        <f>IF(COUNTIF(Customers!$A$2:$A$1001,Customers!A230)&gt;1,"Duplicate ID","")</f>
        <v/>
      </c>
      <c r="L230" s="4" t="str">
        <f>IF(COUNTIFS(Customers!$B$2:$B$1001,Customers!B230,Customers!$D$2:$D$1001,Customers!D230,Customers!$G$2:$G$1001,Customers!G230,Customers!$I$2:$I$1001,Customers!I230,Customers!$L$2:$L$1001,Customers!L230)&gt;1,"Duplicate record","")</f>
        <v/>
      </c>
      <c r="M230" s="4" t="str">
        <f>IF(OR(Customers!U230&lt;300,Customers!U230&gt;850),"Score out of range","")</f>
        <v/>
      </c>
      <c r="N230" s="4" t="str">
        <f>IF(AND(Customers!G230&lt;&gt;"",Customers!G230&lt;=0),"Income ≤ 0","")</f>
        <v/>
      </c>
      <c r="O230" s="4" t="str">
        <f>IF(OR(Customers!G230="",Customers!M230=""),"Missing value","")</f>
        <v/>
      </c>
      <c r="P230" s="4">
        <f t="shared" si="3"/>
        <v>0</v>
      </c>
    </row>
    <row r="231" spans="1:16" x14ac:dyDescent="0.25">
      <c r="A231" s="4" t="str">
        <f>Customers!A231</f>
        <v>CL00226</v>
      </c>
      <c r="B231" s="20">
        <f>IF(Customers!G231="","",(Customers!G231-Statistics!$C$7)/Statistics!$C$9)</f>
        <v>-5.1491215746052511E-2</v>
      </c>
      <c r="C231" s="4" t="str">
        <f>IF(Customers!G231="","",IF(OR(Customers!G231&lt;Statistics!$C$15,Customers!G231&gt;Statistics!$C$16),"Outside 1.5·IQR",""))</f>
        <v/>
      </c>
      <c r="D231" s="4" t="str">
        <f>IF(OR(Customers!B231&lt;18,Customers!B231&gt;100),"Implausible age","")</f>
        <v/>
      </c>
      <c r="E231" s="4" t="str">
        <f>IF(Customers!H231&gt;Customers!B231-18,"Tenure &gt; age-18","")</f>
        <v/>
      </c>
      <c r="F231" s="4" t="str">
        <f>IF(Customers!R231&gt;Customers!Q231,"Card spend &gt; limit","")</f>
        <v/>
      </c>
      <c r="G231" s="4" t="str">
        <f>IF(OR(AND(Customers!S231&gt;0,Customers!T231=0),AND(Customers!S231=0,Customers!T231&gt;0)),"Mortgage/payment inconsistent","")</f>
        <v/>
      </c>
      <c r="H231" s="4" t="str">
        <f>IF(AND(Customers!G231&lt;&gt;"",Customers!G231&gt;0,Customers!T231&gt;Customers!G231/12),"Payment &gt; monthly income","")</f>
        <v/>
      </c>
      <c r="I231" s="4" t="str">
        <f>IF(OR(Customers!I231&gt;DATE(2026,9,13),YEAR(Customers!I231)&lt;1980),"Implausible date","")</f>
        <v/>
      </c>
      <c r="J231" s="4" t="str">
        <f>IF(Customers!I231&gt;DATE(2026,9,13),"",IF(ABS(INT((DATE(2026,9,13)-Customers!I231)/365.25)-Customers!H231)&gt;1,"Date/tenure inconsistent",""))</f>
        <v/>
      </c>
      <c r="K231" s="4" t="str">
        <f>IF(COUNTIF(Customers!$A$2:$A$1001,Customers!A231)&gt;1,"Duplicate ID","")</f>
        <v/>
      </c>
      <c r="L231" s="4" t="str">
        <f>IF(COUNTIFS(Customers!$B$2:$B$1001,Customers!B231,Customers!$D$2:$D$1001,Customers!D231,Customers!$G$2:$G$1001,Customers!G231,Customers!$I$2:$I$1001,Customers!I231,Customers!$L$2:$L$1001,Customers!L231)&gt;1,"Duplicate record","")</f>
        <v/>
      </c>
      <c r="M231" s="4" t="str">
        <f>IF(OR(Customers!U231&lt;300,Customers!U231&gt;850),"Score out of range","")</f>
        <v/>
      </c>
      <c r="N231" s="4" t="str">
        <f>IF(AND(Customers!G231&lt;&gt;"",Customers!G231&lt;=0),"Income ≤ 0","")</f>
        <v/>
      </c>
      <c r="O231" s="4" t="str">
        <f>IF(OR(Customers!G231="",Customers!M231=""),"Missing value","")</f>
        <v/>
      </c>
      <c r="P231" s="4">
        <f t="shared" si="3"/>
        <v>0</v>
      </c>
    </row>
    <row r="232" spans="1:16" x14ac:dyDescent="0.25">
      <c r="A232" s="4" t="str">
        <f>Customers!A232</f>
        <v>CL00227</v>
      </c>
      <c r="B232" s="20">
        <f>IF(Customers!G232="","",(Customers!G232-Statistics!$C$7)/Statistics!$C$9)</f>
        <v>-4.302087445937422E-2</v>
      </c>
      <c r="C232" s="4" t="str">
        <f>IF(Customers!G232="","",IF(OR(Customers!G232&lt;Statistics!$C$15,Customers!G232&gt;Statistics!$C$16),"Outside 1.5·IQR",""))</f>
        <v/>
      </c>
      <c r="D232" s="4" t="str">
        <f>IF(OR(Customers!B232&lt;18,Customers!B232&gt;100),"Implausible age","")</f>
        <v/>
      </c>
      <c r="E232" s="4" t="str">
        <f>IF(Customers!H232&gt;Customers!B232-18,"Tenure &gt; age-18","")</f>
        <v/>
      </c>
      <c r="F232" s="4" t="str">
        <f>IF(Customers!R232&gt;Customers!Q232,"Card spend &gt; limit","")</f>
        <v/>
      </c>
      <c r="G232" s="4" t="str">
        <f>IF(OR(AND(Customers!S232&gt;0,Customers!T232=0),AND(Customers!S232=0,Customers!T232&gt;0)),"Mortgage/payment inconsistent","")</f>
        <v/>
      </c>
      <c r="H232" s="4" t="str">
        <f>IF(AND(Customers!G232&lt;&gt;"",Customers!G232&gt;0,Customers!T232&gt;Customers!G232/12),"Payment &gt; monthly income","")</f>
        <v/>
      </c>
      <c r="I232" s="4" t="str">
        <f>IF(OR(Customers!I232&gt;DATE(2026,9,13),YEAR(Customers!I232)&lt;1980),"Implausible date","")</f>
        <v/>
      </c>
      <c r="J232" s="4" t="str">
        <f>IF(Customers!I232&gt;DATE(2026,9,13),"",IF(ABS(INT((DATE(2026,9,13)-Customers!I232)/365.25)-Customers!H232)&gt;1,"Date/tenure inconsistent",""))</f>
        <v/>
      </c>
      <c r="K232" s="4" t="str">
        <f>IF(COUNTIF(Customers!$A$2:$A$1001,Customers!A232)&gt;1,"Duplicate ID","")</f>
        <v/>
      </c>
      <c r="L232" s="4" t="str">
        <f>IF(COUNTIFS(Customers!$B$2:$B$1001,Customers!B232,Customers!$D$2:$D$1001,Customers!D232,Customers!$G$2:$G$1001,Customers!G232,Customers!$I$2:$I$1001,Customers!I232,Customers!$L$2:$L$1001,Customers!L232)&gt;1,"Duplicate record","")</f>
        <v/>
      </c>
      <c r="M232" s="4" t="str">
        <f>IF(OR(Customers!U232&lt;300,Customers!U232&gt;850),"Score out of range","")</f>
        <v/>
      </c>
      <c r="N232" s="4" t="str">
        <f>IF(AND(Customers!G232&lt;&gt;"",Customers!G232&lt;=0),"Income ≤ 0","")</f>
        <v/>
      </c>
      <c r="O232" s="4" t="str">
        <f>IF(OR(Customers!G232="",Customers!M232=""),"Missing value","")</f>
        <v/>
      </c>
      <c r="P232" s="4">
        <f t="shared" si="3"/>
        <v>0</v>
      </c>
    </row>
    <row r="233" spans="1:16" x14ac:dyDescent="0.25">
      <c r="A233" s="4" t="str">
        <f>Customers!A233</f>
        <v>CL00228</v>
      </c>
      <c r="B233" s="20">
        <f>IF(Customers!G233="","",(Customers!G233-Statistics!$C$7)/Statistics!$C$9)</f>
        <v>-1.2488248891115239E-2</v>
      </c>
      <c r="C233" s="4" t="str">
        <f>IF(Customers!G233="","",IF(OR(Customers!G233&lt;Statistics!$C$15,Customers!G233&gt;Statistics!$C$16),"Outside 1.5·IQR",""))</f>
        <v/>
      </c>
      <c r="D233" s="4" t="str">
        <f>IF(OR(Customers!B233&lt;18,Customers!B233&gt;100),"Implausible age","")</f>
        <v/>
      </c>
      <c r="E233" s="4" t="str">
        <f>IF(Customers!H233&gt;Customers!B233-18,"Tenure &gt; age-18","")</f>
        <v/>
      </c>
      <c r="F233" s="4" t="str">
        <f>IF(Customers!R233&gt;Customers!Q233,"Card spend &gt; limit","")</f>
        <v/>
      </c>
      <c r="G233" s="4" t="str">
        <f>IF(OR(AND(Customers!S233&gt;0,Customers!T233=0),AND(Customers!S233=0,Customers!T233&gt;0)),"Mortgage/payment inconsistent","")</f>
        <v/>
      </c>
      <c r="H233" s="4" t="str">
        <f>IF(AND(Customers!G233&lt;&gt;"",Customers!G233&gt;0,Customers!T233&gt;Customers!G233/12),"Payment &gt; monthly income","")</f>
        <v/>
      </c>
      <c r="I233" s="4" t="str">
        <f>IF(OR(Customers!I233&gt;DATE(2026,9,13),YEAR(Customers!I233)&lt;1980),"Implausible date","")</f>
        <v/>
      </c>
      <c r="J233" s="4" t="str">
        <f>IF(Customers!I233&gt;DATE(2026,9,13),"",IF(ABS(INT((DATE(2026,9,13)-Customers!I233)/365.25)-Customers!H233)&gt;1,"Date/tenure inconsistent",""))</f>
        <v/>
      </c>
      <c r="K233" s="4" t="str">
        <f>IF(COUNTIF(Customers!$A$2:$A$1001,Customers!A233)&gt;1,"Duplicate ID","")</f>
        <v/>
      </c>
      <c r="L233" s="4" t="str">
        <f>IF(COUNTIFS(Customers!$B$2:$B$1001,Customers!B233,Customers!$D$2:$D$1001,Customers!D233,Customers!$G$2:$G$1001,Customers!G233,Customers!$I$2:$I$1001,Customers!I233,Customers!$L$2:$L$1001,Customers!L233)&gt;1,"Duplicate record","")</f>
        <v/>
      </c>
      <c r="M233" s="4" t="str">
        <f>IF(OR(Customers!U233&lt;300,Customers!U233&gt;850),"Score out of range","")</f>
        <v/>
      </c>
      <c r="N233" s="4" t="str">
        <f>IF(AND(Customers!G233&lt;&gt;"",Customers!G233&lt;=0),"Income ≤ 0","")</f>
        <v/>
      </c>
      <c r="O233" s="4" t="str">
        <f>IF(OR(Customers!G233="",Customers!M233=""),"Missing value","")</f>
        <v/>
      </c>
      <c r="P233" s="4">
        <f t="shared" si="3"/>
        <v>0</v>
      </c>
    </row>
    <row r="234" spans="1:16" x14ac:dyDescent="0.25">
      <c r="A234" s="4" t="str">
        <f>Customers!A234</f>
        <v>CL00229</v>
      </c>
      <c r="B234" s="20">
        <f>IF(Customers!G234="","",(Customers!G234-Statistics!$C$7)/Statistics!$C$9)</f>
        <v>-4.5778659994571799E-2</v>
      </c>
      <c r="C234" s="4" t="str">
        <f>IF(Customers!G234="","",IF(OR(Customers!G234&lt;Statistics!$C$15,Customers!G234&gt;Statistics!$C$16),"Outside 1.5·IQR",""))</f>
        <v/>
      </c>
      <c r="D234" s="4" t="str">
        <f>IF(OR(Customers!B234&lt;18,Customers!B234&gt;100),"Implausible age","")</f>
        <v/>
      </c>
      <c r="E234" s="4" t="str">
        <f>IF(Customers!H234&gt;Customers!B234-18,"Tenure &gt; age-18","")</f>
        <v/>
      </c>
      <c r="F234" s="4" t="str">
        <f>IF(Customers!R234&gt;Customers!Q234,"Card spend &gt; limit","")</f>
        <v/>
      </c>
      <c r="G234" s="4" t="str">
        <f>IF(OR(AND(Customers!S234&gt;0,Customers!T234=0),AND(Customers!S234=0,Customers!T234&gt;0)),"Mortgage/payment inconsistent","")</f>
        <v/>
      </c>
      <c r="H234" s="4" t="str">
        <f>IF(AND(Customers!G234&lt;&gt;"",Customers!G234&gt;0,Customers!T234&gt;Customers!G234/12),"Payment &gt; monthly income","")</f>
        <v/>
      </c>
      <c r="I234" s="4" t="str">
        <f>IF(OR(Customers!I234&gt;DATE(2026,9,13),YEAR(Customers!I234)&lt;1980),"Implausible date","")</f>
        <v/>
      </c>
      <c r="J234" s="4" t="str">
        <f>IF(Customers!I234&gt;DATE(2026,9,13),"",IF(ABS(INT((DATE(2026,9,13)-Customers!I234)/365.25)-Customers!H234)&gt;1,"Date/tenure inconsistent",""))</f>
        <v/>
      </c>
      <c r="K234" s="4" t="str">
        <f>IF(COUNTIF(Customers!$A$2:$A$1001,Customers!A234)&gt;1,"Duplicate ID","")</f>
        <v/>
      </c>
      <c r="L234" s="4" t="str">
        <f>IF(COUNTIFS(Customers!$B$2:$B$1001,Customers!B234,Customers!$D$2:$D$1001,Customers!D234,Customers!$G$2:$G$1001,Customers!G234,Customers!$I$2:$I$1001,Customers!I234,Customers!$L$2:$L$1001,Customers!L234)&gt;1,"Duplicate record","")</f>
        <v/>
      </c>
      <c r="M234" s="4" t="str">
        <f>IF(OR(Customers!U234&lt;300,Customers!U234&gt;850),"Score out of range","")</f>
        <v/>
      </c>
      <c r="N234" s="4" t="str">
        <f>IF(AND(Customers!G234&lt;&gt;"",Customers!G234&lt;=0),"Income ≤ 0","")</f>
        <v/>
      </c>
      <c r="O234" s="4" t="str">
        <f>IF(OR(Customers!G234="",Customers!M234=""),"Missing value","")</f>
        <v/>
      </c>
      <c r="P234" s="4">
        <f t="shared" si="3"/>
        <v>0</v>
      </c>
    </row>
    <row r="235" spans="1:16" x14ac:dyDescent="0.25">
      <c r="A235" s="4" t="str">
        <f>Customers!A235</f>
        <v>CL00230</v>
      </c>
      <c r="B235" s="20">
        <f>IF(Customers!G235="","",(Customers!G235-Statistics!$C$7)/Statistics!$C$9)</f>
        <v>-2.3125421669734497E-2</v>
      </c>
      <c r="C235" s="4" t="str">
        <f>IF(Customers!G235="","",IF(OR(Customers!G235&lt;Statistics!$C$15,Customers!G235&gt;Statistics!$C$16),"Outside 1.5·IQR",""))</f>
        <v/>
      </c>
      <c r="D235" s="4" t="str">
        <f>IF(OR(Customers!B235&lt;18,Customers!B235&gt;100),"Implausible age","")</f>
        <v/>
      </c>
      <c r="E235" s="4" t="str">
        <f>IF(Customers!H235&gt;Customers!B235-18,"Tenure &gt; age-18","")</f>
        <v/>
      </c>
      <c r="F235" s="4" t="str">
        <f>IF(Customers!R235&gt;Customers!Q235,"Card spend &gt; limit","")</f>
        <v/>
      </c>
      <c r="G235" s="4" t="str">
        <f>IF(OR(AND(Customers!S235&gt;0,Customers!T235=0),AND(Customers!S235=0,Customers!T235&gt;0)),"Mortgage/payment inconsistent","")</f>
        <v/>
      </c>
      <c r="H235" s="4" t="str">
        <f>IF(AND(Customers!G235&lt;&gt;"",Customers!G235&gt;0,Customers!T235&gt;Customers!G235/12),"Payment &gt; monthly income","")</f>
        <v/>
      </c>
      <c r="I235" s="4" t="str">
        <f>IF(OR(Customers!I235&gt;DATE(2026,9,13),YEAR(Customers!I235)&lt;1980),"Implausible date","")</f>
        <v/>
      </c>
      <c r="J235" s="4" t="str">
        <f>IF(Customers!I235&gt;DATE(2026,9,13),"",IF(ABS(INT((DATE(2026,9,13)-Customers!I235)/365.25)-Customers!H235)&gt;1,"Date/tenure inconsistent",""))</f>
        <v/>
      </c>
      <c r="K235" s="4" t="str">
        <f>IF(COUNTIF(Customers!$A$2:$A$1001,Customers!A235)&gt;1,"Duplicate ID","")</f>
        <v/>
      </c>
      <c r="L235" s="4" t="str">
        <f>IF(COUNTIFS(Customers!$B$2:$B$1001,Customers!B235,Customers!$D$2:$D$1001,Customers!D235,Customers!$G$2:$G$1001,Customers!G235,Customers!$I$2:$I$1001,Customers!I235,Customers!$L$2:$L$1001,Customers!L235)&gt;1,"Duplicate record","")</f>
        <v/>
      </c>
      <c r="M235" s="4" t="str">
        <f>IF(OR(Customers!U235&lt;300,Customers!U235&gt;850),"Score out of range","")</f>
        <v/>
      </c>
      <c r="N235" s="4" t="str">
        <f>IF(AND(Customers!G235&lt;&gt;"",Customers!G235&lt;=0),"Income ≤ 0","")</f>
        <v/>
      </c>
      <c r="O235" s="4" t="str">
        <f>IF(OR(Customers!G235="",Customers!M235=""),"Missing value","")</f>
        <v/>
      </c>
      <c r="P235" s="4">
        <f t="shared" si="3"/>
        <v>0</v>
      </c>
    </row>
    <row r="236" spans="1:16" x14ac:dyDescent="0.25">
      <c r="A236" s="4" t="str">
        <f>Customers!A236</f>
        <v>CL00231</v>
      </c>
      <c r="B236" s="20">
        <f>IF(Customers!G236="","",(Customers!G236-Statistics!$C$7)/Statistics!$C$9)</f>
        <v>-7.1345301752664278E-2</v>
      </c>
      <c r="C236" s="4" t="str">
        <f>IF(Customers!G236="","",IF(OR(Customers!G236&lt;Statistics!$C$15,Customers!G236&gt;Statistics!$C$16),"Outside 1.5·IQR",""))</f>
        <v/>
      </c>
      <c r="D236" s="4" t="str">
        <f>IF(OR(Customers!B236&lt;18,Customers!B236&gt;100),"Implausible age","")</f>
        <v/>
      </c>
      <c r="E236" s="4" t="str">
        <f>IF(Customers!H236&gt;Customers!B236-18,"Tenure &gt; age-18","")</f>
        <v/>
      </c>
      <c r="F236" s="4" t="str">
        <f>IF(Customers!R236&gt;Customers!Q236,"Card spend &gt; limit","")</f>
        <v/>
      </c>
      <c r="G236" s="4" t="str">
        <f>IF(OR(AND(Customers!S236&gt;0,Customers!T236=0),AND(Customers!S236=0,Customers!T236&gt;0)),"Mortgage/payment inconsistent","")</f>
        <v/>
      </c>
      <c r="H236" s="4" t="str">
        <f>IF(AND(Customers!G236&lt;&gt;"",Customers!G236&gt;0,Customers!T236&gt;Customers!G236/12),"Payment &gt; monthly income","")</f>
        <v>Payment &gt; monthly income</v>
      </c>
      <c r="I236" s="4" t="str">
        <f>IF(OR(Customers!I236&gt;DATE(2026,9,13),YEAR(Customers!I236)&lt;1980),"Implausible date","")</f>
        <v/>
      </c>
      <c r="J236" s="4" t="str">
        <f>IF(Customers!I236&gt;DATE(2026,9,13),"",IF(ABS(INT((DATE(2026,9,13)-Customers!I236)/365.25)-Customers!H236)&gt;1,"Date/tenure inconsistent",""))</f>
        <v/>
      </c>
      <c r="K236" s="4" t="str">
        <f>IF(COUNTIF(Customers!$A$2:$A$1001,Customers!A236)&gt;1,"Duplicate ID","")</f>
        <v/>
      </c>
      <c r="L236" s="4" t="str">
        <f>IF(COUNTIFS(Customers!$B$2:$B$1001,Customers!B236,Customers!$D$2:$D$1001,Customers!D236,Customers!$G$2:$G$1001,Customers!G236,Customers!$I$2:$I$1001,Customers!I236,Customers!$L$2:$L$1001,Customers!L236)&gt;1,"Duplicate record","")</f>
        <v/>
      </c>
      <c r="M236" s="4" t="str">
        <f>IF(OR(Customers!U236&lt;300,Customers!U236&gt;850),"Score out of range","")</f>
        <v/>
      </c>
      <c r="N236" s="4" t="str">
        <f>IF(AND(Customers!G236&lt;&gt;"",Customers!G236&lt;=0),"Income ≤ 0","")</f>
        <v/>
      </c>
      <c r="O236" s="4" t="str">
        <f>IF(OR(Customers!G236="",Customers!M236=""),"Missing value","")</f>
        <v/>
      </c>
      <c r="P236" s="4">
        <f t="shared" si="3"/>
        <v>1</v>
      </c>
    </row>
    <row r="237" spans="1:16" x14ac:dyDescent="0.25">
      <c r="A237" s="4" t="str">
        <f>Customers!A237</f>
        <v>CL00232</v>
      </c>
      <c r="B237" s="20">
        <f>IF(Customers!G237="","",(Customers!G237-Statistics!$C$7)/Statistics!$C$9)</f>
        <v>-3.6914349345722422E-2</v>
      </c>
      <c r="C237" s="4" t="str">
        <f>IF(Customers!G237="","",IF(OR(Customers!G237&lt;Statistics!$C$15,Customers!G237&gt;Statistics!$C$16),"Outside 1.5·IQR",""))</f>
        <v/>
      </c>
      <c r="D237" s="4" t="str">
        <f>IF(OR(Customers!B237&lt;18,Customers!B237&gt;100),"Implausible age","")</f>
        <v/>
      </c>
      <c r="E237" s="4" t="str">
        <f>IF(Customers!H237&gt;Customers!B237-18,"Tenure &gt; age-18","")</f>
        <v/>
      </c>
      <c r="F237" s="4" t="str">
        <f>IF(Customers!R237&gt;Customers!Q237,"Card spend &gt; limit","")</f>
        <v/>
      </c>
      <c r="G237" s="4" t="str">
        <f>IF(OR(AND(Customers!S237&gt;0,Customers!T237=0),AND(Customers!S237=0,Customers!T237&gt;0)),"Mortgage/payment inconsistent","")</f>
        <v/>
      </c>
      <c r="H237" s="4" t="str">
        <f>IF(AND(Customers!G237&lt;&gt;"",Customers!G237&gt;0,Customers!T237&gt;Customers!G237/12),"Payment &gt; monthly income","")</f>
        <v/>
      </c>
      <c r="I237" s="4" t="str">
        <f>IF(OR(Customers!I237&gt;DATE(2026,9,13),YEAR(Customers!I237)&lt;1980),"Implausible date","")</f>
        <v/>
      </c>
      <c r="J237" s="4" t="str">
        <f>IF(Customers!I237&gt;DATE(2026,9,13),"",IF(ABS(INT((DATE(2026,9,13)-Customers!I237)/365.25)-Customers!H237)&gt;1,"Date/tenure inconsistent",""))</f>
        <v/>
      </c>
      <c r="K237" s="4" t="str">
        <f>IF(COUNTIF(Customers!$A$2:$A$1001,Customers!A237)&gt;1,"Duplicate ID","")</f>
        <v/>
      </c>
      <c r="L237" s="4" t="str">
        <f>IF(COUNTIFS(Customers!$B$2:$B$1001,Customers!B237,Customers!$D$2:$D$1001,Customers!D237,Customers!$G$2:$G$1001,Customers!G237,Customers!$I$2:$I$1001,Customers!I237,Customers!$L$2:$L$1001,Customers!L237)&gt;1,"Duplicate record","")</f>
        <v/>
      </c>
      <c r="M237" s="4" t="str">
        <f>IF(OR(Customers!U237&lt;300,Customers!U237&gt;850),"Score out of range","")</f>
        <v/>
      </c>
      <c r="N237" s="4" t="str">
        <f>IF(AND(Customers!G237&lt;&gt;"",Customers!G237&lt;=0),"Income ≤ 0","")</f>
        <v/>
      </c>
      <c r="O237" s="4" t="str">
        <f>IF(OR(Customers!G237="",Customers!M237=""),"Missing value","")</f>
        <v/>
      </c>
      <c r="P237" s="4">
        <f t="shared" si="3"/>
        <v>0</v>
      </c>
    </row>
    <row r="238" spans="1:16" x14ac:dyDescent="0.25">
      <c r="A238" s="4" t="str">
        <f>Customers!A238</f>
        <v>CL00233</v>
      </c>
      <c r="B238" s="20">
        <f>IF(Customers!G238="","",(Customers!G238-Statistics!$C$7)/Statistics!$C$9)</f>
        <v>-9.2380016532037992E-3</v>
      </c>
      <c r="C238" s="4" t="str">
        <f>IF(Customers!G238="","",IF(OR(Customers!G238&lt;Statistics!$C$15,Customers!G238&gt;Statistics!$C$16),"Outside 1.5·IQR",""))</f>
        <v/>
      </c>
      <c r="D238" s="4" t="str">
        <f>IF(OR(Customers!B238&lt;18,Customers!B238&gt;100),"Implausible age","")</f>
        <v/>
      </c>
      <c r="E238" s="4" t="str">
        <f>IF(Customers!H238&gt;Customers!B238-18,"Tenure &gt; age-18","")</f>
        <v/>
      </c>
      <c r="F238" s="4" t="str">
        <f>IF(Customers!R238&gt;Customers!Q238,"Card spend &gt; limit","")</f>
        <v/>
      </c>
      <c r="G238" s="4" t="str">
        <f>IF(OR(AND(Customers!S238&gt;0,Customers!T238=0),AND(Customers!S238=0,Customers!T238&gt;0)),"Mortgage/payment inconsistent","")</f>
        <v/>
      </c>
      <c r="H238" s="4" t="str">
        <f>IF(AND(Customers!G238&lt;&gt;"",Customers!G238&gt;0,Customers!T238&gt;Customers!G238/12),"Payment &gt; monthly income","")</f>
        <v/>
      </c>
      <c r="I238" s="4" t="str">
        <f>IF(OR(Customers!I238&gt;DATE(2026,9,13),YEAR(Customers!I238)&lt;1980),"Implausible date","")</f>
        <v/>
      </c>
      <c r="J238" s="4" t="str">
        <f>IF(Customers!I238&gt;DATE(2026,9,13),"",IF(ABS(INT((DATE(2026,9,13)-Customers!I238)/365.25)-Customers!H238)&gt;1,"Date/tenure inconsistent",""))</f>
        <v/>
      </c>
      <c r="K238" s="4" t="str">
        <f>IF(COUNTIF(Customers!$A$2:$A$1001,Customers!A238)&gt;1,"Duplicate ID","")</f>
        <v/>
      </c>
      <c r="L238" s="4" t="str">
        <f>IF(COUNTIFS(Customers!$B$2:$B$1001,Customers!B238,Customers!$D$2:$D$1001,Customers!D238,Customers!$G$2:$G$1001,Customers!G238,Customers!$I$2:$I$1001,Customers!I238,Customers!$L$2:$L$1001,Customers!L238)&gt;1,"Duplicate record","")</f>
        <v/>
      </c>
      <c r="M238" s="4" t="str">
        <f>IF(OR(Customers!U238&lt;300,Customers!U238&gt;850),"Score out of range","")</f>
        <v/>
      </c>
      <c r="N238" s="4" t="str">
        <f>IF(AND(Customers!G238&lt;&gt;"",Customers!G238&lt;=0),"Income ≤ 0","")</f>
        <v/>
      </c>
      <c r="O238" s="4" t="str">
        <f>IF(OR(Customers!G238="",Customers!M238=""),"Missing value","")</f>
        <v/>
      </c>
      <c r="P238" s="4">
        <f t="shared" si="3"/>
        <v>0</v>
      </c>
    </row>
    <row r="239" spans="1:16" x14ac:dyDescent="0.25">
      <c r="A239" s="4" t="str">
        <f>Customers!A239</f>
        <v>CL00234</v>
      </c>
      <c r="B239" s="20">
        <f>IF(Customers!G239="","",(Customers!G239-Statistics!$C$7)/Statistics!$C$9)</f>
        <v>-3.7406811048436274E-2</v>
      </c>
      <c r="C239" s="4" t="str">
        <f>IF(Customers!G239="","",IF(OR(Customers!G239&lt;Statistics!$C$15,Customers!G239&gt;Statistics!$C$16),"Outside 1.5·IQR",""))</f>
        <v/>
      </c>
      <c r="D239" s="4" t="str">
        <f>IF(OR(Customers!B239&lt;18,Customers!B239&gt;100),"Implausible age","")</f>
        <v/>
      </c>
      <c r="E239" s="4" t="str">
        <f>IF(Customers!H239&gt;Customers!B239-18,"Tenure &gt; age-18","")</f>
        <v/>
      </c>
      <c r="F239" s="4" t="str">
        <f>IF(Customers!R239&gt;Customers!Q239,"Card spend &gt; limit","")</f>
        <v/>
      </c>
      <c r="G239" s="4" t="str">
        <f>IF(OR(AND(Customers!S239&gt;0,Customers!T239=0),AND(Customers!S239=0,Customers!T239&gt;0)),"Mortgage/payment inconsistent","")</f>
        <v/>
      </c>
      <c r="H239" s="4" t="str">
        <f>IF(AND(Customers!G239&lt;&gt;"",Customers!G239&gt;0,Customers!T239&gt;Customers!G239/12),"Payment &gt; monthly income","")</f>
        <v/>
      </c>
      <c r="I239" s="4" t="str">
        <f>IF(OR(Customers!I239&gt;DATE(2026,9,13),YEAR(Customers!I239)&lt;1980),"Implausible date","")</f>
        <v/>
      </c>
      <c r="J239" s="4" t="str">
        <f>IF(Customers!I239&gt;DATE(2026,9,13),"",IF(ABS(INT((DATE(2026,9,13)-Customers!I239)/365.25)-Customers!H239)&gt;1,"Date/tenure inconsistent",""))</f>
        <v/>
      </c>
      <c r="K239" s="4" t="str">
        <f>IF(COUNTIF(Customers!$A$2:$A$1001,Customers!A239)&gt;1,"Duplicate ID","")</f>
        <v/>
      </c>
      <c r="L239" s="4" t="str">
        <f>IF(COUNTIFS(Customers!$B$2:$B$1001,Customers!B239,Customers!$D$2:$D$1001,Customers!D239,Customers!$G$2:$G$1001,Customers!G239,Customers!$I$2:$I$1001,Customers!I239,Customers!$L$2:$L$1001,Customers!L239)&gt;1,"Duplicate record","")</f>
        <v/>
      </c>
      <c r="M239" s="4" t="str">
        <f>IF(OR(Customers!U239&lt;300,Customers!U239&gt;850),"Score out of range","")</f>
        <v/>
      </c>
      <c r="N239" s="4" t="str">
        <f>IF(AND(Customers!G239&lt;&gt;"",Customers!G239&lt;=0),"Income ≤ 0","")</f>
        <v/>
      </c>
      <c r="O239" s="4" t="str">
        <f>IF(OR(Customers!G239="",Customers!M239=""),"Missing value","")</f>
        <v/>
      </c>
      <c r="P239" s="4">
        <f t="shared" si="3"/>
        <v>0</v>
      </c>
    </row>
    <row r="240" spans="1:16" x14ac:dyDescent="0.25">
      <c r="A240" s="4" t="str">
        <f>Customers!A240</f>
        <v>CL00235</v>
      </c>
      <c r="B240" s="20">
        <f>IF(Customers!G240="","",(Customers!G240-Statistics!$C$7)/Statistics!$C$9)</f>
        <v>-4.7256045102713369E-2</v>
      </c>
      <c r="C240" s="4" t="str">
        <f>IF(Customers!G240="","",IF(OR(Customers!G240&lt;Statistics!$C$15,Customers!G240&gt;Statistics!$C$16),"Outside 1.5·IQR",""))</f>
        <v/>
      </c>
      <c r="D240" s="4" t="str">
        <f>IF(OR(Customers!B240&lt;18,Customers!B240&gt;100),"Implausible age","")</f>
        <v/>
      </c>
      <c r="E240" s="4" t="str">
        <f>IF(Customers!H240&gt;Customers!B240-18,"Tenure &gt; age-18","")</f>
        <v/>
      </c>
      <c r="F240" s="4" t="str">
        <f>IF(Customers!R240&gt;Customers!Q240,"Card spend &gt; limit","")</f>
        <v/>
      </c>
      <c r="G240" s="4" t="str">
        <f>IF(OR(AND(Customers!S240&gt;0,Customers!T240=0),AND(Customers!S240=0,Customers!T240&gt;0)),"Mortgage/payment inconsistent","")</f>
        <v/>
      </c>
      <c r="H240" s="4" t="str">
        <f>IF(AND(Customers!G240&lt;&gt;"",Customers!G240&gt;0,Customers!T240&gt;Customers!G240/12),"Payment &gt; monthly income","")</f>
        <v/>
      </c>
      <c r="I240" s="4" t="str">
        <f>IF(OR(Customers!I240&gt;DATE(2026,9,13),YEAR(Customers!I240)&lt;1980),"Implausible date","")</f>
        <v/>
      </c>
      <c r="J240" s="4" t="str">
        <f>IF(Customers!I240&gt;DATE(2026,9,13),"",IF(ABS(INT((DATE(2026,9,13)-Customers!I240)/365.25)-Customers!H240)&gt;1,"Date/tenure inconsistent",""))</f>
        <v/>
      </c>
      <c r="K240" s="4" t="str">
        <f>IF(COUNTIF(Customers!$A$2:$A$1001,Customers!A240)&gt;1,"Duplicate ID","")</f>
        <v/>
      </c>
      <c r="L240" s="4" t="str">
        <f>IF(COUNTIFS(Customers!$B$2:$B$1001,Customers!B240,Customers!$D$2:$D$1001,Customers!D240,Customers!$G$2:$G$1001,Customers!G240,Customers!$I$2:$I$1001,Customers!I240,Customers!$L$2:$L$1001,Customers!L240)&gt;1,"Duplicate record","")</f>
        <v/>
      </c>
      <c r="M240" s="4" t="str">
        <f>IF(OR(Customers!U240&lt;300,Customers!U240&gt;850),"Score out of range","")</f>
        <v/>
      </c>
      <c r="N240" s="4" t="str">
        <f>IF(AND(Customers!G240&lt;&gt;"",Customers!G240&lt;=0),"Income ≤ 0","")</f>
        <v/>
      </c>
      <c r="O240" s="4" t="str">
        <f>IF(OR(Customers!G240="",Customers!M240=""),"Missing value","")</f>
        <v/>
      </c>
      <c r="P240" s="4">
        <f t="shared" si="3"/>
        <v>0</v>
      </c>
    </row>
    <row r="241" spans="1:16" x14ac:dyDescent="0.25">
      <c r="A241" s="4" t="str">
        <f>Customers!A241</f>
        <v>CL00236</v>
      </c>
      <c r="B241" s="20">
        <f>IF(Customers!G241="","",(Customers!G241-Statistics!$C$7)/Statistics!$C$9)</f>
        <v>-2.5193760821132685E-2</v>
      </c>
      <c r="C241" s="4" t="str">
        <f>IF(Customers!G241="","",IF(OR(Customers!G241&lt;Statistics!$C$15,Customers!G241&gt;Statistics!$C$16),"Outside 1.5·IQR",""))</f>
        <v/>
      </c>
      <c r="D241" s="4" t="str">
        <f>IF(OR(Customers!B241&lt;18,Customers!B241&gt;100),"Implausible age","")</f>
        <v/>
      </c>
      <c r="E241" s="4" t="str">
        <f>IF(Customers!H241&gt;Customers!B241-18,"Tenure &gt; age-18","")</f>
        <v/>
      </c>
      <c r="F241" s="4" t="str">
        <f>IF(Customers!R241&gt;Customers!Q241,"Card spend &gt; limit","")</f>
        <v/>
      </c>
      <c r="G241" s="4" t="str">
        <f>IF(OR(AND(Customers!S241&gt;0,Customers!T241=0),AND(Customers!S241=0,Customers!T241&gt;0)),"Mortgage/payment inconsistent","")</f>
        <v/>
      </c>
      <c r="H241" s="4" t="str">
        <f>IF(AND(Customers!G241&lt;&gt;"",Customers!G241&gt;0,Customers!T241&gt;Customers!G241/12),"Payment &gt; monthly income","")</f>
        <v/>
      </c>
      <c r="I241" s="4" t="str">
        <f>IF(OR(Customers!I241&gt;DATE(2026,9,13),YEAR(Customers!I241)&lt;1980),"Implausible date","")</f>
        <v/>
      </c>
      <c r="J241" s="4" t="str">
        <f>IF(Customers!I241&gt;DATE(2026,9,13),"",IF(ABS(INT((DATE(2026,9,13)-Customers!I241)/365.25)-Customers!H241)&gt;1,"Date/tenure inconsistent",""))</f>
        <v/>
      </c>
      <c r="K241" s="4" t="str">
        <f>IF(COUNTIF(Customers!$A$2:$A$1001,Customers!A241)&gt;1,"Duplicate ID","")</f>
        <v/>
      </c>
      <c r="L241" s="4" t="str">
        <f>IF(COUNTIFS(Customers!$B$2:$B$1001,Customers!B241,Customers!$D$2:$D$1001,Customers!D241,Customers!$G$2:$G$1001,Customers!G241,Customers!$I$2:$I$1001,Customers!I241,Customers!$L$2:$L$1001,Customers!L241)&gt;1,"Duplicate record","")</f>
        <v/>
      </c>
      <c r="M241" s="4" t="str">
        <f>IF(OR(Customers!U241&lt;300,Customers!U241&gt;850),"Score out of range","")</f>
        <v/>
      </c>
      <c r="N241" s="4" t="str">
        <f>IF(AND(Customers!G241&lt;&gt;"",Customers!G241&lt;=0),"Income ≤ 0","")</f>
        <v/>
      </c>
      <c r="O241" s="4" t="str">
        <f>IF(OR(Customers!G241="",Customers!M241=""),"Missing value","")</f>
        <v/>
      </c>
      <c r="P241" s="4">
        <f t="shared" si="3"/>
        <v>0</v>
      </c>
    </row>
    <row r="242" spans="1:16" x14ac:dyDescent="0.25">
      <c r="A242" s="4" t="str">
        <f>Customers!A242</f>
        <v>CL00237</v>
      </c>
      <c r="B242" s="20">
        <f>IF(Customers!G242="","",(Customers!G242-Statistics!$C$7)/Statistics!$C$9)</f>
        <v>-4.5877152335114572E-2</v>
      </c>
      <c r="C242" s="4" t="str">
        <f>IF(Customers!G242="","",IF(OR(Customers!G242&lt;Statistics!$C$15,Customers!G242&gt;Statistics!$C$16),"Outside 1.5·IQR",""))</f>
        <v/>
      </c>
      <c r="D242" s="4" t="str">
        <f>IF(OR(Customers!B242&lt;18,Customers!B242&gt;100),"Implausible age","")</f>
        <v/>
      </c>
      <c r="E242" s="4" t="str">
        <f>IF(Customers!H242&gt;Customers!B242-18,"Tenure &gt; age-18","")</f>
        <v/>
      </c>
      <c r="F242" s="4" t="str">
        <f>IF(Customers!R242&gt;Customers!Q242,"Card spend &gt; limit","")</f>
        <v/>
      </c>
      <c r="G242" s="4" t="str">
        <f>IF(OR(AND(Customers!S242&gt;0,Customers!T242=0),AND(Customers!S242=0,Customers!T242&gt;0)),"Mortgage/payment inconsistent","")</f>
        <v/>
      </c>
      <c r="H242" s="4" t="str">
        <f>IF(AND(Customers!G242&lt;&gt;"",Customers!G242&gt;0,Customers!T242&gt;Customers!G242/12),"Payment &gt; monthly income","")</f>
        <v/>
      </c>
      <c r="I242" s="4" t="str">
        <f>IF(OR(Customers!I242&gt;DATE(2026,9,13),YEAR(Customers!I242)&lt;1980),"Implausible date","")</f>
        <v/>
      </c>
      <c r="J242" s="4" t="str">
        <f>IF(Customers!I242&gt;DATE(2026,9,13),"",IF(ABS(INT((DATE(2026,9,13)-Customers!I242)/365.25)-Customers!H242)&gt;1,"Date/tenure inconsistent",""))</f>
        <v/>
      </c>
      <c r="K242" s="4" t="str">
        <f>IF(COUNTIF(Customers!$A$2:$A$1001,Customers!A242)&gt;1,"Duplicate ID","")</f>
        <v/>
      </c>
      <c r="L242" s="4" t="str">
        <f>IF(COUNTIFS(Customers!$B$2:$B$1001,Customers!B242,Customers!$D$2:$D$1001,Customers!D242,Customers!$G$2:$G$1001,Customers!G242,Customers!$I$2:$I$1001,Customers!I242,Customers!$L$2:$L$1001,Customers!L242)&gt;1,"Duplicate record","")</f>
        <v/>
      </c>
      <c r="M242" s="4" t="str">
        <f>IF(OR(Customers!U242&lt;300,Customers!U242&gt;850),"Score out of range","")</f>
        <v/>
      </c>
      <c r="N242" s="4" t="str">
        <f>IF(AND(Customers!G242&lt;&gt;"",Customers!G242&lt;=0),"Income ≤ 0","")</f>
        <v/>
      </c>
      <c r="O242" s="4" t="str">
        <f>IF(OR(Customers!G242="",Customers!M242=""),"Missing value","")</f>
        <v/>
      </c>
      <c r="P242" s="4">
        <f t="shared" si="3"/>
        <v>0</v>
      </c>
    </row>
    <row r="243" spans="1:16" x14ac:dyDescent="0.25">
      <c r="A243" s="4" t="str">
        <f>Customers!A243</f>
        <v>CL00238</v>
      </c>
      <c r="B243" s="20">
        <f>IF(Customers!G243="","",(Customers!G243-Statistics!$C$7)/Statistics!$C$9)</f>
        <v>-5.6218848092105519E-2</v>
      </c>
      <c r="C243" s="4" t="str">
        <f>IF(Customers!G243="","",IF(OR(Customers!G243&lt;Statistics!$C$15,Customers!G243&gt;Statistics!$C$16),"Outside 1.5·IQR",""))</f>
        <v/>
      </c>
      <c r="D243" s="4" t="str">
        <f>IF(OR(Customers!B243&lt;18,Customers!B243&gt;100),"Implausible age","")</f>
        <v/>
      </c>
      <c r="E243" s="4" t="str">
        <f>IF(Customers!H243&gt;Customers!B243-18,"Tenure &gt; age-18","")</f>
        <v/>
      </c>
      <c r="F243" s="4" t="str">
        <f>IF(Customers!R243&gt;Customers!Q243,"Card spend &gt; limit","")</f>
        <v/>
      </c>
      <c r="G243" s="4" t="str">
        <f>IF(OR(AND(Customers!S243&gt;0,Customers!T243=0),AND(Customers!S243=0,Customers!T243&gt;0)),"Mortgage/payment inconsistent","")</f>
        <v/>
      </c>
      <c r="H243" s="4" t="str">
        <f>IF(AND(Customers!G243&lt;&gt;"",Customers!G243&gt;0,Customers!T243&gt;Customers!G243/12),"Payment &gt; monthly income","")</f>
        <v/>
      </c>
      <c r="I243" s="4" t="str">
        <f>IF(OR(Customers!I243&gt;DATE(2026,9,13),YEAR(Customers!I243)&lt;1980),"Implausible date","")</f>
        <v/>
      </c>
      <c r="J243" s="4" t="str">
        <f>IF(Customers!I243&gt;DATE(2026,9,13),"",IF(ABS(INT((DATE(2026,9,13)-Customers!I243)/365.25)-Customers!H243)&gt;1,"Date/tenure inconsistent",""))</f>
        <v/>
      </c>
      <c r="K243" s="4" t="str">
        <f>IF(COUNTIF(Customers!$A$2:$A$1001,Customers!A243)&gt;1,"Duplicate ID","")</f>
        <v/>
      </c>
      <c r="L243" s="4" t="str">
        <f>IF(COUNTIFS(Customers!$B$2:$B$1001,Customers!B243,Customers!$D$2:$D$1001,Customers!D243,Customers!$G$2:$G$1001,Customers!G243,Customers!$I$2:$I$1001,Customers!I243,Customers!$L$2:$L$1001,Customers!L243)&gt;1,"Duplicate record","")</f>
        <v/>
      </c>
      <c r="M243" s="4" t="str">
        <f>IF(OR(Customers!U243&lt;300,Customers!U243&gt;850),"Score out of range","")</f>
        <v/>
      </c>
      <c r="N243" s="4" t="str">
        <f>IF(AND(Customers!G243&lt;&gt;"",Customers!G243&lt;=0),"Income ≤ 0","")</f>
        <v/>
      </c>
      <c r="O243" s="4" t="str">
        <f>IF(OR(Customers!G243="",Customers!M243=""),"Missing value","")</f>
        <v/>
      </c>
      <c r="P243" s="4">
        <f t="shared" si="3"/>
        <v>0</v>
      </c>
    </row>
    <row r="244" spans="1:16" x14ac:dyDescent="0.25">
      <c r="A244" s="4" t="str">
        <f>Customers!A244</f>
        <v>CL00239</v>
      </c>
      <c r="B244" s="20">
        <f>IF(Customers!G244="","",(Customers!G244-Statistics!$C$7)/Statistics!$C$9)</f>
        <v>-3.8884196156577837E-2</v>
      </c>
      <c r="C244" s="4" t="str">
        <f>IF(Customers!G244="","",IF(OR(Customers!G244&lt;Statistics!$C$15,Customers!G244&gt;Statistics!$C$16),"Outside 1.5·IQR",""))</f>
        <v/>
      </c>
      <c r="D244" s="4" t="str">
        <f>IF(OR(Customers!B244&lt;18,Customers!B244&gt;100),"Implausible age","")</f>
        <v/>
      </c>
      <c r="E244" s="4" t="str">
        <f>IF(Customers!H244&gt;Customers!B244-18,"Tenure &gt; age-18","")</f>
        <v/>
      </c>
      <c r="F244" s="4" t="str">
        <f>IF(Customers!R244&gt;Customers!Q244,"Card spend &gt; limit","")</f>
        <v/>
      </c>
      <c r="G244" s="4" t="str">
        <f>IF(OR(AND(Customers!S244&gt;0,Customers!T244=0),AND(Customers!S244=0,Customers!T244&gt;0)),"Mortgage/payment inconsistent","")</f>
        <v/>
      </c>
      <c r="H244" s="4" t="str">
        <f>IF(AND(Customers!G244&lt;&gt;"",Customers!G244&gt;0,Customers!T244&gt;Customers!G244/12),"Payment &gt; monthly income","")</f>
        <v/>
      </c>
      <c r="I244" s="4" t="str">
        <f>IF(OR(Customers!I244&gt;DATE(2026,9,13),YEAR(Customers!I244)&lt;1980),"Implausible date","")</f>
        <v/>
      </c>
      <c r="J244" s="4" t="str">
        <f>IF(Customers!I244&gt;DATE(2026,9,13),"",IF(ABS(INT((DATE(2026,9,13)-Customers!I244)/365.25)-Customers!H244)&gt;1,"Date/tenure inconsistent",""))</f>
        <v/>
      </c>
      <c r="K244" s="4" t="str">
        <f>IF(COUNTIF(Customers!$A$2:$A$1001,Customers!A244)&gt;1,"Duplicate ID","")</f>
        <v/>
      </c>
      <c r="L244" s="4" t="str">
        <f>IF(COUNTIFS(Customers!$B$2:$B$1001,Customers!B244,Customers!$D$2:$D$1001,Customers!D244,Customers!$G$2:$G$1001,Customers!G244,Customers!$I$2:$I$1001,Customers!I244,Customers!$L$2:$L$1001,Customers!L244)&gt;1,"Duplicate record","")</f>
        <v/>
      </c>
      <c r="M244" s="4" t="str">
        <f>IF(OR(Customers!U244&lt;300,Customers!U244&gt;850),"Score out of range","")</f>
        <v/>
      </c>
      <c r="N244" s="4" t="str">
        <f>IF(AND(Customers!G244&lt;&gt;"",Customers!G244&lt;=0),"Income ≤ 0","")</f>
        <v/>
      </c>
      <c r="O244" s="4" t="str">
        <f>IF(OR(Customers!G244="",Customers!M244=""),"Missing value","")</f>
        <v/>
      </c>
      <c r="P244" s="4">
        <f t="shared" si="3"/>
        <v>0</v>
      </c>
    </row>
    <row r="245" spans="1:16" x14ac:dyDescent="0.25">
      <c r="A245" s="4" t="str">
        <f>Customers!A245</f>
        <v>CL00240</v>
      </c>
      <c r="B245" s="20">
        <f>IF(Customers!G245="","",(Customers!G245-Statistics!$C$7)/Statistics!$C$9)</f>
        <v>-4.4892228929686862E-2</v>
      </c>
      <c r="C245" s="4" t="str">
        <f>IF(Customers!G245="","",IF(OR(Customers!G245&lt;Statistics!$C$15,Customers!G245&gt;Statistics!$C$16),"Outside 1.5·IQR",""))</f>
        <v/>
      </c>
      <c r="D245" s="4" t="str">
        <f>IF(OR(Customers!B245&lt;18,Customers!B245&gt;100),"Implausible age","")</f>
        <v/>
      </c>
      <c r="E245" s="4" t="str">
        <f>IF(Customers!H245&gt;Customers!B245-18,"Tenure &gt; age-18","")</f>
        <v/>
      </c>
      <c r="F245" s="4" t="str">
        <f>IF(Customers!R245&gt;Customers!Q245,"Card spend &gt; limit","")</f>
        <v/>
      </c>
      <c r="G245" s="4" t="str">
        <f>IF(OR(AND(Customers!S245&gt;0,Customers!T245=0),AND(Customers!S245=0,Customers!T245&gt;0)),"Mortgage/payment inconsistent","")</f>
        <v/>
      </c>
      <c r="H245" s="4" t="str">
        <f>IF(AND(Customers!G245&lt;&gt;"",Customers!G245&gt;0,Customers!T245&gt;Customers!G245/12),"Payment &gt; monthly income","")</f>
        <v/>
      </c>
      <c r="I245" s="4" t="str">
        <f>IF(OR(Customers!I245&gt;DATE(2026,9,13),YEAR(Customers!I245)&lt;1980),"Implausible date","")</f>
        <v/>
      </c>
      <c r="J245" s="4" t="str">
        <f>IF(Customers!I245&gt;DATE(2026,9,13),"",IF(ABS(INT((DATE(2026,9,13)-Customers!I245)/365.25)-Customers!H245)&gt;1,"Date/tenure inconsistent",""))</f>
        <v/>
      </c>
      <c r="K245" s="4" t="str">
        <f>IF(COUNTIF(Customers!$A$2:$A$1001,Customers!A245)&gt;1,"Duplicate ID","")</f>
        <v/>
      </c>
      <c r="L245" s="4" t="str">
        <f>IF(COUNTIFS(Customers!$B$2:$B$1001,Customers!B245,Customers!$D$2:$D$1001,Customers!D245,Customers!$G$2:$G$1001,Customers!G245,Customers!$I$2:$I$1001,Customers!I245,Customers!$L$2:$L$1001,Customers!L245)&gt;1,"Duplicate record","")</f>
        <v/>
      </c>
      <c r="M245" s="4" t="str">
        <f>IF(OR(Customers!U245&lt;300,Customers!U245&gt;850),"Score out of range","")</f>
        <v/>
      </c>
      <c r="N245" s="4" t="str">
        <f>IF(AND(Customers!G245&lt;&gt;"",Customers!G245&lt;=0),"Income ≤ 0","")</f>
        <v/>
      </c>
      <c r="O245" s="4" t="str">
        <f>IF(OR(Customers!G245="",Customers!M245=""),"Missing value","")</f>
        <v/>
      </c>
      <c r="P245" s="4">
        <f t="shared" si="3"/>
        <v>0</v>
      </c>
    </row>
    <row r="246" spans="1:16" x14ac:dyDescent="0.25">
      <c r="A246" s="4" t="str">
        <f>Customers!A246</f>
        <v>CL00241</v>
      </c>
      <c r="B246" s="20">
        <f>IF(Customers!G246="","",(Customers!G246-Statistics!$C$7)/Statistics!$C$9)</f>
        <v>-2.9034962102300749E-2</v>
      </c>
      <c r="C246" s="4" t="str">
        <f>IF(Customers!G246="","",IF(OR(Customers!G246&lt;Statistics!$C$15,Customers!G246&gt;Statistics!$C$16),"Outside 1.5·IQR",""))</f>
        <v/>
      </c>
      <c r="D246" s="4" t="str">
        <f>IF(OR(Customers!B246&lt;18,Customers!B246&gt;100),"Implausible age","")</f>
        <v/>
      </c>
      <c r="E246" s="4" t="str">
        <f>IF(Customers!H246&gt;Customers!B246-18,"Tenure &gt; age-18","")</f>
        <v/>
      </c>
      <c r="F246" s="4" t="str">
        <f>IF(Customers!R246&gt;Customers!Q246,"Card spend &gt; limit","")</f>
        <v/>
      </c>
      <c r="G246" s="4" t="str">
        <f>IF(OR(AND(Customers!S246&gt;0,Customers!T246=0),AND(Customers!S246=0,Customers!T246&gt;0)),"Mortgage/payment inconsistent","")</f>
        <v/>
      </c>
      <c r="H246" s="4" t="str">
        <f>IF(AND(Customers!G246&lt;&gt;"",Customers!G246&gt;0,Customers!T246&gt;Customers!G246/12),"Payment &gt; monthly income","")</f>
        <v/>
      </c>
      <c r="I246" s="4" t="str">
        <f>IF(OR(Customers!I246&gt;DATE(2026,9,13),YEAR(Customers!I246)&lt;1980),"Implausible date","")</f>
        <v/>
      </c>
      <c r="J246" s="4" t="str">
        <f>IF(Customers!I246&gt;DATE(2026,9,13),"",IF(ABS(INT((DATE(2026,9,13)-Customers!I246)/365.25)-Customers!H246)&gt;1,"Date/tenure inconsistent",""))</f>
        <v/>
      </c>
      <c r="K246" s="4" t="str">
        <f>IF(COUNTIF(Customers!$A$2:$A$1001,Customers!A246)&gt;1,"Duplicate ID","")</f>
        <v/>
      </c>
      <c r="L246" s="4" t="str">
        <f>IF(COUNTIFS(Customers!$B$2:$B$1001,Customers!B246,Customers!$D$2:$D$1001,Customers!D246,Customers!$G$2:$G$1001,Customers!G246,Customers!$I$2:$I$1001,Customers!I246,Customers!$L$2:$L$1001,Customers!L246)&gt;1,"Duplicate record","")</f>
        <v/>
      </c>
      <c r="M246" s="4" t="str">
        <f>IF(OR(Customers!U246&lt;300,Customers!U246&gt;850),"Score out of range","")</f>
        <v/>
      </c>
      <c r="N246" s="4" t="str">
        <f>IF(AND(Customers!G246&lt;&gt;"",Customers!G246&lt;=0),"Income ≤ 0","")</f>
        <v/>
      </c>
      <c r="O246" s="4" t="str">
        <f>IF(OR(Customers!G246="",Customers!M246=""),"Missing value","")</f>
        <v/>
      </c>
      <c r="P246" s="4">
        <f t="shared" si="3"/>
        <v>0</v>
      </c>
    </row>
    <row r="247" spans="1:16" x14ac:dyDescent="0.25">
      <c r="A247" s="4" t="str">
        <f>Customers!A247</f>
        <v>CL00242</v>
      </c>
      <c r="B247" s="20">
        <f>IF(Customers!G247="","",(Customers!G247-Statistics!$C$7)/Statistics!$C$9)</f>
        <v>-4.4892228929686862E-2</v>
      </c>
      <c r="C247" s="4" t="str">
        <f>IF(Customers!G247="","",IF(OR(Customers!G247&lt;Statistics!$C$15,Customers!G247&gt;Statistics!$C$16),"Outside 1.5·IQR",""))</f>
        <v/>
      </c>
      <c r="D247" s="4" t="str">
        <f>IF(OR(Customers!B247&lt;18,Customers!B247&gt;100),"Implausible age","")</f>
        <v/>
      </c>
      <c r="E247" s="4" t="str">
        <f>IF(Customers!H247&gt;Customers!B247-18,"Tenure &gt; age-18","")</f>
        <v/>
      </c>
      <c r="F247" s="4" t="str">
        <f>IF(Customers!R247&gt;Customers!Q247,"Card spend &gt; limit","")</f>
        <v/>
      </c>
      <c r="G247" s="4" t="str">
        <f>IF(OR(AND(Customers!S247&gt;0,Customers!T247=0),AND(Customers!S247=0,Customers!T247&gt;0)),"Mortgage/payment inconsistent","")</f>
        <v/>
      </c>
      <c r="H247" s="4" t="str">
        <f>IF(AND(Customers!G247&lt;&gt;"",Customers!G247&gt;0,Customers!T247&gt;Customers!G247/12),"Payment &gt; monthly income","")</f>
        <v/>
      </c>
      <c r="I247" s="4" t="str">
        <f>IF(OR(Customers!I247&gt;DATE(2026,9,13),YEAR(Customers!I247)&lt;1980),"Implausible date","")</f>
        <v/>
      </c>
      <c r="J247" s="4" t="str">
        <f>IF(Customers!I247&gt;DATE(2026,9,13),"",IF(ABS(INT((DATE(2026,9,13)-Customers!I247)/365.25)-Customers!H247)&gt;1,"Date/tenure inconsistent",""))</f>
        <v/>
      </c>
      <c r="K247" s="4" t="str">
        <f>IF(COUNTIF(Customers!$A$2:$A$1001,Customers!A247)&gt;1,"Duplicate ID","")</f>
        <v/>
      </c>
      <c r="L247" s="4" t="str">
        <f>IF(COUNTIFS(Customers!$B$2:$B$1001,Customers!B247,Customers!$D$2:$D$1001,Customers!D247,Customers!$G$2:$G$1001,Customers!G247,Customers!$I$2:$I$1001,Customers!I247,Customers!$L$2:$L$1001,Customers!L247)&gt;1,"Duplicate record","")</f>
        <v/>
      </c>
      <c r="M247" s="4" t="str">
        <f>IF(OR(Customers!U247&lt;300,Customers!U247&gt;850),"Score out of range","")</f>
        <v/>
      </c>
      <c r="N247" s="4" t="str">
        <f>IF(AND(Customers!G247&lt;&gt;"",Customers!G247&lt;=0),"Income ≤ 0","")</f>
        <v/>
      </c>
      <c r="O247" s="4" t="str">
        <f>IF(OR(Customers!G247="",Customers!M247=""),"Missing value","")</f>
        <v/>
      </c>
      <c r="P247" s="4">
        <f t="shared" si="3"/>
        <v>0</v>
      </c>
    </row>
    <row r="248" spans="1:16" x14ac:dyDescent="0.25">
      <c r="A248" s="4" t="str">
        <f>Customers!A248</f>
        <v>CL00243</v>
      </c>
      <c r="B248" s="20">
        <f>IF(Customers!G248="","",(Customers!G248-Statistics!$C$7)/Statistics!$C$9)</f>
        <v>-5.3067093194736847E-2</v>
      </c>
      <c r="C248" s="4" t="str">
        <f>IF(Customers!G248="","",IF(OR(Customers!G248&lt;Statistics!$C$15,Customers!G248&gt;Statistics!$C$16),"Outside 1.5·IQR",""))</f>
        <v/>
      </c>
      <c r="D248" s="4" t="str">
        <f>IF(OR(Customers!B248&lt;18,Customers!B248&gt;100),"Implausible age","")</f>
        <v/>
      </c>
      <c r="E248" s="4" t="str">
        <f>IF(Customers!H248&gt;Customers!B248-18,"Tenure &gt; age-18","")</f>
        <v/>
      </c>
      <c r="F248" s="4" t="str">
        <f>IF(Customers!R248&gt;Customers!Q248,"Card spend &gt; limit","")</f>
        <v/>
      </c>
      <c r="G248" s="4" t="str">
        <f>IF(OR(AND(Customers!S248&gt;0,Customers!T248=0),AND(Customers!S248=0,Customers!T248&gt;0)),"Mortgage/payment inconsistent","")</f>
        <v/>
      </c>
      <c r="H248" s="4" t="str">
        <f>IF(AND(Customers!G248&lt;&gt;"",Customers!G248&gt;0,Customers!T248&gt;Customers!G248/12),"Payment &gt; monthly income","")</f>
        <v/>
      </c>
      <c r="I248" s="4" t="str">
        <f>IF(OR(Customers!I248&gt;DATE(2026,9,13),YEAR(Customers!I248)&lt;1980),"Implausible date","")</f>
        <v/>
      </c>
      <c r="J248" s="4" t="str">
        <f>IF(Customers!I248&gt;DATE(2026,9,13),"",IF(ABS(INT((DATE(2026,9,13)-Customers!I248)/365.25)-Customers!H248)&gt;1,"Date/tenure inconsistent",""))</f>
        <v/>
      </c>
      <c r="K248" s="4" t="str">
        <f>IF(COUNTIF(Customers!$A$2:$A$1001,Customers!A248)&gt;1,"Duplicate ID","")</f>
        <v/>
      </c>
      <c r="L248" s="4" t="str">
        <f>IF(COUNTIFS(Customers!$B$2:$B$1001,Customers!B248,Customers!$D$2:$D$1001,Customers!D248,Customers!$G$2:$G$1001,Customers!G248,Customers!$I$2:$I$1001,Customers!I248,Customers!$L$2:$L$1001,Customers!L248)&gt;1,"Duplicate record","")</f>
        <v/>
      </c>
      <c r="M248" s="4" t="str">
        <f>IF(OR(Customers!U248&lt;300,Customers!U248&gt;850),"Score out of range","")</f>
        <v/>
      </c>
      <c r="N248" s="4" t="str">
        <f>IF(AND(Customers!G248&lt;&gt;"",Customers!G248&lt;=0),"Income ≤ 0","")</f>
        <v/>
      </c>
      <c r="O248" s="4" t="str">
        <f>IF(OR(Customers!G248="",Customers!M248=""),"Missing value","")</f>
        <v/>
      </c>
      <c r="P248" s="4">
        <f t="shared" si="3"/>
        <v>0</v>
      </c>
    </row>
    <row r="249" spans="1:16" x14ac:dyDescent="0.25">
      <c r="A249" s="4" t="str">
        <f>Customers!A249</f>
        <v>CL00244</v>
      </c>
      <c r="B249" s="20">
        <f>IF(Customers!G249="","",(Customers!G249-Statistics!$C$7)/Statistics!$C$9)</f>
        <v>-3.120179359424171E-2</v>
      </c>
      <c r="C249" s="4" t="str">
        <f>IF(Customers!G249="","",IF(OR(Customers!G249&lt;Statistics!$C$15,Customers!G249&gt;Statistics!$C$16),"Outside 1.5·IQR",""))</f>
        <v/>
      </c>
      <c r="D249" s="4" t="str">
        <f>IF(OR(Customers!B249&lt;18,Customers!B249&gt;100),"Implausible age","")</f>
        <v/>
      </c>
      <c r="E249" s="4" t="str">
        <f>IF(Customers!H249&gt;Customers!B249-18,"Tenure &gt; age-18","")</f>
        <v/>
      </c>
      <c r="F249" s="4" t="str">
        <f>IF(Customers!R249&gt;Customers!Q249,"Card spend &gt; limit","")</f>
        <v/>
      </c>
      <c r="G249" s="4" t="str">
        <f>IF(OR(AND(Customers!S249&gt;0,Customers!T249=0),AND(Customers!S249=0,Customers!T249&gt;0)),"Mortgage/payment inconsistent","")</f>
        <v/>
      </c>
      <c r="H249" s="4" t="str">
        <f>IF(AND(Customers!G249&lt;&gt;"",Customers!G249&gt;0,Customers!T249&gt;Customers!G249/12),"Payment &gt; monthly income","")</f>
        <v/>
      </c>
      <c r="I249" s="4" t="str">
        <f>IF(OR(Customers!I249&gt;DATE(2026,9,13),YEAR(Customers!I249)&lt;1980),"Implausible date","")</f>
        <v/>
      </c>
      <c r="J249" s="4" t="str">
        <f>IF(Customers!I249&gt;DATE(2026,9,13),"",IF(ABS(INT((DATE(2026,9,13)-Customers!I249)/365.25)-Customers!H249)&gt;1,"Date/tenure inconsistent",""))</f>
        <v/>
      </c>
      <c r="K249" s="4" t="str">
        <f>IF(COUNTIF(Customers!$A$2:$A$1001,Customers!A249)&gt;1,"Duplicate ID","")</f>
        <v/>
      </c>
      <c r="L249" s="4" t="str">
        <f>IF(COUNTIFS(Customers!$B$2:$B$1001,Customers!B249,Customers!$D$2:$D$1001,Customers!D249,Customers!$G$2:$G$1001,Customers!G249,Customers!$I$2:$I$1001,Customers!I249,Customers!$L$2:$L$1001,Customers!L249)&gt;1,"Duplicate record","")</f>
        <v/>
      </c>
      <c r="M249" s="4" t="str">
        <f>IF(OR(Customers!U249&lt;300,Customers!U249&gt;850),"Score out of range","")</f>
        <v/>
      </c>
      <c r="N249" s="4" t="str">
        <f>IF(AND(Customers!G249&lt;&gt;"",Customers!G249&lt;=0),"Income ≤ 0","")</f>
        <v/>
      </c>
      <c r="O249" s="4" t="str">
        <f>IF(OR(Customers!G249="",Customers!M249=""),"Missing value","")</f>
        <v/>
      </c>
      <c r="P249" s="4">
        <f t="shared" si="3"/>
        <v>0</v>
      </c>
    </row>
    <row r="250" spans="1:16" x14ac:dyDescent="0.25">
      <c r="A250" s="4" t="str">
        <f>Customers!A250</f>
        <v>CL00245</v>
      </c>
      <c r="B250" s="20">
        <f>IF(Customers!G250="","",(Customers!G250-Statistics!$C$7)/Statistics!$C$9)</f>
        <v>-5.0210815318996495E-2</v>
      </c>
      <c r="C250" s="4" t="str">
        <f>IF(Customers!G250="","",IF(OR(Customers!G250&lt;Statistics!$C$15,Customers!G250&gt;Statistics!$C$16),"Outside 1.5·IQR",""))</f>
        <v/>
      </c>
      <c r="D250" s="4" t="str">
        <f>IF(OR(Customers!B250&lt;18,Customers!B250&gt;100),"Implausible age","")</f>
        <v/>
      </c>
      <c r="E250" s="4" t="str">
        <f>IF(Customers!H250&gt;Customers!B250-18,"Tenure &gt; age-18","")</f>
        <v/>
      </c>
      <c r="F250" s="4" t="str">
        <f>IF(Customers!R250&gt;Customers!Q250,"Card spend &gt; limit","")</f>
        <v/>
      </c>
      <c r="G250" s="4" t="str">
        <f>IF(OR(AND(Customers!S250&gt;0,Customers!T250=0),AND(Customers!S250=0,Customers!T250&gt;0)),"Mortgage/payment inconsistent","")</f>
        <v/>
      </c>
      <c r="H250" s="4" t="str">
        <f>IF(AND(Customers!G250&lt;&gt;"",Customers!G250&gt;0,Customers!T250&gt;Customers!G250/12),"Payment &gt; monthly income","")</f>
        <v/>
      </c>
      <c r="I250" s="4" t="str">
        <f>IF(OR(Customers!I250&gt;DATE(2026,9,13),YEAR(Customers!I250)&lt;1980),"Implausible date","")</f>
        <v/>
      </c>
      <c r="J250" s="4" t="str">
        <f>IF(Customers!I250&gt;DATE(2026,9,13),"",IF(ABS(INT((DATE(2026,9,13)-Customers!I250)/365.25)-Customers!H250)&gt;1,"Date/tenure inconsistent",""))</f>
        <v/>
      </c>
      <c r="K250" s="4" t="str">
        <f>IF(COUNTIF(Customers!$A$2:$A$1001,Customers!A250)&gt;1,"Duplicate ID","")</f>
        <v/>
      </c>
      <c r="L250" s="4" t="str">
        <f>IF(COUNTIFS(Customers!$B$2:$B$1001,Customers!B250,Customers!$D$2:$D$1001,Customers!D250,Customers!$G$2:$G$1001,Customers!G250,Customers!$I$2:$I$1001,Customers!I250,Customers!$L$2:$L$1001,Customers!L250)&gt;1,"Duplicate record","")</f>
        <v/>
      </c>
      <c r="M250" s="4" t="str">
        <f>IF(OR(Customers!U250&lt;300,Customers!U250&gt;850),"Score out of range","")</f>
        <v/>
      </c>
      <c r="N250" s="4" t="str">
        <f>IF(AND(Customers!G250&lt;&gt;"",Customers!G250&lt;=0),"Income ≤ 0","")</f>
        <v/>
      </c>
      <c r="O250" s="4" t="str">
        <f>IF(OR(Customers!G250="",Customers!M250=""),"Missing value","")</f>
        <v/>
      </c>
      <c r="P250" s="4">
        <f t="shared" si="3"/>
        <v>0</v>
      </c>
    </row>
    <row r="251" spans="1:16" x14ac:dyDescent="0.25">
      <c r="A251" s="4" t="str">
        <f>Customers!A251</f>
        <v>CL00246</v>
      </c>
      <c r="B251" s="20">
        <f>IF(Customers!G251="","",(Customers!G251-Statistics!$C$7)/Statistics!$C$9)</f>
        <v>-5.4642970643421183E-2</v>
      </c>
      <c r="C251" s="4" t="str">
        <f>IF(Customers!G251="","",IF(OR(Customers!G251&lt;Statistics!$C$15,Customers!G251&gt;Statistics!$C$16),"Outside 1.5·IQR",""))</f>
        <v/>
      </c>
      <c r="D251" s="4" t="str">
        <f>IF(OR(Customers!B251&lt;18,Customers!B251&gt;100),"Implausible age","")</f>
        <v/>
      </c>
      <c r="E251" s="4" t="str">
        <f>IF(Customers!H251&gt;Customers!B251-18,"Tenure &gt; age-18","")</f>
        <v/>
      </c>
      <c r="F251" s="4" t="str">
        <f>IF(Customers!R251&gt;Customers!Q251,"Card spend &gt; limit","")</f>
        <v/>
      </c>
      <c r="G251" s="4" t="str">
        <f>IF(OR(AND(Customers!S251&gt;0,Customers!T251=0),AND(Customers!S251=0,Customers!T251&gt;0)),"Mortgage/payment inconsistent","")</f>
        <v/>
      </c>
      <c r="H251" s="4" t="str">
        <f>IF(AND(Customers!G251&lt;&gt;"",Customers!G251&gt;0,Customers!T251&gt;Customers!G251/12),"Payment &gt; monthly income","")</f>
        <v/>
      </c>
      <c r="I251" s="4" t="str">
        <f>IF(OR(Customers!I251&gt;DATE(2026,9,13),YEAR(Customers!I251)&lt;1980),"Implausible date","")</f>
        <v/>
      </c>
      <c r="J251" s="4" t="str">
        <f>IF(Customers!I251&gt;DATE(2026,9,13),"",IF(ABS(INT((DATE(2026,9,13)-Customers!I251)/365.25)-Customers!H251)&gt;1,"Date/tenure inconsistent",""))</f>
        <v/>
      </c>
      <c r="K251" s="4" t="str">
        <f>IF(COUNTIF(Customers!$A$2:$A$1001,Customers!A251)&gt;1,"Duplicate ID","")</f>
        <v/>
      </c>
      <c r="L251" s="4" t="str">
        <f>IF(COUNTIFS(Customers!$B$2:$B$1001,Customers!B251,Customers!$D$2:$D$1001,Customers!D251,Customers!$G$2:$G$1001,Customers!G251,Customers!$I$2:$I$1001,Customers!I251,Customers!$L$2:$L$1001,Customers!L251)&gt;1,"Duplicate record","")</f>
        <v/>
      </c>
      <c r="M251" s="4" t="str">
        <f>IF(OR(Customers!U251&lt;300,Customers!U251&gt;850),"Score out of range","")</f>
        <v/>
      </c>
      <c r="N251" s="4" t="str">
        <f>IF(AND(Customers!G251&lt;&gt;"",Customers!G251&lt;=0),"Income ≤ 0","")</f>
        <v/>
      </c>
      <c r="O251" s="4" t="str">
        <f>IF(OR(Customers!G251="",Customers!M251=""),"Missing value","")</f>
        <v/>
      </c>
      <c r="P251" s="4">
        <f t="shared" si="3"/>
        <v>0</v>
      </c>
    </row>
    <row r="252" spans="1:16" x14ac:dyDescent="0.25">
      <c r="A252" s="4" t="str">
        <f>Customers!A252</f>
        <v>CL00247</v>
      </c>
      <c r="B252" s="20">
        <f>IF(Customers!G252="","",(Customers!G252-Statistics!$C$7)/Statistics!$C$9)</f>
        <v>-3.9672134880920008E-2</v>
      </c>
      <c r="C252" s="4" t="str">
        <f>IF(Customers!G252="","",IF(OR(Customers!G252&lt;Statistics!$C$15,Customers!G252&gt;Statistics!$C$16),"Outside 1.5·IQR",""))</f>
        <v/>
      </c>
      <c r="D252" s="4" t="str">
        <f>IF(OR(Customers!B252&lt;18,Customers!B252&gt;100),"Implausible age","")</f>
        <v/>
      </c>
      <c r="E252" s="4" t="str">
        <f>IF(Customers!H252&gt;Customers!B252-18,"Tenure &gt; age-18","")</f>
        <v/>
      </c>
      <c r="F252" s="4" t="str">
        <f>IF(Customers!R252&gt;Customers!Q252,"Card spend &gt; limit","")</f>
        <v/>
      </c>
      <c r="G252" s="4" t="str">
        <f>IF(OR(AND(Customers!S252&gt;0,Customers!T252=0),AND(Customers!S252=0,Customers!T252&gt;0)),"Mortgage/payment inconsistent","")</f>
        <v/>
      </c>
      <c r="H252" s="4" t="str">
        <f>IF(AND(Customers!G252&lt;&gt;"",Customers!G252&gt;0,Customers!T252&gt;Customers!G252/12),"Payment &gt; monthly income","")</f>
        <v/>
      </c>
      <c r="I252" s="4" t="str">
        <f>IF(OR(Customers!I252&gt;DATE(2026,9,13),YEAR(Customers!I252)&lt;1980),"Implausible date","")</f>
        <v/>
      </c>
      <c r="J252" s="4" t="str">
        <f>IF(Customers!I252&gt;DATE(2026,9,13),"",IF(ABS(INT((DATE(2026,9,13)-Customers!I252)/365.25)-Customers!H252)&gt;1,"Date/tenure inconsistent",""))</f>
        <v/>
      </c>
      <c r="K252" s="4" t="str">
        <f>IF(COUNTIF(Customers!$A$2:$A$1001,Customers!A252)&gt;1,"Duplicate ID","")</f>
        <v/>
      </c>
      <c r="L252" s="4" t="str">
        <f>IF(COUNTIFS(Customers!$B$2:$B$1001,Customers!B252,Customers!$D$2:$D$1001,Customers!D252,Customers!$G$2:$G$1001,Customers!G252,Customers!$I$2:$I$1001,Customers!I252,Customers!$L$2:$L$1001,Customers!L252)&gt;1,"Duplicate record","")</f>
        <v/>
      </c>
      <c r="M252" s="4" t="str">
        <f>IF(OR(Customers!U252&lt;300,Customers!U252&gt;850),"Score out of range","")</f>
        <v/>
      </c>
      <c r="N252" s="4" t="str">
        <f>IF(AND(Customers!G252&lt;&gt;"",Customers!G252&lt;=0),"Income ≤ 0","")</f>
        <v/>
      </c>
      <c r="O252" s="4" t="str">
        <f>IF(OR(Customers!G252="",Customers!M252=""),"Missing value","")</f>
        <v/>
      </c>
      <c r="P252" s="4">
        <f t="shared" si="3"/>
        <v>0</v>
      </c>
    </row>
    <row r="253" spans="1:16" x14ac:dyDescent="0.25">
      <c r="A253" s="4" t="str">
        <f>Customers!A253</f>
        <v>CL00248</v>
      </c>
      <c r="B253" s="20">
        <f>IF(Customers!G253="","",(Customers!G253-Statistics!$C$7)/Statistics!$C$9)</f>
        <v>5.8130759278051496E-2</v>
      </c>
      <c r="C253" s="4" t="str">
        <f>IF(Customers!G253="","",IF(OR(Customers!G253&lt;Statistics!$C$15,Customers!G253&gt;Statistics!$C$16),"Outside 1.5·IQR",""))</f>
        <v>Outside 1.5·IQR</v>
      </c>
      <c r="D253" s="4" t="str">
        <f>IF(OR(Customers!B253&lt;18,Customers!B253&gt;100),"Implausible age","")</f>
        <v/>
      </c>
      <c r="E253" s="4" t="str">
        <f>IF(Customers!H253&gt;Customers!B253-18,"Tenure &gt; age-18","")</f>
        <v/>
      </c>
      <c r="F253" s="4" t="str">
        <f>IF(Customers!R253&gt;Customers!Q253,"Card spend &gt; limit","")</f>
        <v/>
      </c>
      <c r="G253" s="4" t="str">
        <f>IF(OR(AND(Customers!S253&gt;0,Customers!T253=0),AND(Customers!S253=0,Customers!T253&gt;0)),"Mortgage/payment inconsistent","")</f>
        <v/>
      </c>
      <c r="H253" s="4" t="str">
        <f>IF(AND(Customers!G253&lt;&gt;"",Customers!G253&gt;0,Customers!T253&gt;Customers!G253/12),"Payment &gt; monthly income","")</f>
        <v/>
      </c>
      <c r="I253" s="4" t="str">
        <f>IF(OR(Customers!I253&gt;DATE(2026,9,13),YEAR(Customers!I253)&lt;1980),"Implausible date","")</f>
        <v/>
      </c>
      <c r="J253" s="4" t="str">
        <f>IF(Customers!I253&gt;DATE(2026,9,13),"",IF(ABS(INT((DATE(2026,9,13)-Customers!I253)/365.25)-Customers!H253)&gt;1,"Date/tenure inconsistent",""))</f>
        <v/>
      </c>
      <c r="K253" s="4" t="str">
        <f>IF(COUNTIF(Customers!$A$2:$A$1001,Customers!A253)&gt;1,"Duplicate ID","")</f>
        <v/>
      </c>
      <c r="L253" s="4" t="str">
        <f>IF(COUNTIFS(Customers!$B$2:$B$1001,Customers!B253,Customers!$D$2:$D$1001,Customers!D253,Customers!$G$2:$G$1001,Customers!G253,Customers!$I$2:$I$1001,Customers!I253,Customers!$L$2:$L$1001,Customers!L253)&gt;1,"Duplicate record","")</f>
        <v/>
      </c>
      <c r="M253" s="4" t="str">
        <f>IF(OR(Customers!U253&lt;300,Customers!U253&gt;850),"Score out of range","")</f>
        <v/>
      </c>
      <c r="N253" s="4" t="str">
        <f>IF(AND(Customers!G253&lt;&gt;"",Customers!G253&lt;=0),"Income ≤ 0","")</f>
        <v/>
      </c>
      <c r="O253" s="4" t="str">
        <f>IF(OR(Customers!G253="",Customers!M253=""),"Missing value","")</f>
        <v/>
      </c>
      <c r="P253" s="4">
        <f t="shared" si="3"/>
        <v>1</v>
      </c>
    </row>
    <row r="254" spans="1:16" x14ac:dyDescent="0.25">
      <c r="A254" s="4" t="str">
        <f>Customers!A254</f>
        <v>CL00249</v>
      </c>
      <c r="B254" s="20">
        <f>IF(Customers!G254="","",(Customers!G254-Statistics!$C$7)/Statistics!$C$9)</f>
        <v>-4.2626905097203134E-2</v>
      </c>
      <c r="C254" s="4" t="str">
        <f>IF(Customers!G254="","",IF(OR(Customers!G254&lt;Statistics!$C$15,Customers!G254&gt;Statistics!$C$16),"Outside 1.5·IQR",""))</f>
        <v/>
      </c>
      <c r="D254" s="4" t="str">
        <f>IF(OR(Customers!B254&lt;18,Customers!B254&gt;100),"Implausible age","")</f>
        <v/>
      </c>
      <c r="E254" s="4" t="str">
        <f>IF(Customers!H254&gt;Customers!B254-18,"Tenure &gt; age-18","")</f>
        <v/>
      </c>
      <c r="F254" s="4" t="str">
        <f>IF(Customers!R254&gt;Customers!Q254,"Card spend &gt; limit","")</f>
        <v/>
      </c>
      <c r="G254" s="4" t="str">
        <f>IF(OR(AND(Customers!S254&gt;0,Customers!T254=0),AND(Customers!S254=0,Customers!T254&gt;0)),"Mortgage/payment inconsistent","")</f>
        <v/>
      </c>
      <c r="H254" s="4" t="str">
        <f>IF(AND(Customers!G254&lt;&gt;"",Customers!G254&gt;0,Customers!T254&gt;Customers!G254/12),"Payment &gt; monthly income","")</f>
        <v/>
      </c>
      <c r="I254" s="4" t="str">
        <f>IF(OR(Customers!I254&gt;DATE(2026,9,13),YEAR(Customers!I254)&lt;1980),"Implausible date","")</f>
        <v/>
      </c>
      <c r="J254" s="4" t="str">
        <f>IF(Customers!I254&gt;DATE(2026,9,13),"",IF(ABS(INT((DATE(2026,9,13)-Customers!I254)/365.25)-Customers!H254)&gt;1,"Date/tenure inconsistent",""))</f>
        <v/>
      </c>
      <c r="K254" s="4" t="str">
        <f>IF(COUNTIF(Customers!$A$2:$A$1001,Customers!A254)&gt;1,"Duplicate ID","")</f>
        <v/>
      </c>
      <c r="L254" s="4" t="str">
        <f>IF(COUNTIFS(Customers!$B$2:$B$1001,Customers!B254,Customers!$D$2:$D$1001,Customers!D254,Customers!$G$2:$G$1001,Customers!G254,Customers!$I$2:$I$1001,Customers!I254,Customers!$L$2:$L$1001,Customers!L254)&gt;1,"Duplicate record","")</f>
        <v/>
      </c>
      <c r="M254" s="4" t="str">
        <f>IF(OR(Customers!U254&lt;300,Customers!U254&gt;850),"Score out of range","")</f>
        <v/>
      </c>
      <c r="N254" s="4" t="str">
        <f>IF(AND(Customers!G254&lt;&gt;"",Customers!G254&lt;=0),"Income ≤ 0","")</f>
        <v/>
      </c>
      <c r="O254" s="4" t="str">
        <f>IF(OR(Customers!G254="",Customers!M254=""),"Missing value","")</f>
        <v/>
      </c>
      <c r="P254" s="4">
        <f t="shared" si="3"/>
        <v>0</v>
      </c>
    </row>
    <row r="255" spans="1:16" x14ac:dyDescent="0.25">
      <c r="A255" s="4" t="str">
        <f>Customers!A255</f>
        <v>CL00250</v>
      </c>
      <c r="B255" s="20">
        <f>IF(Customers!G255="","",(Customers!G255-Statistics!$C$7)/Statistics!$C$9)</f>
        <v>-6.2423865546300084E-2</v>
      </c>
      <c r="C255" s="4" t="str">
        <f>IF(Customers!G255="","",IF(OR(Customers!G255&lt;Statistics!$C$15,Customers!G255&gt;Statistics!$C$16),"Outside 1.5·IQR",""))</f>
        <v/>
      </c>
      <c r="D255" s="4" t="str">
        <f>IF(OR(Customers!B255&lt;18,Customers!B255&gt;100),"Implausible age","")</f>
        <v/>
      </c>
      <c r="E255" s="4" t="str">
        <f>IF(Customers!H255&gt;Customers!B255-18,"Tenure &gt; age-18","")</f>
        <v/>
      </c>
      <c r="F255" s="4" t="str">
        <f>IF(Customers!R255&gt;Customers!Q255,"Card spend &gt; limit","")</f>
        <v/>
      </c>
      <c r="G255" s="4" t="str">
        <f>IF(OR(AND(Customers!S255&gt;0,Customers!T255=0),AND(Customers!S255=0,Customers!T255&gt;0)),"Mortgage/payment inconsistent","")</f>
        <v/>
      </c>
      <c r="H255" s="4" t="str">
        <f>IF(AND(Customers!G255&lt;&gt;"",Customers!G255&gt;0,Customers!T255&gt;Customers!G255/12),"Payment &gt; monthly income","")</f>
        <v/>
      </c>
      <c r="I255" s="4" t="str">
        <f>IF(OR(Customers!I255&gt;DATE(2026,9,13),YEAR(Customers!I255)&lt;1980),"Implausible date","")</f>
        <v/>
      </c>
      <c r="J255" s="4" t="str">
        <f>IF(Customers!I255&gt;DATE(2026,9,13),"",IF(ABS(INT((DATE(2026,9,13)-Customers!I255)/365.25)-Customers!H255)&gt;1,"Date/tenure inconsistent",""))</f>
        <v/>
      </c>
      <c r="K255" s="4" t="str">
        <f>IF(COUNTIF(Customers!$A$2:$A$1001,Customers!A255)&gt;1,"Duplicate ID","")</f>
        <v/>
      </c>
      <c r="L255" s="4" t="str">
        <f>IF(COUNTIFS(Customers!$B$2:$B$1001,Customers!B255,Customers!$D$2:$D$1001,Customers!D255,Customers!$G$2:$G$1001,Customers!G255,Customers!$I$2:$I$1001,Customers!I255,Customers!$L$2:$L$1001,Customers!L255)&gt;1,"Duplicate record","")</f>
        <v/>
      </c>
      <c r="M255" s="4" t="str">
        <f>IF(OR(Customers!U255&lt;300,Customers!U255&gt;850),"Score out of range","")</f>
        <v/>
      </c>
      <c r="N255" s="4" t="str">
        <f>IF(AND(Customers!G255&lt;&gt;"",Customers!G255&lt;=0),"Income ≤ 0","")</f>
        <v/>
      </c>
      <c r="O255" s="4" t="str">
        <f>IF(OR(Customers!G255="",Customers!M255=""),"Missing value","")</f>
        <v/>
      </c>
      <c r="P255" s="4">
        <f t="shared" si="3"/>
        <v>0</v>
      </c>
    </row>
    <row r="256" spans="1:16" x14ac:dyDescent="0.25">
      <c r="A256" s="4" t="str">
        <f>Customers!A256</f>
        <v>CL00251</v>
      </c>
      <c r="B256" s="20">
        <f>IF(Customers!G256="","",(Customers!G256-Statistics!$C$7)/Statistics!$C$9)</f>
        <v>-4.1543489351232657E-2</v>
      </c>
      <c r="C256" s="4" t="str">
        <f>IF(Customers!G256="","",IF(OR(Customers!G256&lt;Statistics!$C$15,Customers!G256&gt;Statistics!$C$16),"Outside 1.5·IQR",""))</f>
        <v/>
      </c>
      <c r="D256" s="4" t="str">
        <f>IF(OR(Customers!B256&lt;18,Customers!B256&gt;100),"Implausible age","")</f>
        <v/>
      </c>
      <c r="E256" s="4" t="str">
        <f>IF(Customers!H256&gt;Customers!B256-18,"Tenure &gt; age-18","")</f>
        <v/>
      </c>
      <c r="F256" s="4" t="str">
        <f>IF(Customers!R256&gt;Customers!Q256,"Card spend &gt; limit","")</f>
        <v/>
      </c>
      <c r="G256" s="4" t="str">
        <f>IF(OR(AND(Customers!S256&gt;0,Customers!T256=0),AND(Customers!S256=0,Customers!T256&gt;0)),"Mortgage/payment inconsistent","")</f>
        <v/>
      </c>
      <c r="H256" s="4" t="str">
        <f>IF(AND(Customers!G256&lt;&gt;"",Customers!G256&gt;0,Customers!T256&gt;Customers!G256/12),"Payment &gt; monthly income","")</f>
        <v/>
      </c>
      <c r="I256" s="4" t="str">
        <f>IF(OR(Customers!I256&gt;DATE(2026,9,13),YEAR(Customers!I256)&lt;1980),"Implausible date","")</f>
        <v/>
      </c>
      <c r="J256" s="4" t="str">
        <f>IF(Customers!I256&gt;DATE(2026,9,13),"",IF(ABS(INT((DATE(2026,9,13)-Customers!I256)/365.25)-Customers!H256)&gt;1,"Date/tenure inconsistent",""))</f>
        <v/>
      </c>
      <c r="K256" s="4" t="str">
        <f>IF(COUNTIF(Customers!$A$2:$A$1001,Customers!A256)&gt;1,"Duplicate ID","")</f>
        <v/>
      </c>
      <c r="L256" s="4" t="str">
        <f>IF(COUNTIFS(Customers!$B$2:$B$1001,Customers!B256,Customers!$D$2:$D$1001,Customers!D256,Customers!$G$2:$G$1001,Customers!G256,Customers!$I$2:$I$1001,Customers!I256,Customers!$L$2:$L$1001,Customers!L256)&gt;1,"Duplicate record","")</f>
        <v/>
      </c>
      <c r="M256" s="4" t="str">
        <f>IF(OR(Customers!U256&lt;300,Customers!U256&gt;850),"Score out of range","")</f>
        <v/>
      </c>
      <c r="N256" s="4" t="str">
        <f>IF(AND(Customers!G256&lt;&gt;"",Customers!G256&lt;=0),"Income ≤ 0","")</f>
        <v/>
      </c>
      <c r="O256" s="4" t="str">
        <f>IF(OR(Customers!G256="",Customers!M256=""),"Missing value","")</f>
        <v/>
      </c>
      <c r="P256" s="4">
        <f t="shared" si="3"/>
        <v>0</v>
      </c>
    </row>
    <row r="257" spans="1:16" x14ac:dyDescent="0.25">
      <c r="A257" s="4" t="str">
        <f>Customers!A257</f>
        <v>CL00252</v>
      </c>
      <c r="B257" s="20">
        <f>IF(Customers!G257="","",(Customers!G257-Statistics!$C$7)/Statistics!$C$9)</f>
        <v>-4.1543489351232657E-2</v>
      </c>
      <c r="C257" s="4" t="str">
        <f>IF(Customers!G257="","",IF(OR(Customers!G257&lt;Statistics!$C$15,Customers!G257&gt;Statistics!$C$16),"Outside 1.5·IQR",""))</f>
        <v/>
      </c>
      <c r="D257" s="4" t="str">
        <f>IF(OR(Customers!B257&lt;18,Customers!B257&gt;100),"Implausible age","")</f>
        <v/>
      </c>
      <c r="E257" s="4" t="str">
        <f>IF(Customers!H257&gt;Customers!B257-18,"Tenure &gt; age-18","")</f>
        <v/>
      </c>
      <c r="F257" s="4" t="str">
        <f>IF(Customers!R257&gt;Customers!Q257,"Card spend &gt; limit","")</f>
        <v/>
      </c>
      <c r="G257" s="4" t="str">
        <f>IF(OR(AND(Customers!S257&gt;0,Customers!T257=0),AND(Customers!S257=0,Customers!T257&gt;0)),"Mortgage/payment inconsistent","")</f>
        <v/>
      </c>
      <c r="H257" s="4" t="str">
        <f>IF(AND(Customers!G257&lt;&gt;"",Customers!G257&gt;0,Customers!T257&gt;Customers!G257/12),"Payment &gt; monthly income","")</f>
        <v/>
      </c>
      <c r="I257" s="4" t="str">
        <f>IF(OR(Customers!I257&gt;DATE(2026,9,13),YEAR(Customers!I257)&lt;1980),"Implausible date","")</f>
        <v/>
      </c>
      <c r="J257" s="4" t="str">
        <f>IF(Customers!I257&gt;DATE(2026,9,13),"",IF(ABS(INT((DATE(2026,9,13)-Customers!I257)/365.25)-Customers!H257)&gt;1,"Date/tenure inconsistent",""))</f>
        <v/>
      </c>
      <c r="K257" s="4" t="str">
        <f>IF(COUNTIF(Customers!$A$2:$A$1001,Customers!A257)&gt;1,"Duplicate ID","")</f>
        <v/>
      </c>
      <c r="L257" s="4" t="str">
        <f>IF(COUNTIFS(Customers!$B$2:$B$1001,Customers!B257,Customers!$D$2:$D$1001,Customers!D257,Customers!$G$2:$G$1001,Customers!G257,Customers!$I$2:$I$1001,Customers!I257,Customers!$L$2:$L$1001,Customers!L257)&gt;1,"Duplicate record","")</f>
        <v/>
      </c>
      <c r="M257" s="4" t="str">
        <f>IF(OR(Customers!U257&lt;300,Customers!U257&gt;850),"Score out of range","")</f>
        <v/>
      </c>
      <c r="N257" s="4" t="str">
        <f>IF(AND(Customers!G257&lt;&gt;"",Customers!G257&lt;=0),"Income ≤ 0","")</f>
        <v/>
      </c>
      <c r="O257" s="4" t="str">
        <f>IF(OR(Customers!G257="",Customers!M257=""),"Missing value","")</f>
        <v/>
      </c>
      <c r="P257" s="4">
        <f t="shared" si="3"/>
        <v>0</v>
      </c>
    </row>
    <row r="258" spans="1:16" x14ac:dyDescent="0.25">
      <c r="A258" s="4" t="str">
        <f>Customers!A258</f>
        <v>CL00253</v>
      </c>
      <c r="B258" s="20">
        <f>IF(Customers!G258="","",(Customers!G258-Statistics!$C$7)/Statistics!$C$9)</f>
        <v>-4.0854042967433259E-2</v>
      </c>
      <c r="C258" s="4" t="str">
        <f>IF(Customers!G258="","",IF(OR(Customers!G258&lt;Statistics!$C$15,Customers!G258&gt;Statistics!$C$16),"Outside 1.5·IQR",""))</f>
        <v/>
      </c>
      <c r="D258" s="4" t="str">
        <f>IF(OR(Customers!B258&lt;18,Customers!B258&gt;100),"Implausible age","")</f>
        <v/>
      </c>
      <c r="E258" s="4" t="str">
        <f>IF(Customers!H258&gt;Customers!B258-18,"Tenure &gt; age-18","")</f>
        <v/>
      </c>
      <c r="F258" s="4" t="str">
        <f>IF(Customers!R258&gt;Customers!Q258,"Card spend &gt; limit","")</f>
        <v/>
      </c>
      <c r="G258" s="4" t="str">
        <f>IF(OR(AND(Customers!S258&gt;0,Customers!T258=0),AND(Customers!S258=0,Customers!T258&gt;0)),"Mortgage/payment inconsistent","")</f>
        <v/>
      </c>
      <c r="H258" s="4" t="str">
        <f>IF(AND(Customers!G258&lt;&gt;"",Customers!G258&gt;0,Customers!T258&gt;Customers!G258/12),"Payment &gt; monthly income","")</f>
        <v/>
      </c>
      <c r="I258" s="4" t="str">
        <f>IF(OR(Customers!I258&gt;DATE(2026,9,13),YEAR(Customers!I258)&lt;1980),"Implausible date","")</f>
        <v/>
      </c>
      <c r="J258" s="4" t="str">
        <f>IF(Customers!I258&gt;DATE(2026,9,13),"",IF(ABS(INT((DATE(2026,9,13)-Customers!I258)/365.25)-Customers!H258)&gt;1,"Date/tenure inconsistent",""))</f>
        <v/>
      </c>
      <c r="K258" s="4" t="str">
        <f>IF(COUNTIF(Customers!$A$2:$A$1001,Customers!A258)&gt;1,"Duplicate ID","")</f>
        <v/>
      </c>
      <c r="L258" s="4" t="str">
        <f>IF(COUNTIFS(Customers!$B$2:$B$1001,Customers!B258,Customers!$D$2:$D$1001,Customers!D258,Customers!$G$2:$G$1001,Customers!G258,Customers!$I$2:$I$1001,Customers!I258,Customers!$L$2:$L$1001,Customers!L258)&gt;1,"Duplicate record","")</f>
        <v/>
      </c>
      <c r="M258" s="4" t="str">
        <f>IF(OR(Customers!U258&lt;300,Customers!U258&gt;850),"Score out of range","")</f>
        <v/>
      </c>
      <c r="N258" s="4" t="str">
        <f>IF(AND(Customers!G258&lt;&gt;"",Customers!G258&lt;=0),"Income ≤ 0","")</f>
        <v/>
      </c>
      <c r="O258" s="4" t="str">
        <f>IF(OR(Customers!G258="",Customers!M258=""),"Missing value","")</f>
        <v/>
      </c>
      <c r="P258" s="4">
        <f t="shared" ref="P258:P321" si="4">SUMPRODUCT(--(C258:O258&lt;&gt;""))</f>
        <v>0</v>
      </c>
    </row>
    <row r="259" spans="1:16" x14ac:dyDescent="0.25">
      <c r="A259" s="4" t="str">
        <f>Customers!A259</f>
        <v>CL00254</v>
      </c>
      <c r="B259" s="20">
        <f>IF(Customers!G259="","",(Customers!G259-Statistics!$C$7)/Statistics!$C$9)</f>
        <v>-4.8437953189226619E-2</v>
      </c>
      <c r="C259" s="4" t="str">
        <f>IF(Customers!G259="","",IF(OR(Customers!G259&lt;Statistics!$C$15,Customers!G259&gt;Statistics!$C$16),"Outside 1.5·IQR",""))</f>
        <v/>
      </c>
      <c r="D259" s="4" t="str">
        <f>IF(OR(Customers!B259&lt;18,Customers!B259&gt;100),"Implausible age","")</f>
        <v/>
      </c>
      <c r="E259" s="4" t="str">
        <f>IF(Customers!H259&gt;Customers!B259-18,"Tenure &gt; age-18","")</f>
        <v/>
      </c>
      <c r="F259" s="4" t="str">
        <f>IF(Customers!R259&gt;Customers!Q259,"Card spend &gt; limit","")</f>
        <v/>
      </c>
      <c r="G259" s="4" t="str">
        <f>IF(OR(AND(Customers!S259&gt;0,Customers!T259=0),AND(Customers!S259=0,Customers!T259&gt;0)),"Mortgage/payment inconsistent","")</f>
        <v/>
      </c>
      <c r="H259" s="4" t="str">
        <f>IF(AND(Customers!G259&lt;&gt;"",Customers!G259&gt;0,Customers!T259&gt;Customers!G259/12),"Payment &gt; monthly income","")</f>
        <v/>
      </c>
      <c r="I259" s="4" t="str">
        <f>IF(OR(Customers!I259&gt;DATE(2026,9,13),YEAR(Customers!I259)&lt;1980),"Implausible date","")</f>
        <v/>
      </c>
      <c r="J259" s="4" t="str">
        <f>IF(Customers!I259&gt;DATE(2026,9,13),"",IF(ABS(INT((DATE(2026,9,13)-Customers!I259)/365.25)-Customers!H259)&gt;1,"Date/tenure inconsistent",""))</f>
        <v/>
      </c>
      <c r="K259" s="4" t="str">
        <f>IF(COUNTIF(Customers!$A$2:$A$1001,Customers!A259)&gt;1,"Duplicate ID","")</f>
        <v/>
      </c>
      <c r="L259" s="4" t="str">
        <f>IF(COUNTIFS(Customers!$B$2:$B$1001,Customers!B259,Customers!$D$2:$D$1001,Customers!D259,Customers!$G$2:$G$1001,Customers!G259,Customers!$I$2:$I$1001,Customers!I259,Customers!$L$2:$L$1001,Customers!L259)&gt;1,"Duplicate record","")</f>
        <v/>
      </c>
      <c r="M259" s="4" t="str">
        <f>IF(OR(Customers!U259&lt;300,Customers!U259&gt;850),"Score out of range","")</f>
        <v/>
      </c>
      <c r="N259" s="4" t="str">
        <f>IF(AND(Customers!G259&lt;&gt;"",Customers!G259&lt;=0),"Income ≤ 0","")</f>
        <v/>
      </c>
      <c r="O259" s="4" t="str">
        <f>IF(OR(Customers!G259="",Customers!M259=""),"Missing value","")</f>
        <v/>
      </c>
      <c r="P259" s="4">
        <f t="shared" si="4"/>
        <v>0</v>
      </c>
    </row>
    <row r="260" spans="1:16" x14ac:dyDescent="0.25">
      <c r="A260" s="4" t="str">
        <f>Customers!A260</f>
        <v>CL00255</v>
      </c>
      <c r="B260" s="20">
        <f>IF(Customers!G260="","",(Customers!G260-Statistics!$C$7)/Statistics!$C$9)</f>
        <v>1.0460466455350381E-2</v>
      </c>
      <c r="C260" s="4" t="str">
        <f>IF(Customers!G260="","",IF(OR(Customers!G260&lt;Statistics!$C$15,Customers!G260&gt;Statistics!$C$16),"Outside 1.5·IQR",""))</f>
        <v>Outside 1.5·IQR</v>
      </c>
      <c r="D260" s="4" t="str">
        <f>IF(OR(Customers!B260&lt;18,Customers!B260&gt;100),"Implausible age","")</f>
        <v/>
      </c>
      <c r="E260" s="4" t="str">
        <f>IF(Customers!H260&gt;Customers!B260-18,"Tenure &gt; age-18","")</f>
        <v/>
      </c>
      <c r="F260" s="4" t="str">
        <f>IF(Customers!R260&gt;Customers!Q260,"Card spend &gt; limit","")</f>
        <v/>
      </c>
      <c r="G260" s="4" t="str">
        <f>IF(OR(AND(Customers!S260&gt;0,Customers!T260=0),AND(Customers!S260=0,Customers!T260&gt;0)),"Mortgage/payment inconsistent","")</f>
        <v/>
      </c>
      <c r="H260" s="4" t="str">
        <f>IF(AND(Customers!G260&lt;&gt;"",Customers!G260&gt;0,Customers!T260&gt;Customers!G260/12),"Payment &gt; monthly income","")</f>
        <v/>
      </c>
      <c r="I260" s="4" t="str">
        <f>IF(OR(Customers!I260&gt;DATE(2026,9,13),YEAR(Customers!I260)&lt;1980),"Implausible date","")</f>
        <v/>
      </c>
      <c r="J260" s="4" t="str">
        <f>IF(Customers!I260&gt;DATE(2026,9,13),"",IF(ABS(INT((DATE(2026,9,13)-Customers!I260)/365.25)-Customers!H260)&gt;1,"Date/tenure inconsistent",""))</f>
        <v/>
      </c>
      <c r="K260" s="4" t="str">
        <f>IF(COUNTIF(Customers!$A$2:$A$1001,Customers!A260)&gt;1,"Duplicate ID","")</f>
        <v/>
      </c>
      <c r="L260" s="4" t="str">
        <f>IF(COUNTIFS(Customers!$B$2:$B$1001,Customers!B260,Customers!$D$2:$D$1001,Customers!D260,Customers!$G$2:$G$1001,Customers!G260,Customers!$I$2:$I$1001,Customers!I260,Customers!$L$2:$L$1001,Customers!L260)&gt;1,"Duplicate record","")</f>
        <v/>
      </c>
      <c r="M260" s="4" t="str">
        <f>IF(OR(Customers!U260&lt;300,Customers!U260&gt;850),"Score out of range","")</f>
        <v/>
      </c>
      <c r="N260" s="4" t="str">
        <f>IF(AND(Customers!G260&lt;&gt;"",Customers!G260&lt;=0),"Income ≤ 0","")</f>
        <v/>
      </c>
      <c r="O260" s="4" t="str">
        <f>IF(OR(Customers!G260="",Customers!M260=""),"Missing value","")</f>
        <v/>
      </c>
      <c r="P260" s="4">
        <f t="shared" si="4"/>
        <v>1</v>
      </c>
    </row>
    <row r="261" spans="1:16" x14ac:dyDescent="0.25">
      <c r="A261" s="4" t="str">
        <f>Customers!A261</f>
        <v>CL00457</v>
      </c>
      <c r="B261" s="20">
        <f>IF(Customers!G261="","",(Customers!G261-Statistics!$C$7)/Statistics!$C$9)</f>
        <v>-2.1943513583221243E-2</v>
      </c>
      <c r="C261" s="4" t="str">
        <f>IF(Customers!G261="","",IF(OR(Customers!G261&lt;Statistics!$C$15,Customers!G261&gt;Statistics!$C$16),"Outside 1.5·IQR",""))</f>
        <v/>
      </c>
      <c r="D261" s="4" t="str">
        <f>IF(OR(Customers!B261&lt;18,Customers!B261&gt;100),"Implausible age","")</f>
        <v/>
      </c>
      <c r="E261" s="4" t="str">
        <f>IF(Customers!H261&gt;Customers!B261-18,"Tenure &gt; age-18","")</f>
        <v/>
      </c>
      <c r="F261" s="4" t="str">
        <f>IF(Customers!R261&gt;Customers!Q261,"Card spend &gt; limit","")</f>
        <v/>
      </c>
      <c r="G261" s="4" t="str">
        <f>IF(OR(AND(Customers!S261&gt;0,Customers!T261=0),AND(Customers!S261=0,Customers!T261&gt;0)),"Mortgage/payment inconsistent","")</f>
        <v/>
      </c>
      <c r="H261" s="4" t="str">
        <f>IF(AND(Customers!G261&lt;&gt;"",Customers!G261&gt;0,Customers!T261&gt;Customers!G261/12),"Payment &gt; monthly income","")</f>
        <v/>
      </c>
      <c r="I261" s="4" t="str">
        <f>IF(OR(Customers!I261&gt;DATE(2026,9,13),YEAR(Customers!I261)&lt;1980),"Implausible date","")</f>
        <v/>
      </c>
      <c r="J261" s="4" t="str">
        <f>IF(Customers!I261&gt;DATE(2026,9,13),"",IF(ABS(INT((DATE(2026,9,13)-Customers!I261)/365.25)-Customers!H261)&gt;1,"Date/tenure inconsistent",""))</f>
        <v/>
      </c>
      <c r="K261" s="4" t="str">
        <f>IF(COUNTIF(Customers!$A$2:$A$1001,Customers!A261)&gt;1,"Duplicate ID","")</f>
        <v>Duplicate ID</v>
      </c>
      <c r="L261" s="4" t="str">
        <f>IF(COUNTIFS(Customers!$B$2:$B$1001,Customers!B261,Customers!$D$2:$D$1001,Customers!D261,Customers!$G$2:$G$1001,Customers!G261,Customers!$I$2:$I$1001,Customers!I261,Customers!$L$2:$L$1001,Customers!L261)&gt;1,"Duplicate record","")</f>
        <v>Duplicate record</v>
      </c>
      <c r="M261" s="4" t="str">
        <f>IF(OR(Customers!U261&lt;300,Customers!U261&gt;850),"Score out of range","")</f>
        <v/>
      </c>
      <c r="N261" s="4" t="str">
        <f>IF(AND(Customers!G261&lt;&gt;"",Customers!G261&lt;=0),"Income ≤ 0","")</f>
        <v/>
      </c>
      <c r="O261" s="4" t="str">
        <f>IF(OR(Customers!G261="",Customers!M261=""),"Missing value","")</f>
        <v/>
      </c>
      <c r="P261" s="4">
        <f t="shared" si="4"/>
        <v>2</v>
      </c>
    </row>
    <row r="262" spans="1:16" x14ac:dyDescent="0.25">
      <c r="A262" s="4" t="str">
        <f>Customers!A262</f>
        <v>CL00256</v>
      </c>
      <c r="B262" s="20">
        <f>IF(Customers!G262="","",(Customers!G262-Statistics!$C$7)/Statistics!$C$9)</f>
        <v>-5.1195738724424199E-2</v>
      </c>
      <c r="C262" s="4" t="str">
        <f>IF(Customers!G262="","",IF(OR(Customers!G262&lt;Statistics!$C$15,Customers!G262&gt;Statistics!$C$16),"Outside 1.5·IQR",""))</f>
        <v/>
      </c>
      <c r="D262" s="4" t="str">
        <f>IF(OR(Customers!B262&lt;18,Customers!B262&gt;100),"Implausible age","")</f>
        <v/>
      </c>
      <c r="E262" s="4" t="str">
        <f>IF(Customers!H262&gt;Customers!B262-18,"Tenure &gt; age-18","")</f>
        <v/>
      </c>
      <c r="F262" s="4" t="str">
        <f>IF(Customers!R262&gt;Customers!Q262,"Card spend &gt; limit","")</f>
        <v/>
      </c>
      <c r="G262" s="4" t="str">
        <f>IF(OR(AND(Customers!S262&gt;0,Customers!T262=0),AND(Customers!S262=0,Customers!T262&gt;0)),"Mortgage/payment inconsistent","")</f>
        <v/>
      </c>
      <c r="H262" s="4" t="str">
        <f>IF(AND(Customers!G262&lt;&gt;"",Customers!G262&gt;0,Customers!T262&gt;Customers!G262/12),"Payment &gt; monthly income","")</f>
        <v/>
      </c>
      <c r="I262" s="4" t="str">
        <f>IF(OR(Customers!I262&gt;DATE(2026,9,13),YEAR(Customers!I262)&lt;1980),"Implausible date","")</f>
        <v/>
      </c>
      <c r="J262" s="4" t="str">
        <f>IF(Customers!I262&gt;DATE(2026,9,13),"",IF(ABS(INT((DATE(2026,9,13)-Customers!I262)/365.25)-Customers!H262)&gt;1,"Date/tenure inconsistent",""))</f>
        <v/>
      </c>
      <c r="K262" s="4" t="str">
        <f>IF(COUNTIF(Customers!$A$2:$A$1001,Customers!A262)&gt;1,"Duplicate ID","")</f>
        <v/>
      </c>
      <c r="L262" s="4" t="str">
        <f>IF(COUNTIFS(Customers!$B$2:$B$1001,Customers!B262,Customers!$D$2:$D$1001,Customers!D262,Customers!$G$2:$G$1001,Customers!G262,Customers!$I$2:$I$1001,Customers!I262,Customers!$L$2:$L$1001,Customers!L262)&gt;1,"Duplicate record","")</f>
        <v/>
      </c>
      <c r="M262" s="4" t="str">
        <f>IF(OR(Customers!U262&lt;300,Customers!U262&gt;850),"Score out of range","")</f>
        <v/>
      </c>
      <c r="N262" s="4" t="str">
        <f>IF(AND(Customers!G262&lt;&gt;"",Customers!G262&lt;=0),"Income ≤ 0","")</f>
        <v/>
      </c>
      <c r="O262" s="4" t="str">
        <f>IF(OR(Customers!G262="",Customers!M262=""),"Missing value","")</f>
        <v/>
      </c>
      <c r="P262" s="4">
        <f t="shared" si="4"/>
        <v>0</v>
      </c>
    </row>
    <row r="263" spans="1:16" x14ac:dyDescent="0.25">
      <c r="A263" s="4" t="str">
        <f>Customers!A263</f>
        <v>CL00257</v>
      </c>
      <c r="B263" s="20">
        <f>IF(Customers!G263="","",(Customers!G263-Statistics!$C$7)/Statistics!$C$9)</f>
        <v>-4.2035951053946509E-2</v>
      </c>
      <c r="C263" s="4" t="str">
        <f>IF(Customers!G263="","",IF(OR(Customers!G263&lt;Statistics!$C$15,Customers!G263&gt;Statistics!$C$16),"Outside 1.5·IQR",""))</f>
        <v/>
      </c>
      <c r="D263" s="4" t="str">
        <f>IF(OR(Customers!B263&lt;18,Customers!B263&gt;100),"Implausible age","")</f>
        <v/>
      </c>
      <c r="E263" s="4" t="str">
        <f>IF(Customers!H263&gt;Customers!B263-18,"Tenure &gt; age-18","")</f>
        <v/>
      </c>
      <c r="F263" s="4" t="str">
        <f>IF(Customers!R263&gt;Customers!Q263,"Card spend &gt; limit","")</f>
        <v/>
      </c>
      <c r="G263" s="4" t="str">
        <f>IF(OR(AND(Customers!S263&gt;0,Customers!T263=0),AND(Customers!S263=0,Customers!T263&gt;0)),"Mortgage/payment inconsistent","")</f>
        <v/>
      </c>
      <c r="H263" s="4" t="str">
        <f>IF(AND(Customers!G263&lt;&gt;"",Customers!G263&gt;0,Customers!T263&gt;Customers!G263/12),"Payment &gt; monthly income","")</f>
        <v/>
      </c>
      <c r="I263" s="4" t="str">
        <f>IF(OR(Customers!I263&gt;DATE(2026,9,13),YEAR(Customers!I263)&lt;1980),"Implausible date","")</f>
        <v/>
      </c>
      <c r="J263" s="4" t="str">
        <f>IF(Customers!I263&gt;DATE(2026,9,13),"",IF(ABS(INT((DATE(2026,9,13)-Customers!I263)/365.25)-Customers!H263)&gt;1,"Date/tenure inconsistent",""))</f>
        <v/>
      </c>
      <c r="K263" s="4" t="str">
        <f>IF(COUNTIF(Customers!$A$2:$A$1001,Customers!A263)&gt;1,"Duplicate ID","")</f>
        <v/>
      </c>
      <c r="L263" s="4" t="str">
        <f>IF(COUNTIFS(Customers!$B$2:$B$1001,Customers!B263,Customers!$D$2:$D$1001,Customers!D263,Customers!$G$2:$G$1001,Customers!G263,Customers!$I$2:$I$1001,Customers!I263,Customers!$L$2:$L$1001,Customers!L263)&gt;1,"Duplicate record","")</f>
        <v/>
      </c>
      <c r="M263" s="4" t="str">
        <f>IF(OR(Customers!U263&lt;300,Customers!U263&gt;850),"Score out of range","")</f>
        <v/>
      </c>
      <c r="N263" s="4" t="str">
        <f>IF(AND(Customers!G263&lt;&gt;"",Customers!G263&lt;=0),"Income ≤ 0","")</f>
        <v/>
      </c>
      <c r="O263" s="4" t="str">
        <f>IF(OR(Customers!G263="",Customers!M263=""),"Missing value","")</f>
        <v/>
      </c>
      <c r="P263" s="4">
        <f t="shared" si="4"/>
        <v>0</v>
      </c>
    </row>
    <row r="264" spans="1:16" x14ac:dyDescent="0.25">
      <c r="A264" s="4" t="str">
        <f>Customers!A264</f>
        <v>CL00258</v>
      </c>
      <c r="B264" s="20">
        <f>IF(Customers!G264="","",(Customers!G264-Statistics!$C$7)/Statistics!$C$9)</f>
        <v>-4.9028907232483245E-2</v>
      </c>
      <c r="C264" s="4" t="str">
        <f>IF(Customers!G264="","",IF(OR(Customers!G264&lt;Statistics!$C$15,Customers!G264&gt;Statistics!$C$16),"Outside 1.5·IQR",""))</f>
        <v/>
      </c>
      <c r="D264" s="4" t="str">
        <f>IF(OR(Customers!B264&lt;18,Customers!B264&gt;100),"Implausible age","")</f>
        <v/>
      </c>
      <c r="E264" s="4" t="str">
        <f>IF(Customers!H264&gt;Customers!B264-18,"Tenure &gt; age-18","")</f>
        <v/>
      </c>
      <c r="F264" s="4" t="str">
        <f>IF(Customers!R264&gt;Customers!Q264,"Card spend &gt; limit","")</f>
        <v/>
      </c>
      <c r="G264" s="4" t="str">
        <f>IF(OR(AND(Customers!S264&gt;0,Customers!T264=0),AND(Customers!S264=0,Customers!T264&gt;0)),"Mortgage/payment inconsistent","")</f>
        <v/>
      </c>
      <c r="H264" s="4" t="str">
        <f>IF(AND(Customers!G264&lt;&gt;"",Customers!G264&gt;0,Customers!T264&gt;Customers!G264/12),"Payment &gt; monthly income","")</f>
        <v/>
      </c>
      <c r="I264" s="4" t="str">
        <f>IF(OR(Customers!I264&gt;DATE(2026,9,13),YEAR(Customers!I264)&lt;1980),"Implausible date","")</f>
        <v/>
      </c>
      <c r="J264" s="4" t="str">
        <f>IF(Customers!I264&gt;DATE(2026,9,13),"",IF(ABS(INT((DATE(2026,9,13)-Customers!I264)/365.25)-Customers!H264)&gt;1,"Date/tenure inconsistent",""))</f>
        <v/>
      </c>
      <c r="K264" s="4" t="str">
        <f>IF(COUNTIF(Customers!$A$2:$A$1001,Customers!A264)&gt;1,"Duplicate ID","")</f>
        <v/>
      </c>
      <c r="L264" s="4" t="str">
        <f>IF(COUNTIFS(Customers!$B$2:$B$1001,Customers!B264,Customers!$D$2:$D$1001,Customers!D264,Customers!$G$2:$G$1001,Customers!G264,Customers!$I$2:$I$1001,Customers!I264,Customers!$L$2:$L$1001,Customers!L264)&gt;1,"Duplicate record","")</f>
        <v/>
      </c>
      <c r="M264" s="4" t="str">
        <f>IF(OR(Customers!U264&lt;300,Customers!U264&gt;850),"Score out of range","")</f>
        <v/>
      </c>
      <c r="N264" s="4" t="str">
        <f>IF(AND(Customers!G264&lt;&gt;"",Customers!G264&lt;=0),"Income ≤ 0","")</f>
        <v/>
      </c>
      <c r="O264" s="4" t="str">
        <f>IF(OR(Customers!G264="",Customers!M264=""),"Missing value","")</f>
        <v/>
      </c>
      <c r="P264" s="4">
        <f t="shared" si="4"/>
        <v>0</v>
      </c>
    </row>
    <row r="265" spans="1:16" x14ac:dyDescent="0.25">
      <c r="A265" s="4" t="str">
        <f>Customers!A265</f>
        <v>CL00259</v>
      </c>
      <c r="B265" s="20">
        <f>IF(Customers!G265="","",(Customers!G265-Statistics!$C$7)/Statistics!$C$9)</f>
        <v>-6.7348482573438631E-2</v>
      </c>
      <c r="C265" s="4" t="str">
        <f>IF(Customers!G265="","",IF(OR(Customers!G265&lt;Statistics!$C$15,Customers!G265&gt;Statistics!$C$16),"Outside 1.5·IQR",""))</f>
        <v/>
      </c>
      <c r="D265" s="4" t="str">
        <f>IF(OR(Customers!B265&lt;18,Customers!B265&gt;100),"Implausible age","")</f>
        <v/>
      </c>
      <c r="E265" s="4" t="str">
        <f>IF(Customers!H265&gt;Customers!B265-18,"Tenure &gt; age-18","")</f>
        <v/>
      </c>
      <c r="F265" s="4" t="str">
        <f>IF(Customers!R265&gt;Customers!Q265,"Card spend &gt; limit","")</f>
        <v/>
      </c>
      <c r="G265" s="4" t="str">
        <f>IF(OR(AND(Customers!S265&gt;0,Customers!T265=0),AND(Customers!S265=0,Customers!T265&gt;0)),"Mortgage/payment inconsistent","")</f>
        <v/>
      </c>
      <c r="H265" s="4" t="str">
        <f>IF(AND(Customers!G265&lt;&gt;"",Customers!G265&gt;0,Customers!T265&gt;Customers!G265/12),"Payment &gt; monthly income","")</f>
        <v/>
      </c>
      <c r="I265" s="4" t="str">
        <f>IF(OR(Customers!I265&gt;DATE(2026,9,13),YEAR(Customers!I265)&lt;1980),"Implausible date","")</f>
        <v/>
      </c>
      <c r="J265" s="4" t="str">
        <f>IF(Customers!I265&gt;DATE(2026,9,13),"",IF(ABS(INT((DATE(2026,9,13)-Customers!I265)/365.25)-Customers!H265)&gt;1,"Date/tenure inconsistent",""))</f>
        <v/>
      </c>
      <c r="K265" s="4" t="str">
        <f>IF(COUNTIF(Customers!$A$2:$A$1001,Customers!A265)&gt;1,"Duplicate ID","")</f>
        <v/>
      </c>
      <c r="L265" s="4" t="str">
        <f>IF(COUNTIFS(Customers!$B$2:$B$1001,Customers!B265,Customers!$D$2:$D$1001,Customers!D265,Customers!$G$2:$G$1001,Customers!G265,Customers!$I$2:$I$1001,Customers!I265,Customers!$L$2:$L$1001,Customers!L265)&gt;1,"Duplicate record","")</f>
        <v/>
      </c>
      <c r="M265" s="4" t="str">
        <f>IF(OR(Customers!U265&lt;300,Customers!U265&gt;850),"Score out of range","")</f>
        <v/>
      </c>
      <c r="N265" s="4" t="str">
        <f>IF(AND(Customers!G265&lt;&gt;"",Customers!G265&lt;=0),"Income ≤ 0","")</f>
        <v/>
      </c>
      <c r="O265" s="4" t="str">
        <f>IF(OR(Customers!G265="",Customers!M265=""),"Missing value","")</f>
        <v/>
      </c>
      <c r="P265" s="4">
        <f t="shared" si="4"/>
        <v>0</v>
      </c>
    </row>
    <row r="266" spans="1:16" x14ac:dyDescent="0.25">
      <c r="A266" s="4" t="str">
        <f>Customers!A266</f>
        <v>CL00260</v>
      </c>
      <c r="B266" s="20">
        <f>IF(Customers!G266="","",(Customers!G266-Statistics!$C$7)/Statistics!$C$9)</f>
        <v>-4.8240968508141073E-2</v>
      </c>
      <c r="C266" s="4" t="str">
        <f>IF(Customers!G266="","",IF(OR(Customers!G266&lt;Statistics!$C$15,Customers!G266&gt;Statistics!$C$16),"Outside 1.5·IQR",""))</f>
        <v/>
      </c>
      <c r="D266" s="4" t="str">
        <f>IF(OR(Customers!B266&lt;18,Customers!B266&gt;100),"Implausible age","")</f>
        <v/>
      </c>
      <c r="E266" s="4" t="str">
        <f>IF(Customers!H266&gt;Customers!B266-18,"Tenure &gt; age-18","")</f>
        <v/>
      </c>
      <c r="F266" s="4" t="str">
        <f>IF(Customers!R266&gt;Customers!Q266,"Card spend &gt; limit","")</f>
        <v/>
      </c>
      <c r="G266" s="4" t="str">
        <f>IF(OR(AND(Customers!S266&gt;0,Customers!T266=0),AND(Customers!S266=0,Customers!T266&gt;0)),"Mortgage/payment inconsistent","")</f>
        <v/>
      </c>
      <c r="H266" s="4" t="str">
        <f>IF(AND(Customers!G266&lt;&gt;"",Customers!G266&gt;0,Customers!T266&gt;Customers!G266/12),"Payment &gt; monthly income","")</f>
        <v/>
      </c>
      <c r="I266" s="4" t="str">
        <f>IF(OR(Customers!I266&gt;DATE(2026,9,13),YEAR(Customers!I266)&lt;1980),"Implausible date","")</f>
        <v/>
      </c>
      <c r="J266" s="4" t="str">
        <f>IF(Customers!I266&gt;DATE(2026,9,13),"",IF(ABS(INT((DATE(2026,9,13)-Customers!I266)/365.25)-Customers!H266)&gt;1,"Date/tenure inconsistent",""))</f>
        <v/>
      </c>
      <c r="K266" s="4" t="str">
        <f>IF(COUNTIF(Customers!$A$2:$A$1001,Customers!A266)&gt;1,"Duplicate ID","")</f>
        <v/>
      </c>
      <c r="L266" s="4" t="str">
        <f>IF(COUNTIFS(Customers!$B$2:$B$1001,Customers!B266,Customers!$D$2:$D$1001,Customers!D266,Customers!$G$2:$G$1001,Customers!G266,Customers!$I$2:$I$1001,Customers!I266,Customers!$L$2:$L$1001,Customers!L266)&gt;1,"Duplicate record","")</f>
        <v/>
      </c>
      <c r="M266" s="4" t="str">
        <f>IF(OR(Customers!U266&lt;300,Customers!U266&gt;850),"Score out of range","")</f>
        <v/>
      </c>
      <c r="N266" s="4" t="str">
        <f>IF(AND(Customers!G266&lt;&gt;"",Customers!G266&lt;=0),"Income ≤ 0","")</f>
        <v/>
      </c>
      <c r="O266" s="4" t="str">
        <f>IF(OR(Customers!G266="",Customers!M266=""),"Missing value","")</f>
        <v/>
      </c>
      <c r="P266" s="4">
        <f t="shared" si="4"/>
        <v>0</v>
      </c>
    </row>
    <row r="267" spans="1:16" x14ac:dyDescent="0.25">
      <c r="A267" s="4" t="str">
        <f>Customers!A267</f>
        <v>CL00261</v>
      </c>
      <c r="B267" s="20">
        <f>IF(Customers!G267="","",(Customers!G267-Statistics!$C$7)/Statistics!$C$9)</f>
        <v>-4.0066104243091087E-2</v>
      </c>
      <c r="C267" s="4" t="str">
        <f>IF(Customers!G267="","",IF(OR(Customers!G267&lt;Statistics!$C$15,Customers!G267&gt;Statistics!$C$16),"Outside 1.5·IQR",""))</f>
        <v/>
      </c>
      <c r="D267" s="4" t="str">
        <f>IF(OR(Customers!B267&lt;18,Customers!B267&gt;100),"Implausible age","")</f>
        <v/>
      </c>
      <c r="E267" s="4" t="str">
        <f>IF(Customers!H267&gt;Customers!B267-18,"Tenure &gt; age-18","")</f>
        <v/>
      </c>
      <c r="F267" s="4" t="str">
        <f>IF(Customers!R267&gt;Customers!Q267,"Card spend &gt; limit","")</f>
        <v/>
      </c>
      <c r="G267" s="4" t="str">
        <f>IF(OR(AND(Customers!S267&gt;0,Customers!T267=0),AND(Customers!S267=0,Customers!T267&gt;0)),"Mortgage/payment inconsistent","")</f>
        <v/>
      </c>
      <c r="H267" s="4" t="str">
        <f>IF(AND(Customers!G267&lt;&gt;"",Customers!G267&gt;0,Customers!T267&gt;Customers!G267/12),"Payment &gt; monthly income","")</f>
        <v/>
      </c>
      <c r="I267" s="4" t="str">
        <f>IF(OR(Customers!I267&gt;DATE(2026,9,13),YEAR(Customers!I267)&lt;1980),"Implausible date","")</f>
        <v/>
      </c>
      <c r="J267" s="4" t="str">
        <f>IF(Customers!I267&gt;DATE(2026,9,13),"",IF(ABS(INT((DATE(2026,9,13)-Customers!I267)/365.25)-Customers!H267)&gt;1,"Date/tenure inconsistent",""))</f>
        <v/>
      </c>
      <c r="K267" s="4" t="str">
        <f>IF(COUNTIF(Customers!$A$2:$A$1001,Customers!A267)&gt;1,"Duplicate ID","")</f>
        <v/>
      </c>
      <c r="L267" s="4" t="str">
        <f>IF(COUNTIFS(Customers!$B$2:$B$1001,Customers!B267,Customers!$D$2:$D$1001,Customers!D267,Customers!$G$2:$G$1001,Customers!G267,Customers!$I$2:$I$1001,Customers!I267,Customers!$L$2:$L$1001,Customers!L267)&gt;1,"Duplicate record","")</f>
        <v/>
      </c>
      <c r="M267" s="4" t="str">
        <f>IF(OR(Customers!U267&lt;300,Customers!U267&gt;850),"Score out of range","")</f>
        <v/>
      </c>
      <c r="N267" s="4" t="str">
        <f>IF(AND(Customers!G267&lt;&gt;"",Customers!G267&lt;=0),"Income ≤ 0","")</f>
        <v/>
      </c>
      <c r="O267" s="4" t="str">
        <f>IF(OR(Customers!G267="",Customers!M267=""),"Missing value","")</f>
        <v/>
      </c>
      <c r="P267" s="4">
        <f t="shared" si="4"/>
        <v>0</v>
      </c>
    </row>
    <row r="268" spans="1:16" x14ac:dyDescent="0.25">
      <c r="A268" s="4" t="str">
        <f>Customers!A268</f>
        <v>CL00262</v>
      </c>
      <c r="B268" s="20">
        <f>IF(Customers!G268="","",(Customers!G268-Statistics!$C$7)/Statistics!$C$9)</f>
        <v>-5.0703277021710347E-2</v>
      </c>
      <c r="C268" s="4" t="str">
        <f>IF(Customers!G268="","",IF(OR(Customers!G268&lt;Statistics!$C$15,Customers!G268&gt;Statistics!$C$16),"Outside 1.5·IQR",""))</f>
        <v/>
      </c>
      <c r="D268" s="4" t="str">
        <f>IF(OR(Customers!B268&lt;18,Customers!B268&gt;100),"Implausible age","")</f>
        <v/>
      </c>
      <c r="E268" s="4" t="str">
        <f>IF(Customers!H268&gt;Customers!B268-18,"Tenure &gt; age-18","")</f>
        <v/>
      </c>
      <c r="F268" s="4" t="str">
        <f>IF(Customers!R268&gt;Customers!Q268,"Card spend &gt; limit","")</f>
        <v/>
      </c>
      <c r="G268" s="4" t="str">
        <f>IF(OR(AND(Customers!S268&gt;0,Customers!T268=0),AND(Customers!S268=0,Customers!T268&gt;0)),"Mortgage/payment inconsistent","")</f>
        <v/>
      </c>
      <c r="H268" s="4" t="str">
        <f>IF(AND(Customers!G268&lt;&gt;"",Customers!G268&gt;0,Customers!T268&gt;Customers!G268/12),"Payment &gt; monthly income","")</f>
        <v>Payment &gt; monthly income</v>
      </c>
      <c r="I268" s="4" t="str">
        <f>IF(OR(Customers!I268&gt;DATE(2026,9,13),YEAR(Customers!I268)&lt;1980),"Implausible date","")</f>
        <v/>
      </c>
      <c r="J268" s="4" t="str">
        <f>IF(Customers!I268&gt;DATE(2026,9,13),"",IF(ABS(INT((DATE(2026,9,13)-Customers!I268)/365.25)-Customers!H268)&gt;1,"Date/tenure inconsistent",""))</f>
        <v/>
      </c>
      <c r="K268" s="4" t="str">
        <f>IF(COUNTIF(Customers!$A$2:$A$1001,Customers!A268)&gt;1,"Duplicate ID","")</f>
        <v/>
      </c>
      <c r="L268" s="4" t="str">
        <f>IF(COUNTIFS(Customers!$B$2:$B$1001,Customers!B268,Customers!$D$2:$D$1001,Customers!D268,Customers!$G$2:$G$1001,Customers!G268,Customers!$I$2:$I$1001,Customers!I268,Customers!$L$2:$L$1001,Customers!L268)&gt;1,"Duplicate record","")</f>
        <v/>
      </c>
      <c r="M268" s="4" t="str">
        <f>IF(OR(Customers!U268&lt;300,Customers!U268&gt;850),"Score out of range","")</f>
        <v/>
      </c>
      <c r="N268" s="4" t="str">
        <f>IF(AND(Customers!G268&lt;&gt;"",Customers!G268&lt;=0),"Income ≤ 0","")</f>
        <v/>
      </c>
      <c r="O268" s="4" t="str">
        <f>IF(OR(Customers!G268="",Customers!M268=""),"Missing value","")</f>
        <v/>
      </c>
      <c r="P268" s="4">
        <f t="shared" si="4"/>
        <v>1</v>
      </c>
    </row>
    <row r="269" spans="1:16" x14ac:dyDescent="0.25">
      <c r="A269" s="4" t="str">
        <f>Customers!A269</f>
        <v>CL00263</v>
      </c>
      <c r="B269" s="20">
        <f>IF(Customers!G269="","",(Customers!G269-Statistics!$C$7)/Statistics!$C$9)</f>
        <v>-5.2476139151480222E-2</v>
      </c>
      <c r="C269" s="4" t="str">
        <f>IF(Customers!G269="","",IF(OR(Customers!G269&lt;Statistics!$C$15,Customers!G269&gt;Statistics!$C$16),"Outside 1.5·IQR",""))</f>
        <v/>
      </c>
      <c r="D269" s="4" t="str">
        <f>IF(OR(Customers!B269&lt;18,Customers!B269&gt;100),"Implausible age","")</f>
        <v/>
      </c>
      <c r="E269" s="4" t="str">
        <f>IF(Customers!H269&gt;Customers!B269-18,"Tenure &gt; age-18","")</f>
        <v/>
      </c>
      <c r="F269" s="4" t="str">
        <f>IF(Customers!R269&gt;Customers!Q269,"Card spend &gt; limit","")</f>
        <v/>
      </c>
      <c r="G269" s="4" t="str">
        <f>IF(OR(AND(Customers!S269&gt;0,Customers!T269=0),AND(Customers!S269=0,Customers!T269&gt;0)),"Mortgage/payment inconsistent","")</f>
        <v/>
      </c>
      <c r="H269" s="4" t="str">
        <f>IF(AND(Customers!G269&lt;&gt;"",Customers!G269&gt;0,Customers!T269&gt;Customers!G269/12),"Payment &gt; monthly income","")</f>
        <v/>
      </c>
      <c r="I269" s="4" t="str">
        <f>IF(OR(Customers!I269&gt;DATE(2026,9,13),YEAR(Customers!I269)&lt;1980),"Implausible date","")</f>
        <v/>
      </c>
      <c r="J269" s="4" t="str">
        <f>IF(Customers!I269&gt;DATE(2026,9,13),"",IF(ABS(INT((DATE(2026,9,13)-Customers!I269)/365.25)-Customers!H269)&gt;1,"Date/tenure inconsistent",""))</f>
        <v/>
      </c>
      <c r="K269" s="4" t="str">
        <f>IF(COUNTIF(Customers!$A$2:$A$1001,Customers!A269)&gt;1,"Duplicate ID","")</f>
        <v/>
      </c>
      <c r="L269" s="4" t="str">
        <f>IF(COUNTIFS(Customers!$B$2:$B$1001,Customers!B269,Customers!$D$2:$D$1001,Customers!D269,Customers!$G$2:$G$1001,Customers!G269,Customers!$I$2:$I$1001,Customers!I269,Customers!$L$2:$L$1001,Customers!L269)&gt;1,"Duplicate record","")</f>
        <v/>
      </c>
      <c r="M269" s="4" t="str">
        <f>IF(OR(Customers!U269&lt;300,Customers!U269&gt;850),"Score out of range","")</f>
        <v/>
      </c>
      <c r="N269" s="4" t="str">
        <f>IF(AND(Customers!G269&lt;&gt;"",Customers!G269&lt;=0),"Income ≤ 0","")</f>
        <v/>
      </c>
      <c r="O269" s="4" t="str">
        <f>IF(OR(Customers!G269="",Customers!M269=""),"Missing value","")</f>
        <v/>
      </c>
      <c r="P269" s="4">
        <f t="shared" si="4"/>
        <v>0</v>
      </c>
    </row>
    <row r="270" spans="1:16" x14ac:dyDescent="0.25">
      <c r="A270" s="4" t="str">
        <f>Customers!A270</f>
        <v>CL00264</v>
      </c>
      <c r="B270" s="20">
        <f>IF(Customers!G270="","",(Customers!G270-Statistics!$C$7)/Statistics!$C$9)</f>
        <v>7.308711557981711E-3</v>
      </c>
      <c r="C270" s="4" t="str">
        <f>IF(Customers!G270="","",IF(OR(Customers!G270&lt;Statistics!$C$15,Customers!G270&gt;Statistics!$C$16),"Outside 1.5·IQR",""))</f>
        <v>Outside 1.5·IQR</v>
      </c>
      <c r="D270" s="4" t="str">
        <f>IF(OR(Customers!B270&lt;18,Customers!B270&gt;100),"Implausible age","")</f>
        <v/>
      </c>
      <c r="E270" s="4" t="str">
        <f>IF(Customers!H270&gt;Customers!B270-18,"Tenure &gt; age-18","")</f>
        <v/>
      </c>
      <c r="F270" s="4" t="str">
        <f>IF(Customers!R270&gt;Customers!Q270,"Card spend &gt; limit","")</f>
        <v/>
      </c>
      <c r="G270" s="4" t="str">
        <f>IF(OR(AND(Customers!S270&gt;0,Customers!T270=0),AND(Customers!S270=0,Customers!T270&gt;0)),"Mortgage/payment inconsistent","")</f>
        <v/>
      </c>
      <c r="H270" s="4" t="str">
        <f>IF(AND(Customers!G270&lt;&gt;"",Customers!G270&gt;0,Customers!T270&gt;Customers!G270/12),"Payment &gt; monthly income","")</f>
        <v/>
      </c>
      <c r="I270" s="4" t="str">
        <f>IF(OR(Customers!I270&gt;DATE(2026,9,13),YEAR(Customers!I270)&lt;1980),"Implausible date","")</f>
        <v/>
      </c>
      <c r="J270" s="4" t="str">
        <f>IF(Customers!I270&gt;DATE(2026,9,13),"",IF(ABS(INT((DATE(2026,9,13)-Customers!I270)/365.25)-Customers!H270)&gt;1,"Date/tenure inconsistent",""))</f>
        <v/>
      </c>
      <c r="K270" s="4" t="str">
        <f>IF(COUNTIF(Customers!$A$2:$A$1001,Customers!A270)&gt;1,"Duplicate ID","")</f>
        <v/>
      </c>
      <c r="L270" s="4" t="str">
        <f>IF(COUNTIFS(Customers!$B$2:$B$1001,Customers!B270,Customers!$D$2:$D$1001,Customers!D270,Customers!$G$2:$G$1001,Customers!G270,Customers!$I$2:$I$1001,Customers!I270,Customers!$L$2:$L$1001,Customers!L270)&gt;1,"Duplicate record","")</f>
        <v/>
      </c>
      <c r="M270" s="4" t="str">
        <f>IF(OR(Customers!U270&lt;300,Customers!U270&gt;850),"Score out of range","")</f>
        <v/>
      </c>
      <c r="N270" s="4" t="str">
        <f>IF(AND(Customers!G270&lt;&gt;"",Customers!G270&lt;=0),"Income ≤ 0","")</f>
        <v/>
      </c>
      <c r="O270" s="4" t="str">
        <f>IF(OR(Customers!G270="",Customers!M270=""),"Missing value","")</f>
        <v/>
      </c>
      <c r="P270" s="4">
        <f t="shared" si="4"/>
        <v>1</v>
      </c>
    </row>
    <row r="271" spans="1:16" x14ac:dyDescent="0.25">
      <c r="A271" s="4" t="str">
        <f>Customers!A271</f>
        <v>CL00265</v>
      </c>
      <c r="B271" s="20">
        <f>IF(Customers!G271="","",(Customers!G271-Statistics!$C$7)/Statistics!$C$9)</f>
        <v>-4.1740474032318196E-2</v>
      </c>
      <c r="C271" s="4" t="str">
        <f>IF(Customers!G271="","",IF(OR(Customers!G271&lt;Statistics!$C$15,Customers!G271&gt;Statistics!$C$16),"Outside 1.5·IQR",""))</f>
        <v/>
      </c>
      <c r="D271" s="4" t="str">
        <f>IF(OR(Customers!B271&lt;18,Customers!B271&gt;100),"Implausible age","")</f>
        <v/>
      </c>
      <c r="E271" s="4" t="str">
        <f>IF(Customers!H271&gt;Customers!B271-18,"Tenure &gt; age-18","")</f>
        <v/>
      </c>
      <c r="F271" s="4" t="str">
        <f>IF(Customers!R271&gt;Customers!Q271,"Card spend &gt; limit","")</f>
        <v/>
      </c>
      <c r="G271" s="4" t="str">
        <f>IF(OR(AND(Customers!S271&gt;0,Customers!T271=0),AND(Customers!S271=0,Customers!T271&gt;0)),"Mortgage/payment inconsistent","")</f>
        <v/>
      </c>
      <c r="H271" s="4" t="str">
        <f>IF(AND(Customers!G271&lt;&gt;"",Customers!G271&gt;0,Customers!T271&gt;Customers!G271/12),"Payment &gt; monthly income","")</f>
        <v/>
      </c>
      <c r="I271" s="4" t="str">
        <f>IF(OR(Customers!I271&gt;DATE(2026,9,13),YEAR(Customers!I271)&lt;1980),"Implausible date","")</f>
        <v/>
      </c>
      <c r="J271" s="4" t="str">
        <f>IF(Customers!I271&gt;DATE(2026,9,13),"",IF(ABS(INT((DATE(2026,9,13)-Customers!I271)/365.25)-Customers!H271)&gt;1,"Date/tenure inconsistent",""))</f>
        <v/>
      </c>
      <c r="K271" s="4" t="str">
        <f>IF(COUNTIF(Customers!$A$2:$A$1001,Customers!A271)&gt;1,"Duplicate ID","")</f>
        <v/>
      </c>
      <c r="L271" s="4" t="str">
        <f>IF(COUNTIFS(Customers!$B$2:$B$1001,Customers!B271,Customers!$D$2:$D$1001,Customers!D271,Customers!$G$2:$G$1001,Customers!G271,Customers!$I$2:$I$1001,Customers!I271,Customers!$L$2:$L$1001,Customers!L271)&gt;1,"Duplicate record","")</f>
        <v/>
      </c>
      <c r="M271" s="4" t="str">
        <f>IF(OR(Customers!U271&lt;300,Customers!U271&gt;850),"Score out of range","")</f>
        <v/>
      </c>
      <c r="N271" s="4" t="str">
        <f>IF(AND(Customers!G271&lt;&gt;"",Customers!G271&lt;=0),"Income ≤ 0","")</f>
        <v/>
      </c>
      <c r="O271" s="4" t="str">
        <f>IF(OR(Customers!G271="",Customers!M271=""),"Missing value","")</f>
        <v/>
      </c>
      <c r="P271" s="4">
        <f t="shared" si="4"/>
        <v>0</v>
      </c>
    </row>
    <row r="272" spans="1:16" x14ac:dyDescent="0.25">
      <c r="A272" s="4" t="str">
        <f>Customers!A272</f>
        <v>CL00266</v>
      </c>
      <c r="B272" s="20">
        <f>IF(Customers!G272="","",(Customers!G272-Statistics!$C$7)/Statistics!$C$9)</f>
        <v>-3.8096257432235672E-2</v>
      </c>
      <c r="C272" s="4" t="str">
        <f>IF(Customers!G272="","",IF(OR(Customers!G272&lt;Statistics!$C$15,Customers!G272&gt;Statistics!$C$16),"Outside 1.5·IQR",""))</f>
        <v/>
      </c>
      <c r="D272" s="4" t="str">
        <f>IF(OR(Customers!B272&lt;18,Customers!B272&gt;100),"Implausible age","")</f>
        <v/>
      </c>
      <c r="E272" s="4" t="str">
        <f>IF(Customers!H272&gt;Customers!B272-18,"Tenure &gt; age-18","")</f>
        <v/>
      </c>
      <c r="F272" s="4" t="str">
        <f>IF(Customers!R272&gt;Customers!Q272,"Card spend &gt; limit","")</f>
        <v/>
      </c>
      <c r="G272" s="4" t="str">
        <f>IF(OR(AND(Customers!S272&gt;0,Customers!T272=0),AND(Customers!S272=0,Customers!T272&gt;0)),"Mortgage/payment inconsistent","")</f>
        <v/>
      </c>
      <c r="H272" s="4" t="str">
        <f>IF(AND(Customers!G272&lt;&gt;"",Customers!G272&gt;0,Customers!T272&gt;Customers!G272/12),"Payment &gt; monthly income","")</f>
        <v/>
      </c>
      <c r="I272" s="4" t="str">
        <f>IF(OR(Customers!I272&gt;DATE(2026,9,13),YEAR(Customers!I272)&lt;1980),"Implausible date","")</f>
        <v/>
      </c>
      <c r="J272" s="4" t="str">
        <f>IF(Customers!I272&gt;DATE(2026,9,13),"",IF(ABS(INT((DATE(2026,9,13)-Customers!I272)/365.25)-Customers!H272)&gt;1,"Date/tenure inconsistent",""))</f>
        <v/>
      </c>
      <c r="K272" s="4" t="str">
        <f>IF(COUNTIF(Customers!$A$2:$A$1001,Customers!A272)&gt;1,"Duplicate ID","")</f>
        <v/>
      </c>
      <c r="L272" s="4" t="str">
        <f>IF(COUNTIFS(Customers!$B$2:$B$1001,Customers!B272,Customers!$D$2:$D$1001,Customers!D272,Customers!$G$2:$G$1001,Customers!G272,Customers!$I$2:$I$1001,Customers!I272,Customers!$L$2:$L$1001,Customers!L272)&gt;1,"Duplicate record","")</f>
        <v/>
      </c>
      <c r="M272" s="4" t="str">
        <f>IF(OR(Customers!U272&lt;300,Customers!U272&gt;850),"Score out of range","")</f>
        <v/>
      </c>
      <c r="N272" s="4" t="str">
        <f>IF(AND(Customers!G272&lt;&gt;"",Customers!G272&lt;=0),"Income ≤ 0","")</f>
        <v/>
      </c>
      <c r="O272" s="4" t="str">
        <f>IF(OR(Customers!G272="",Customers!M272=""),"Missing value","")</f>
        <v/>
      </c>
      <c r="P272" s="4">
        <f t="shared" si="4"/>
        <v>0</v>
      </c>
    </row>
    <row r="273" spans="1:16" x14ac:dyDescent="0.25">
      <c r="A273" s="4" t="str">
        <f>Customers!A273</f>
        <v>CL00267</v>
      </c>
      <c r="B273" s="20">
        <f>IF(Customers!G273="","",(Customers!G273-Statistics!$C$7)/Statistics!$C$9)</f>
        <v>-6.0158541713816356E-2</v>
      </c>
      <c r="C273" s="4" t="str">
        <f>IF(Customers!G273="","",IF(OR(Customers!G273&lt;Statistics!$C$15,Customers!G273&gt;Statistics!$C$16),"Outside 1.5·IQR",""))</f>
        <v/>
      </c>
      <c r="D273" s="4" t="str">
        <f>IF(OR(Customers!B273&lt;18,Customers!B273&gt;100),"Implausible age","")</f>
        <v>Implausible age</v>
      </c>
      <c r="E273" s="4" t="str">
        <f>IF(Customers!H273&gt;Customers!B273-18,"Tenure &gt; age-18","")</f>
        <v/>
      </c>
      <c r="F273" s="4" t="str">
        <f>IF(Customers!R273&gt;Customers!Q273,"Card spend &gt; limit","")</f>
        <v/>
      </c>
      <c r="G273" s="4" t="str">
        <f>IF(OR(AND(Customers!S273&gt;0,Customers!T273=0),AND(Customers!S273=0,Customers!T273&gt;0)),"Mortgage/payment inconsistent","")</f>
        <v/>
      </c>
      <c r="H273" s="4" t="str">
        <f>IF(AND(Customers!G273&lt;&gt;"",Customers!G273&gt;0,Customers!T273&gt;Customers!G273/12),"Payment &gt; monthly income","")</f>
        <v/>
      </c>
      <c r="I273" s="4" t="str">
        <f>IF(OR(Customers!I273&gt;DATE(2026,9,13),YEAR(Customers!I273)&lt;1980),"Implausible date","")</f>
        <v/>
      </c>
      <c r="J273" s="4" t="str">
        <f>IF(Customers!I273&gt;DATE(2026,9,13),"",IF(ABS(INT((DATE(2026,9,13)-Customers!I273)/365.25)-Customers!H273)&gt;1,"Date/tenure inconsistent",""))</f>
        <v/>
      </c>
      <c r="K273" s="4" t="str">
        <f>IF(COUNTIF(Customers!$A$2:$A$1001,Customers!A273)&gt;1,"Duplicate ID","")</f>
        <v/>
      </c>
      <c r="L273" s="4" t="str">
        <f>IF(COUNTIFS(Customers!$B$2:$B$1001,Customers!B273,Customers!$D$2:$D$1001,Customers!D273,Customers!$G$2:$G$1001,Customers!G273,Customers!$I$2:$I$1001,Customers!I273,Customers!$L$2:$L$1001,Customers!L273)&gt;1,"Duplicate record","")</f>
        <v/>
      </c>
      <c r="M273" s="4" t="str">
        <f>IF(OR(Customers!U273&lt;300,Customers!U273&gt;850),"Score out of range","")</f>
        <v/>
      </c>
      <c r="N273" s="4" t="str">
        <f>IF(AND(Customers!G273&lt;&gt;"",Customers!G273&lt;=0),"Income ≤ 0","")</f>
        <v/>
      </c>
      <c r="O273" s="4" t="str">
        <f>IF(OR(Customers!G273="",Customers!M273=""),"Missing value","")</f>
        <v/>
      </c>
      <c r="P273" s="4">
        <f t="shared" si="4"/>
        <v>1</v>
      </c>
    </row>
    <row r="274" spans="1:16" x14ac:dyDescent="0.25">
      <c r="A274" s="4" t="str">
        <f>Customers!A274</f>
        <v>CL00268</v>
      </c>
      <c r="B274" s="20">
        <f>IF(Customers!G274="","",(Customers!G274-Statistics!$C$7)/Statistics!$C$9)</f>
        <v>-4.2035951053946509E-2</v>
      </c>
      <c r="C274" s="4" t="str">
        <f>IF(Customers!G274="","",IF(OR(Customers!G274&lt;Statistics!$C$15,Customers!G274&gt;Statistics!$C$16),"Outside 1.5·IQR",""))</f>
        <v/>
      </c>
      <c r="D274" s="4" t="str">
        <f>IF(OR(Customers!B274&lt;18,Customers!B274&gt;100),"Implausible age","")</f>
        <v/>
      </c>
      <c r="E274" s="4" t="str">
        <f>IF(Customers!H274&gt;Customers!B274-18,"Tenure &gt; age-18","")</f>
        <v/>
      </c>
      <c r="F274" s="4" t="str">
        <f>IF(Customers!R274&gt;Customers!Q274,"Card spend &gt; limit","")</f>
        <v/>
      </c>
      <c r="G274" s="4" t="str">
        <f>IF(OR(AND(Customers!S274&gt;0,Customers!T274=0),AND(Customers!S274=0,Customers!T274&gt;0)),"Mortgage/payment inconsistent","")</f>
        <v/>
      </c>
      <c r="H274" s="4" t="str">
        <f>IF(AND(Customers!G274&lt;&gt;"",Customers!G274&gt;0,Customers!T274&gt;Customers!G274/12),"Payment &gt; monthly income","")</f>
        <v/>
      </c>
      <c r="I274" s="4" t="str">
        <f>IF(OR(Customers!I274&gt;DATE(2026,9,13),YEAR(Customers!I274)&lt;1980),"Implausible date","")</f>
        <v/>
      </c>
      <c r="J274" s="4" t="str">
        <f>IF(Customers!I274&gt;DATE(2026,9,13),"",IF(ABS(INT((DATE(2026,9,13)-Customers!I274)/365.25)-Customers!H274)&gt;1,"Date/tenure inconsistent",""))</f>
        <v/>
      </c>
      <c r="K274" s="4" t="str">
        <f>IF(COUNTIF(Customers!$A$2:$A$1001,Customers!A274)&gt;1,"Duplicate ID","")</f>
        <v/>
      </c>
      <c r="L274" s="4" t="str">
        <f>IF(COUNTIFS(Customers!$B$2:$B$1001,Customers!B274,Customers!$D$2:$D$1001,Customers!D274,Customers!$G$2:$G$1001,Customers!G274,Customers!$I$2:$I$1001,Customers!I274,Customers!$L$2:$L$1001,Customers!L274)&gt;1,"Duplicate record","")</f>
        <v/>
      </c>
      <c r="M274" s="4" t="str">
        <f>IF(OR(Customers!U274&lt;300,Customers!U274&gt;850),"Score out of range","")</f>
        <v/>
      </c>
      <c r="N274" s="4" t="str">
        <f>IF(AND(Customers!G274&lt;&gt;"",Customers!G274&lt;=0),"Income ≤ 0","")</f>
        <v/>
      </c>
      <c r="O274" s="4" t="str">
        <f>IF(OR(Customers!G274="",Customers!M274=""),"Missing value","")</f>
        <v/>
      </c>
      <c r="P274" s="4">
        <f t="shared" si="4"/>
        <v>0</v>
      </c>
    </row>
    <row r="275" spans="1:16" x14ac:dyDescent="0.25">
      <c r="A275" s="4" t="str">
        <f>Customers!A275</f>
        <v>CL00269</v>
      </c>
      <c r="B275" s="20">
        <f>IF(Customers!G275="","",(Customers!G275-Statistics!$C$7)/Statistics!$C$9)</f>
        <v>-2.2632959967020642E-2</v>
      </c>
      <c r="C275" s="4" t="str">
        <f>IF(Customers!G275="","",IF(OR(Customers!G275&lt;Statistics!$C$15,Customers!G275&gt;Statistics!$C$16),"Outside 1.5·IQR",""))</f>
        <v/>
      </c>
      <c r="D275" s="4" t="str">
        <f>IF(OR(Customers!B275&lt;18,Customers!B275&gt;100),"Implausible age","")</f>
        <v/>
      </c>
      <c r="E275" s="4" t="str">
        <f>IF(Customers!H275&gt;Customers!B275-18,"Tenure &gt; age-18","")</f>
        <v/>
      </c>
      <c r="F275" s="4" t="str">
        <f>IF(Customers!R275&gt;Customers!Q275,"Card spend &gt; limit","")</f>
        <v>Card spend &gt; limit</v>
      </c>
      <c r="G275" s="4" t="str">
        <f>IF(OR(AND(Customers!S275&gt;0,Customers!T275=0),AND(Customers!S275=0,Customers!T275&gt;0)),"Mortgage/payment inconsistent","")</f>
        <v/>
      </c>
      <c r="H275" s="4" t="str">
        <f>IF(AND(Customers!G275&lt;&gt;"",Customers!G275&gt;0,Customers!T275&gt;Customers!G275/12),"Payment &gt; monthly income","")</f>
        <v/>
      </c>
      <c r="I275" s="4" t="str">
        <f>IF(OR(Customers!I275&gt;DATE(2026,9,13),YEAR(Customers!I275)&lt;1980),"Implausible date","")</f>
        <v/>
      </c>
      <c r="J275" s="4" t="str">
        <f>IF(Customers!I275&gt;DATE(2026,9,13),"",IF(ABS(INT((DATE(2026,9,13)-Customers!I275)/365.25)-Customers!H275)&gt;1,"Date/tenure inconsistent",""))</f>
        <v/>
      </c>
      <c r="K275" s="4" t="str">
        <f>IF(COUNTIF(Customers!$A$2:$A$1001,Customers!A275)&gt;1,"Duplicate ID","")</f>
        <v/>
      </c>
      <c r="L275" s="4" t="str">
        <f>IF(COUNTIFS(Customers!$B$2:$B$1001,Customers!B275,Customers!$D$2:$D$1001,Customers!D275,Customers!$G$2:$G$1001,Customers!G275,Customers!$I$2:$I$1001,Customers!I275,Customers!$L$2:$L$1001,Customers!L275)&gt;1,"Duplicate record","")</f>
        <v/>
      </c>
      <c r="M275" s="4" t="str">
        <f>IF(OR(Customers!U275&lt;300,Customers!U275&gt;850),"Score out of range","")</f>
        <v/>
      </c>
      <c r="N275" s="4" t="str">
        <f>IF(AND(Customers!G275&lt;&gt;"",Customers!G275&lt;=0),"Income ≤ 0","")</f>
        <v/>
      </c>
      <c r="O275" s="4" t="str">
        <f>IF(OR(Customers!G275="",Customers!M275=""),"Missing value","")</f>
        <v/>
      </c>
      <c r="P275" s="4">
        <f t="shared" si="4"/>
        <v>1</v>
      </c>
    </row>
    <row r="276" spans="1:16" x14ac:dyDescent="0.25">
      <c r="A276" s="4" t="str">
        <f>Customers!A276</f>
        <v>CL00270</v>
      </c>
      <c r="B276" s="20">
        <f>IF(Customers!G276="","",(Customers!G276-Statistics!$C$7)/Statistics!$C$9)</f>
        <v>-4.9324384254111557E-2</v>
      </c>
      <c r="C276" s="4" t="str">
        <f>IF(Customers!G276="","",IF(OR(Customers!G276&lt;Statistics!$C$15,Customers!G276&gt;Statistics!$C$16),"Outside 1.5·IQR",""))</f>
        <v/>
      </c>
      <c r="D276" s="4" t="str">
        <f>IF(OR(Customers!B276&lt;18,Customers!B276&gt;100),"Implausible age","")</f>
        <v/>
      </c>
      <c r="E276" s="4" t="str">
        <f>IF(Customers!H276&gt;Customers!B276-18,"Tenure &gt; age-18","")</f>
        <v/>
      </c>
      <c r="F276" s="4" t="str">
        <f>IF(Customers!R276&gt;Customers!Q276,"Card spend &gt; limit","")</f>
        <v/>
      </c>
      <c r="G276" s="4" t="str">
        <f>IF(OR(AND(Customers!S276&gt;0,Customers!T276=0),AND(Customers!S276=0,Customers!T276&gt;0)),"Mortgage/payment inconsistent","")</f>
        <v/>
      </c>
      <c r="H276" s="4" t="str">
        <f>IF(AND(Customers!G276&lt;&gt;"",Customers!G276&gt;0,Customers!T276&gt;Customers!G276/12),"Payment &gt; monthly income","")</f>
        <v/>
      </c>
      <c r="I276" s="4" t="str">
        <f>IF(OR(Customers!I276&gt;DATE(2026,9,13),YEAR(Customers!I276)&lt;1980),"Implausible date","")</f>
        <v/>
      </c>
      <c r="J276" s="4" t="str">
        <f>IF(Customers!I276&gt;DATE(2026,9,13),"",IF(ABS(INT((DATE(2026,9,13)-Customers!I276)/365.25)-Customers!H276)&gt;1,"Date/tenure inconsistent",""))</f>
        <v/>
      </c>
      <c r="K276" s="4" t="str">
        <f>IF(COUNTIF(Customers!$A$2:$A$1001,Customers!A276)&gt;1,"Duplicate ID","")</f>
        <v/>
      </c>
      <c r="L276" s="4" t="str">
        <f>IF(COUNTIFS(Customers!$B$2:$B$1001,Customers!B276,Customers!$D$2:$D$1001,Customers!D276,Customers!$G$2:$G$1001,Customers!G276,Customers!$I$2:$I$1001,Customers!I276,Customers!$L$2:$L$1001,Customers!L276)&gt;1,"Duplicate record","")</f>
        <v/>
      </c>
      <c r="M276" s="4" t="str">
        <f>IF(OR(Customers!U276&lt;300,Customers!U276&gt;850),"Score out of range","")</f>
        <v/>
      </c>
      <c r="N276" s="4" t="str">
        <f>IF(AND(Customers!G276&lt;&gt;"",Customers!G276&lt;=0),"Income ≤ 0","")</f>
        <v/>
      </c>
      <c r="O276" s="4" t="str">
        <f>IF(OR(Customers!G276="",Customers!M276=""),"Missing value","")</f>
        <v/>
      </c>
      <c r="P276" s="4">
        <f t="shared" si="4"/>
        <v>0</v>
      </c>
    </row>
    <row r="277" spans="1:16" x14ac:dyDescent="0.25">
      <c r="A277" s="4" t="str">
        <f>Customers!A277</f>
        <v>CL00271</v>
      </c>
      <c r="B277" s="20">
        <f>IF(Customers!G277="","",(Customers!G277-Statistics!$C$7)/Statistics!$C$9)</f>
        <v>-3.120179359424171E-2</v>
      </c>
      <c r="C277" s="4" t="str">
        <f>IF(Customers!G277="","",IF(OR(Customers!G277&lt;Statistics!$C$15,Customers!G277&gt;Statistics!$C$16),"Outside 1.5·IQR",""))</f>
        <v/>
      </c>
      <c r="D277" s="4" t="str">
        <f>IF(OR(Customers!B277&lt;18,Customers!B277&gt;100),"Implausible age","")</f>
        <v/>
      </c>
      <c r="E277" s="4" t="str">
        <f>IF(Customers!H277&gt;Customers!B277-18,"Tenure &gt; age-18","")</f>
        <v/>
      </c>
      <c r="F277" s="4" t="str">
        <f>IF(Customers!R277&gt;Customers!Q277,"Card spend &gt; limit","")</f>
        <v/>
      </c>
      <c r="G277" s="4" t="str">
        <f>IF(OR(AND(Customers!S277&gt;0,Customers!T277=0),AND(Customers!S277=0,Customers!T277&gt;0)),"Mortgage/payment inconsistent","")</f>
        <v/>
      </c>
      <c r="H277" s="4" t="str">
        <f>IF(AND(Customers!G277&lt;&gt;"",Customers!G277&gt;0,Customers!T277&gt;Customers!G277/12),"Payment &gt; monthly income","")</f>
        <v/>
      </c>
      <c r="I277" s="4" t="str">
        <f>IF(OR(Customers!I277&gt;DATE(2026,9,13),YEAR(Customers!I277)&lt;1980),"Implausible date","")</f>
        <v/>
      </c>
      <c r="J277" s="4" t="str">
        <f>IF(Customers!I277&gt;DATE(2026,9,13),"",IF(ABS(INT((DATE(2026,9,13)-Customers!I277)/365.25)-Customers!H277)&gt;1,"Date/tenure inconsistent",""))</f>
        <v/>
      </c>
      <c r="K277" s="4" t="str">
        <f>IF(COUNTIF(Customers!$A$2:$A$1001,Customers!A277)&gt;1,"Duplicate ID","")</f>
        <v/>
      </c>
      <c r="L277" s="4" t="str">
        <f>IF(COUNTIFS(Customers!$B$2:$B$1001,Customers!B277,Customers!$D$2:$D$1001,Customers!D277,Customers!$G$2:$G$1001,Customers!G277,Customers!$I$2:$I$1001,Customers!I277,Customers!$L$2:$L$1001,Customers!L277)&gt;1,"Duplicate record","")</f>
        <v/>
      </c>
      <c r="M277" s="4" t="str">
        <f>IF(OR(Customers!U277&lt;300,Customers!U277&gt;850),"Score out of range","")</f>
        <v/>
      </c>
      <c r="N277" s="4" t="str">
        <f>IF(AND(Customers!G277&lt;&gt;"",Customers!G277&lt;=0),"Income ≤ 0","")</f>
        <v/>
      </c>
      <c r="O277" s="4" t="str">
        <f>IF(OR(Customers!G277="",Customers!M277=""),"Missing value","")</f>
        <v/>
      </c>
      <c r="P277" s="4">
        <f t="shared" si="4"/>
        <v>0</v>
      </c>
    </row>
    <row r="278" spans="1:16" x14ac:dyDescent="0.25">
      <c r="A278" s="4" t="str">
        <f>Customers!A278</f>
        <v>CL00272</v>
      </c>
      <c r="B278" s="20">
        <f>IF(Customers!G278="","",(Customers!G278-Statistics!$C$7)/Statistics!$C$9)</f>
        <v>-3.4156563810524836E-2</v>
      </c>
      <c r="C278" s="4" t="str">
        <f>IF(Customers!G278="","",IF(OR(Customers!G278&lt;Statistics!$C$15,Customers!G278&gt;Statistics!$C$16),"Outside 1.5·IQR",""))</f>
        <v/>
      </c>
      <c r="D278" s="4" t="str">
        <f>IF(OR(Customers!B278&lt;18,Customers!B278&gt;100),"Implausible age","")</f>
        <v/>
      </c>
      <c r="E278" s="4" t="str">
        <f>IF(Customers!H278&gt;Customers!B278-18,"Tenure &gt; age-18","")</f>
        <v/>
      </c>
      <c r="F278" s="4" t="str">
        <f>IF(Customers!R278&gt;Customers!Q278,"Card spend &gt; limit","")</f>
        <v/>
      </c>
      <c r="G278" s="4" t="str">
        <f>IF(OR(AND(Customers!S278&gt;0,Customers!T278=0),AND(Customers!S278=0,Customers!T278&gt;0)),"Mortgage/payment inconsistent","")</f>
        <v/>
      </c>
      <c r="H278" s="4" t="str">
        <f>IF(AND(Customers!G278&lt;&gt;"",Customers!G278&gt;0,Customers!T278&gt;Customers!G278/12),"Payment &gt; monthly income","")</f>
        <v/>
      </c>
      <c r="I278" s="4" t="str">
        <f>IF(OR(Customers!I278&gt;DATE(2026,9,13),YEAR(Customers!I278)&lt;1980),"Implausible date","")</f>
        <v>Implausible date</v>
      </c>
      <c r="J278" s="4" t="str">
        <f>IF(Customers!I278&gt;DATE(2026,9,13),"",IF(ABS(INT((DATE(2026,9,13)-Customers!I278)/365.25)-Customers!H278)&gt;1,"Date/tenure inconsistent",""))</f>
        <v/>
      </c>
      <c r="K278" s="4" t="str">
        <f>IF(COUNTIF(Customers!$A$2:$A$1001,Customers!A278)&gt;1,"Duplicate ID","")</f>
        <v/>
      </c>
      <c r="L278" s="4" t="str">
        <f>IF(COUNTIFS(Customers!$B$2:$B$1001,Customers!B278,Customers!$D$2:$D$1001,Customers!D278,Customers!$G$2:$G$1001,Customers!G278,Customers!$I$2:$I$1001,Customers!I278,Customers!$L$2:$L$1001,Customers!L278)&gt;1,"Duplicate record","")</f>
        <v/>
      </c>
      <c r="M278" s="4" t="str">
        <f>IF(OR(Customers!U278&lt;300,Customers!U278&gt;850),"Score out of range","")</f>
        <v/>
      </c>
      <c r="N278" s="4" t="str">
        <f>IF(AND(Customers!G278&lt;&gt;"",Customers!G278&lt;=0),"Income ≤ 0","")</f>
        <v/>
      </c>
      <c r="O278" s="4" t="str">
        <f>IF(OR(Customers!G278="",Customers!M278=""),"Missing value","")</f>
        <v/>
      </c>
      <c r="P278" s="4">
        <f t="shared" si="4"/>
        <v>1</v>
      </c>
    </row>
    <row r="279" spans="1:16" x14ac:dyDescent="0.25">
      <c r="A279" s="4" t="str">
        <f>Customers!A279</f>
        <v>CL00273</v>
      </c>
      <c r="B279" s="20">
        <f>IF(Customers!G279="","",(Customers!G279-Statistics!$C$7)/Statistics!$C$9)</f>
        <v>-1.1010863782973675E-2</v>
      </c>
      <c r="C279" s="4" t="str">
        <f>IF(Customers!G279="","",IF(OR(Customers!G279&lt;Statistics!$C$15,Customers!G279&gt;Statistics!$C$16),"Outside 1.5·IQR",""))</f>
        <v/>
      </c>
      <c r="D279" s="4" t="str">
        <f>IF(OR(Customers!B279&lt;18,Customers!B279&gt;100),"Implausible age","")</f>
        <v/>
      </c>
      <c r="E279" s="4" t="str">
        <f>IF(Customers!H279&gt;Customers!B279-18,"Tenure &gt; age-18","")</f>
        <v/>
      </c>
      <c r="F279" s="4" t="str">
        <f>IF(Customers!R279&gt;Customers!Q279,"Card spend &gt; limit","")</f>
        <v/>
      </c>
      <c r="G279" s="4" t="str">
        <f>IF(OR(AND(Customers!S279&gt;0,Customers!T279=0),AND(Customers!S279=0,Customers!T279&gt;0)),"Mortgage/payment inconsistent","")</f>
        <v/>
      </c>
      <c r="H279" s="4" t="str">
        <f>IF(AND(Customers!G279&lt;&gt;"",Customers!G279&gt;0,Customers!T279&gt;Customers!G279/12),"Payment &gt; monthly income","")</f>
        <v/>
      </c>
      <c r="I279" s="4" t="str">
        <f>IF(OR(Customers!I279&gt;DATE(2026,9,13),YEAR(Customers!I279)&lt;1980),"Implausible date","")</f>
        <v/>
      </c>
      <c r="J279" s="4" t="str">
        <f>IF(Customers!I279&gt;DATE(2026,9,13),"",IF(ABS(INT((DATE(2026,9,13)-Customers!I279)/365.25)-Customers!H279)&gt;1,"Date/tenure inconsistent",""))</f>
        <v/>
      </c>
      <c r="K279" s="4" t="str">
        <f>IF(COUNTIF(Customers!$A$2:$A$1001,Customers!A279)&gt;1,"Duplicate ID","")</f>
        <v/>
      </c>
      <c r="L279" s="4" t="str">
        <f>IF(COUNTIFS(Customers!$B$2:$B$1001,Customers!B279,Customers!$D$2:$D$1001,Customers!D279,Customers!$G$2:$G$1001,Customers!G279,Customers!$I$2:$I$1001,Customers!I279,Customers!$L$2:$L$1001,Customers!L279)&gt;1,"Duplicate record","")</f>
        <v/>
      </c>
      <c r="M279" s="4" t="str">
        <f>IF(OR(Customers!U279&lt;300,Customers!U279&gt;850),"Score out of range","")</f>
        <v/>
      </c>
      <c r="N279" s="4" t="str">
        <f>IF(AND(Customers!G279&lt;&gt;"",Customers!G279&lt;=0),"Income ≤ 0","")</f>
        <v/>
      </c>
      <c r="O279" s="4" t="str">
        <f>IF(OR(Customers!G279="",Customers!M279=""),"Missing value","")</f>
        <v/>
      </c>
      <c r="P279" s="4">
        <f t="shared" si="4"/>
        <v>0</v>
      </c>
    </row>
    <row r="280" spans="1:16" x14ac:dyDescent="0.25">
      <c r="A280" s="4" t="str">
        <f>Customers!A280</f>
        <v>CL00274</v>
      </c>
      <c r="B280" s="20">
        <f>IF(Customers!G280="","",(Customers!G280-Statistics!$C$7)/Statistics!$C$9)</f>
        <v>9.8695124120937554E-3</v>
      </c>
      <c r="C280" s="4" t="str">
        <f>IF(Customers!G280="","",IF(OR(Customers!G280&lt;Statistics!$C$15,Customers!G280&gt;Statistics!$C$16),"Outside 1.5·IQR",""))</f>
        <v>Outside 1.5·IQR</v>
      </c>
      <c r="D280" s="4" t="str">
        <f>IF(OR(Customers!B280&lt;18,Customers!B280&gt;100),"Implausible age","")</f>
        <v/>
      </c>
      <c r="E280" s="4" t="str">
        <f>IF(Customers!H280&gt;Customers!B280-18,"Tenure &gt; age-18","")</f>
        <v/>
      </c>
      <c r="F280" s="4" t="str">
        <f>IF(Customers!R280&gt;Customers!Q280,"Card spend &gt; limit","")</f>
        <v/>
      </c>
      <c r="G280" s="4" t="str">
        <f>IF(OR(AND(Customers!S280&gt;0,Customers!T280=0),AND(Customers!S280=0,Customers!T280&gt;0)),"Mortgage/payment inconsistent","")</f>
        <v/>
      </c>
      <c r="H280" s="4" t="str">
        <f>IF(AND(Customers!G280&lt;&gt;"",Customers!G280&gt;0,Customers!T280&gt;Customers!G280/12),"Payment &gt; monthly income","")</f>
        <v/>
      </c>
      <c r="I280" s="4" t="str">
        <f>IF(OR(Customers!I280&gt;DATE(2026,9,13),YEAR(Customers!I280)&lt;1980),"Implausible date","")</f>
        <v/>
      </c>
      <c r="J280" s="4" t="str">
        <f>IF(Customers!I280&gt;DATE(2026,9,13),"",IF(ABS(INT((DATE(2026,9,13)-Customers!I280)/365.25)-Customers!H280)&gt;1,"Date/tenure inconsistent",""))</f>
        <v/>
      </c>
      <c r="K280" s="4" t="str">
        <f>IF(COUNTIF(Customers!$A$2:$A$1001,Customers!A280)&gt;1,"Duplicate ID","")</f>
        <v/>
      </c>
      <c r="L280" s="4" t="str">
        <f>IF(COUNTIFS(Customers!$B$2:$B$1001,Customers!B280,Customers!$D$2:$D$1001,Customers!D280,Customers!$G$2:$G$1001,Customers!G280,Customers!$I$2:$I$1001,Customers!I280,Customers!$L$2:$L$1001,Customers!L280)&gt;1,"Duplicate record","")</f>
        <v/>
      </c>
      <c r="M280" s="4" t="str">
        <f>IF(OR(Customers!U280&lt;300,Customers!U280&gt;850),"Score out of range","")</f>
        <v/>
      </c>
      <c r="N280" s="4" t="str">
        <f>IF(AND(Customers!G280&lt;&gt;"",Customers!G280&lt;=0),"Income ≤ 0","")</f>
        <v/>
      </c>
      <c r="O280" s="4" t="str">
        <f>IF(OR(Customers!G280="",Customers!M280=""),"Missing value","")</f>
        <v/>
      </c>
      <c r="P280" s="4">
        <f t="shared" si="4"/>
        <v>1</v>
      </c>
    </row>
    <row r="281" spans="1:16" x14ac:dyDescent="0.25">
      <c r="A281" s="4" t="str">
        <f>Customers!A281</f>
        <v>CL00275</v>
      </c>
      <c r="B281" s="20">
        <f>IF(Customers!G281="","",(Customers!G281-Statistics!$C$7)/Statistics!$C$9)</f>
        <v>-2.4405822096790517E-2</v>
      </c>
      <c r="C281" s="4" t="str">
        <f>IF(Customers!G281="","",IF(OR(Customers!G281&lt;Statistics!$C$15,Customers!G281&gt;Statistics!$C$16),"Outside 1.5·IQR",""))</f>
        <v/>
      </c>
      <c r="D281" s="4" t="str">
        <f>IF(OR(Customers!B281&lt;18,Customers!B281&gt;100),"Implausible age","")</f>
        <v/>
      </c>
      <c r="E281" s="4" t="str">
        <f>IF(Customers!H281&gt;Customers!B281-18,"Tenure &gt; age-18","")</f>
        <v/>
      </c>
      <c r="F281" s="4" t="str">
        <f>IF(Customers!R281&gt;Customers!Q281,"Card spend &gt; limit","")</f>
        <v/>
      </c>
      <c r="G281" s="4" t="str">
        <f>IF(OR(AND(Customers!S281&gt;0,Customers!T281=0),AND(Customers!S281=0,Customers!T281&gt;0)),"Mortgage/payment inconsistent","")</f>
        <v/>
      </c>
      <c r="H281" s="4" t="str">
        <f>IF(AND(Customers!G281&lt;&gt;"",Customers!G281&gt;0,Customers!T281&gt;Customers!G281/12),"Payment &gt; monthly income","")</f>
        <v/>
      </c>
      <c r="I281" s="4" t="str">
        <f>IF(OR(Customers!I281&gt;DATE(2026,9,13),YEAR(Customers!I281)&lt;1980),"Implausible date","")</f>
        <v/>
      </c>
      <c r="J281" s="4" t="str">
        <f>IF(Customers!I281&gt;DATE(2026,9,13),"",IF(ABS(INT((DATE(2026,9,13)-Customers!I281)/365.25)-Customers!H281)&gt;1,"Date/tenure inconsistent",""))</f>
        <v/>
      </c>
      <c r="K281" s="4" t="str">
        <f>IF(COUNTIF(Customers!$A$2:$A$1001,Customers!A281)&gt;1,"Duplicate ID","")</f>
        <v/>
      </c>
      <c r="L281" s="4" t="str">
        <f>IF(COUNTIFS(Customers!$B$2:$B$1001,Customers!B281,Customers!$D$2:$D$1001,Customers!D281,Customers!$G$2:$G$1001,Customers!G281,Customers!$I$2:$I$1001,Customers!I281,Customers!$L$2:$L$1001,Customers!L281)&gt;1,"Duplicate record","")</f>
        <v/>
      </c>
      <c r="M281" s="4" t="str">
        <f>IF(OR(Customers!U281&lt;300,Customers!U281&gt;850),"Score out of range","")</f>
        <v/>
      </c>
      <c r="N281" s="4" t="str">
        <f>IF(AND(Customers!G281&lt;&gt;"",Customers!G281&lt;=0),"Income ≤ 0","")</f>
        <v/>
      </c>
      <c r="O281" s="4" t="str">
        <f>IF(OR(Customers!G281="",Customers!M281=""),"Missing value","")</f>
        <v/>
      </c>
      <c r="P281" s="4">
        <f t="shared" si="4"/>
        <v>0</v>
      </c>
    </row>
    <row r="282" spans="1:16" x14ac:dyDescent="0.25">
      <c r="A282" s="4" t="str">
        <f>Customers!A282</f>
        <v>CL00276</v>
      </c>
      <c r="B282" s="20">
        <f>IF(Customers!G282="","",(Customers!G282-Statistics!$C$7)/Statistics!$C$9)</f>
        <v>-4.1937458713403736E-2</v>
      </c>
      <c r="C282" s="4" t="str">
        <f>IF(Customers!G282="","",IF(OR(Customers!G282&lt;Statistics!$C$15,Customers!G282&gt;Statistics!$C$16),"Outside 1.5·IQR",""))</f>
        <v/>
      </c>
      <c r="D282" s="4" t="str">
        <f>IF(OR(Customers!B282&lt;18,Customers!B282&gt;100),"Implausible age","")</f>
        <v/>
      </c>
      <c r="E282" s="4" t="str">
        <f>IF(Customers!H282&gt;Customers!B282-18,"Tenure &gt; age-18","")</f>
        <v/>
      </c>
      <c r="F282" s="4" t="str">
        <f>IF(Customers!R282&gt;Customers!Q282,"Card spend &gt; limit","")</f>
        <v/>
      </c>
      <c r="G282" s="4" t="str">
        <f>IF(OR(AND(Customers!S282&gt;0,Customers!T282=0),AND(Customers!S282=0,Customers!T282&gt;0)),"Mortgage/payment inconsistent","")</f>
        <v/>
      </c>
      <c r="H282" s="4" t="str">
        <f>IF(AND(Customers!G282&lt;&gt;"",Customers!G282&gt;0,Customers!T282&gt;Customers!G282/12),"Payment &gt; monthly income","")</f>
        <v/>
      </c>
      <c r="I282" s="4" t="str">
        <f>IF(OR(Customers!I282&gt;DATE(2026,9,13),YEAR(Customers!I282)&lt;1980),"Implausible date","")</f>
        <v/>
      </c>
      <c r="J282" s="4" t="str">
        <f>IF(Customers!I282&gt;DATE(2026,9,13),"",IF(ABS(INT((DATE(2026,9,13)-Customers!I282)/365.25)-Customers!H282)&gt;1,"Date/tenure inconsistent",""))</f>
        <v/>
      </c>
      <c r="K282" s="4" t="str">
        <f>IF(COUNTIF(Customers!$A$2:$A$1001,Customers!A282)&gt;1,"Duplicate ID","")</f>
        <v/>
      </c>
      <c r="L282" s="4" t="str">
        <f>IF(COUNTIFS(Customers!$B$2:$B$1001,Customers!B282,Customers!$D$2:$D$1001,Customers!D282,Customers!$G$2:$G$1001,Customers!G282,Customers!$I$2:$I$1001,Customers!I282,Customers!$L$2:$L$1001,Customers!L282)&gt;1,"Duplicate record","")</f>
        <v/>
      </c>
      <c r="M282" s="4" t="str">
        <f>IF(OR(Customers!U282&lt;300,Customers!U282&gt;850),"Score out of range","")</f>
        <v/>
      </c>
      <c r="N282" s="4" t="str">
        <f>IF(AND(Customers!G282&lt;&gt;"",Customers!G282&lt;=0),"Income ≤ 0","")</f>
        <v/>
      </c>
      <c r="O282" s="4" t="str">
        <f>IF(OR(Customers!G282="",Customers!M282=""),"Missing value","")</f>
        <v/>
      </c>
      <c r="P282" s="4">
        <f t="shared" si="4"/>
        <v>0</v>
      </c>
    </row>
    <row r="283" spans="1:16" x14ac:dyDescent="0.25">
      <c r="A283" s="4" t="str">
        <f>Customers!A283</f>
        <v>CL00277</v>
      </c>
      <c r="B283" s="20">
        <f>IF(Customers!G283="","",(Customers!G283-Statistics!$C$7)/Statistics!$C$9)</f>
        <v>-4.4990721270229635E-2</v>
      </c>
      <c r="C283" s="4" t="str">
        <f>IF(Customers!G283="","",IF(OR(Customers!G283&lt;Statistics!$C$15,Customers!G283&gt;Statistics!$C$16),"Outside 1.5·IQR",""))</f>
        <v/>
      </c>
      <c r="D283" s="4" t="str">
        <f>IF(OR(Customers!B283&lt;18,Customers!B283&gt;100),"Implausible age","")</f>
        <v/>
      </c>
      <c r="E283" s="4" t="str">
        <f>IF(Customers!H283&gt;Customers!B283-18,"Tenure &gt; age-18","")</f>
        <v/>
      </c>
      <c r="F283" s="4" t="str">
        <f>IF(Customers!R283&gt;Customers!Q283,"Card spend &gt; limit","")</f>
        <v/>
      </c>
      <c r="G283" s="4" t="str">
        <f>IF(OR(AND(Customers!S283&gt;0,Customers!T283=0),AND(Customers!S283=0,Customers!T283&gt;0)),"Mortgage/payment inconsistent","")</f>
        <v/>
      </c>
      <c r="H283" s="4" t="str">
        <f>IF(AND(Customers!G283&lt;&gt;"",Customers!G283&gt;0,Customers!T283&gt;Customers!G283/12),"Payment &gt; monthly income","")</f>
        <v/>
      </c>
      <c r="I283" s="4" t="str">
        <f>IF(OR(Customers!I283&gt;DATE(2026,9,13),YEAR(Customers!I283)&lt;1980),"Implausible date","")</f>
        <v/>
      </c>
      <c r="J283" s="4" t="str">
        <f>IF(Customers!I283&gt;DATE(2026,9,13),"",IF(ABS(INT((DATE(2026,9,13)-Customers!I283)/365.25)-Customers!H283)&gt;1,"Date/tenure inconsistent",""))</f>
        <v/>
      </c>
      <c r="K283" s="4" t="str">
        <f>IF(COUNTIF(Customers!$A$2:$A$1001,Customers!A283)&gt;1,"Duplicate ID","")</f>
        <v/>
      </c>
      <c r="L283" s="4" t="str">
        <f>IF(COUNTIFS(Customers!$B$2:$B$1001,Customers!B283,Customers!$D$2:$D$1001,Customers!D283,Customers!$G$2:$G$1001,Customers!G283,Customers!$I$2:$I$1001,Customers!I283,Customers!$L$2:$L$1001,Customers!L283)&gt;1,"Duplicate record","")</f>
        <v/>
      </c>
      <c r="M283" s="4" t="str">
        <f>IF(OR(Customers!U283&lt;300,Customers!U283&gt;850),"Score out of range","")</f>
        <v/>
      </c>
      <c r="N283" s="4" t="str">
        <f>IF(AND(Customers!G283&lt;&gt;"",Customers!G283&lt;=0),"Income ≤ 0","")</f>
        <v/>
      </c>
      <c r="O283" s="4" t="str">
        <f>IF(OR(Customers!G283="",Customers!M283=""),"Missing value","")</f>
        <v/>
      </c>
      <c r="P283" s="4">
        <f t="shared" si="4"/>
        <v>0</v>
      </c>
    </row>
    <row r="284" spans="1:16" x14ac:dyDescent="0.25">
      <c r="A284" s="4" t="str">
        <f>Customers!A284</f>
        <v>CL00278</v>
      </c>
      <c r="B284" s="20">
        <f>IF(Customers!G284="","",(Customers!G284-Statistics!$C$7)/Statistics!$C$9)</f>
        <v>-6.3817237774634432E-3</v>
      </c>
      <c r="C284" s="4" t="str">
        <f>IF(Customers!G284="","",IF(OR(Customers!G284&lt;Statistics!$C$15,Customers!G284&gt;Statistics!$C$16),"Outside 1.5·IQR",""))</f>
        <v/>
      </c>
      <c r="D284" s="4" t="str">
        <f>IF(OR(Customers!B284&lt;18,Customers!B284&gt;100),"Implausible age","")</f>
        <v/>
      </c>
      <c r="E284" s="4" t="str">
        <f>IF(Customers!H284&gt;Customers!B284-18,"Tenure &gt; age-18","")</f>
        <v/>
      </c>
      <c r="F284" s="4" t="str">
        <f>IF(Customers!R284&gt;Customers!Q284,"Card spend &gt; limit","")</f>
        <v/>
      </c>
      <c r="G284" s="4" t="str">
        <f>IF(OR(AND(Customers!S284&gt;0,Customers!T284=0),AND(Customers!S284=0,Customers!T284&gt;0)),"Mortgage/payment inconsistent","")</f>
        <v/>
      </c>
      <c r="H284" s="4" t="str">
        <f>IF(AND(Customers!G284&lt;&gt;"",Customers!G284&gt;0,Customers!T284&gt;Customers!G284/12),"Payment &gt; monthly income","")</f>
        <v/>
      </c>
      <c r="I284" s="4" t="str">
        <f>IF(OR(Customers!I284&gt;DATE(2026,9,13),YEAR(Customers!I284)&lt;1980),"Implausible date","")</f>
        <v/>
      </c>
      <c r="J284" s="4" t="str">
        <f>IF(Customers!I284&gt;DATE(2026,9,13),"",IF(ABS(INT((DATE(2026,9,13)-Customers!I284)/365.25)-Customers!H284)&gt;1,"Date/tenure inconsistent",""))</f>
        <v/>
      </c>
      <c r="K284" s="4" t="str">
        <f>IF(COUNTIF(Customers!$A$2:$A$1001,Customers!A284)&gt;1,"Duplicate ID","")</f>
        <v/>
      </c>
      <c r="L284" s="4" t="str">
        <f>IF(COUNTIFS(Customers!$B$2:$B$1001,Customers!B284,Customers!$D$2:$D$1001,Customers!D284,Customers!$G$2:$G$1001,Customers!G284,Customers!$I$2:$I$1001,Customers!I284,Customers!$L$2:$L$1001,Customers!L284)&gt;1,"Duplicate record","")</f>
        <v/>
      </c>
      <c r="M284" s="4" t="str">
        <f>IF(OR(Customers!U284&lt;300,Customers!U284&gt;850),"Score out of range","")</f>
        <v/>
      </c>
      <c r="N284" s="4" t="str">
        <f>IF(AND(Customers!G284&lt;&gt;"",Customers!G284&lt;=0),"Income ≤ 0","")</f>
        <v/>
      </c>
      <c r="O284" s="4" t="str">
        <f>IF(OR(Customers!G284="",Customers!M284=""),"Missing value","")</f>
        <v/>
      </c>
      <c r="P284" s="4">
        <f t="shared" si="4"/>
        <v>0</v>
      </c>
    </row>
    <row r="285" spans="1:16" x14ac:dyDescent="0.25">
      <c r="A285" s="4" t="str">
        <f>Customers!A285</f>
        <v>CL00279</v>
      </c>
      <c r="B285" s="20">
        <f>IF(Customers!G285="","",(Customers!G285-Statistics!$C$7)/Statistics!$C$9)</f>
        <v>-4.9521368935197096E-2</v>
      </c>
      <c r="C285" s="4" t="str">
        <f>IF(Customers!G285="","",IF(OR(Customers!G285&lt;Statistics!$C$15,Customers!G285&gt;Statistics!$C$16),"Outside 1.5·IQR",""))</f>
        <v/>
      </c>
      <c r="D285" s="4" t="str">
        <f>IF(OR(Customers!B285&lt;18,Customers!B285&gt;100),"Implausible age","")</f>
        <v/>
      </c>
      <c r="E285" s="4" t="str">
        <f>IF(Customers!H285&gt;Customers!B285-18,"Tenure &gt; age-18","")</f>
        <v/>
      </c>
      <c r="F285" s="4" t="str">
        <f>IF(Customers!R285&gt;Customers!Q285,"Card spend &gt; limit","")</f>
        <v/>
      </c>
      <c r="G285" s="4" t="str">
        <f>IF(OR(AND(Customers!S285&gt;0,Customers!T285=0),AND(Customers!S285=0,Customers!T285&gt;0)),"Mortgage/payment inconsistent","")</f>
        <v/>
      </c>
      <c r="H285" s="4" t="str">
        <f>IF(AND(Customers!G285&lt;&gt;"",Customers!G285&gt;0,Customers!T285&gt;Customers!G285/12),"Payment &gt; monthly income","")</f>
        <v/>
      </c>
      <c r="I285" s="4" t="str">
        <f>IF(OR(Customers!I285&gt;DATE(2026,9,13),YEAR(Customers!I285)&lt;1980),"Implausible date","")</f>
        <v/>
      </c>
      <c r="J285" s="4" t="str">
        <f>IF(Customers!I285&gt;DATE(2026,9,13),"",IF(ABS(INT((DATE(2026,9,13)-Customers!I285)/365.25)-Customers!H285)&gt;1,"Date/tenure inconsistent",""))</f>
        <v/>
      </c>
      <c r="K285" s="4" t="str">
        <f>IF(COUNTIF(Customers!$A$2:$A$1001,Customers!A285)&gt;1,"Duplicate ID","")</f>
        <v/>
      </c>
      <c r="L285" s="4" t="str">
        <f>IF(COUNTIFS(Customers!$B$2:$B$1001,Customers!B285,Customers!$D$2:$D$1001,Customers!D285,Customers!$G$2:$G$1001,Customers!G285,Customers!$I$2:$I$1001,Customers!I285,Customers!$L$2:$L$1001,Customers!L285)&gt;1,"Duplicate record","")</f>
        <v/>
      </c>
      <c r="M285" s="4" t="str">
        <f>IF(OR(Customers!U285&lt;300,Customers!U285&gt;850),"Score out of range","")</f>
        <v/>
      </c>
      <c r="N285" s="4" t="str">
        <f>IF(AND(Customers!G285&lt;&gt;"",Customers!G285&lt;=0),"Income ≤ 0","")</f>
        <v/>
      </c>
      <c r="O285" s="4" t="str">
        <f>IF(OR(Customers!G285="",Customers!M285=""),"Missing value","")</f>
        <v/>
      </c>
      <c r="P285" s="4">
        <f t="shared" si="4"/>
        <v>0</v>
      </c>
    </row>
    <row r="286" spans="1:16" x14ac:dyDescent="0.25">
      <c r="A286" s="4" t="str">
        <f>Customers!A286</f>
        <v>CL00280</v>
      </c>
      <c r="B286" s="20">
        <f>IF(Customers!G286="","",(Customers!G286-Statistics!$C$7)/Statistics!$C$9)</f>
        <v>-5.4741462983963957E-2</v>
      </c>
      <c r="C286" s="4" t="str">
        <f>IF(Customers!G286="","",IF(OR(Customers!G286&lt;Statistics!$C$15,Customers!G286&gt;Statistics!$C$16),"Outside 1.5·IQR",""))</f>
        <v/>
      </c>
      <c r="D286" s="4" t="str">
        <f>IF(OR(Customers!B286&lt;18,Customers!B286&gt;100),"Implausible age","")</f>
        <v/>
      </c>
      <c r="E286" s="4" t="str">
        <f>IF(Customers!H286&gt;Customers!B286-18,"Tenure &gt; age-18","")</f>
        <v/>
      </c>
      <c r="F286" s="4" t="str">
        <f>IF(Customers!R286&gt;Customers!Q286,"Card spend &gt; limit","")</f>
        <v/>
      </c>
      <c r="G286" s="4" t="str">
        <f>IF(OR(AND(Customers!S286&gt;0,Customers!T286=0),AND(Customers!S286=0,Customers!T286&gt;0)),"Mortgage/payment inconsistent","")</f>
        <v/>
      </c>
      <c r="H286" s="4" t="str">
        <f>IF(AND(Customers!G286&lt;&gt;"",Customers!G286&gt;0,Customers!T286&gt;Customers!G286/12),"Payment &gt; monthly income","")</f>
        <v/>
      </c>
      <c r="I286" s="4" t="str">
        <f>IF(OR(Customers!I286&gt;DATE(2026,9,13),YEAR(Customers!I286)&lt;1980),"Implausible date","")</f>
        <v/>
      </c>
      <c r="J286" s="4" t="str">
        <f>IF(Customers!I286&gt;DATE(2026,9,13),"",IF(ABS(INT((DATE(2026,9,13)-Customers!I286)/365.25)-Customers!H286)&gt;1,"Date/tenure inconsistent",""))</f>
        <v/>
      </c>
      <c r="K286" s="4" t="str">
        <f>IF(COUNTIF(Customers!$A$2:$A$1001,Customers!A286)&gt;1,"Duplicate ID","")</f>
        <v/>
      </c>
      <c r="L286" s="4" t="str">
        <f>IF(COUNTIFS(Customers!$B$2:$B$1001,Customers!B286,Customers!$D$2:$D$1001,Customers!D286,Customers!$G$2:$G$1001,Customers!G286,Customers!$I$2:$I$1001,Customers!I286,Customers!$L$2:$L$1001,Customers!L286)&gt;1,"Duplicate record","")</f>
        <v/>
      </c>
      <c r="M286" s="4" t="str">
        <f>IF(OR(Customers!U286&lt;300,Customers!U286&gt;850),"Score out of range","")</f>
        <v/>
      </c>
      <c r="N286" s="4" t="str">
        <f>IF(AND(Customers!G286&lt;&gt;"",Customers!G286&lt;=0),"Income ≤ 0","")</f>
        <v/>
      </c>
      <c r="O286" s="4" t="str">
        <f>IF(OR(Customers!G286="",Customers!M286=""),"Missing value","")</f>
        <v/>
      </c>
      <c r="P286" s="4">
        <f t="shared" si="4"/>
        <v>0</v>
      </c>
    </row>
    <row r="287" spans="1:16" x14ac:dyDescent="0.25">
      <c r="A287" s="4" t="str">
        <f>Customers!A287</f>
        <v>CL00281</v>
      </c>
      <c r="B287" s="20">
        <f>IF(Customers!G287="","",(Customers!G287-Statistics!$C$7)/Statistics!$C$9)</f>
        <v>-4.9225891913568784E-2</v>
      </c>
      <c r="C287" s="4" t="str">
        <f>IF(Customers!G287="","",IF(OR(Customers!G287&lt;Statistics!$C$15,Customers!G287&gt;Statistics!$C$16),"Outside 1.5·IQR",""))</f>
        <v/>
      </c>
      <c r="D287" s="4" t="str">
        <f>IF(OR(Customers!B287&lt;18,Customers!B287&gt;100),"Implausible age","")</f>
        <v/>
      </c>
      <c r="E287" s="4" t="str">
        <f>IF(Customers!H287&gt;Customers!B287-18,"Tenure &gt; age-18","")</f>
        <v/>
      </c>
      <c r="F287" s="4" t="str">
        <f>IF(Customers!R287&gt;Customers!Q287,"Card spend &gt; limit","")</f>
        <v/>
      </c>
      <c r="G287" s="4" t="str">
        <f>IF(OR(AND(Customers!S287&gt;0,Customers!T287=0),AND(Customers!S287=0,Customers!T287&gt;0)),"Mortgage/payment inconsistent","")</f>
        <v/>
      </c>
      <c r="H287" s="4" t="str">
        <f>IF(AND(Customers!G287&lt;&gt;"",Customers!G287&gt;0,Customers!T287&gt;Customers!G287/12),"Payment &gt; monthly income","")</f>
        <v/>
      </c>
      <c r="I287" s="4" t="str">
        <f>IF(OR(Customers!I287&gt;DATE(2026,9,13),YEAR(Customers!I287)&lt;1980),"Implausible date","")</f>
        <v/>
      </c>
      <c r="J287" s="4" t="str">
        <f>IF(Customers!I287&gt;DATE(2026,9,13),"",IF(ABS(INT((DATE(2026,9,13)-Customers!I287)/365.25)-Customers!H287)&gt;1,"Date/tenure inconsistent",""))</f>
        <v/>
      </c>
      <c r="K287" s="4" t="str">
        <f>IF(COUNTIF(Customers!$A$2:$A$1001,Customers!A287)&gt;1,"Duplicate ID","")</f>
        <v/>
      </c>
      <c r="L287" s="4" t="str">
        <f>IF(COUNTIFS(Customers!$B$2:$B$1001,Customers!B287,Customers!$D$2:$D$1001,Customers!D287,Customers!$G$2:$G$1001,Customers!G287,Customers!$I$2:$I$1001,Customers!I287,Customers!$L$2:$L$1001,Customers!L287)&gt;1,"Duplicate record","")</f>
        <v/>
      </c>
      <c r="M287" s="4" t="str">
        <f>IF(OR(Customers!U287&lt;300,Customers!U287&gt;850),"Score out of range","")</f>
        <v/>
      </c>
      <c r="N287" s="4" t="str">
        <f>IF(AND(Customers!G287&lt;&gt;"",Customers!G287&lt;=0),"Income ≤ 0","")</f>
        <v/>
      </c>
      <c r="O287" s="4" t="str">
        <f>IF(OR(Customers!G287="",Customers!M287=""),"Missing value","")</f>
        <v/>
      </c>
      <c r="P287" s="4">
        <f t="shared" si="4"/>
        <v>0</v>
      </c>
    </row>
    <row r="288" spans="1:16" x14ac:dyDescent="0.25">
      <c r="A288" s="4" t="str">
        <f>Customers!A288</f>
        <v>CL00282</v>
      </c>
      <c r="B288" s="20">
        <f>IF(Customers!G288="","",(Customers!G288-Statistics!$C$7)/Statistics!$C$9)</f>
        <v>-3.5929425940294711E-2</v>
      </c>
      <c r="C288" s="4" t="str">
        <f>IF(Customers!G288="","",IF(OR(Customers!G288&lt;Statistics!$C$15,Customers!G288&gt;Statistics!$C$16),"Outside 1.5·IQR",""))</f>
        <v/>
      </c>
      <c r="D288" s="4" t="str">
        <f>IF(OR(Customers!B288&lt;18,Customers!B288&gt;100),"Implausible age","")</f>
        <v/>
      </c>
      <c r="E288" s="4" t="str">
        <f>IF(Customers!H288&gt;Customers!B288-18,"Tenure &gt; age-18","")</f>
        <v/>
      </c>
      <c r="F288" s="4" t="str">
        <f>IF(Customers!R288&gt;Customers!Q288,"Card spend &gt; limit","")</f>
        <v/>
      </c>
      <c r="G288" s="4" t="str">
        <f>IF(OR(AND(Customers!S288&gt;0,Customers!T288=0),AND(Customers!S288=0,Customers!T288&gt;0)),"Mortgage/payment inconsistent","")</f>
        <v/>
      </c>
      <c r="H288" s="4" t="str">
        <f>IF(AND(Customers!G288&lt;&gt;"",Customers!G288&gt;0,Customers!T288&gt;Customers!G288/12),"Payment &gt; monthly income","")</f>
        <v/>
      </c>
      <c r="I288" s="4" t="str">
        <f>IF(OR(Customers!I288&gt;DATE(2026,9,13),YEAR(Customers!I288)&lt;1980),"Implausible date","")</f>
        <v/>
      </c>
      <c r="J288" s="4" t="str">
        <f>IF(Customers!I288&gt;DATE(2026,9,13),"",IF(ABS(INT((DATE(2026,9,13)-Customers!I288)/365.25)-Customers!H288)&gt;1,"Date/tenure inconsistent",""))</f>
        <v/>
      </c>
      <c r="K288" s="4" t="str">
        <f>IF(COUNTIF(Customers!$A$2:$A$1001,Customers!A288)&gt;1,"Duplicate ID","")</f>
        <v/>
      </c>
      <c r="L288" s="4" t="str">
        <f>IF(COUNTIFS(Customers!$B$2:$B$1001,Customers!B288,Customers!$D$2:$D$1001,Customers!D288,Customers!$G$2:$G$1001,Customers!G288,Customers!$I$2:$I$1001,Customers!I288,Customers!$L$2:$L$1001,Customers!L288)&gt;1,"Duplicate record","")</f>
        <v/>
      </c>
      <c r="M288" s="4" t="str">
        <f>IF(OR(Customers!U288&lt;300,Customers!U288&gt;850),"Score out of range","")</f>
        <v/>
      </c>
      <c r="N288" s="4" t="str">
        <f>IF(AND(Customers!G288&lt;&gt;"",Customers!G288&lt;=0),"Income ≤ 0","")</f>
        <v/>
      </c>
      <c r="O288" s="4" t="str">
        <f>IF(OR(Customers!G288="",Customers!M288=""),"Missing value","")</f>
        <v/>
      </c>
      <c r="P288" s="4">
        <f t="shared" si="4"/>
        <v>0</v>
      </c>
    </row>
    <row r="289" spans="1:16" x14ac:dyDescent="0.25">
      <c r="A289" s="4" t="str">
        <f>Customers!A289</f>
        <v>CL00283</v>
      </c>
      <c r="B289" s="20">
        <f>IF(Customers!G289="","",(Customers!G289-Statistics!$C$7)/Statistics!$C$9)</f>
        <v>-1.1601817826230302E-2</v>
      </c>
      <c r="C289" s="4" t="str">
        <f>IF(Customers!G289="","",IF(OR(Customers!G289&lt;Statistics!$C$15,Customers!G289&gt;Statistics!$C$16),"Outside 1.5·IQR",""))</f>
        <v/>
      </c>
      <c r="D289" s="4" t="str">
        <f>IF(OR(Customers!B289&lt;18,Customers!B289&gt;100),"Implausible age","")</f>
        <v/>
      </c>
      <c r="E289" s="4" t="str">
        <f>IF(Customers!H289&gt;Customers!B289-18,"Tenure &gt; age-18","")</f>
        <v/>
      </c>
      <c r="F289" s="4" t="str">
        <f>IF(Customers!R289&gt;Customers!Q289,"Card spend &gt; limit","")</f>
        <v/>
      </c>
      <c r="G289" s="4" t="str">
        <f>IF(OR(AND(Customers!S289&gt;0,Customers!T289=0),AND(Customers!S289=0,Customers!T289&gt;0)),"Mortgage/payment inconsistent","")</f>
        <v/>
      </c>
      <c r="H289" s="4" t="str">
        <f>IF(AND(Customers!G289&lt;&gt;"",Customers!G289&gt;0,Customers!T289&gt;Customers!G289/12),"Payment &gt; monthly income","")</f>
        <v/>
      </c>
      <c r="I289" s="4" t="str">
        <f>IF(OR(Customers!I289&gt;DATE(2026,9,13),YEAR(Customers!I289)&lt;1980),"Implausible date","")</f>
        <v/>
      </c>
      <c r="J289" s="4" t="str">
        <f>IF(Customers!I289&gt;DATE(2026,9,13),"",IF(ABS(INT((DATE(2026,9,13)-Customers!I289)/365.25)-Customers!H289)&gt;1,"Date/tenure inconsistent",""))</f>
        <v/>
      </c>
      <c r="K289" s="4" t="str">
        <f>IF(COUNTIF(Customers!$A$2:$A$1001,Customers!A289)&gt;1,"Duplicate ID","")</f>
        <v/>
      </c>
      <c r="L289" s="4" t="str">
        <f>IF(COUNTIFS(Customers!$B$2:$B$1001,Customers!B289,Customers!$D$2:$D$1001,Customers!D289,Customers!$G$2:$G$1001,Customers!G289,Customers!$I$2:$I$1001,Customers!I289,Customers!$L$2:$L$1001,Customers!L289)&gt;1,"Duplicate record","")</f>
        <v/>
      </c>
      <c r="M289" s="4" t="str">
        <f>IF(OR(Customers!U289&lt;300,Customers!U289&gt;850),"Score out of range","")</f>
        <v/>
      </c>
      <c r="N289" s="4" t="str">
        <f>IF(AND(Customers!G289&lt;&gt;"",Customers!G289&lt;=0),"Income ≤ 0","")</f>
        <v/>
      </c>
      <c r="O289" s="4" t="str">
        <f>IF(OR(Customers!G289="",Customers!M289=""),"Missing value","")</f>
        <v/>
      </c>
      <c r="P289" s="4">
        <f t="shared" si="4"/>
        <v>0</v>
      </c>
    </row>
    <row r="290" spans="1:16" x14ac:dyDescent="0.25">
      <c r="A290" s="4" t="str">
        <f>Customers!A290</f>
        <v>CL00284</v>
      </c>
      <c r="B290" s="20">
        <f>IF(Customers!G290="","",(Customers!G290-Statistics!$C$7)/Statistics!$C$9)</f>
        <v>-4.3316351481002532E-2</v>
      </c>
      <c r="C290" s="4" t="str">
        <f>IF(Customers!G290="","",IF(OR(Customers!G290&lt;Statistics!$C$15,Customers!G290&gt;Statistics!$C$16),"Outside 1.5·IQR",""))</f>
        <v/>
      </c>
      <c r="D290" s="4" t="str">
        <f>IF(OR(Customers!B290&lt;18,Customers!B290&gt;100),"Implausible age","")</f>
        <v/>
      </c>
      <c r="E290" s="4" t="str">
        <f>IF(Customers!H290&gt;Customers!B290-18,"Tenure &gt; age-18","")</f>
        <v/>
      </c>
      <c r="F290" s="4" t="str">
        <f>IF(Customers!R290&gt;Customers!Q290,"Card spend &gt; limit","")</f>
        <v/>
      </c>
      <c r="G290" s="4" t="str">
        <f>IF(OR(AND(Customers!S290&gt;0,Customers!T290=0),AND(Customers!S290=0,Customers!T290&gt;0)),"Mortgage/payment inconsistent","")</f>
        <v/>
      </c>
      <c r="H290" s="4" t="str">
        <f>IF(AND(Customers!G290&lt;&gt;"",Customers!G290&gt;0,Customers!T290&gt;Customers!G290/12),"Payment &gt; monthly income","")</f>
        <v/>
      </c>
      <c r="I290" s="4" t="str">
        <f>IF(OR(Customers!I290&gt;DATE(2026,9,13),YEAR(Customers!I290)&lt;1980),"Implausible date","")</f>
        <v/>
      </c>
      <c r="J290" s="4" t="str">
        <f>IF(Customers!I290&gt;DATE(2026,9,13),"",IF(ABS(INT((DATE(2026,9,13)-Customers!I290)/365.25)-Customers!H290)&gt;1,"Date/tenure inconsistent",""))</f>
        <v/>
      </c>
      <c r="K290" s="4" t="str">
        <f>IF(COUNTIF(Customers!$A$2:$A$1001,Customers!A290)&gt;1,"Duplicate ID","")</f>
        <v/>
      </c>
      <c r="L290" s="4" t="str">
        <f>IF(COUNTIFS(Customers!$B$2:$B$1001,Customers!B290,Customers!$D$2:$D$1001,Customers!D290,Customers!$G$2:$G$1001,Customers!G290,Customers!$I$2:$I$1001,Customers!I290,Customers!$L$2:$L$1001,Customers!L290)&gt;1,"Duplicate record","")</f>
        <v/>
      </c>
      <c r="M290" s="4" t="str">
        <f>IF(OR(Customers!U290&lt;300,Customers!U290&gt;850),"Score out of range","")</f>
        <v/>
      </c>
      <c r="N290" s="4" t="str">
        <f>IF(AND(Customers!G290&lt;&gt;"",Customers!G290&lt;=0),"Income ≤ 0","")</f>
        <v/>
      </c>
      <c r="O290" s="4" t="str">
        <f>IF(OR(Customers!G290="",Customers!M290=""),"Missing value","")</f>
        <v/>
      </c>
      <c r="P290" s="4">
        <f t="shared" si="4"/>
        <v>0</v>
      </c>
    </row>
    <row r="291" spans="1:16" x14ac:dyDescent="0.25">
      <c r="A291" s="4" t="str">
        <f>Customers!A291</f>
        <v>CL00285</v>
      </c>
      <c r="B291" s="20">
        <f>IF(Customers!G291="","",(Customers!G291-Statistics!$C$7)/Statistics!$C$9)</f>
        <v>-6.8136421297780803E-2</v>
      </c>
      <c r="C291" s="4" t="str">
        <f>IF(Customers!G291="","",IF(OR(Customers!G291&lt;Statistics!$C$15,Customers!G291&gt;Statistics!$C$16),"Outside 1.5·IQR",""))</f>
        <v/>
      </c>
      <c r="D291" s="4" t="str">
        <f>IF(OR(Customers!B291&lt;18,Customers!B291&gt;100),"Implausible age","")</f>
        <v/>
      </c>
      <c r="E291" s="4" t="str">
        <f>IF(Customers!H291&gt;Customers!B291-18,"Tenure &gt; age-18","")</f>
        <v/>
      </c>
      <c r="F291" s="4" t="str">
        <f>IF(Customers!R291&gt;Customers!Q291,"Card spend &gt; limit","")</f>
        <v/>
      </c>
      <c r="G291" s="4" t="str">
        <f>IF(OR(AND(Customers!S291&gt;0,Customers!T291=0),AND(Customers!S291=0,Customers!T291&gt;0)),"Mortgage/payment inconsistent","")</f>
        <v/>
      </c>
      <c r="H291" s="4" t="str">
        <f>IF(AND(Customers!G291&lt;&gt;"",Customers!G291&gt;0,Customers!T291&gt;Customers!G291/12),"Payment &gt; monthly income","")</f>
        <v/>
      </c>
      <c r="I291" s="4" t="str">
        <f>IF(OR(Customers!I291&gt;DATE(2026,9,13),YEAR(Customers!I291)&lt;1980),"Implausible date","")</f>
        <v/>
      </c>
      <c r="J291" s="4" t="str">
        <f>IF(Customers!I291&gt;DATE(2026,9,13),"",IF(ABS(INT((DATE(2026,9,13)-Customers!I291)/365.25)-Customers!H291)&gt;1,"Date/tenure inconsistent",""))</f>
        <v/>
      </c>
      <c r="K291" s="4" t="str">
        <f>IF(COUNTIF(Customers!$A$2:$A$1001,Customers!A291)&gt;1,"Duplicate ID","")</f>
        <v/>
      </c>
      <c r="L291" s="4" t="str">
        <f>IF(COUNTIFS(Customers!$B$2:$B$1001,Customers!B291,Customers!$D$2:$D$1001,Customers!D291,Customers!$G$2:$G$1001,Customers!G291,Customers!$I$2:$I$1001,Customers!I291,Customers!$L$2:$L$1001,Customers!L291)&gt;1,"Duplicate record","")</f>
        <v/>
      </c>
      <c r="M291" s="4" t="str">
        <f>IF(OR(Customers!U291&lt;300,Customers!U291&gt;850),"Score out of range","")</f>
        <v/>
      </c>
      <c r="N291" s="4" t="str">
        <f>IF(AND(Customers!G291&lt;&gt;"",Customers!G291&lt;=0),"Income ≤ 0","")</f>
        <v/>
      </c>
      <c r="O291" s="4" t="str">
        <f>IF(OR(Customers!G291="",Customers!M291=""),"Missing value","")</f>
        <v/>
      </c>
      <c r="P291" s="4">
        <f t="shared" si="4"/>
        <v>0</v>
      </c>
    </row>
    <row r="292" spans="1:16" x14ac:dyDescent="0.25">
      <c r="A292" s="4" t="str">
        <f>Customers!A292</f>
        <v>CL00286</v>
      </c>
      <c r="B292" s="20">
        <f>IF(Customers!G292="","",(Customers!G292-Statistics!$C$7)/Statistics!$C$9)</f>
        <v>-2.470129911841883E-2</v>
      </c>
      <c r="C292" s="4" t="str">
        <f>IF(Customers!G292="","",IF(OR(Customers!G292&lt;Statistics!$C$15,Customers!G292&gt;Statistics!$C$16),"Outside 1.5·IQR",""))</f>
        <v/>
      </c>
      <c r="D292" s="4" t="str">
        <f>IF(OR(Customers!B292&lt;18,Customers!B292&gt;100),"Implausible age","")</f>
        <v/>
      </c>
      <c r="E292" s="4" t="str">
        <f>IF(Customers!H292&gt;Customers!B292-18,"Tenure &gt; age-18","")</f>
        <v/>
      </c>
      <c r="F292" s="4" t="str">
        <f>IF(Customers!R292&gt;Customers!Q292,"Card spend &gt; limit","")</f>
        <v/>
      </c>
      <c r="G292" s="4" t="str">
        <f>IF(OR(AND(Customers!S292&gt;0,Customers!T292=0),AND(Customers!S292=0,Customers!T292&gt;0)),"Mortgage/payment inconsistent","")</f>
        <v/>
      </c>
      <c r="H292" s="4" t="str">
        <f>IF(AND(Customers!G292&lt;&gt;"",Customers!G292&gt;0,Customers!T292&gt;Customers!G292/12),"Payment &gt; monthly income","")</f>
        <v/>
      </c>
      <c r="I292" s="4" t="str">
        <f>IF(OR(Customers!I292&gt;DATE(2026,9,13),YEAR(Customers!I292)&lt;1980),"Implausible date","")</f>
        <v/>
      </c>
      <c r="J292" s="4" t="str">
        <f>IF(Customers!I292&gt;DATE(2026,9,13),"",IF(ABS(INT((DATE(2026,9,13)-Customers!I292)/365.25)-Customers!H292)&gt;1,"Date/tenure inconsistent",""))</f>
        <v/>
      </c>
      <c r="K292" s="4" t="str">
        <f>IF(COUNTIF(Customers!$A$2:$A$1001,Customers!A292)&gt;1,"Duplicate ID","")</f>
        <v/>
      </c>
      <c r="L292" s="4" t="str">
        <f>IF(COUNTIFS(Customers!$B$2:$B$1001,Customers!B292,Customers!$D$2:$D$1001,Customers!D292,Customers!$G$2:$G$1001,Customers!G292,Customers!$I$2:$I$1001,Customers!I292,Customers!$L$2:$L$1001,Customers!L292)&gt;1,"Duplicate record","")</f>
        <v/>
      </c>
      <c r="M292" s="4" t="str">
        <f>IF(OR(Customers!U292&lt;300,Customers!U292&gt;850),"Score out of range","")</f>
        <v/>
      </c>
      <c r="N292" s="4" t="str">
        <f>IF(AND(Customers!G292&lt;&gt;"",Customers!G292&lt;=0),"Income ≤ 0","")</f>
        <v/>
      </c>
      <c r="O292" s="4" t="str">
        <f>IF(OR(Customers!G292="",Customers!M292=""),"Missing value","")</f>
        <v/>
      </c>
      <c r="P292" s="4">
        <f t="shared" si="4"/>
        <v>0</v>
      </c>
    </row>
    <row r="293" spans="1:16" x14ac:dyDescent="0.25">
      <c r="A293" s="4" t="str">
        <f>Customers!A293</f>
        <v>CL00287</v>
      </c>
      <c r="B293" s="20">
        <f>IF(Customers!G293="","",(Customers!G293-Statistics!$C$7)/Statistics!$C$9)</f>
        <v>-4.2232935735032048E-2</v>
      </c>
      <c r="C293" s="4" t="str">
        <f>IF(Customers!G293="","",IF(OR(Customers!G293&lt;Statistics!$C$15,Customers!G293&gt;Statistics!$C$16),"Outside 1.5·IQR",""))</f>
        <v/>
      </c>
      <c r="D293" s="4" t="str">
        <f>IF(OR(Customers!B293&lt;18,Customers!B293&gt;100),"Implausible age","")</f>
        <v/>
      </c>
      <c r="E293" s="4" t="str">
        <f>IF(Customers!H293&gt;Customers!B293-18,"Tenure &gt; age-18","")</f>
        <v/>
      </c>
      <c r="F293" s="4" t="str">
        <f>IF(Customers!R293&gt;Customers!Q293,"Card spend &gt; limit","")</f>
        <v/>
      </c>
      <c r="G293" s="4" t="str">
        <f>IF(OR(AND(Customers!S293&gt;0,Customers!T293=0),AND(Customers!S293=0,Customers!T293&gt;0)),"Mortgage/payment inconsistent","")</f>
        <v/>
      </c>
      <c r="H293" s="4" t="str">
        <f>IF(AND(Customers!G293&lt;&gt;"",Customers!G293&gt;0,Customers!T293&gt;Customers!G293/12),"Payment &gt; monthly income","")</f>
        <v/>
      </c>
      <c r="I293" s="4" t="str">
        <f>IF(OR(Customers!I293&gt;DATE(2026,9,13),YEAR(Customers!I293)&lt;1980),"Implausible date","")</f>
        <v/>
      </c>
      <c r="J293" s="4" t="str">
        <f>IF(Customers!I293&gt;DATE(2026,9,13),"",IF(ABS(INT((DATE(2026,9,13)-Customers!I293)/365.25)-Customers!H293)&gt;1,"Date/tenure inconsistent",""))</f>
        <v/>
      </c>
      <c r="K293" s="4" t="str">
        <f>IF(COUNTIF(Customers!$A$2:$A$1001,Customers!A293)&gt;1,"Duplicate ID","")</f>
        <v/>
      </c>
      <c r="L293" s="4" t="str">
        <f>IF(COUNTIFS(Customers!$B$2:$B$1001,Customers!B293,Customers!$D$2:$D$1001,Customers!D293,Customers!$G$2:$G$1001,Customers!G293,Customers!$I$2:$I$1001,Customers!I293,Customers!$L$2:$L$1001,Customers!L293)&gt;1,"Duplicate record","")</f>
        <v/>
      </c>
      <c r="M293" s="4" t="str">
        <f>IF(OR(Customers!U293&lt;300,Customers!U293&gt;850),"Score out of range","")</f>
        <v/>
      </c>
      <c r="N293" s="4" t="str">
        <f>IF(AND(Customers!G293&lt;&gt;"",Customers!G293&lt;=0),"Income ≤ 0","")</f>
        <v/>
      </c>
      <c r="O293" s="4" t="str">
        <f>IF(OR(Customers!G293="",Customers!M293=""),"Missing value","")</f>
        <v/>
      </c>
      <c r="P293" s="4">
        <f t="shared" si="4"/>
        <v>0</v>
      </c>
    </row>
    <row r="294" spans="1:16" x14ac:dyDescent="0.25">
      <c r="A294" s="4" t="str">
        <f>Customers!A294</f>
        <v>CL00288</v>
      </c>
      <c r="B294" s="20">
        <f>IF(Customers!G294="","",(Customers!G294-Statistics!$C$7)/Statistics!$C$9)</f>
        <v>-3.2876163383468812E-2</v>
      </c>
      <c r="C294" s="4" t="str">
        <f>IF(Customers!G294="","",IF(OR(Customers!G294&lt;Statistics!$C$15,Customers!G294&gt;Statistics!$C$16),"Outside 1.5·IQR",""))</f>
        <v/>
      </c>
      <c r="D294" s="4" t="str">
        <f>IF(OR(Customers!B294&lt;18,Customers!B294&gt;100),"Implausible age","")</f>
        <v/>
      </c>
      <c r="E294" s="4" t="str">
        <f>IF(Customers!H294&gt;Customers!B294-18,"Tenure &gt; age-18","")</f>
        <v/>
      </c>
      <c r="F294" s="4" t="str">
        <f>IF(Customers!R294&gt;Customers!Q294,"Card spend &gt; limit","")</f>
        <v/>
      </c>
      <c r="G294" s="4" t="str">
        <f>IF(OR(AND(Customers!S294&gt;0,Customers!T294=0),AND(Customers!S294=0,Customers!T294&gt;0)),"Mortgage/payment inconsistent","")</f>
        <v/>
      </c>
      <c r="H294" s="4" t="str">
        <f>IF(AND(Customers!G294&lt;&gt;"",Customers!G294&gt;0,Customers!T294&gt;Customers!G294/12),"Payment &gt; monthly income","")</f>
        <v/>
      </c>
      <c r="I294" s="4" t="str">
        <f>IF(OR(Customers!I294&gt;DATE(2026,9,13),YEAR(Customers!I294)&lt;1980),"Implausible date","")</f>
        <v/>
      </c>
      <c r="J294" s="4" t="str">
        <f>IF(Customers!I294&gt;DATE(2026,9,13),"",IF(ABS(INT((DATE(2026,9,13)-Customers!I294)/365.25)-Customers!H294)&gt;1,"Date/tenure inconsistent",""))</f>
        <v/>
      </c>
      <c r="K294" s="4" t="str">
        <f>IF(COUNTIF(Customers!$A$2:$A$1001,Customers!A294)&gt;1,"Duplicate ID","")</f>
        <v/>
      </c>
      <c r="L294" s="4" t="str">
        <f>IF(COUNTIFS(Customers!$B$2:$B$1001,Customers!B294,Customers!$D$2:$D$1001,Customers!D294,Customers!$G$2:$G$1001,Customers!G294,Customers!$I$2:$I$1001,Customers!I294,Customers!$L$2:$L$1001,Customers!L294)&gt;1,"Duplicate record","")</f>
        <v/>
      </c>
      <c r="M294" s="4" t="str">
        <f>IF(OR(Customers!U294&lt;300,Customers!U294&gt;850),"Score out of range","")</f>
        <v/>
      </c>
      <c r="N294" s="4" t="str">
        <f>IF(AND(Customers!G294&lt;&gt;"",Customers!G294&lt;=0),"Income ≤ 0","")</f>
        <v/>
      </c>
      <c r="O294" s="4" t="str">
        <f>IF(OR(Customers!G294="",Customers!M294=""),"Missing value","")</f>
        <v/>
      </c>
      <c r="P294" s="4">
        <f t="shared" si="4"/>
        <v>0</v>
      </c>
    </row>
    <row r="295" spans="1:16" x14ac:dyDescent="0.25">
      <c r="A295" s="4" t="str">
        <f>Customers!A295</f>
        <v>CL00289</v>
      </c>
      <c r="B295" s="20">
        <f>IF(Customers!G295="","",(Customers!G295-Statistics!$C$7)/Statistics!$C$9)</f>
        <v>-2.9625916145557374E-2</v>
      </c>
      <c r="C295" s="4" t="str">
        <f>IF(Customers!G295="","",IF(OR(Customers!G295&lt;Statistics!$C$15,Customers!G295&gt;Statistics!$C$16),"Outside 1.5·IQR",""))</f>
        <v/>
      </c>
      <c r="D295" s="4" t="str">
        <f>IF(OR(Customers!B295&lt;18,Customers!B295&gt;100),"Implausible age","")</f>
        <v/>
      </c>
      <c r="E295" s="4" t="str">
        <f>IF(Customers!H295&gt;Customers!B295-18,"Tenure &gt; age-18","")</f>
        <v/>
      </c>
      <c r="F295" s="4" t="str">
        <f>IF(Customers!R295&gt;Customers!Q295,"Card spend &gt; limit","")</f>
        <v/>
      </c>
      <c r="G295" s="4" t="str">
        <f>IF(OR(AND(Customers!S295&gt;0,Customers!T295=0),AND(Customers!S295=0,Customers!T295&gt;0)),"Mortgage/payment inconsistent","")</f>
        <v/>
      </c>
      <c r="H295" s="4" t="str">
        <f>IF(AND(Customers!G295&lt;&gt;"",Customers!G295&gt;0,Customers!T295&gt;Customers!G295/12),"Payment &gt; monthly income","")</f>
        <v/>
      </c>
      <c r="I295" s="4" t="str">
        <f>IF(OR(Customers!I295&gt;DATE(2026,9,13),YEAR(Customers!I295)&lt;1980),"Implausible date","")</f>
        <v/>
      </c>
      <c r="J295" s="4" t="str">
        <f>IF(Customers!I295&gt;DATE(2026,9,13),"",IF(ABS(INT((DATE(2026,9,13)-Customers!I295)/365.25)-Customers!H295)&gt;1,"Date/tenure inconsistent",""))</f>
        <v/>
      </c>
      <c r="K295" s="4" t="str">
        <f>IF(COUNTIF(Customers!$A$2:$A$1001,Customers!A295)&gt;1,"Duplicate ID","")</f>
        <v/>
      </c>
      <c r="L295" s="4" t="str">
        <f>IF(COUNTIFS(Customers!$B$2:$B$1001,Customers!B295,Customers!$D$2:$D$1001,Customers!D295,Customers!$G$2:$G$1001,Customers!G295,Customers!$I$2:$I$1001,Customers!I295,Customers!$L$2:$L$1001,Customers!L295)&gt;1,"Duplicate record","")</f>
        <v/>
      </c>
      <c r="M295" s="4" t="str">
        <f>IF(OR(Customers!U295&lt;300,Customers!U295&gt;850),"Score out of range","")</f>
        <v/>
      </c>
      <c r="N295" s="4" t="str">
        <f>IF(AND(Customers!G295&lt;&gt;"",Customers!G295&lt;=0),"Income ≤ 0","")</f>
        <v/>
      </c>
      <c r="O295" s="4" t="str">
        <f>IF(OR(Customers!G295="",Customers!M295=""),"Missing value","")</f>
        <v/>
      </c>
      <c r="P295" s="4">
        <f t="shared" si="4"/>
        <v>0</v>
      </c>
    </row>
    <row r="296" spans="1:16" x14ac:dyDescent="0.25">
      <c r="A296" s="4" t="str">
        <f>Customers!A296</f>
        <v>CL00290</v>
      </c>
      <c r="B296" s="20">
        <f>IF(Customers!G296="","",(Customers!G296-Statistics!$C$7)/Statistics!$C$9)</f>
        <v>-4.3710320843173611E-2</v>
      </c>
      <c r="C296" s="4" t="str">
        <f>IF(Customers!G296="","",IF(OR(Customers!G296&lt;Statistics!$C$15,Customers!G296&gt;Statistics!$C$16),"Outside 1.5·IQR",""))</f>
        <v/>
      </c>
      <c r="D296" s="4" t="str">
        <f>IF(OR(Customers!B296&lt;18,Customers!B296&gt;100),"Implausible age","")</f>
        <v/>
      </c>
      <c r="E296" s="4" t="str">
        <f>IF(Customers!H296&gt;Customers!B296-18,"Tenure &gt; age-18","")</f>
        <v/>
      </c>
      <c r="F296" s="4" t="str">
        <f>IF(Customers!R296&gt;Customers!Q296,"Card spend &gt; limit","")</f>
        <v/>
      </c>
      <c r="G296" s="4" t="str">
        <f>IF(OR(AND(Customers!S296&gt;0,Customers!T296=0),AND(Customers!S296=0,Customers!T296&gt;0)),"Mortgage/payment inconsistent","")</f>
        <v/>
      </c>
      <c r="H296" s="4" t="str">
        <f>IF(AND(Customers!G296&lt;&gt;"",Customers!G296&gt;0,Customers!T296&gt;Customers!G296/12),"Payment &gt; monthly income","")</f>
        <v/>
      </c>
      <c r="I296" s="4" t="str">
        <f>IF(OR(Customers!I296&gt;DATE(2026,9,13),YEAR(Customers!I296)&lt;1980),"Implausible date","")</f>
        <v/>
      </c>
      <c r="J296" s="4" t="str">
        <f>IF(Customers!I296&gt;DATE(2026,9,13),"",IF(ABS(INT((DATE(2026,9,13)-Customers!I296)/365.25)-Customers!H296)&gt;1,"Date/tenure inconsistent",""))</f>
        <v/>
      </c>
      <c r="K296" s="4" t="str">
        <f>IF(COUNTIF(Customers!$A$2:$A$1001,Customers!A296)&gt;1,"Duplicate ID","")</f>
        <v/>
      </c>
      <c r="L296" s="4" t="str">
        <f>IF(COUNTIFS(Customers!$B$2:$B$1001,Customers!B296,Customers!$D$2:$D$1001,Customers!D296,Customers!$G$2:$G$1001,Customers!G296,Customers!$I$2:$I$1001,Customers!I296,Customers!$L$2:$L$1001,Customers!L296)&gt;1,"Duplicate record","")</f>
        <v/>
      </c>
      <c r="M296" s="4" t="str">
        <f>IF(OR(Customers!U296&lt;300,Customers!U296&gt;850),"Score out of range","")</f>
        <v/>
      </c>
      <c r="N296" s="4" t="str">
        <f>IF(AND(Customers!G296&lt;&gt;"",Customers!G296&lt;=0),"Income ≤ 0","")</f>
        <v/>
      </c>
      <c r="O296" s="4" t="str">
        <f>IF(OR(Customers!G296="",Customers!M296=""),"Missing value","")</f>
        <v/>
      </c>
      <c r="P296" s="4">
        <f t="shared" si="4"/>
        <v>0</v>
      </c>
    </row>
    <row r="297" spans="1:16" x14ac:dyDescent="0.25">
      <c r="A297" s="4" t="str">
        <f>Customers!A297</f>
        <v>CL00291</v>
      </c>
      <c r="B297" s="20">
        <f>IF(Customers!G297="","",(Customers!G297-Statistics!$C$7)/Statistics!$C$9)</f>
        <v>-3.6224902961923024E-2</v>
      </c>
      <c r="C297" s="4" t="str">
        <f>IF(Customers!G297="","",IF(OR(Customers!G297&lt;Statistics!$C$15,Customers!G297&gt;Statistics!$C$16),"Outside 1.5·IQR",""))</f>
        <v/>
      </c>
      <c r="D297" s="4" t="str">
        <f>IF(OR(Customers!B297&lt;18,Customers!B297&gt;100),"Implausible age","")</f>
        <v/>
      </c>
      <c r="E297" s="4" t="str">
        <f>IF(Customers!H297&gt;Customers!B297-18,"Tenure &gt; age-18","")</f>
        <v/>
      </c>
      <c r="F297" s="4" t="str">
        <f>IF(Customers!R297&gt;Customers!Q297,"Card spend &gt; limit","")</f>
        <v/>
      </c>
      <c r="G297" s="4" t="str">
        <f>IF(OR(AND(Customers!S297&gt;0,Customers!T297=0),AND(Customers!S297=0,Customers!T297&gt;0)),"Mortgage/payment inconsistent","")</f>
        <v/>
      </c>
      <c r="H297" s="4" t="str">
        <f>IF(AND(Customers!G297&lt;&gt;"",Customers!G297&gt;0,Customers!T297&gt;Customers!G297/12),"Payment &gt; monthly income","")</f>
        <v/>
      </c>
      <c r="I297" s="4" t="str">
        <f>IF(OR(Customers!I297&gt;DATE(2026,9,13),YEAR(Customers!I297)&lt;1980),"Implausible date","")</f>
        <v/>
      </c>
      <c r="J297" s="4" t="str">
        <f>IF(Customers!I297&gt;DATE(2026,9,13),"",IF(ABS(INT((DATE(2026,9,13)-Customers!I297)/365.25)-Customers!H297)&gt;1,"Date/tenure inconsistent",""))</f>
        <v/>
      </c>
      <c r="K297" s="4" t="str">
        <f>IF(COUNTIF(Customers!$A$2:$A$1001,Customers!A297)&gt;1,"Duplicate ID","")</f>
        <v/>
      </c>
      <c r="L297" s="4" t="str">
        <f>IF(COUNTIFS(Customers!$B$2:$B$1001,Customers!B297,Customers!$D$2:$D$1001,Customers!D297,Customers!$G$2:$G$1001,Customers!G297,Customers!$I$2:$I$1001,Customers!I297,Customers!$L$2:$L$1001,Customers!L297)&gt;1,"Duplicate record","")</f>
        <v/>
      </c>
      <c r="M297" s="4" t="str">
        <f>IF(OR(Customers!U297&lt;300,Customers!U297&gt;850),"Score out of range","")</f>
        <v/>
      </c>
      <c r="N297" s="4" t="str">
        <f>IF(AND(Customers!G297&lt;&gt;"",Customers!G297&lt;=0),"Income ≤ 0","")</f>
        <v/>
      </c>
      <c r="O297" s="4" t="str">
        <f>IF(OR(Customers!G297="",Customers!M297=""),"Missing value","")</f>
        <v/>
      </c>
      <c r="P297" s="4">
        <f t="shared" si="4"/>
        <v>0</v>
      </c>
    </row>
    <row r="298" spans="1:16" x14ac:dyDescent="0.25">
      <c r="A298" s="4" t="str">
        <f>Customers!A298</f>
        <v>CL00292</v>
      </c>
      <c r="B298" s="20">
        <f>IF(Customers!G298="","",(Customers!G298-Statistics!$C$7)/Statistics!$C$9)</f>
        <v>-3.001988550772846E-2</v>
      </c>
      <c r="C298" s="4" t="str">
        <f>IF(Customers!G298="","",IF(OR(Customers!G298&lt;Statistics!$C$15,Customers!G298&gt;Statistics!$C$16),"Outside 1.5·IQR",""))</f>
        <v/>
      </c>
      <c r="D298" s="4" t="str">
        <f>IF(OR(Customers!B298&lt;18,Customers!B298&gt;100),"Implausible age","")</f>
        <v/>
      </c>
      <c r="E298" s="4" t="str">
        <f>IF(Customers!H298&gt;Customers!B298-18,"Tenure &gt; age-18","")</f>
        <v/>
      </c>
      <c r="F298" s="4" t="str">
        <f>IF(Customers!R298&gt;Customers!Q298,"Card spend &gt; limit","")</f>
        <v/>
      </c>
      <c r="G298" s="4" t="str">
        <f>IF(OR(AND(Customers!S298&gt;0,Customers!T298=0),AND(Customers!S298=0,Customers!T298&gt;0)),"Mortgage/payment inconsistent","")</f>
        <v/>
      </c>
      <c r="H298" s="4" t="str">
        <f>IF(AND(Customers!G298&lt;&gt;"",Customers!G298&gt;0,Customers!T298&gt;Customers!G298/12),"Payment &gt; monthly income","")</f>
        <v/>
      </c>
      <c r="I298" s="4" t="str">
        <f>IF(OR(Customers!I298&gt;DATE(2026,9,13),YEAR(Customers!I298)&lt;1980),"Implausible date","")</f>
        <v/>
      </c>
      <c r="J298" s="4" t="str">
        <f>IF(Customers!I298&gt;DATE(2026,9,13),"",IF(ABS(INT((DATE(2026,9,13)-Customers!I298)/365.25)-Customers!H298)&gt;1,"Date/tenure inconsistent",""))</f>
        <v/>
      </c>
      <c r="K298" s="4" t="str">
        <f>IF(COUNTIF(Customers!$A$2:$A$1001,Customers!A298)&gt;1,"Duplicate ID","")</f>
        <v/>
      </c>
      <c r="L298" s="4" t="str">
        <f>IF(COUNTIFS(Customers!$B$2:$B$1001,Customers!B298,Customers!$D$2:$D$1001,Customers!D298,Customers!$G$2:$G$1001,Customers!G298,Customers!$I$2:$I$1001,Customers!I298,Customers!$L$2:$L$1001,Customers!L298)&gt;1,"Duplicate record","")</f>
        <v/>
      </c>
      <c r="M298" s="4" t="str">
        <f>IF(OR(Customers!U298&lt;300,Customers!U298&gt;850),"Score out of range","")</f>
        <v/>
      </c>
      <c r="N298" s="4" t="str">
        <f>IF(AND(Customers!G298&lt;&gt;"",Customers!G298&lt;=0),"Income ≤ 0","")</f>
        <v/>
      </c>
      <c r="O298" s="4" t="str">
        <f>IF(OR(Customers!G298="",Customers!M298=""),"Missing value","")</f>
        <v/>
      </c>
      <c r="P298" s="4">
        <f t="shared" si="4"/>
        <v>0</v>
      </c>
    </row>
    <row r="299" spans="1:16" x14ac:dyDescent="0.25">
      <c r="A299" s="4" t="str">
        <f>Customers!A299</f>
        <v>CL00293</v>
      </c>
      <c r="B299" s="20">
        <f>IF(Customers!G299="","",(Customers!G299-Statistics!$C$7)/Statistics!$C$9)</f>
        <v>-4.6074137016200112E-2</v>
      </c>
      <c r="C299" s="4" t="str">
        <f>IF(Customers!G299="","",IF(OR(Customers!G299&lt;Statistics!$C$15,Customers!G299&gt;Statistics!$C$16),"Outside 1.5·IQR",""))</f>
        <v/>
      </c>
      <c r="D299" s="4" t="str">
        <f>IF(OR(Customers!B299&lt;18,Customers!B299&gt;100),"Implausible age","")</f>
        <v/>
      </c>
      <c r="E299" s="4" t="str">
        <f>IF(Customers!H299&gt;Customers!B299-18,"Tenure &gt; age-18","")</f>
        <v/>
      </c>
      <c r="F299" s="4" t="str">
        <f>IF(Customers!R299&gt;Customers!Q299,"Card spend &gt; limit","")</f>
        <v/>
      </c>
      <c r="G299" s="4" t="str">
        <f>IF(OR(AND(Customers!S299&gt;0,Customers!T299=0),AND(Customers!S299=0,Customers!T299&gt;0)),"Mortgage/payment inconsistent","")</f>
        <v/>
      </c>
      <c r="H299" s="4" t="str">
        <f>IF(AND(Customers!G299&lt;&gt;"",Customers!G299&gt;0,Customers!T299&gt;Customers!G299/12),"Payment &gt; monthly income","")</f>
        <v/>
      </c>
      <c r="I299" s="4" t="str">
        <f>IF(OR(Customers!I299&gt;DATE(2026,9,13),YEAR(Customers!I299)&lt;1980),"Implausible date","")</f>
        <v/>
      </c>
      <c r="J299" s="4" t="str">
        <f>IF(Customers!I299&gt;DATE(2026,9,13),"",IF(ABS(INT((DATE(2026,9,13)-Customers!I299)/365.25)-Customers!H299)&gt;1,"Date/tenure inconsistent",""))</f>
        <v/>
      </c>
      <c r="K299" s="4" t="str">
        <f>IF(COUNTIF(Customers!$A$2:$A$1001,Customers!A299)&gt;1,"Duplicate ID","")</f>
        <v/>
      </c>
      <c r="L299" s="4" t="str">
        <f>IF(COUNTIFS(Customers!$B$2:$B$1001,Customers!B299,Customers!$D$2:$D$1001,Customers!D299,Customers!$G$2:$G$1001,Customers!G299,Customers!$I$2:$I$1001,Customers!I299,Customers!$L$2:$L$1001,Customers!L299)&gt;1,"Duplicate record","")</f>
        <v/>
      </c>
      <c r="M299" s="4" t="str">
        <f>IF(OR(Customers!U299&lt;300,Customers!U299&gt;850),"Score out of range","")</f>
        <v/>
      </c>
      <c r="N299" s="4" t="str">
        <f>IF(AND(Customers!G299&lt;&gt;"",Customers!G299&lt;=0),"Income ≤ 0","")</f>
        <v/>
      </c>
      <c r="O299" s="4" t="str">
        <f>IF(OR(Customers!G299="",Customers!M299=""),"Missing value","")</f>
        <v/>
      </c>
      <c r="P299" s="4">
        <f t="shared" si="4"/>
        <v>0</v>
      </c>
    </row>
    <row r="300" spans="1:16" x14ac:dyDescent="0.25">
      <c r="A300" s="4" t="str">
        <f>Customers!A300</f>
        <v>CL00294</v>
      </c>
      <c r="B300" s="20">
        <f>IF(Customers!G300="","",(Customers!G300-Statistics!$C$7)/Statistics!$C$9)</f>
        <v>-5.3461062556907933E-2</v>
      </c>
      <c r="C300" s="4" t="str">
        <f>IF(Customers!G300="","",IF(OR(Customers!G300&lt;Statistics!$C$15,Customers!G300&gt;Statistics!$C$16),"Outside 1.5·IQR",""))</f>
        <v/>
      </c>
      <c r="D300" s="4" t="str">
        <f>IF(OR(Customers!B300&lt;18,Customers!B300&gt;100),"Implausible age","")</f>
        <v/>
      </c>
      <c r="E300" s="4" t="str">
        <f>IF(Customers!H300&gt;Customers!B300-18,"Tenure &gt; age-18","")</f>
        <v/>
      </c>
      <c r="F300" s="4" t="str">
        <f>IF(Customers!R300&gt;Customers!Q300,"Card spend &gt; limit","")</f>
        <v/>
      </c>
      <c r="G300" s="4" t="str">
        <f>IF(OR(AND(Customers!S300&gt;0,Customers!T300=0),AND(Customers!S300=0,Customers!T300&gt;0)),"Mortgage/payment inconsistent","")</f>
        <v/>
      </c>
      <c r="H300" s="4" t="str">
        <f>IF(AND(Customers!G300&lt;&gt;"",Customers!G300&gt;0,Customers!T300&gt;Customers!G300/12),"Payment &gt; monthly income","")</f>
        <v/>
      </c>
      <c r="I300" s="4" t="str">
        <f>IF(OR(Customers!I300&gt;DATE(2026,9,13),YEAR(Customers!I300)&lt;1980),"Implausible date","")</f>
        <v/>
      </c>
      <c r="J300" s="4" t="str">
        <f>IF(Customers!I300&gt;DATE(2026,9,13),"",IF(ABS(INT((DATE(2026,9,13)-Customers!I300)/365.25)-Customers!H300)&gt;1,"Date/tenure inconsistent",""))</f>
        <v/>
      </c>
      <c r="K300" s="4" t="str">
        <f>IF(COUNTIF(Customers!$A$2:$A$1001,Customers!A300)&gt;1,"Duplicate ID","")</f>
        <v/>
      </c>
      <c r="L300" s="4" t="str">
        <f>IF(COUNTIFS(Customers!$B$2:$B$1001,Customers!B300,Customers!$D$2:$D$1001,Customers!D300,Customers!$G$2:$G$1001,Customers!G300,Customers!$I$2:$I$1001,Customers!I300,Customers!$L$2:$L$1001,Customers!L300)&gt;1,"Duplicate record","")</f>
        <v/>
      </c>
      <c r="M300" s="4" t="str">
        <f>IF(OR(Customers!U300&lt;300,Customers!U300&gt;850),"Score out of range","")</f>
        <v/>
      </c>
      <c r="N300" s="4" t="str">
        <f>IF(AND(Customers!G300&lt;&gt;"",Customers!G300&lt;=0),"Income ≤ 0","")</f>
        <v/>
      </c>
      <c r="O300" s="4" t="str">
        <f>IF(OR(Customers!G300="",Customers!M300=""),"Missing value","")</f>
        <v/>
      </c>
      <c r="P300" s="4">
        <f t="shared" si="4"/>
        <v>0</v>
      </c>
    </row>
    <row r="301" spans="1:16" x14ac:dyDescent="0.25">
      <c r="A301" s="4" t="str">
        <f>Customers!A301</f>
        <v>CL00295</v>
      </c>
      <c r="B301" s="20">
        <f>IF(Customers!G301="","",(Customers!G301-Statistics!$C$7)/Statistics!$C$9)</f>
        <v>-6.7151497892353085E-2</v>
      </c>
      <c r="C301" s="4" t="str">
        <f>IF(Customers!G301="","",IF(OR(Customers!G301&lt;Statistics!$C$15,Customers!G301&gt;Statistics!$C$16),"Outside 1.5·IQR",""))</f>
        <v/>
      </c>
      <c r="D301" s="4" t="str">
        <f>IF(OR(Customers!B301&lt;18,Customers!B301&gt;100),"Implausible age","")</f>
        <v/>
      </c>
      <c r="E301" s="4" t="str">
        <f>IF(Customers!H301&gt;Customers!B301-18,"Tenure &gt; age-18","")</f>
        <v/>
      </c>
      <c r="F301" s="4" t="str">
        <f>IF(Customers!R301&gt;Customers!Q301,"Card spend &gt; limit","")</f>
        <v/>
      </c>
      <c r="G301" s="4" t="str">
        <f>IF(OR(AND(Customers!S301&gt;0,Customers!T301=0),AND(Customers!S301=0,Customers!T301&gt;0)),"Mortgage/payment inconsistent","")</f>
        <v/>
      </c>
      <c r="H301" s="4" t="str">
        <f>IF(AND(Customers!G301&lt;&gt;"",Customers!G301&gt;0,Customers!T301&gt;Customers!G301/12),"Payment &gt; monthly income","")</f>
        <v/>
      </c>
      <c r="I301" s="4" t="str">
        <f>IF(OR(Customers!I301&gt;DATE(2026,9,13),YEAR(Customers!I301)&lt;1980),"Implausible date","")</f>
        <v/>
      </c>
      <c r="J301" s="4" t="str">
        <f>IF(Customers!I301&gt;DATE(2026,9,13),"",IF(ABS(INT((DATE(2026,9,13)-Customers!I301)/365.25)-Customers!H301)&gt;1,"Date/tenure inconsistent",""))</f>
        <v/>
      </c>
      <c r="K301" s="4" t="str">
        <f>IF(COUNTIF(Customers!$A$2:$A$1001,Customers!A301)&gt;1,"Duplicate ID","")</f>
        <v/>
      </c>
      <c r="L301" s="4" t="str">
        <f>IF(COUNTIFS(Customers!$B$2:$B$1001,Customers!B301,Customers!$D$2:$D$1001,Customers!D301,Customers!$G$2:$G$1001,Customers!G301,Customers!$I$2:$I$1001,Customers!I301,Customers!$L$2:$L$1001,Customers!L301)&gt;1,"Duplicate record","")</f>
        <v/>
      </c>
      <c r="M301" s="4" t="str">
        <f>IF(OR(Customers!U301&lt;300,Customers!U301&gt;850),"Score out of range","")</f>
        <v/>
      </c>
      <c r="N301" s="4" t="str">
        <f>IF(AND(Customers!G301&lt;&gt;"",Customers!G301&lt;=0),"Income ≤ 0","")</f>
        <v/>
      </c>
      <c r="O301" s="4" t="str">
        <f>IF(OR(Customers!G301="",Customers!M301=""),"Missing value","")</f>
        <v/>
      </c>
      <c r="P301" s="4">
        <f t="shared" si="4"/>
        <v>0</v>
      </c>
    </row>
    <row r="302" spans="1:16" x14ac:dyDescent="0.25">
      <c r="A302" s="4" t="str">
        <f>Customers!A302</f>
        <v>CL00296</v>
      </c>
      <c r="B302" s="20">
        <f>IF(Customers!G302="","",(Customers!G302-Statistics!$C$7)/Statistics!$C$9)</f>
        <v>-3.9672134880920008E-2</v>
      </c>
      <c r="C302" s="4" t="str">
        <f>IF(Customers!G302="","",IF(OR(Customers!G302&lt;Statistics!$C$15,Customers!G302&gt;Statistics!$C$16),"Outside 1.5·IQR",""))</f>
        <v/>
      </c>
      <c r="D302" s="4" t="str">
        <f>IF(OR(Customers!B302&lt;18,Customers!B302&gt;100),"Implausible age","")</f>
        <v/>
      </c>
      <c r="E302" s="4" t="str">
        <f>IF(Customers!H302&gt;Customers!B302-18,"Tenure &gt; age-18","")</f>
        <v/>
      </c>
      <c r="F302" s="4" t="str">
        <f>IF(Customers!R302&gt;Customers!Q302,"Card spend &gt; limit","")</f>
        <v/>
      </c>
      <c r="G302" s="4" t="str">
        <f>IF(OR(AND(Customers!S302&gt;0,Customers!T302=0),AND(Customers!S302=0,Customers!T302&gt;0)),"Mortgage/payment inconsistent","")</f>
        <v/>
      </c>
      <c r="H302" s="4" t="str">
        <f>IF(AND(Customers!G302&lt;&gt;"",Customers!G302&gt;0,Customers!T302&gt;Customers!G302/12),"Payment &gt; monthly income","")</f>
        <v/>
      </c>
      <c r="I302" s="4" t="str">
        <f>IF(OR(Customers!I302&gt;DATE(2026,9,13),YEAR(Customers!I302)&lt;1980),"Implausible date","")</f>
        <v>Implausible date</v>
      </c>
      <c r="J302" s="4" t="str">
        <f>IF(Customers!I302&gt;DATE(2026,9,13),"",IF(ABS(INT((DATE(2026,9,13)-Customers!I302)/365.25)-Customers!H302)&gt;1,"Date/tenure inconsistent",""))</f>
        <v/>
      </c>
      <c r="K302" s="4" t="str">
        <f>IF(COUNTIF(Customers!$A$2:$A$1001,Customers!A302)&gt;1,"Duplicate ID","")</f>
        <v/>
      </c>
      <c r="L302" s="4" t="str">
        <f>IF(COUNTIFS(Customers!$B$2:$B$1001,Customers!B302,Customers!$D$2:$D$1001,Customers!D302,Customers!$G$2:$G$1001,Customers!G302,Customers!$I$2:$I$1001,Customers!I302,Customers!$L$2:$L$1001,Customers!L302)&gt;1,"Duplicate record","")</f>
        <v/>
      </c>
      <c r="M302" s="4" t="str">
        <f>IF(OR(Customers!U302&lt;300,Customers!U302&gt;850),"Score out of range","")</f>
        <v/>
      </c>
      <c r="N302" s="4" t="str">
        <f>IF(AND(Customers!G302&lt;&gt;"",Customers!G302&lt;=0),"Income ≤ 0","")</f>
        <v/>
      </c>
      <c r="O302" s="4" t="str">
        <f>IF(OR(Customers!G302="",Customers!M302=""),"Missing value","")</f>
        <v/>
      </c>
      <c r="P302" s="4">
        <f t="shared" si="4"/>
        <v>1</v>
      </c>
    </row>
    <row r="303" spans="1:16" x14ac:dyDescent="0.25">
      <c r="A303" s="4" t="str">
        <f>Customers!A303</f>
        <v>CL00297</v>
      </c>
      <c r="B303" s="20">
        <f>IF(Customers!G303="","",(Customers!G303-Statistics!$C$7)/Statistics!$C$9)</f>
        <v>-5.0506292340624807E-2</v>
      </c>
      <c r="C303" s="4" t="str">
        <f>IF(Customers!G303="","",IF(OR(Customers!G303&lt;Statistics!$C$15,Customers!G303&gt;Statistics!$C$16),"Outside 1.5·IQR",""))</f>
        <v/>
      </c>
      <c r="D303" s="4" t="str">
        <f>IF(OR(Customers!B303&lt;18,Customers!B303&gt;100),"Implausible age","")</f>
        <v/>
      </c>
      <c r="E303" s="4" t="str">
        <f>IF(Customers!H303&gt;Customers!B303-18,"Tenure &gt; age-18","")</f>
        <v/>
      </c>
      <c r="F303" s="4" t="str">
        <f>IF(Customers!R303&gt;Customers!Q303,"Card spend &gt; limit","")</f>
        <v/>
      </c>
      <c r="G303" s="4" t="str">
        <f>IF(OR(AND(Customers!S303&gt;0,Customers!T303=0),AND(Customers!S303=0,Customers!T303&gt;0)),"Mortgage/payment inconsistent","")</f>
        <v/>
      </c>
      <c r="H303" s="4" t="str">
        <f>IF(AND(Customers!G303&lt;&gt;"",Customers!G303&gt;0,Customers!T303&gt;Customers!G303/12),"Payment &gt; monthly income","")</f>
        <v/>
      </c>
      <c r="I303" s="4" t="str">
        <f>IF(OR(Customers!I303&gt;DATE(2026,9,13),YEAR(Customers!I303)&lt;1980),"Implausible date","")</f>
        <v/>
      </c>
      <c r="J303" s="4" t="str">
        <f>IF(Customers!I303&gt;DATE(2026,9,13),"",IF(ABS(INT((DATE(2026,9,13)-Customers!I303)/365.25)-Customers!H303)&gt;1,"Date/tenure inconsistent",""))</f>
        <v/>
      </c>
      <c r="K303" s="4" t="str">
        <f>IF(COUNTIF(Customers!$A$2:$A$1001,Customers!A303)&gt;1,"Duplicate ID","")</f>
        <v/>
      </c>
      <c r="L303" s="4" t="str">
        <f>IF(COUNTIFS(Customers!$B$2:$B$1001,Customers!B303,Customers!$D$2:$D$1001,Customers!D303,Customers!$G$2:$G$1001,Customers!G303,Customers!$I$2:$I$1001,Customers!I303,Customers!$L$2:$L$1001,Customers!L303)&gt;1,"Duplicate record","")</f>
        <v/>
      </c>
      <c r="M303" s="4" t="str">
        <f>IF(OR(Customers!U303&lt;300,Customers!U303&gt;850),"Score out of range","")</f>
        <v/>
      </c>
      <c r="N303" s="4" t="str">
        <f>IF(AND(Customers!G303&lt;&gt;"",Customers!G303&lt;=0),"Income ≤ 0","")</f>
        <v/>
      </c>
      <c r="O303" s="4" t="str">
        <f>IF(OR(Customers!G303="",Customers!M303=""),"Missing value","")</f>
        <v/>
      </c>
      <c r="P303" s="4">
        <f t="shared" si="4"/>
        <v>0</v>
      </c>
    </row>
    <row r="304" spans="1:16" x14ac:dyDescent="0.25">
      <c r="A304" s="4" t="str">
        <f>Customers!A304</f>
        <v>CL00298</v>
      </c>
      <c r="B304" s="20">
        <f>IF(Customers!G304="","",(Customers!G304-Statistics!$C$7)/Statistics!$C$9)</f>
        <v>-9.4349863342893404E-3</v>
      </c>
      <c r="C304" s="4" t="str">
        <f>IF(Customers!G304="","",IF(OR(Customers!G304&lt;Statistics!$C$15,Customers!G304&gt;Statistics!$C$16),"Outside 1.5·IQR",""))</f>
        <v/>
      </c>
      <c r="D304" s="4" t="str">
        <f>IF(OR(Customers!B304&lt;18,Customers!B304&gt;100),"Implausible age","")</f>
        <v/>
      </c>
      <c r="E304" s="4" t="str">
        <f>IF(Customers!H304&gt;Customers!B304-18,"Tenure &gt; age-18","")</f>
        <v/>
      </c>
      <c r="F304" s="4" t="str">
        <f>IF(Customers!R304&gt;Customers!Q304,"Card spend &gt; limit","")</f>
        <v/>
      </c>
      <c r="G304" s="4" t="str">
        <f>IF(OR(AND(Customers!S304&gt;0,Customers!T304=0),AND(Customers!S304=0,Customers!T304&gt;0)),"Mortgage/payment inconsistent","")</f>
        <v/>
      </c>
      <c r="H304" s="4" t="str">
        <f>IF(AND(Customers!G304&lt;&gt;"",Customers!G304&gt;0,Customers!T304&gt;Customers!G304/12),"Payment &gt; monthly income","")</f>
        <v/>
      </c>
      <c r="I304" s="4" t="str">
        <f>IF(OR(Customers!I304&gt;DATE(2026,9,13),YEAR(Customers!I304)&lt;1980),"Implausible date","")</f>
        <v/>
      </c>
      <c r="J304" s="4" t="str">
        <f>IF(Customers!I304&gt;DATE(2026,9,13),"",IF(ABS(INT((DATE(2026,9,13)-Customers!I304)/365.25)-Customers!H304)&gt;1,"Date/tenure inconsistent",""))</f>
        <v/>
      </c>
      <c r="K304" s="4" t="str">
        <f>IF(COUNTIF(Customers!$A$2:$A$1001,Customers!A304)&gt;1,"Duplicate ID","")</f>
        <v/>
      </c>
      <c r="L304" s="4" t="str">
        <f>IF(COUNTIFS(Customers!$B$2:$B$1001,Customers!B304,Customers!$D$2:$D$1001,Customers!D304,Customers!$G$2:$G$1001,Customers!G304,Customers!$I$2:$I$1001,Customers!I304,Customers!$L$2:$L$1001,Customers!L304)&gt;1,"Duplicate record","")</f>
        <v/>
      </c>
      <c r="M304" s="4" t="str">
        <f>IF(OR(Customers!U304&lt;300,Customers!U304&gt;850),"Score out of range","")</f>
        <v/>
      </c>
      <c r="N304" s="4" t="str">
        <f>IF(AND(Customers!G304&lt;&gt;"",Customers!G304&lt;=0),"Income ≤ 0","")</f>
        <v/>
      </c>
      <c r="O304" s="4" t="str">
        <f>IF(OR(Customers!G304="",Customers!M304=""),"Missing value","")</f>
        <v/>
      </c>
      <c r="P304" s="4">
        <f t="shared" si="4"/>
        <v>0</v>
      </c>
    </row>
    <row r="305" spans="1:16" x14ac:dyDescent="0.25">
      <c r="A305" s="4" t="str">
        <f>Customers!A305</f>
        <v>CL00299</v>
      </c>
      <c r="B305" s="20">
        <f>IF(Customers!G305="","",(Customers!G305-Statistics!$C$7)/Statistics!$C$9)</f>
        <v>-4.8733430210854932E-2</v>
      </c>
      <c r="C305" s="4" t="str">
        <f>IF(Customers!G305="","",IF(OR(Customers!G305&lt;Statistics!$C$15,Customers!G305&gt;Statistics!$C$16),"Outside 1.5·IQR",""))</f>
        <v/>
      </c>
      <c r="D305" s="4" t="str">
        <f>IF(OR(Customers!B305&lt;18,Customers!B305&gt;100),"Implausible age","")</f>
        <v/>
      </c>
      <c r="E305" s="4" t="str">
        <f>IF(Customers!H305&gt;Customers!B305-18,"Tenure &gt; age-18","")</f>
        <v/>
      </c>
      <c r="F305" s="4" t="str">
        <f>IF(Customers!R305&gt;Customers!Q305,"Card spend &gt; limit","")</f>
        <v/>
      </c>
      <c r="G305" s="4" t="str">
        <f>IF(OR(AND(Customers!S305&gt;0,Customers!T305=0),AND(Customers!S305=0,Customers!T305&gt;0)),"Mortgage/payment inconsistent","")</f>
        <v/>
      </c>
      <c r="H305" s="4" t="str">
        <f>IF(AND(Customers!G305&lt;&gt;"",Customers!G305&gt;0,Customers!T305&gt;Customers!G305/12),"Payment &gt; monthly income","")</f>
        <v/>
      </c>
      <c r="I305" s="4" t="str">
        <f>IF(OR(Customers!I305&gt;DATE(2026,9,13),YEAR(Customers!I305)&lt;1980),"Implausible date","")</f>
        <v/>
      </c>
      <c r="J305" s="4" t="str">
        <f>IF(Customers!I305&gt;DATE(2026,9,13),"",IF(ABS(INT((DATE(2026,9,13)-Customers!I305)/365.25)-Customers!H305)&gt;1,"Date/tenure inconsistent",""))</f>
        <v/>
      </c>
      <c r="K305" s="4" t="str">
        <f>IF(COUNTIF(Customers!$A$2:$A$1001,Customers!A305)&gt;1,"Duplicate ID","")</f>
        <v/>
      </c>
      <c r="L305" s="4" t="str">
        <f>IF(COUNTIFS(Customers!$B$2:$B$1001,Customers!B305,Customers!$D$2:$D$1001,Customers!D305,Customers!$G$2:$G$1001,Customers!G305,Customers!$I$2:$I$1001,Customers!I305,Customers!$L$2:$L$1001,Customers!L305)&gt;1,"Duplicate record","")</f>
        <v/>
      </c>
      <c r="M305" s="4" t="str">
        <f>IF(OR(Customers!U305&lt;300,Customers!U305&gt;850),"Score out of range","")</f>
        <v/>
      </c>
      <c r="N305" s="4" t="str">
        <f>IF(AND(Customers!G305&lt;&gt;"",Customers!G305&lt;=0),"Income ≤ 0","")</f>
        <v/>
      </c>
      <c r="O305" s="4" t="str">
        <f>IF(OR(Customers!G305="",Customers!M305=""),"Missing value","")</f>
        <v/>
      </c>
      <c r="P305" s="4">
        <f t="shared" si="4"/>
        <v>0</v>
      </c>
    </row>
    <row r="306" spans="1:16" x14ac:dyDescent="0.25">
      <c r="A306" s="4" t="str">
        <f>Customers!A306</f>
        <v>CL00300</v>
      </c>
      <c r="B306" s="20">
        <f>IF(Customers!G306="","",(Customers!G306-Statistics!$C$7)/Statistics!$C$9)</f>
        <v>-2.5390745502218228E-2</v>
      </c>
      <c r="C306" s="4" t="str">
        <f>IF(Customers!G306="","",IF(OR(Customers!G306&lt;Statistics!$C$15,Customers!G306&gt;Statistics!$C$16),"Outside 1.5·IQR",""))</f>
        <v/>
      </c>
      <c r="D306" s="4" t="str">
        <f>IF(OR(Customers!B306&lt;18,Customers!B306&gt;100),"Implausible age","")</f>
        <v/>
      </c>
      <c r="E306" s="4" t="str">
        <f>IF(Customers!H306&gt;Customers!B306-18,"Tenure &gt; age-18","")</f>
        <v/>
      </c>
      <c r="F306" s="4" t="str">
        <f>IF(Customers!R306&gt;Customers!Q306,"Card spend &gt; limit","")</f>
        <v/>
      </c>
      <c r="G306" s="4" t="str">
        <f>IF(OR(AND(Customers!S306&gt;0,Customers!T306=0),AND(Customers!S306=0,Customers!T306&gt;0)),"Mortgage/payment inconsistent","")</f>
        <v/>
      </c>
      <c r="H306" s="4" t="str">
        <f>IF(AND(Customers!G306&lt;&gt;"",Customers!G306&gt;0,Customers!T306&gt;Customers!G306/12),"Payment &gt; monthly income","")</f>
        <v/>
      </c>
      <c r="I306" s="4" t="str">
        <f>IF(OR(Customers!I306&gt;DATE(2026,9,13),YEAR(Customers!I306)&lt;1980),"Implausible date","")</f>
        <v/>
      </c>
      <c r="J306" s="4" t="str">
        <f>IF(Customers!I306&gt;DATE(2026,9,13),"",IF(ABS(INT((DATE(2026,9,13)-Customers!I306)/365.25)-Customers!H306)&gt;1,"Date/tenure inconsistent",""))</f>
        <v/>
      </c>
      <c r="K306" s="4" t="str">
        <f>IF(COUNTIF(Customers!$A$2:$A$1001,Customers!A306)&gt;1,"Duplicate ID","")</f>
        <v/>
      </c>
      <c r="L306" s="4" t="str">
        <f>IF(COUNTIFS(Customers!$B$2:$B$1001,Customers!B306,Customers!$D$2:$D$1001,Customers!D306,Customers!$G$2:$G$1001,Customers!G306,Customers!$I$2:$I$1001,Customers!I306,Customers!$L$2:$L$1001,Customers!L306)&gt;1,"Duplicate record","")</f>
        <v/>
      </c>
      <c r="M306" s="4" t="str">
        <f>IF(OR(Customers!U306&lt;300,Customers!U306&gt;850),"Score out of range","")</f>
        <v/>
      </c>
      <c r="N306" s="4" t="str">
        <f>IF(AND(Customers!G306&lt;&gt;"",Customers!G306&lt;=0),"Income ≤ 0","")</f>
        <v/>
      </c>
      <c r="O306" s="4" t="str">
        <f>IF(OR(Customers!G306="",Customers!M306=""),"Missing value","")</f>
        <v/>
      </c>
      <c r="P306" s="4">
        <f t="shared" si="4"/>
        <v>0</v>
      </c>
    </row>
    <row r="307" spans="1:16" x14ac:dyDescent="0.25">
      <c r="A307" s="4" t="str">
        <f>Customers!A307</f>
        <v>CL00301</v>
      </c>
      <c r="B307" s="20">
        <f>IF(Customers!G307="","",(Customers!G307-Statistics!$C$7)/Statistics!$C$9)</f>
        <v>-6.8727375341037428E-2</v>
      </c>
      <c r="C307" s="4" t="str">
        <f>IF(Customers!G307="","",IF(OR(Customers!G307&lt;Statistics!$C$15,Customers!G307&gt;Statistics!$C$16),"Outside 1.5·IQR",""))</f>
        <v/>
      </c>
      <c r="D307" s="4" t="str">
        <f>IF(OR(Customers!B307&lt;18,Customers!B307&gt;100),"Implausible age","")</f>
        <v/>
      </c>
      <c r="E307" s="4" t="str">
        <f>IF(Customers!H307&gt;Customers!B307-18,"Tenure &gt; age-18","")</f>
        <v/>
      </c>
      <c r="F307" s="4" t="str">
        <f>IF(Customers!R307&gt;Customers!Q307,"Card spend &gt; limit","")</f>
        <v/>
      </c>
      <c r="G307" s="4" t="str">
        <f>IF(OR(AND(Customers!S307&gt;0,Customers!T307=0),AND(Customers!S307=0,Customers!T307&gt;0)),"Mortgage/payment inconsistent","")</f>
        <v/>
      </c>
      <c r="H307" s="4" t="str">
        <f>IF(AND(Customers!G307&lt;&gt;"",Customers!G307&gt;0,Customers!T307&gt;Customers!G307/12),"Payment &gt; monthly income","")</f>
        <v/>
      </c>
      <c r="I307" s="4" t="str">
        <f>IF(OR(Customers!I307&gt;DATE(2026,9,13),YEAR(Customers!I307)&lt;1980),"Implausible date","")</f>
        <v/>
      </c>
      <c r="J307" s="4" t="str">
        <f>IF(Customers!I307&gt;DATE(2026,9,13),"",IF(ABS(INT((DATE(2026,9,13)-Customers!I307)/365.25)-Customers!H307)&gt;1,"Date/tenure inconsistent",""))</f>
        <v/>
      </c>
      <c r="K307" s="4" t="str">
        <f>IF(COUNTIF(Customers!$A$2:$A$1001,Customers!A307)&gt;1,"Duplicate ID","")</f>
        <v/>
      </c>
      <c r="L307" s="4" t="str">
        <f>IF(COUNTIFS(Customers!$B$2:$B$1001,Customers!B307,Customers!$D$2:$D$1001,Customers!D307,Customers!$G$2:$G$1001,Customers!G307,Customers!$I$2:$I$1001,Customers!I307,Customers!$L$2:$L$1001,Customers!L307)&gt;1,"Duplicate record","")</f>
        <v/>
      </c>
      <c r="M307" s="4" t="str">
        <f>IF(OR(Customers!U307&lt;300,Customers!U307&gt;850),"Score out of range","")</f>
        <v/>
      </c>
      <c r="N307" s="4" t="str">
        <f>IF(AND(Customers!G307&lt;&gt;"",Customers!G307&lt;=0),"Income ≤ 0","")</f>
        <v/>
      </c>
      <c r="O307" s="4" t="str">
        <f>IF(OR(Customers!G307="",Customers!M307=""),"Missing value","")</f>
        <v/>
      </c>
      <c r="P307" s="4">
        <f t="shared" si="4"/>
        <v>0</v>
      </c>
    </row>
    <row r="308" spans="1:16" x14ac:dyDescent="0.25">
      <c r="A308" s="4" t="str">
        <f>Customers!A308</f>
        <v>CL00302</v>
      </c>
      <c r="B308" s="20">
        <f>IF(Customers!G308="","",(Customers!G308-Statistics!$C$7)/Statistics!$C$9)</f>
        <v>-6.774245193560971E-2</v>
      </c>
      <c r="C308" s="4" t="str">
        <f>IF(Customers!G308="","",IF(OR(Customers!G308&lt;Statistics!$C$15,Customers!G308&gt;Statistics!$C$16),"Outside 1.5·IQR",""))</f>
        <v/>
      </c>
      <c r="D308" s="4" t="str">
        <f>IF(OR(Customers!B308&lt;18,Customers!B308&gt;100),"Implausible age","")</f>
        <v/>
      </c>
      <c r="E308" s="4" t="str">
        <f>IF(Customers!H308&gt;Customers!B308-18,"Tenure &gt; age-18","")</f>
        <v/>
      </c>
      <c r="F308" s="4" t="str">
        <f>IF(Customers!R308&gt;Customers!Q308,"Card spend &gt; limit","")</f>
        <v/>
      </c>
      <c r="G308" s="4" t="str">
        <f>IF(OR(AND(Customers!S308&gt;0,Customers!T308=0),AND(Customers!S308=0,Customers!T308&gt;0)),"Mortgage/payment inconsistent","")</f>
        <v/>
      </c>
      <c r="H308" s="4" t="str">
        <f>IF(AND(Customers!G308&lt;&gt;"",Customers!G308&gt;0,Customers!T308&gt;Customers!G308/12),"Payment &gt; monthly income","")</f>
        <v/>
      </c>
      <c r="I308" s="4" t="str">
        <f>IF(OR(Customers!I308&gt;DATE(2026,9,13),YEAR(Customers!I308)&lt;1980),"Implausible date","")</f>
        <v/>
      </c>
      <c r="J308" s="4" t="str">
        <f>IF(Customers!I308&gt;DATE(2026,9,13),"",IF(ABS(INT((DATE(2026,9,13)-Customers!I308)/365.25)-Customers!H308)&gt;1,"Date/tenure inconsistent",""))</f>
        <v/>
      </c>
      <c r="K308" s="4" t="str">
        <f>IF(COUNTIF(Customers!$A$2:$A$1001,Customers!A308)&gt;1,"Duplicate ID","")</f>
        <v/>
      </c>
      <c r="L308" s="4" t="str">
        <f>IF(COUNTIFS(Customers!$B$2:$B$1001,Customers!B308,Customers!$D$2:$D$1001,Customers!D308,Customers!$G$2:$G$1001,Customers!G308,Customers!$I$2:$I$1001,Customers!I308,Customers!$L$2:$L$1001,Customers!L308)&gt;1,"Duplicate record","")</f>
        <v/>
      </c>
      <c r="M308" s="4" t="str">
        <f>IF(OR(Customers!U308&lt;300,Customers!U308&gt;850),"Score out of range","")</f>
        <v/>
      </c>
      <c r="N308" s="4" t="str">
        <f>IF(AND(Customers!G308&lt;&gt;"",Customers!G308&lt;=0),"Income ≤ 0","")</f>
        <v/>
      </c>
      <c r="O308" s="4" t="str">
        <f>IF(OR(Customers!G308="",Customers!M308=""),"Missing value","")</f>
        <v/>
      </c>
      <c r="P308" s="4">
        <f t="shared" si="4"/>
        <v>0</v>
      </c>
    </row>
    <row r="309" spans="1:16" x14ac:dyDescent="0.25">
      <c r="A309" s="4" t="str">
        <f>Customers!A309</f>
        <v>CL00303</v>
      </c>
      <c r="B309" s="20">
        <f>IF(Customers!G309="","",(Customers!G309-Statistics!$C$7)/Statistics!$C$9)</f>
        <v>-3.6914349345722422E-2</v>
      </c>
      <c r="C309" s="4" t="str">
        <f>IF(Customers!G309="","",IF(OR(Customers!G309&lt;Statistics!$C$15,Customers!G309&gt;Statistics!$C$16),"Outside 1.5·IQR",""))</f>
        <v/>
      </c>
      <c r="D309" s="4" t="str">
        <f>IF(OR(Customers!B309&lt;18,Customers!B309&gt;100),"Implausible age","")</f>
        <v/>
      </c>
      <c r="E309" s="4" t="str">
        <f>IF(Customers!H309&gt;Customers!B309-18,"Tenure &gt; age-18","")</f>
        <v/>
      </c>
      <c r="F309" s="4" t="str">
        <f>IF(Customers!R309&gt;Customers!Q309,"Card spend &gt; limit","")</f>
        <v/>
      </c>
      <c r="G309" s="4" t="str">
        <f>IF(OR(AND(Customers!S309&gt;0,Customers!T309=0),AND(Customers!S309=0,Customers!T309&gt;0)),"Mortgage/payment inconsistent","")</f>
        <v/>
      </c>
      <c r="H309" s="4" t="str">
        <f>IF(AND(Customers!G309&lt;&gt;"",Customers!G309&gt;0,Customers!T309&gt;Customers!G309/12),"Payment &gt; monthly income","")</f>
        <v/>
      </c>
      <c r="I309" s="4" t="str">
        <f>IF(OR(Customers!I309&gt;DATE(2026,9,13),YEAR(Customers!I309)&lt;1980),"Implausible date","")</f>
        <v/>
      </c>
      <c r="J309" s="4" t="str">
        <f>IF(Customers!I309&gt;DATE(2026,9,13),"",IF(ABS(INT((DATE(2026,9,13)-Customers!I309)/365.25)-Customers!H309)&gt;1,"Date/tenure inconsistent",""))</f>
        <v/>
      </c>
      <c r="K309" s="4" t="str">
        <f>IF(COUNTIF(Customers!$A$2:$A$1001,Customers!A309)&gt;1,"Duplicate ID","")</f>
        <v/>
      </c>
      <c r="L309" s="4" t="str">
        <f>IF(COUNTIFS(Customers!$B$2:$B$1001,Customers!B309,Customers!$D$2:$D$1001,Customers!D309,Customers!$G$2:$G$1001,Customers!G309,Customers!$I$2:$I$1001,Customers!I309,Customers!$L$2:$L$1001,Customers!L309)&gt;1,"Duplicate record","")</f>
        <v/>
      </c>
      <c r="M309" s="4" t="str">
        <f>IF(OR(Customers!U309&lt;300,Customers!U309&gt;850),"Score out of range","")</f>
        <v/>
      </c>
      <c r="N309" s="4" t="str">
        <f>IF(AND(Customers!G309&lt;&gt;"",Customers!G309&lt;=0),"Income ≤ 0","")</f>
        <v/>
      </c>
      <c r="O309" s="4" t="str">
        <f>IF(OR(Customers!G309="",Customers!M309=""),"Missing value","")</f>
        <v/>
      </c>
      <c r="P309" s="4">
        <f t="shared" si="4"/>
        <v>0</v>
      </c>
    </row>
    <row r="310" spans="1:16" x14ac:dyDescent="0.25">
      <c r="A310" s="4" t="str">
        <f>Customers!A310</f>
        <v>CL00304</v>
      </c>
      <c r="B310" s="20">
        <f>IF(Customers!G310="","",(Customers!G310-Statistics!$C$7)/Statistics!$C$9)</f>
        <v>-4.9718353616282636E-2</v>
      </c>
      <c r="C310" s="4" t="str">
        <f>IF(Customers!G310="","",IF(OR(Customers!G310&lt;Statistics!$C$15,Customers!G310&gt;Statistics!$C$16),"Outside 1.5·IQR",""))</f>
        <v/>
      </c>
      <c r="D310" s="4" t="str">
        <f>IF(OR(Customers!B310&lt;18,Customers!B310&gt;100),"Implausible age","")</f>
        <v/>
      </c>
      <c r="E310" s="4" t="str">
        <f>IF(Customers!H310&gt;Customers!B310-18,"Tenure &gt; age-18","")</f>
        <v/>
      </c>
      <c r="F310" s="4" t="str">
        <f>IF(Customers!R310&gt;Customers!Q310,"Card spend &gt; limit","")</f>
        <v/>
      </c>
      <c r="G310" s="4" t="str">
        <f>IF(OR(AND(Customers!S310&gt;0,Customers!T310=0),AND(Customers!S310=0,Customers!T310&gt;0)),"Mortgage/payment inconsistent","")</f>
        <v/>
      </c>
      <c r="H310" s="4" t="str">
        <f>IF(AND(Customers!G310&lt;&gt;"",Customers!G310&gt;0,Customers!T310&gt;Customers!G310/12),"Payment &gt; monthly income","")</f>
        <v/>
      </c>
      <c r="I310" s="4" t="str">
        <f>IF(OR(Customers!I310&gt;DATE(2026,9,13),YEAR(Customers!I310)&lt;1980),"Implausible date","")</f>
        <v/>
      </c>
      <c r="J310" s="4" t="str">
        <f>IF(Customers!I310&gt;DATE(2026,9,13),"",IF(ABS(INT((DATE(2026,9,13)-Customers!I310)/365.25)-Customers!H310)&gt;1,"Date/tenure inconsistent",""))</f>
        <v/>
      </c>
      <c r="K310" s="4" t="str">
        <f>IF(COUNTIF(Customers!$A$2:$A$1001,Customers!A310)&gt;1,"Duplicate ID","")</f>
        <v/>
      </c>
      <c r="L310" s="4" t="str">
        <f>IF(COUNTIFS(Customers!$B$2:$B$1001,Customers!B310,Customers!$D$2:$D$1001,Customers!D310,Customers!$G$2:$G$1001,Customers!G310,Customers!$I$2:$I$1001,Customers!I310,Customers!$L$2:$L$1001,Customers!L310)&gt;1,"Duplicate record","")</f>
        <v/>
      </c>
      <c r="M310" s="4" t="str">
        <f>IF(OR(Customers!U310&lt;300,Customers!U310&gt;850),"Score out of range","")</f>
        <v/>
      </c>
      <c r="N310" s="4" t="str">
        <f>IF(AND(Customers!G310&lt;&gt;"",Customers!G310&lt;=0),"Income ≤ 0","")</f>
        <v/>
      </c>
      <c r="O310" s="4" t="str">
        <f>IF(OR(Customers!G310="",Customers!M310=""),"Missing value","")</f>
        <v/>
      </c>
      <c r="P310" s="4">
        <f t="shared" si="4"/>
        <v>0</v>
      </c>
    </row>
    <row r="311" spans="1:16" x14ac:dyDescent="0.25">
      <c r="A311" s="4" t="str">
        <f>Customers!A311</f>
        <v>CL00305</v>
      </c>
      <c r="B311" s="20">
        <f>IF(Customers!G311="","",(Customers!G311-Statistics!$C$7)/Statistics!$C$9)</f>
        <v>-4.8339460848683846E-2</v>
      </c>
      <c r="C311" s="4" t="str">
        <f>IF(Customers!G311="","",IF(OR(Customers!G311&lt;Statistics!$C$15,Customers!G311&gt;Statistics!$C$16),"Outside 1.5·IQR",""))</f>
        <v/>
      </c>
      <c r="D311" s="4" t="str">
        <f>IF(OR(Customers!B311&lt;18,Customers!B311&gt;100),"Implausible age","")</f>
        <v/>
      </c>
      <c r="E311" s="4" t="str">
        <f>IF(Customers!H311&gt;Customers!B311-18,"Tenure &gt; age-18","")</f>
        <v/>
      </c>
      <c r="F311" s="4" t="str">
        <f>IF(Customers!R311&gt;Customers!Q311,"Card spend &gt; limit","")</f>
        <v/>
      </c>
      <c r="G311" s="4" t="str">
        <f>IF(OR(AND(Customers!S311&gt;0,Customers!T311=0),AND(Customers!S311=0,Customers!T311&gt;0)),"Mortgage/payment inconsistent","")</f>
        <v/>
      </c>
      <c r="H311" s="4" t="str">
        <f>IF(AND(Customers!G311&lt;&gt;"",Customers!G311&gt;0,Customers!T311&gt;Customers!G311/12),"Payment &gt; monthly income","")</f>
        <v/>
      </c>
      <c r="I311" s="4" t="str">
        <f>IF(OR(Customers!I311&gt;DATE(2026,9,13),YEAR(Customers!I311)&lt;1980),"Implausible date","")</f>
        <v/>
      </c>
      <c r="J311" s="4" t="str">
        <f>IF(Customers!I311&gt;DATE(2026,9,13),"",IF(ABS(INT((DATE(2026,9,13)-Customers!I311)/365.25)-Customers!H311)&gt;1,"Date/tenure inconsistent",""))</f>
        <v/>
      </c>
      <c r="K311" s="4" t="str">
        <f>IF(COUNTIF(Customers!$A$2:$A$1001,Customers!A311)&gt;1,"Duplicate ID","")</f>
        <v/>
      </c>
      <c r="L311" s="4" t="str">
        <f>IF(COUNTIFS(Customers!$B$2:$B$1001,Customers!B311,Customers!$D$2:$D$1001,Customers!D311,Customers!$G$2:$G$1001,Customers!G311,Customers!$I$2:$I$1001,Customers!I311,Customers!$L$2:$L$1001,Customers!L311)&gt;1,"Duplicate record","")</f>
        <v/>
      </c>
      <c r="M311" s="4" t="str">
        <f>IF(OR(Customers!U311&lt;300,Customers!U311&gt;850),"Score out of range","")</f>
        <v/>
      </c>
      <c r="N311" s="4" t="str">
        <f>IF(AND(Customers!G311&lt;&gt;"",Customers!G311&lt;=0),"Income ≤ 0","")</f>
        <v/>
      </c>
      <c r="O311" s="4" t="str">
        <f>IF(OR(Customers!G311="",Customers!M311=""),"Missing value","")</f>
        <v/>
      </c>
      <c r="P311" s="4">
        <f t="shared" si="4"/>
        <v>0</v>
      </c>
    </row>
    <row r="312" spans="1:16" x14ac:dyDescent="0.25">
      <c r="A312" s="4" t="str">
        <f>Customers!A312</f>
        <v>CL00306</v>
      </c>
      <c r="B312" s="20">
        <f>IF(Customers!G312="","",(Customers!G312-Statistics!$C$7)/Statistics!$C$9)</f>
        <v>-5.4347493621792871E-2</v>
      </c>
      <c r="C312" s="4" t="str">
        <f>IF(Customers!G312="","",IF(OR(Customers!G312&lt;Statistics!$C$15,Customers!G312&gt;Statistics!$C$16),"Outside 1.5·IQR",""))</f>
        <v/>
      </c>
      <c r="D312" s="4" t="str">
        <f>IF(OR(Customers!B312&lt;18,Customers!B312&gt;100),"Implausible age","")</f>
        <v/>
      </c>
      <c r="E312" s="4" t="str">
        <f>IF(Customers!H312&gt;Customers!B312-18,"Tenure &gt; age-18","")</f>
        <v/>
      </c>
      <c r="F312" s="4" t="str">
        <f>IF(Customers!R312&gt;Customers!Q312,"Card spend &gt; limit","")</f>
        <v/>
      </c>
      <c r="G312" s="4" t="str">
        <f>IF(OR(AND(Customers!S312&gt;0,Customers!T312=0),AND(Customers!S312=0,Customers!T312&gt;0)),"Mortgage/payment inconsistent","")</f>
        <v/>
      </c>
      <c r="H312" s="4" t="str">
        <f>IF(AND(Customers!G312&lt;&gt;"",Customers!G312&gt;0,Customers!T312&gt;Customers!G312/12),"Payment &gt; monthly income","")</f>
        <v/>
      </c>
      <c r="I312" s="4" t="str">
        <f>IF(OR(Customers!I312&gt;DATE(2026,9,13),YEAR(Customers!I312)&lt;1980),"Implausible date","")</f>
        <v/>
      </c>
      <c r="J312" s="4" t="str">
        <f>IF(Customers!I312&gt;DATE(2026,9,13),"",IF(ABS(INT((DATE(2026,9,13)-Customers!I312)/365.25)-Customers!H312)&gt;1,"Date/tenure inconsistent",""))</f>
        <v/>
      </c>
      <c r="K312" s="4" t="str">
        <f>IF(COUNTIF(Customers!$A$2:$A$1001,Customers!A312)&gt;1,"Duplicate ID","")</f>
        <v/>
      </c>
      <c r="L312" s="4" t="str">
        <f>IF(COUNTIFS(Customers!$B$2:$B$1001,Customers!B312,Customers!$D$2:$D$1001,Customers!D312,Customers!$G$2:$G$1001,Customers!G312,Customers!$I$2:$I$1001,Customers!I312,Customers!$L$2:$L$1001,Customers!L312)&gt;1,"Duplicate record","")</f>
        <v/>
      </c>
      <c r="M312" s="4" t="str">
        <f>IF(OR(Customers!U312&lt;300,Customers!U312&gt;850),"Score out of range","")</f>
        <v/>
      </c>
      <c r="N312" s="4" t="str">
        <f>IF(AND(Customers!G312&lt;&gt;"",Customers!G312&lt;=0),"Income ≤ 0","")</f>
        <v/>
      </c>
      <c r="O312" s="4" t="str">
        <f>IF(OR(Customers!G312="",Customers!M312=""),"Missing value","")</f>
        <v/>
      </c>
      <c r="P312" s="4">
        <f t="shared" si="4"/>
        <v>0</v>
      </c>
    </row>
    <row r="313" spans="1:16" x14ac:dyDescent="0.25">
      <c r="A313" s="4" t="str">
        <f>Customers!A313</f>
        <v>CL00307</v>
      </c>
      <c r="B313" s="20">
        <f>IF(Customers!G313="","",(Customers!G313-Statistics!$C$7)/Statistics!$C$9)</f>
        <v>-5.5627894048848894E-2</v>
      </c>
      <c r="C313" s="4" t="str">
        <f>IF(Customers!G313="","",IF(OR(Customers!G313&lt;Statistics!$C$15,Customers!G313&gt;Statistics!$C$16),"Outside 1.5·IQR",""))</f>
        <v/>
      </c>
      <c r="D313" s="4" t="str">
        <f>IF(OR(Customers!B313&lt;18,Customers!B313&gt;100),"Implausible age","")</f>
        <v/>
      </c>
      <c r="E313" s="4" t="str">
        <f>IF(Customers!H313&gt;Customers!B313-18,"Tenure &gt; age-18","")</f>
        <v/>
      </c>
      <c r="F313" s="4" t="str">
        <f>IF(Customers!R313&gt;Customers!Q313,"Card spend &gt; limit","")</f>
        <v/>
      </c>
      <c r="G313" s="4" t="str">
        <f>IF(OR(AND(Customers!S313&gt;0,Customers!T313=0),AND(Customers!S313=0,Customers!T313&gt;0)),"Mortgage/payment inconsistent","")</f>
        <v/>
      </c>
      <c r="H313" s="4" t="str">
        <f>IF(AND(Customers!G313&lt;&gt;"",Customers!G313&gt;0,Customers!T313&gt;Customers!G313/12),"Payment &gt; monthly income","")</f>
        <v/>
      </c>
      <c r="I313" s="4" t="str">
        <f>IF(OR(Customers!I313&gt;DATE(2026,9,13),YEAR(Customers!I313)&lt;1980),"Implausible date","")</f>
        <v/>
      </c>
      <c r="J313" s="4" t="str">
        <f>IF(Customers!I313&gt;DATE(2026,9,13),"",IF(ABS(INT((DATE(2026,9,13)-Customers!I313)/365.25)-Customers!H313)&gt;1,"Date/tenure inconsistent",""))</f>
        <v/>
      </c>
      <c r="K313" s="4" t="str">
        <f>IF(COUNTIF(Customers!$A$2:$A$1001,Customers!A313)&gt;1,"Duplicate ID","")</f>
        <v/>
      </c>
      <c r="L313" s="4" t="str">
        <f>IF(COUNTIFS(Customers!$B$2:$B$1001,Customers!B313,Customers!$D$2:$D$1001,Customers!D313,Customers!$G$2:$G$1001,Customers!G313,Customers!$I$2:$I$1001,Customers!I313,Customers!$L$2:$L$1001,Customers!L313)&gt;1,"Duplicate record","")</f>
        <v/>
      </c>
      <c r="M313" s="4" t="str">
        <f>IF(OR(Customers!U313&lt;300,Customers!U313&gt;850),"Score out of range","")</f>
        <v/>
      </c>
      <c r="N313" s="4" t="str">
        <f>IF(AND(Customers!G313&lt;&gt;"",Customers!G313&lt;=0),"Income ≤ 0","")</f>
        <v/>
      </c>
      <c r="O313" s="4" t="str">
        <f>IF(OR(Customers!G313="",Customers!M313=""),"Missing value","")</f>
        <v/>
      </c>
      <c r="P313" s="4">
        <f t="shared" si="4"/>
        <v>0</v>
      </c>
    </row>
    <row r="314" spans="1:16" x14ac:dyDescent="0.25">
      <c r="A314" s="4" t="str">
        <f>Customers!A314</f>
        <v>CL00308</v>
      </c>
      <c r="B314" s="20">
        <f>IF(Customers!G314="","",(Customers!G314-Statistics!$C$7)/Statistics!$C$9)</f>
        <v>-1.1700310166773071E-2</v>
      </c>
      <c r="C314" s="4" t="str">
        <f>IF(Customers!G314="","",IF(OR(Customers!G314&lt;Statistics!$C$15,Customers!G314&gt;Statistics!$C$16),"Outside 1.5·IQR",""))</f>
        <v/>
      </c>
      <c r="D314" s="4" t="str">
        <f>IF(OR(Customers!B314&lt;18,Customers!B314&gt;100),"Implausible age","")</f>
        <v/>
      </c>
      <c r="E314" s="4" t="str">
        <f>IF(Customers!H314&gt;Customers!B314-18,"Tenure &gt; age-18","")</f>
        <v/>
      </c>
      <c r="F314" s="4" t="str">
        <f>IF(Customers!R314&gt;Customers!Q314,"Card spend &gt; limit","")</f>
        <v/>
      </c>
      <c r="G314" s="4" t="str">
        <f>IF(OR(AND(Customers!S314&gt;0,Customers!T314=0),AND(Customers!S314=0,Customers!T314&gt;0)),"Mortgage/payment inconsistent","")</f>
        <v/>
      </c>
      <c r="H314" s="4" t="str">
        <f>IF(AND(Customers!G314&lt;&gt;"",Customers!G314&gt;0,Customers!T314&gt;Customers!G314/12),"Payment &gt; monthly income","")</f>
        <v/>
      </c>
      <c r="I314" s="4" t="str">
        <f>IF(OR(Customers!I314&gt;DATE(2026,9,13),YEAR(Customers!I314)&lt;1980),"Implausible date","")</f>
        <v/>
      </c>
      <c r="J314" s="4" t="str">
        <f>IF(Customers!I314&gt;DATE(2026,9,13),"",IF(ABS(INT((DATE(2026,9,13)-Customers!I314)/365.25)-Customers!H314)&gt;1,"Date/tenure inconsistent",""))</f>
        <v/>
      </c>
      <c r="K314" s="4" t="str">
        <f>IF(COUNTIF(Customers!$A$2:$A$1001,Customers!A314)&gt;1,"Duplicate ID","")</f>
        <v/>
      </c>
      <c r="L314" s="4" t="str">
        <f>IF(COUNTIFS(Customers!$B$2:$B$1001,Customers!B314,Customers!$D$2:$D$1001,Customers!D314,Customers!$G$2:$G$1001,Customers!G314,Customers!$I$2:$I$1001,Customers!I314,Customers!$L$2:$L$1001,Customers!L314)&gt;1,"Duplicate record","")</f>
        <v/>
      </c>
      <c r="M314" s="4" t="str">
        <f>IF(OR(Customers!U314&lt;300,Customers!U314&gt;850),"Score out of range","")</f>
        <v/>
      </c>
      <c r="N314" s="4" t="str">
        <f>IF(AND(Customers!G314&lt;&gt;"",Customers!G314&lt;=0),"Income ≤ 0","")</f>
        <v/>
      </c>
      <c r="O314" s="4" t="str">
        <f>IF(OR(Customers!G314="",Customers!M314=""),"Missing value","")</f>
        <v/>
      </c>
      <c r="P314" s="4">
        <f t="shared" si="4"/>
        <v>0</v>
      </c>
    </row>
    <row r="315" spans="1:16" x14ac:dyDescent="0.25">
      <c r="A315" s="4" t="str">
        <f>Customers!A315</f>
        <v>CL00309</v>
      </c>
      <c r="B315" s="20">
        <f>IF(Customers!G315="","",(Customers!G315-Statistics!$C$7)/Statistics!$C$9)</f>
        <v>-7.2370607017714514E-2</v>
      </c>
      <c r="C315" s="4" t="str">
        <f>IF(Customers!G315="","",IF(OR(Customers!G315&lt;Statistics!$C$15,Customers!G315&gt;Statistics!$C$16),"Outside 1.5·IQR",""))</f>
        <v/>
      </c>
      <c r="D315" s="4" t="str">
        <f>IF(OR(Customers!B315&lt;18,Customers!B315&gt;100),"Implausible age","")</f>
        <v/>
      </c>
      <c r="E315" s="4" t="str">
        <f>IF(Customers!H315&gt;Customers!B315-18,"Tenure &gt; age-18","")</f>
        <v/>
      </c>
      <c r="F315" s="4" t="str">
        <f>IF(Customers!R315&gt;Customers!Q315,"Card spend &gt; limit","")</f>
        <v/>
      </c>
      <c r="G315" s="4" t="str">
        <f>IF(OR(AND(Customers!S315&gt;0,Customers!T315=0),AND(Customers!S315=0,Customers!T315&gt;0)),"Mortgage/payment inconsistent","")</f>
        <v/>
      </c>
      <c r="H315" s="4" t="str">
        <f>IF(AND(Customers!G315&lt;&gt;"",Customers!G315&gt;0,Customers!T315&gt;Customers!G315/12),"Payment &gt; monthly income","")</f>
        <v/>
      </c>
      <c r="I315" s="4" t="str">
        <f>IF(OR(Customers!I315&gt;DATE(2026,9,13),YEAR(Customers!I315)&lt;1980),"Implausible date","")</f>
        <v/>
      </c>
      <c r="J315" s="4" t="str">
        <f>IF(Customers!I315&gt;DATE(2026,9,13),"",IF(ABS(INT((DATE(2026,9,13)-Customers!I315)/365.25)-Customers!H315)&gt;1,"Date/tenure inconsistent",""))</f>
        <v/>
      </c>
      <c r="K315" s="4" t="str">
        <f>IF(COUNTIF(Customers!$A$2:$A$1001,Customers!A315)&gt;1,"Duplicate ID","")</f>
        <v/>
      </c>
      <c r="L315" s="4" t="str">
        <f>IF(COUNTIFS(Customers!$B$2:$B$1001,Customers!B315,Customers!$D$2:$D$1001,Customers!D315,Customers!$G$2:$G$1001,Customers!G315,Customers!$I$2:$I$1001,Customers!I315,Customers!$L$2:$L$1001,Customers!L315)&gt;1,"Duplicate record","")</f>
        <v/>
      </c>
      <c r="M315" s="4" t="str">
        <f>IF(OR(Customers!U315&lt;300,Customers!U315&gt;850),"Score out of range","")</f>
        <v/>
      </c>
      <c r="N315" s="4" t="str">
        <f>IF(AND(Customers!G315&lt;&gt;"",Customers!G315&lt;=0),"Income ≤ 0","")</f>
        <v>Income ≤ 0</v>
      </c>
      <c r="O315" s="4" t="str">
        <f>IF(OR(Customers!G315="",Customers!M315=""),"Missing value","")</f>
        <v/>
      </c>
      <c r="P315" s="4">
        <f t="shared" si="4"/>
        <v>1</v>
      </c>
    </row>
    <row r="316" spans="1:16" x14ac:dyDescent="0.25">
      <c r="A316" s="4" t="str">
        <f>Customers!A316</f>
        <v>CL00310</v>
      </c>
      <c r="B316" s="20">
        <f>IF(Customers!G316="","",(Customers!G316-Statistics!$C$7)/Statistics!$C$9)</f>
        <v>-4.676358339999951E-2</v>
      </c>
      <c r="C316" s="4" t="str">
        <f>IF(Customers!G316="","",IF(OR(Customers!G316&lt;Statistics!$C$15,Customers!G316&gt;Statistics!$C$16),"Outside 1.5·IQR",""))</f>
        <v/>
      </c>
      <c r="D316" s="4" t="str">
        <f>IF(OR(Customers!B316&lt;18,Customers!B316&gt;100),"Implausible age","")</f>
        <v/>
      </c>
      <c r="E316" s="4" t="str">
        <f>IF(Customers!H316&gt;Customers!B316-18,"Tenure &gt; age-18","")</f>
        <v/>
      </c>
      <c r="F316" s="4" t="str">
        <f>IF(Customers!R316&gt;Customers!Q316,"Card spend &gt; limit","")</f>
        <v/>
      </c>
      <c r="G316" s="4" t="str">
        <f>IF(OR(AND(Customers!S316&gt;0,Customers!T316=0),AND(Customers!S316=0,Customers!T316&gt;0)),"Mortgage/payment inconsistent","")</f>
        <v/>
      </c>
      <c r="H316" s="4" t="str">
        <f>IF(AND(Customers!G316&lt;&gt;"",Customers!G316&gt;0,Customers!T316&gt;Customers!G316/12),"Payment &gt; monthly income","")</f>
        <v/>
      </c>
      <c r="I316" s="4" t="str">
        <f>IF(OR(Customers!I316&gt;DATE(2026,9,13),YEAR(Customers!I316)&lt;1980),"Implausible date","")</f>
        <v/>
      </c>
      <c r="J316" s="4" t="str">
        <f>IF(Customers!I316&gt;DATE(2026,9,13),"",IF(ABS(INT((DATE(2026,9,13)-Customers!I316)/365.25)-Customers!H316)&gt;1,"Date/tenure inconsistent",""))</f>
        <v/>
      </c>
      <c r="K316" s="4" t="str">
        <f>IF(COUNTIF(Customers!$A$2:$A$1001,Customers!A316)&gt;1,"Duplicate ID","")</f>
        <v/>
      </c>
      <c r="L316" s="4" t="str">
        <f>IF(COUNTIFS(Customers!$B$2:$B$1001,Customers!B316,Customers!$D$2:$D$1001,Customers!D316,Customers!$G$2:$G$1001,Customers!G316,Customers!$I$2:$I$1001,Customers!I316,Customers!$L$2:$L$1001,Customers!L316)&gt;1,"Duplicate record","")</f>
        <v/>
      </c>
      <c r="M316" s="4" t="str">
        <f>IF(OR(Customers!U316&lt;300,Customers!U316&gt;850),"Score out of range","")</f>
        <v/>
      </c>
      <c r="N316" s="4" t="str">
        <f>IF(AND(Customers!G316&lt;&gt;"",Customers!G316&lt;=0),"Income ≤ 0","")</f>
        <v/>
      </c>
      <c r="O316" s="4" t="str">
        <f>IF(OR(Customers!G316="",Customers!M316=""),"Missing value","")</f>
        <v/>
      </c>
      <c r="P316" s="4">
        <f t="shared" si="4"/>
        <v>0</v>
      </c>
    </row>
    <row r="317" spans="1:16" x14ac:dyDescent="0.25">
      <c r="A317" s="4" t="str">
        <f>Customers!A317</f>
        <v>CL00311</v>
      </c>
      <c r="B317" s="20">
        <f>IF(Customers!G317="","",(Customers!G317-Statistics!$C$7)/Statistics!$C$9)</f>
        <v>-2.7853054015787498E-2</v>
      </c>
      <c r="C317" s="4" t="str">
        <f>IF(Customers!G317="","",IF(OR(Customers!G317&lt;Statistics!$C$15,Customers!G317&gt;Statistics!$C$16),"Outside 1.5·IQR",""))</f>
        <v/>
      </c>
      <c r="D317" s="4" t="str">
        <f>IF(OR(Customers!B317&lt;18,Customers!B317&gt;100),"Implausible age","")</f>
        <v/>
      </c>
      <c r="E317" s="4" t="str">
        <f>IF(Customers!H317&gt;Customers!B317-18,"Tenure &gt; age-18","")</f>
        <v/>
      </c>
      <c r="F317" s="4" t="str">
        <f>IF(Customers!R317&gt;Customers!Q317,"Card spend &gt; limit","")</f>
        <v/>
      </c>
      <c r="G317" s="4" t="str">
        <f>IF(OR(AND(Customers!S317&gt;0,Customers!T317=0),AND(Customers!S317=0,Customers!T317&gt;0)),"Mortgage/payment inconsistent","")</f>
        <v/>
      </c>
      <c r="H317" s="4" t="str">
        <f>IF(AND(Customers!G317&lt;&gt;"",Customers!G317&gt;0,Customers!T317&gt;Customers!G317/12),"Payment &gt; monthly income","")</f>
        <v/>
      </c>
      <c r="I317" s="4" t="str">
        <f>IF(OR(Customers!I317&gt;DATE(2026,9,13),YEAR(Customers!I317)&lt;1980),"Implausible date","")</f>
        <v/>
      </c>
      <c r="J317" s="4" t="str">
        <f>IF(Customers!I317&gt;DATE(2026,9,13),"",IF(ABS(INT((DATE(2026,9,13)-Customers!I317)/365.25)-Customers!H317)&gt;1,"Date/tenure inconsistent",""))</f>
        <v/>
      </c>
      <c r="K317" s="4" t="str">
        <f>IF(COUNTIF(Customers!$A$2:$A$1001,Customers!A317)&gt;1,"Duplicate ID","")</f>
        <v/>
      </c>
      <c r="L317" s="4" t="str">
        <f>IF(COUNTIFS(Customers!$B$2:$B$1001,Customers!B317,Customers!$D$2:$D$1001,Customers!D317,Customers!$G$2:$G$1001,Customers!G317,Customers!$I$2:$I$1001,Customers!I317,Customers!$L$2:$L$1001,Customers!L317)&gt;1,"Duplicate record","")</f>
        <v/>
      </c>
      <c r="M317" s="4" t="str">
        <f>IF(OR(Customers!U317&lt;300,Customers!U317&gt;850),"Score out of range","")</f>
        <v/>
      </c>
      <c r="N317" s="4" t="str">
        <f>IF(AND(Customers!G317&lt;&gt;"",Customers!G317&lt;=0),"Income ≤ 0","")</f>
        <v/>
      </c>
      <c r="O317" s="4" t="str">
        <f>IF(OR(Customers!G317="",Customers!M317=""),"Missing value","")</f>
        <v/>
      </c>
      <c r="P317" s="4">
        <f t="shared" si="4"/>
        <v>0</v>
      </c>
    </row>
    <row r="318" spans="1:16" x14ac:dyDescent="0.25">
      <c r="A318" s="4" t="str">
        <f>Customers!A318</f>
        <v>CL00312</v>
      </c>
      <c r="B318" s="20">
        <f>IF(Customers!G318="","",(Customers!G318-Statistics!$C$7)/Statistics!$C$9)</f>
        <v>-1.6540914314104403E-3</v>
      </c>
      <c r="C318" s="4" t="str">
        <f>IF(Customers!G318="","",IF(OR(Customers!G318&lt;Statistics!$C$15,Customers!G318&gt;Statistics!$C$16),"Outside 1.5·IQR",""))</f>
        <v/>
      </c>
      <c r="D318" s="4" t="str">
        <f>IF(OR(Customers!B318&lt;18,Customers!B318&gt;100),"Implausible age","")</f>
        <v/>
      </c>
      <c r="E318" s="4" t="str">
        <f>IF(Customers!H318&gt;Customers!B318-18,"Tenure &gt; age-18","")</f>
        <v/>
      </c>
      <c r="F318" s="4" t="str">
        <f>IF(Customers!R318&gt;Customers!Q318,"Card spend &gt; limit","")</f>
        <v/>
      </c>
      <c r="G318" s="4" t="str">
        <f>IF(OR(AND(Customers!S318&gt;0,Customers!T318=0),AND(Customers!S318=0,Customers!T318&gt;0)),"Mortgage/payment inconsistent","")</f>
        <v/>
      </c>
      <c r="H318" s="4" t="str">
        <f>IF(AND(Customers!G318&lt;&gt;"",Customers!G318&gt;0,Customers!T318&gt;Customers!G318/12),"Payment &gt; monthly income","")</f>
        <v/>
      </c>
      <c r="I318" s="4" t="str">
        <f>IF(OR(Customers!I318&gt;DATE(2026,9,13),YEAR(Customers!I318)&lt;1980),"Implausible date","")</f>
        <v/>
      </c>
      <c r="J318" s="4" t="str">
        <f>IF(Customers!I318&gt;DATE(2026,9,13),"",IF(ABS(INT((DATE(2026,9,13)-Customers!I318)/365.25)-Customers!H318)&gt;1,"Date/tenure inconsistent",""))</f>
        <v/>
      </c>
      <c r="K318" s="4" t="str">
        <f>IF(COUNTIF(Customers!$A$2:$A$1001,Customers!A318)&gt;1,"Duplicate ID","")</f>
        <v/>
      </c>
      <c r="L318" s="4" t="str">
        <f>IF(COUNTIFS(Customers!$B$2:$B$1001,Customers!B318,Customers!$D$2:$D$1001,Customers!D318,Customers!$G$2:$G$1001,Customers!G318,Customers!$I$2:$I$1001,Customers!I318,Customers!$L$2:$L$1001,Customers!L318)&gt;1,"Duplicate record","")</f>
        <v/>
      </c>
      <c r="M318" s="4" t="str">
        <f>IF(OR(Customers!U318&lt;300,Customers!U318&gt;850),"Score out of range","")</f>
        <v/>
      </c>
      <c r="N318" s="4" t="str">
        <f>IF(AND(Customers!G318&lt;&gt;"",Customers!G318&lt;=0),"Income ≤ 0","")</f>
        <v/>
      </c>
      <c r="O318" s="4" t="str">
        <f>IF(OR(Customers!G318="",Customers!M318=""),"Missing value","")</f>
        <v/>
      </c>
      <c r="P318" s="4">
        <f t="shared" si="4"/>
        <v>0</v>
      </c>
    </row>
    <row r="319" spans="1:16" x14ac:dyDescent="0.25">
      <c r="A319" s="4" t="str">
        <f>Customers!A319</f>
        <v>CL00313</v>
      </c>
      <c r="B319" s="20">
        <f>IF(Customers!G319="","",(Customers!G319-Statistics!$C$7)/Statistics!$C$9)</f>
        <v>-5.0604784681167574E-2</v>
      </c>
      <c r="C319" s="4" t="str">
        <f>IF(Customers!G319="","",IF(OR(Customers!G319&lt;Statistics!$C$15,Customers!G319&gt;Statistics!$C$16),"Outside 1.5·IQR",""))</f>
        <v/>
      </c>
      <c r="D319" s="4" t="str">
        <f>IF(OR(Customers!B319&lt;18,Customers!B319&gt;100),"Implausible age","")</f>
        <v/>
      </c>
      <c r="E319" s="4" t="str">
        <f>IF(Customers!H319&gt;Customers!B319-18,"Tenure &gt; age-18","")</f>
        <v/>
      </c>
      <c r="F319" s="4" t="str">
        <f>IF(Customers!R319&gt;Customers!Q319,"Card spend &gt; limit","")</f>
        <v/>
      </c>
      <c r="G319" s="4" t="str">
        <f>IF(OR(AND(Customers!S319&gt;0,Customers!T319=0),AND(Customers!S319=0,Customers!T319&gt;0)),"Mortgage/payment inconsistent","")</f>
        <v/>
      </c>
      <c r="H319" s="4" t="str">
        <f>IF(AND(Customers!G319&lt;&gt;"",Customers!G319&gt;0,Customers!T319&gt;Customers!G319/12),"Payment &gt; monthly income","")</f>
        <v/>
      </c>
      <c r="I319" s="4" t="str">
        <f>IF(OR(Customers!I319&gt;DATE(2026,9,13),YEAR(Customers!I319)&lt;1980),"Implausible date","")</f>
        <v/>
      </c>
      <c r="J319" s="4" t="str">
        <f>IF(Customers!I319&gt;DATE(2026,9,13),"",IF(ABS(INT((DATE(2026,9,13)-Customers!I319)/365.25)-Customers!H319)&gt;1,"Date/tenure inconsistent",""))</f>
        <v/>
      </c>
      <c r="K319" s="4" t="str">
        <f>IF(COUNTIF(Customers!$A$2:$A$1001,Customers!A319)&gt;1,"Duplicate ID","")</f>
        <v/>
      </c>
      <c r="L319" s="4" t="str">
        <f>IF(COUNTIFS(Customers!$B$2:$B$1001,Customers!B319,Customers!$D$2:$D$1001,Customers!D319,Customers!$G$2:$G$1001,Customers!G319,Customers!$I$2:$I$1001,Customers!I319,Customers!$L$2:$L$1001,Customers!L319)&gt;1,"Duplicate record","")</f>
        <v/>
      </c>
      <c r="M319" s="4" t="str">
        <f>IF(OR(Customers!U319&lt;300,Customers!U319&gt;850),"Score out of range","")</f>
        <v/>
      </c>
      <c r="N319" s="4" t="str">
        <f>IF(AND(Customers!G319&lt;&gt;"",Customers!G319&lt;=0),"Income ≤ 0","")</f>
        <v/>
      </c>
      <c r="O319" s="4" t="str">
        <f>IF(OR(Customers!G319="",Customers!M319=""),"Missing value","")</f>
        <v/>
      </c>
      <c r="P319" s="4">
        <f t="shared" si="4"/>
        <v>0</v>
      </c>
    </row>
    <row r="320" spans="1:16" x14ac:dyDescent="0.25">
      <c r="A320" s="4" t="str">
        <f>Customers!A320</f>
        <v>CL00314</v>
      </c>
      <c r="B320" s="20">
        <f>IF(Customers!G320="","",(Customers!G320-Statistics!$C$7)/Statistics!$C$9)</f>
        <v>3.0848380947703955E-2</v>
      </c>
      <c r="C320" s="4" t="str">
        <f>IF(Customers!G320="","",IF(OR(Customers!G320&lt;Statistics!$C$15,Customers!G320&gt;Statistics!$C$16),"Outside 1.5·IQR",""))</f>
        <v>Outside 1.5·IQR</v>
      </c>
      <c r="D320" s="4" t="str">
        <f>IF(OR(Customers!B320&lt;18,Customers!B320&gt;100),"Implausible age","")</f>
        <v/>
      </c>
      <c r="E320" s="4" t="str">
        <f>IF(Customers!H320&gt;Customers!B320-18,"Tenure &gt; age-18","")</f>
        <v/>
      </c>
      <c r="F320" s="4" t="str">
        <f>IF(Customers!R320&gt;Customers!Q320,"Card spend &gt; limit","")</f>
        <v/>
      </c>
      <c r="G320" s="4" t="str">
        <f>IF(OR(AND(Customers!S320&gt;0,Customers!T320=0),AND(Customers!S320=0,Customers!T320&gt;0)),"Mortgage/payment inconsistent","")</f>
        <v/>
      </c>
      <c r="H320" s="4" t="str">
        <f>IF(AND(Customers!G320&lt;&gt;"",Customers!G320&gt;0,Customers!T320&gt;Customers!G320/12),"Payment &gt; monthly income","")</f>
        <v/>
      </c>
      <c r="I320" s="4" t="str">
        <f>IF(OR(Customers!I320&gt;DATE(2026,9,13),YEAR(Customers!I320)&lt;1980),"Implausible date","")</f>
        <v/>
      </c>
      <c r="J320" s="4" t="str">
        <f>IF(Customers!I320&gt;DATE(2026,9,13),"",IF(ABS(INT((DATE(2026,9,13)-Customers!I320)/365.25)-Customers!H320)&gt;1,"Date/tenure inconsistent",""))</f>
        <v/>
      </c>
      <c r="K320" s="4" t="str">
        <f>IF(COUNTIF(Customers!$A$2:$A$1001,Customers!A320)&gt;1,"Duplicate ID","")</f>
        <v/>
      </c>
      <c r="L320" s="4" t="str">
        <f>IF(COUNTIFS(Customers!$B$2:$B$1001,Customers!B320,Customers!$D$2:$D$1001,Customers!D320,Customers!$G$2:$G$1001,Customers!G320,Customers!$I$2:$I$1001,Customers!I320,Customers!$L$2:$L$1001,Customers!L320)&gt;1,"Duplicate record","")</f>
        <v/>
      </c>
      <c r="M320" s="4" t="str">
        <f>IF(OR(Customers!U320&lt;300,Customers!U320&gt;850),"Score out of range","")</f>
        <v/>
      </c>
      <c r="N320" s="4" t="str">
        <f>IF(AND(Customers!G320&lt;&gt;"",Customers!G320&lt;=0),"Income ≤ 0","")</f>
        <v/>
      </c>
      <c r="O320" s="4" t="str">
        <f>IF(OR(Customers!G320="",Customers!M320=""),"Missing value","")</f>
        <v/>
      </c>
      <c r="P320" s="4">
        <f t="shared" si="4"/>
        <v>1</v>
      </c>
    </row>
    <row r="321" spans="1:16" x14ac:dyDescent="0.25">
      <c r="A321" s="4" t="str">
        <f>Customers!A321</f>
        <v>CL00315</v>
      </c>
      <c r="B321" s="20">
        <f>IF(Customers!G321="","",(Customers!G321-Statistics!$C$7)/Statistics!$C$9)</f>
        <v>-6.7348482573438631E-2</v>
      </c>
      <c r="C321" s="4" t="str">
        <f>IF(Customers!G321="","",IF(OR(Customers!G321&lt;Statistics!$C$15,Customers!G321&gt;Statistics!$C$16),"Outside 1.5·IQR",""))</f>
        <v/>
      </c>
      <c r="D321" s="4" t="str">
        <f>IF(OR(Customers!B321&lt;18,Customers!B321&gt;100),"Implausible age","")</f>
        <v/>
      </c>
      <c r="E321" s="4" t="str">
        <f>IF(Customers!H321&gt;Customers!B321-18,"Tenure &gt; age-18","")</f>
        <v/>
      </c>
      <c r="F321" s="4" t="str">
        <f>IF(Customers!R321&gt;Customers!Q321,"Card spend &gt; limit","")</f>
        <v/>
      </c>
      <c r="G321" s="4" t="str">
        <f>IF(OR(AND(Customers!S321&gt;0,Customers!T321=0),AND(Customers!S321=0,Customers!T321&gt;0)),"Mortgage/payment inconsistent","")</f>
        <v/>
      </c>
      <c r="H321" s="4" t="str">
        <f>IF(AND(Customers!G321&lt;&gt;"",Customers!G321&gt;0,Customers!T321&gt;Customers!G321/12),"Payment &gt; monthly income","")</f>
        <v/>
      </c>
      <c r="I321" s="4" t="str">
        <f>IF(OR(Customers!I321&gt;DATE(2026,9,13),YEAR(Customers!I321)&lt;1980),"Implausible date","")</f>
        <v/>
      </c>
      <c r="J321" s="4" t="str">
        <f>IF(Customers!I321&gt;DATE(2026,9,13),"",IF(ABS(INT((DATE(2026,9,13)-Customers!I321)/365.25)-Customers!H321)&gt;1,"Date/tenure inconsistent",""))</f>
        <v/>
      </c>
      <c r="K321" s="4" t="str">
        <f>IF(COUNTIF(Customers!$A$2:$A$1001,Customers!A321)&gt;1,"Duplicate ID","")</f>
        <v/>
      </c>
      <c r="L321" s="4" t="str">
        <f>IF(COUNTIFS(Customers!$B$2:$B$1001,Customers!B321,Customers!$D$2:$D$1001,Customers!D321,Customers!$G$2:$G$1001,Customers!G321,Customers!$I$2:$I$1001,Customers!I321,Customers!$L$2:$L$1001,Customers!L321)&gt;1,"Duplicate record","")</f>
        <v/>
      </c>
      <c r="M321" s="4" t="str">
        <f>IF(OR(Customers!U321&lt;300,Customers!U321&gt;850),"Score out of range","")</f>
        <v/>
      </c>
      <c r="N321" s="4" t="str">
        <f>IF(AND(Customers!G321&lt;&gt;"",Customers!G321&lt;=0),"Income ≤ 0","")</f>
        <v/>
      </c>
      <c r="O321" s="4" t="str">
        <f>IF(OR(Customers!G321="",Customers!M321=""),"Missing value","")</f>
        <v/>
      </c>
      <c r="P321" s="4">
        <f t="shared" si="4"/>
        <v>0</v>
      </c>
    </row>
    <row r="322" spans="1:16" x14ac:dyDescent="0.25">
      <c r="A322" s="4" t="str">
        <f>Customers!A322</f>
        <v>CL00316</v>
      </c>
      <c r="B322" s="20">
        <f>IF(Customers!G322="","",(Customers!G322-Statistics!$C$7)/Statistics!$C$9)</f>
        <v>-4.3217859140459759E-2</v>
      </c>
      <c r="C322" s="4" t="str">
        <f>IF(Customers!G322="","",IF(OR(Customers!G322&lt;Statistics!$C$15,Customers!G322&gt;Statistics!$C$16),"Outside 1.5·IQR",""))</f>
        <v/>
      </c>
      <c r="D322" s="4" t="str">
        <f>IF(OR(Customers!B322&lt;18,Customers!B322&gt;100),"Implausible age","")</f>
        <v/>
      </c>
      <c r="E322" s="4" t="str">
        <f>IF(Customers!H322&gt;Customers!B322-18,"Tenure &gt; age-18","")</f>
        <v/>
      </c>
      <c r="F322" s="4" t="str">
        <f>IF(Customers!R322&gt;Customers!Q322,"Card spend &gt; limit","")</f>
        <v/>
      </c>
      <c r="G322" s="4" t="str">
        <f>IF(OR(AND(Customers!S322&gt;0,Customers!T322=0),AND(Customers!S322=0,Customers!T322&gt;0)),"Mortgage/payment inconsistent","")</f>
        <v/>
      </c>
      <c r="H322" s="4" t="str">
        <f>IF(AND(Customers!G322&lt;&gt;"",Customers!G322&gt;0,Customers!T322&gt;Customers!G322/12),"Payment &gt; monthly income","")</f>
        <v/>
      </c>
      <c r="I322" s="4" t="str">
        <f>IF(OR(Customers!I322&gt;DATE(2026,9,13),YEAR(Customers!I322)&lt;1980),"Implausible date","")</f>
        <v/>
      </c>
      <c r="J322" s="4" t="str">
        <f>IF(Customers!I322&gt;DATE(2026,9,13),"",IF(ABS(INT((DATE(2026,9,13)-Customers!I322)/365.25)-Customers!H322)&gt;1,"Date/tenure inconsistent",""))</f>
        <v/>
      </c>
      <c r="K322" s="4" t="str">
        <f>IF(COUNTIF(Customers!$A$2:$A$1001,Customers!A322)&gt;1,"Duplicate ID","")</f>
        <v/>
      </c>
      <c r="L322" s="4" t="str">
        <f>IF(COUNTIFS(Customers!$B$2:$B$1001,Customers!B322,Customers!$D$2:$D$1001,Customers!D322,Customers!$G$2:$G$1001,Customers!G322,Customers!$I$2:$I$1001,Customers!I322,Customers!$L$2:$L$1001,Customers!L322)&gt;1,"Duplicate record","")</f>
        <v/>
      </c>
      <c r="M322" s="4" t="str">
        <f>IF(OR(Customers!U322&lt;300,Customers!U322&gt;850),"Score out of range","")</f>
        <v/>
      </c>
      <c r="N322" s="4" t="str">
        <f>IF(AND(Customers!G322&lt;&gt;"",Customers!G322&lt;=0),"Income ≤ 0","")</f>
        <v/>
      </c>
      <c r="O322" s="4" t="str">
        <f>IF(OR(Customers!G322="",Customers!M322=""),"Missing value","")</f>
        <v/>
      </c>
      <c r="P322" s="4">
        <f t="shared" ref="P322:P385" si="5">SUMPRODUCT(--(C322:O322&lt;&gt;""))</f>
        <v>0</v>
      </c>
    </row>
    <row r="323" spans="1:16" x14ac:dyDescent="0.25">
      <c r="A323" s="4" t="str">
        <f>Customers!A323</f>
        <v>CL00317</v>
      </c>
      <c r="B323" s="20">
        <f>IF(Customers!G323="","",(Customers!G323-Statistics!$C$7)/Statistics!$C$9)</f>
        <v>-4.8437953189226619E-2</v>
      </c>
      <c r="C323" s="4" t="str">
        <f>IF(Customers!G323="","",IF(OR(Customers!G323&lt;Statistics!$C$15,Customers!G323&gt;Statistics!$C$16),"Outside 1.5·IQR",""))</f>
        <v/>
      </c>
      <c r="D323" s="4" t="str">
        <f>IF(OR(Customers!B323&lt;18,Customers!B323&gt;100),"Implausible age","")</f>
        <v/>
      </c>
      <c r="E323" s="4" t="str">
        <f>IF(Customers!H323&gt;Customers!B323-18,"Tenure &gt; age-18","")</f>
        <v/>
      </c>
      <c r="F323" s="4" t="str">
        <f>IF(Customers!R323&gt;Customers!Q323,"Card spend &gt; limit","")</f>
        <v/>
      </c>
      <c r="G323" s="4" t="str">
        <f>IF(OR(AND(Customers!S323&gt;0,Customers!T323=0),AND(Customers!S323=0,Customers!T323&gt;0)),"Mortgage/payment inconsistent","")</f>
        <v/>
      </c>
      <c r="H323" s="4" t="str">
        <f>IF(AND(Customers!G323&lt;&gt;"",Customers!G323&gt;0,Customers!T323&gt;Customers!G323/12),"Payment &gt; monthly income","")</f>
        <v/>
      </c>
      <c r="I323" s="4" t="str">
        <f>IF(OR(Customers!I323&gt;DATE(2026,9,13),YEAR(Customers!I323)&lt;1980),"Implausible date","")</f>
        <v/>
      </c>
      <c r="J323" s="4" t="str">
        <f>IF(Customers!I323&gt;DATE(2026,9,13),"",IF(ABS(INT((DATE(2026,9,13)-Customers!I323)/365.25)-Customers!H323)&gt;1,"Date/tenure inconsistent",""))</f>
        <v/>
      </c>
      <c r="K323" s="4" t="str">
        <f>IF(COUNTIF(Customers!$A$2:$A$1001,Customers!A323)&gt;1,"Duplicate ID","")</f>
        <v/>
      </c>
      <c r="L323" s="4" t="str">
        <f>IF(COUNTIFS(Customers!$B$2:$B$1001,Customers!B323,Customers!$D$2:$D$1001,Customers!D323,Customers!$G$2:$G$1001,Customers!G323,Customers!$I$2:$I$1001,Customers!I323,Customers!$L$2:$L$1001,Customers!L323)&gt;1,"Duplicate record","")</f>
        <v/>
      </c>
      <c r="M323" s="4" t="str">
        <f>IF(OR(Customers!U323&lt;300,Customers!U323&gt;850),"Score out of range","")</f>
        <v/>
      </c>
      <c r="N323" s="4" t="str">
        <f>IF(AND(Customers!G323&lt;&gt;"",Customers!G323&lt;=0),"Income ≤ 0","")</f>
        <v/>
      </c>
      <c r="O323" s="4" t="str">
        <f>IF(OR(Customers!G323="",Customers!M323=""),"Missing value","")</f>
        <v/>
      </c>
      <c r="P323" s="4">
        <f t="shared" si="5"/>
        <v>0</v>
      </c>
    </row>
    <row r="324" spans="1:16" x14ac:dyDescent="0.25">
      <c r="A324" s="4" t="str">
        <f>Customers!A324</f>
        <v>CL00318</v>
      </c>
      <c r="B324" s="20">
        <f>IF(Customers!G324="","",(Customers!G324-Statistics!$C$7)/Statistics!$C$9)</f>
        <v>-5.1195738724424199E-2</v>
      </c>
      <c r="C324" s="4" t="str">
        <f>IF(Customers!G324="","",IF(OR(Customers!G324&lt;Statistics!$C$15,Customers!G324&gt;Statistics!$C$16),"Outside 1.5·IQR",""))</f>
        <v/>
      </c>
      <c r="D324" s="4" t="str">
        <f>IF(OR(Customers!B324&lt;18,Customers!B324&gt;100),"Implausible age","")</f>
        <v/>
      </c>
      <c r="E324" s="4" t="str">
        <f>IF(Customers!H324&gt;Customers!B324-18,"Tenure &gt; age-18","")</f>
        <v/>
      </c>
      <c r="F324" s="4" t="str">
        <f>IF(Customers!R324&gt;Customers!Q324,"Card spend &gt; limit","")</f>
        <v/>
      </c>
      <c r="G324" s="4" t="str">
        <f>IF(OR(AND(Customers!S324&gt;0,Customers!T324=0),AND(Customers!S324=0,Customers!T324&gt;0)),"Mortgage/payment inconsistent","")</f>
        <v/>
      </c>
      <c r="H324" s="4" t="str">
        <f>IF(AND(Customers!G324&lt;&gt;"",Customers!G324&gt;0,Customers!T324&gt;Customers!G324/12),"Payment &gt; monthly income","")</f>
        <v/>
      </c>
      <c r="I324" s="4" t="str">
        <f>IF(OR(Customers!I324&gt;DATE(2026,9,13),YEAR(Customers!I324)&lt;1980),"Implausible date","")</f>
        <v/>
      </c>
      <c r="J324" s="4" t="str">
        <f>IF(Customers!I324&gt;DATE(2026,9,13),"",IF(ABS(INT((DATE(2026,9,13)-Customers!I324)/365.25)-Customers!H324)&gt;1,"Date/tenure inconsistent",""))</f>
        <v/>
      </c>
      <c r="K324" s="4" t="str">
        <f>IF(COUNTIF(Customers!$A$2:$A$1001,Customers!A324)&gt;1,"Duplicate ID","")</f>
        <v/>
      </c>
      <c r="L324" s="4" t="str">
        <f>IF(COUNTIFS(Customers!$B$2:$B$1001,Customers!B324,Customers!$D$2:$D$1001,Customers!D324,Customers!$G$2:$G$1001,Customers!G324,Customers!$I$2:$I$1001,Customers!I324,Customers!$L$2:$L$1001,Customers!L324)&gt;1,"Duplicate record","")</f>
        <v/>
      </c>
      <c r="M324" s="4" t="str">
        <f>IF(OR(Customers!U324&lt;300,Customers!U324&gt;850),"Score out of range","")</f>
        <v/>
      </c>
      <c r="N324" s="4" t="str">
        <f>IF(AND(Customers!G324&lt;&gt;"",Customers!G324&lt;=0),"Income ≤ 0","")</f>
        <v/>
      </c>
      <c r="O324" s="4" t="str">
        <f>IF(OR(Customers!G324="",Customers!M324=""),"Missing value","")</f>
        <v/>
      </c>
      <c r="P324" s="4">
        <f t="shared" si="5"/>
        <v>0</v>
      </c>
    </row>
    <row r="325" spans="1:16" x14ac:dyDescent="0.25">
      <c r="A325" s="4" t="str">
        <f>Customers!A325</f>
        <v>CL00319</v>
      </c>
      <c r="B325" s="20">
        <f>IF(Customers!G325="","",(Customers!G325-Statistics!$C$7)/Statistics!$C$9)</f>
        <v>-5.4150508940707331E-2</v>
      </c>
      <c r="C325" s="4" t="str">
        <f>IF(Customers!G325="","",IF(OR(Customers!G325&lt;Statistics!$C$15,Customers!G325&gt;Statistics!$C$16),"Outside 1.5·IQR",""))</f>
        <v/>
      </c>
      <c r="D325" s="4" t="str">
        <f>IF(OR(Customers!B325&lt;18,Customers!B325&gt;100),"Implausible age","")</f>
        <v/>
      </c>
      <c r="E325" s="4" t="str">
        <f>IF(Customers!H325&gt;Customers!B325-18,"Tenure &gt; age-18","")</f>
        <v/>
      </c>
      <c r="F325" s="4" t="str">
        <f>IF(Customers!R325&gt;Customers!Q325,"Card spend &gt; limit","")</f>
        <v/>
      </c>
      <c r="G325" s="4" t="str">
        <f>IF(OR(AND(Customers!S325&gt;0,Customers!T325=0),AND(Customers!S325=0,Customers!T325&gt;0)),"Mortgage/payment inconsistent","")</f>
        <v/>
      </c>
      <c r="H325" s="4" t="str">
        <f>IF(AND(Customers!G325&lt;&gt;"",Customers!G325&gt;0,Customers!T325&gt;Customers!G325/12),"Payment &gt; monthly income","")</f>
        <v/>
      </c>
      <c r="I325" s="4" t="str">
        <f>IF(OR(Customers!I325&gt;DATE(2026,9,13),YEAR(Customers!I325)&lt;1980),"Implausible date","")</f>
        <v/>
      </c>
      <c r="J325" s="4" t="str">
        <f>IF(Customers!I325&gt;DATE(2026,9,13),"",IF(ABS(INT((DATE(2026,9,13)-Customers!I325)/365.25)-Customers!H325)&gt;1,"Date/tenure inconsistent",""))</f>
        <v/>
      </c>
      <c r="K325" s="4" t="str">
        <f>IF(COUNTIF(Customers!$A$2:$A$1001,Customers!A325)&gt;1,"Duplicate ID","")</f>
        <v/>
      </c>
      <c r="L325" s="4" t="str">
        <f>IF(COUNTIFS(Customers!$B$2:$B$1001,Customers!B325,Customers!$D$2:$D$1001,Customers!D325,Customers!$G$2:$G$1001,Customers!G325,Customers!$I$2:$I$1001,Customers!I325,Customers!$L$2:$L$1001,Customers!L325)&gt;1,"Duplicate record","")</f>
        <v/>
      </c>
      <c r="M325" s="4" t="str">
        <f>IF(OR(Customers!U325&lt;300,Customers!U325&gt;850),"Score out of range","")</f>
        <v/>
      </c>
      <c r="N325" s="4" t="str">
        <f>IF(AND(Customers!G325&lt;&gt;"",Customers!G325&lt;=0),"Income ≤ 0","")</f>
        <v/>
      </c>
      <c r="O325" s="4" t="str">
        <f>IF(OR(Customers!G325="",Customers!M325=""),"Missing value","")</f>
        <v/>
      </c>
      <c r="P325" s="4">
        <f t="shared" si="5"/>
        <v>0</v>
      </c>
    </row>
    <row r="326" spans="1:16" x14ac:dyDescent="0.25">
      <c r="A326" s="4" t="str">
        <f>Customers!A326</f>
        <v>CL00320</v>
      </c>
      <c r="B326" s="20">
        <f>IF(Customers!G326="","",(Customers!G326-Statistics!$C$7)/Statistics!$C$9)</f>
        <v>-5.4249001281250098E-2</v>
      </c>
      <c r="C326" s="4" t="str">
        <f>IF(Customers!G326="","",IF(OR(Customers!G326&lt;Statistics!$C$15,Customers!G326&gt;Statistics!$C$16),"Outside 1.5·IQR",""))</f>
        <v/>
      </c>
      <c r="D326" s="4" t="str">
        <f>IF(OR(Customers!B326&lt;18,Customers!B326&gt;100),"Implausible age","")</f>
        <v/>
      </c>
      <c r="E326" s="4" t="str">
        <f>IF(Customers!H326&gt;Customers!B326-18,"Tenure &gt; age-18","")</f>
        <v/>
      </c>
      <c r="F326" s="4" t="str">
        <f>IF(Customers!R326&gt;Customers!Q326,"Card spend &gt; limit","")</f>
        <v/>
      </c>
      <c r="G326" s="4" t="str">
        <f>IF(OR(AND(Customers!S326&gt;0,Customers!T326=0),AND(Customers!S326=0,Customers!T326&gt;0)),"Mortgage/payment inconsistent","")</f>
        <v/>
      </c>
      <c r="H326" s="4" t="str">
        <f>IF(AND(Customers!G326&lt;&gt;"",Customers!G326&gt;0,Customers!T326&gt;Customers!G326/12),"Payment &gt; monthly income","")</f>
        <v/>
      </c>
      <c r="I326" s="4" t="str">
        <f>IF(OR(Customers!I326&gt;DATE(2026,9,13),YEAR(Customers!I326)&lt;1980),"Implausible date","")</f>
        <v/>
      </c>
      <c r="J326" s="4" t="str">
        <f>IF(Customers!I326&gt;DATE(2026,9,13),"",IF(ABS(INT((DATE(2026,9,13)-Customers!I326)/365.25)-Customers!H326)&gt;1,"Date/tenure inconsistent",""))</f>
        <v/>
      </c>
      <c r="K326" s="4" t="str">
        <f>IF(COUNTIF(Customers!$A$2:$A$1001,Customers!A326)&gt;1,"Duplicate ID","")</f>
        <v/>
      </c>
      <c r="L326" s="4" t="str">
        <f>IF(COUNTIFS(Customers!$B$2:$B$1001,Customers!B326,Customers!$D$2:$D$1001,Customers!D326,Customers!$G$2:$G$1001,Customers!G326,Customers!$I$2:$I$1001,Customers!I326,Customers!$L$2:$L$1001,Customers!L326)&gt;1,"Duplicate record","")</f>
        <v/>
      </c>
      <c r="M326" s="4" t="str">
        <f>IF(OR(Customers!U326&lt;300,Customers!U326&gt;850),"Score out of range","")</f>
        <v/>
      </c>
      <c r="N326" s="4" t="str">
        <f>IF(AND(Customers!G326&lt;&gt;"",Customers!G326&lt;=0),"Income ≤ 0","")</f>
        <v/>
      </c>
      <c r="O326" s="4" t="str">
        <f>IF(OR(Customers!G326="",Customers!M326=""),"Missing value","")</f>
        <v/>
      </c>
      <c r="P326" s="4">
        <f t="shared" si="5"/>
        <v>0</v>
      </c>
    </row>
    <row r="327" spans="1:16" x14ac:dyDescent="0.25">
      <c r="A327" s="4" t="str">
        <f>Customers!A327</f>
        <v>CL00321</v>
      </c>
      <c r="B327" s="20" t="str">
        <f>IF(Customers!G327="","",(Customers!G327-Statistics!$C$7)/Statistics!$C$9)</f>
        <v/>
      </c>
      <c r="C327" s="4" t="str">
        <f>IF(Customers!G327="","",IF(OR(Customers!G327&lt;Statistics!$C$15,Customers!G327&gt;Statistics!$C$16),"Outside 1.5·IQR",""))</f>
        <v/>
      </c>
      <c r="D327" s="4" t="str">
        <f>IF(OR(Customers!B327&lt;18,Customers!B327&gt;100),"Implausible age","")</f>
        <v/>
      </c>
      <c r="E327" s="4" t="str">
        <f>IF(Customers!H327&gt;Customers!B327-18,"Tenure &gt; age-18","")</f>
        <v/>
      </c>
      <c r="F327" s="4" t="str">
        <f>IF(Customers!R327&gt;Customers!Q327,"Card spend &gt; limit","")</f>
        <v/>
      </c>
      <c r="G327" s="4" t="str">
        <f>IF(OR(AND(Customers!S327&gt;0,Customers!T327=0),AND(Customers!S327=0,Customers!T327&gt;0)),"Mortgage/payment inconsistent","")</f>
        <v/>
      </c>
      <c r="H327" s="4" t="str">
        <f>IF(AND(Customers!G327&lt;&gt;"",Customers!G327&gt;0,Customers!T327&gt;Customers!G327/12),"Payment &gt; monthly income","")</f>
        <v/>
      </c>
      <c r="I327" s="4" t="str">
        <f>IF(OR(Customers!I327&gt;DATE(2026,9,13),YEAR(Customers!I327)&lt;1980),"Implausible date","")</f>
        <v/>
      </c>
      <c r="J327" s="4" t="str">
        <f>IF(Customers!I327&gt;DATE(2026,9,13),"",IF(ABS(INT((DATE(2026,9,13)-Customers!I327)/365.25)-Customers!H327)&gt;1,"Date/tenure inconsistent",""))</f>
        <v/>
      </c>
      <c r="K327" s="4" t="str">
        <f>IF(COUNTIF(Customers!$A$2:$A$1001,Customers!A327)&gt;1,"Duplicate ID","")</f>
        <v/>
      </c>
      <c r="L327" s="4" t="str">
        <f>IF(COUNTIFS(Customers!$B$2:$B$1001,Customers!B327,Customers!$D$2:$D$1001,Customers!D327,Customers!$G$2:$G$1001,Customers!G327,Customers!$I$2:$I$1001,Customers!I327,Customers!$L$2:$L$1001,Customers!L327)&gt;1,"Duplicate record","")</f>
        <v/>
      </c>
      <c r="M327" s="4" t="str">
        <f>IF(OR(Customers!U327&lt;300,Customers!U327&gt;850),"Score out of range","")</f>
        <v/>
      </c>
      <c r="N327" s="4" t="str">
        <f>IF(AND(Customers!G327&lt;&gt;"",Customers!G327&lt;=0),"Income ≤ 0","")</f>
        <v/>
      </c>
      <c r="O327" s="4" t="str">
        <f>IF(OR(Customers!G327="",Customers!M327=""),"Missing value","")</f>
        <v>Missing value</v>
      </c>
      <c r="P327" s="4">
        <f t="shared" si="5"/>
        <v>1</v>
      </c>
    </row>
    <row r="328" spans="1:16" x14ac:dyDescent="0.25">
      <c r="A328" s="4" t="str">
        <f>Customers!A328</f>
        <v>CL00322</v>
      </c>
      <c r="B328" s="20">
        <f>IF(Customers!G328="","",(Customers!G328-Statistics!$C$7)/Statistics!$C$9)</f>
        <v>-1.367015697762849E-2</v>
      </c>
      <c r="C328" s="4" t="str">
        <f>IF(Customers!G328="","",IF(OR(Customers!G328&lt;Statistics!$C$15,Customers!G328&gt;Statistics!$C$16),"Outside 1.5·IQR",""))</f>
        <v/>
      </c>
      <c r="D328" s="4" t="str">
        <f>IF(OR(Customers!B328&lt;18,Customers!B328&gt;100),"Implausible age","")</f>
        <v/>
      </c>
      <c r="E328" s="4" t="str">
        <f>IF(Customers!H328&gt;Customers!B328-18,"Tenure &gt; age-18","")</f>
        <v/>
      </c>
      <c r="F328" s="4" t="str">
        <f>IF(Customers!R328&gt;Customers!Q328,"Card spend &gt; limit","")</f>
        <v/>
      </c>
      <c r="G328" s="4" t="str">
        <f>IF(OR(AND(Customers!S328&gt;0,Customers!T328=0),AND(Customers!S328=0,Customers!T328&gt;0)),"Mortgage/payment inconsistent","")</f>
        <v/>
      </c>
      <c r="H328" s="4" t="str">
        <f>IF(AND(Customers!G328&lt;&gt;"",Customers!G328&gt;0,Customers!T328&gt;Customers!G328/12),"Payment &gt; monthly income","")</f>
        <v/>
      </c>
      <c r="I328" s="4" t="str">
        <f>IF(OR(Customers!I328&gt;DATE(2026,9,13),YEAR(Customers!I328)&lt;1980),"Implausible date","")</f>
        <v/>
      </c>
      <c r="J328" s="4" t="str">
        <f>IF(Customers!I328&gt;DATE(2026,9,13),"",IF(ABS(INT((DATE(2026,9,13)-Customers!I328)/365.25)-Customers!H328)&gt;1,"Date/tenure inconsistent",""))</f>
        <v/>
      </c>
      <c r="K328" s="4" t="str">
        <f>IF(COUNTIF(Customers!$A$2:$A$1001,Customers!A328)&gt;1,"Duplicate ID","")</f>
        <v/>
      </c>
      <c r="L328" s="4" t="str">
        <f>IF(COUNTIFS(Customers!$B$2:$B$1001,Customers!B328,Customers!$D$2:$D$1001,Customers!D328,Customers!$G$2:$G$1001,Customers!G328,Customers!$I$2:$I$1001,Customers!I328,Customers!$L$2:$L$1001,Customers!L328)&gt;1,"Duplicate record","")</f>
        <v/>
      </c>
      <c r="M328" s="4" t="str">
        <f>IF(OR(Customers!U328&lt;300,Customers!U328&gt;850),"Score out of range","")</f>
        <v/>
      </c>
      <c r="N328" s="4" t="str">
        <f>IF(AND(Customers!G328&lt;&gt;"",Customers!G328&lt;=0),"Income ≤ 0","")</f>
        <v/>
      </c>
      <c r="O328" s="4" t="str">
        <f>IF(OR(Customers!G328="",Customers!M328=""),"Missing value","")</f>
        <v/>
      </c>
      <c r="P328" s="4">
        <f t="shared" si="5"/>
        <v>0</v>
      </c>
    </row>
    <row r="329" spans="1:16" x14ac:dyDescent="0.25">
      <c r="A329" s="4" t="str">
        <f>Customers!A329</f>
        <v>CL00323</v>
      </c>
      <c r="B329" s="20">
        <f>IF(Customers!G329="","",(Customers!G329-Statistics!$C$7)/Statistics!$C$9)</f>
        <v>-4.4498259567515783E-2</v>
      </c>
      <c r="C329" s="4" t="str">
        <f>IF(Customers!G329="","",IF(OR(Customers!G329&lt;Statistics!$C$15,Customers!G329&gt;Statistics!$C$16),"Outside 1.5·IQR",""))</f>
        <v/>
      </c>
      <c r="D329" s="4" t="str">
        <f>IF(OR(Customers!B329&lt;18,Customers!B329&gt;100),"Implausible age","")</f>
        <v/>
      </c>
      <c r="E329" s="4" t="str">
        <f>IF(Customers!H329&gt;Customers!B329-18,"Tenure &gt; age-18","")</f>
        <v/>
      </c>
      <c r="F329" s="4" t="str">
        <f>IF(Customers!R329&gt;Customers!Q329,"Card spend &gt; limit","")</f>
        <v/>
      </c>
      <c r="G329" s="4" t="str">
        <f>IF(OR(AND(Customers!S329&gt;0,Customers!T329=0),AND(Customers!S329=0,Customers!T329&gt;0)),"Mortgage/payment inconsistent","")</f>
        <v/>
      </c>
      <c r="H329" s="4" t="str">
        <f>IF(AND(Customers!G329&lt;&gt;"",Customers!G329&gt;0,Customers!T329&gt;Customers!G329/12),"Payment &gt; monthly income","")</f>
        <v/>
      </c>
      <c r="I329" s="4" t="str">
        <f>IF(OR(Customers!I329&gt;DATE(2026,9,13),YEAR(Customers!I329)&lt;1980),"Implausible date","")</f>
        <v/>
      </c>
      <c r="J329" s="4" t="str">
        <f>IF(Customers!I329&gt;DATE(2026,9,13),"",IF(ABS(INT((DATE(2026,9,13)-Customers!I329)/365.25)-Customers!H329)&gt;1,"Date/tenure inconsistent",""))</f>
        <v/>
      </c>
      <c r="K329" s="4" t="str">
        <f>IF(COUNTIF(Customers!$A$2:$A$1001,Customers!A329)&gt;1,"Duplicate ID","")</f>
        <v/>
      </c>
      <c r="L329" s="4" t="str">
        <f>IF(COUNTIFS(Customers!$B$2:$B$1001,Customers!B329,Customers!$D$2:$D$1001,Customers!D329,Customers!$G$2:$G$1001,Customers!G329,Customers!$I$2:$I$1001,Customers!I329,Customers!$L$2:$L$1001,Customers!L329)&gt;1,"Duplicate record","")</f>
        <v/>
      </c>
      <c r="M329" s="4" t="str">
        <f>IF(OR(Customers!U329&lt;300,Customers!U329&gt;850),"Score out of range","")</f>
        <v/>
      </c>
      <c r="N329" s="4" t="str">
        <f>IF(AND(Customers!G329&lt;&gt;"",Customers!G329&lt;=0),"Income ≤ 0","")</f>
        <v/>
      </c>
      <c r="O329" s="4" t="str">
        <f>IF(OR(Customers!G329="",Customers!M329=""),"Missing value","")</f>
        <v/>
      </c>
      <c r="P329" s="4">
        <f t="shared" si="5"/>
        <v>0</v>
      </c>
    </row>
    <row r="330" spans="1:16" x14ac:dyDescent="0.25">
      <c r="A330" s="4" t="str">
        <f>Customers!A330</f>
        <v>CL00324</v>
      </c>
      <c r="B330" s="20">
        <f>IF(Customers!G330="","",(Customers!G330-Statistics!$C$7)/Statistics!$C$9)</f>
        <v>-4.2823889778288673E-2</v>
      </c>
      <c r="C330" s="4" t="str">
        <f>IF(Customers!G330="","",IF(OR(Customers!G330&lt;Statistics!$C$15,Customers!G330&gt;Statistics!$C$16),"Outside 1.5·IQR",""))</f>
        <v/>
      </c>
      <c r="D330" s="4" t="str">
        <f>IF(OR(Customers!B330&lt;18,Customers!B330&gt;100),"Implausible age","")</f>
        <v/>
      </c>
      <c r="E330" s="4" t="str">
        <f>IF(Customers!H330&gt;Customers!B330-18,"Tenure &gt; age-18","")</f>
        <v/>
      </c>
      <c r="F330" s="4" t="str">
        <f>IF(Customers!R330&gt;Customers!Q330,"Card spend &gt; limit","")</f>
        <v/>
      </c>
      <c r="G330" s="4" t="str">
        <f>IF(OR(AND(Customers!S330&gt;0,Customers!T330=0),AND(Customers!S330=0,Customers!T330&gt;0)),"Mortgage/payment inconsistent","")</f>
        <v/>
      </c>
      <c r="H330" s="4" t="str">
        <f>IF(AND(Customers!G330&lt;&gt;"",Customers!G330&gt;0,Customers!T330&gt;Customers!G330/12),"Payment &gt; monthly income","")</f>
        <v/>
      </c>
      <c r="I330" s="4" t="str">
        <f>IF(OR(Customers!I330&gt;DATE(2026,9,13),YEAR(Customers!I330)&lt;1980),"Implausible date","")</f>
        <v/>
      </c>
      <c r="J330" s="4" t="str">
        <f>IF(Customers!I330&gt;DATE(2026,9,13),"",IF(ABS(INT((DATE(2026,9,13)-Customers!I330)/365.25)-Customers!H330)&gt;1,"Date/tenure inconsistent",""))</f>
        <v/>
      </c>
      <c r="K330" s="4" t="str">
        <f>IF(COUNTIF(Customers!$A$2:$A$1001,Customers!A330)&gt;1,"Duplicate ID","")</f>
        <v/>
      </c>
      <c r="L330" s="4" t="str">
        <f>IF(COUNTIFS(Customers!$B$2:$B$1001,Customers!B330,Customers!$D$2:$D$1001,Customers!D330,Customers!$G$2:$G$1001,Customers!G330,Customers!$I$2:$I$1001,Customers!I330,Customers!$L$2:$L$1001,Customers!L330)&gt;1,"Duplicate record","")</f>
        <v/>
      </c>
      <c r="M330" s="4" t="str">
        <f>IF(OR(Customers!U330&lt;300,Customers!U330&gt;850),"Score out of range","")</f>
        <v/>
      </c>
      <c r="N330" s="4" t="str">
        <f>IF(AND(Customers!G330&lt;&gt;"",Customers!G330&lt;=0),"Income ≤ 0","")</f>
        <v/>
      </c>
      <c r="O330" s="4" t="str">
        <f>IF(OR(Customers!G330="",Customers!M330=""),"Missing value","")</f>
        <v/>
      </c>
      <c r="P330" s="4">
        <f t="shared" si="5"/>
        <v>0</v>
      </c>
    </row>
    <row r="331" spans="1:16" x14ac:dyDescent="0.25">
      <c r="A331" s="4" t="str">
        <f>Customers!A331</f>
        <v>CL00325</v>
      </c>
      <c r="B331" s="20">
        <f>IF(Customers!G331="","",(Customers!G331-Statistics!$C$7)/Statistics!$C$9)</f>
        <v>-4.03615812647194E-2</v>
      </c>
      <c r="C331" s="4" t="str">
        <f>IF(Customers!G331="","",IF(OR(Customers!G331&lt;Statistics!$C$15,Customers!G331&gt;Statistics!$C$16),"Outside 1.5·IQR",""))</f>
        <v/>
      </c>
      <c r="D331" s="4" t="str">
        <f>IF(OR(Customers!B331&lt;18,Customers!B331&gt;100),"Implausible age","")</f>
        <v/>
      </c>
      <c r="E331" s="4" t="str">
        <f>IF(Customers!H331&gt;Customers!B331-18,"Tenure &gt; age-18","")</f>
        <v/>
      </c>
      <c r="F331" s="4" t="str">
        <f>IF(Customers!R331&gt;Customers!Q331,"Card spend &gt; limit","")</f>
        <v/>
      </c>
      <c r="G331" s="4" t="str">
        <f>IF(OR(AND(Customers!S331&gt;0,Customers!T331=0),AND(Customers!S331=0,Customers!T331&gt;0)),"Mortgage/payment inconsistent","")</f>
        <v/>
      </c>
      <c r="H331" s="4" t="str">
        <f>IF(AND(Customers!G331&lt;&gt;"",Customers!G331&gt;0,Customers!T331&gt;Customers!G331/12),"Payment &gt; monthly income","")</f>
        <v/>
      </c>
      <c r="I331" s="4" t="str">
        <f>IF(OR(Customers!I331&gt;DATE(2026,9,13),YEAR(Customers!I331)&lt;1980),"Implausible date","")</f>
        <v/>
      </c>
      <c r="J331" s="4" t="str">
        <f>IF(Customers!I331&gt;DATE(2026,9,13),"",IF(ABS(INT((DATE(2026,9,13)-Customers!I331)/365.25)-Customers!H331)&gt;1,"Date/tenure inconsistent",""))</f>
        <v/>
      </c>
      <c r="K331" s="4" t="str">
        <f>IF(COUNTIF(Customers!$A$2:$A$1001,Customers!A331)&gt;1,"Duplicate ID","")</f>
        <v/>
      </c>
      <c r="L331" s="4" t="str">
        <f>IF(COUNTIFS(Customers!$B$2:$B$1001,Customers!B331,Customers!$D$2:$D$1001,Customers!D331,Customers!$G$2:$G$1001,Customers!G331,Customers!$I$2:$I$1001,Customers!I331,Customers!$L$2:$L$1001,Customers!L331)&gt;1,"Duplicate record","")</f>
        <v/>
      </c>
      <c r="M331" s="4" t="str">
        <f>IF(OR(Customers!U331&lt;300,Customers!U331&gt;850),"Score out of range","")</f>
        <v/>
      </c>
      <c r="N331" s="4" t="str">
        <f>IF(AND(Customers!G331&lt;&gt;"",Customers!G331&lt;=0),"Income ≤ 0","")</f>
        <v/>
      </c>
      <c r="O331" s="4" t="str">
        <f>IF(OR(Customers!G331="",Customers!M331=""),"Missing value","")</f>
        <v/>
      </c>
      <c r="P331" s="4">
        <f t="shared" si="5"/>
        <v>0</v>
      </c>
    </row>
    <row r="332" spans="1:16" x14ac:dyDescent="0.25">
      <c r="A332" s="4" t="str">
        <f>Customers!A332</f>
        <v>CL00326</v>
      </c>
      <c r="B332" s="20">
        <f>IF(Customers!G332="","",(Customers!G332-Statistics!$C$7)/Statistics!$C$9)</f>
        <v>-3.7012841686265195E-2</v>
      </c>
      <c r="C332" s="4" t="str">
        <f>IF(Customers!G332="","",IF(OR(Customers!G332&lt;Statistics!$C$15,Customers!G332&gt;Statistics!$C$16),"Outside 1.5·IQR",""))</f>
        <v/>
      </c>
      <c r="D332" s="4" t="str">
        <f>IF(OR(Customers!B332&lt;18,Customers!B332&gt;100),"Implausible age","")</f>
        <v/>
      </c>
      <c r="E332" s="4" t="str">
        <f>IF(Customers!H332&gt;Customers!B332-18,"Tenure &gt; age-18","")</f>
        <v/>
      </c>
      <c r="F332" s="4" t="str">
        <f>IF(Customers!R332&gt;Customers!Q332,"Card spend &gt; limit","")</f>
        <v/>
      </c>
      <c r="G332" s="4" t="str">
        <f>IF(OR(AND(Customers!S332&gt;0,Customers!T332=0),AND(Customers!S332=0,Customers!T332&gt;0)),"Mortgage/payment inconsistent","")</f>
        <v/>
      </c>
      <c r="H332" s="4" t="str">
        <f>IF(AND(Customers!G332&lt;&gt;"",Customers!G332&gt;0,Customers!T332&gt;Customers!G332/12),"Payment &gt; monthly income","")</f>
        <v/>
      </c>
      <c r="I332" s="4" t="str">
        <f>IF(OR(Customers!I332&gt;DATE(2026,9,13),YEAR(Customers!I332)&lt;1980),"Implausible date","")</f>
        <v/>
      </c>
      <c r="J332" s="4" t="str">
        <f>IF(Customers!I332&gt;DATE(2026,9,13),"",IF(ABS(INT((DATE(2026,9,13)-Customers!I332)/365.25)-Customers!H332)&gt;1,"Date/tenure inconsistent",""))</f>
        <v/>
      </c>
      <c r="K332" s="4" t="str">
        <f>IF(COUNTIF(Customers!$A$2:$A$1001,Customers!A332)&gt;1,"Duplicate ID","")</f>
        <v/>
      </c>
      <c r="L332" s="4" t="str">
        <f>IF(COUNTIFS(Customers!$B$2:$B$1001,Customers!B332,Customers!$D$2:$D$1001,Customers!D332,Customers!$G$2:$G$1001,Customers!G332,Customers!$I$2:$I$1001,Customers!I332,Customers!$L$2:$L$1001,Customers!L332)&gt;1,"Duplicate record","")</f>
        <v/>
      </c>
      <c r="M332" s="4" t="str">
        <f>IF(OR(Customers!U332&lt;300,Customers!U332&gt;850),"Score out of range","")</f>
        <v/>
      </c>
      <c r="N332" s="4" t="str">
        <f>IF(AND(Customers!G332&lt;&gt;"",Customers!G332&lt;=0),"Income ≤ 0","")</f>
        <v/>
      </c>
      <c r="O332" s="4" t="str">
        <f>IF(OR(Customers!G332="",Customers!M332=""),"Missing value","")</f>
        <v/>
      </c>
      <c r="P332" s="4">
        <f t="shared" si="5"/>
        <v>0</v>
      </c>
    </row>
    <row r="333" spans="1:16" x14ac:dyDescent="0.25">
      <c r="A333" s="4" t="str">
        <f>Customers!A333</f>
        <v>CL00327</v>
      </c>
      <c r="B333" s="20">
        <f>IF(Customers!G333="","",(Customers!G333-Statistics!$C$7)/Statistics!$C$9)</f>
        <v>-4.2725397437745907E-2</v>
      </c>
      <c r="C333" s="4" t="str">
        <f>IF(Customers!G333="","",IF(OR(Customers!G333&lt;Statistics!$C$15,Customers!G333&gt;Statistics!$C$16),"Outside 1.5·IQR",""))</f>
        <v/>
      </c>
      <c r="D333" s="4" t="str">
        <f>IF(OR(Customers!B333&lt;18,Customers!B333&gt;100),"Implausible age","")</f>
        <v/>
      </c>
      <c r="E333" s="4" t="str">
        <f>IF(Customers!H333&gt;Customers!B333-18,"Tenure &gt; age-18","")</f>
        <v/>
      </c>
      <c r="F333" s="4" t="str">
        <f>IF(Customers!R333&gt;Customers!Q333,"Card spend &gt; limit","")</f>
        <v/>
      </c>
      <c r="G333" s="4" t="str">
        <f>IF(OR(AND(Customers!S333&gt;0,Customers!T333=0),AND(Customers!S333=0,Customers!T333&gt;0)),"Mortgage/payment inconsistent","")</f>
        <v/>
      </c>
      <c r="H333" s="4" t="str">
        <f>IF(AND(Customers!G333&lt;&gt;"",Customers!G333&gt;0,Customers!T333&gt;Customers!G333/12),"Payment &gt; monthly income","")</f>
        <v/>
      </c>
      <c r="I333" s="4" t="str">
        <f>IF(OR(Customers!I333&gt;DATE(2026,9,13),YEAR(Customers!I333)&lt;1980),"Implausible date","")</f>
        <v/>
      </c>
      <c r="J333" s="4" t="str">
        <f>IF(Customers!I333&gt;DATE(2026,9,13),"",IF(ABS(INT((DATE(2026,9,13)-Customers!I333)/365.25)-Customers!H333)&gt;1,"Date/tenure inconsistent",""))</f>
        <v/>
      </c>
      <c r="K333" s="4" t="str">
        <f>IF(COUNTIF(Customers!$A$2:$A$1001,Customers!A333)&gt;1,"Duplicate ID","")</f>
        <v/>
      </c>
      <c r="L333" s="4" t="str">
        <f>IF(COUNTIFS(Customers!$B$2:$B$1001,Customers!B333,Customers!$D$2:$D$1001,Customers!D333,Customers!$G$2:$G$1001,Customers!G333,Customers!$I$2:$I$1001,Customers!I333,Customers!$L$2:$L$1001,Customers!L333)&gt;1,"Duplicate record","")</f>
        <v/>
      </c>
      <c r="M333" s="4" t="str">
        <f>IF(OR(Customers!U333&lt;300,Customers!U333&gt;850),"Score out of range","")</f>
        <v/>
      </c>
      <c r="N333" s="4" t="str">
        <f>IF(AND(Customers!G333&lt;&gt;"",Customers!G333&lt;=0),"Income ≤ 0","")</f>
        <v/>
      </c>
      <c r="O333" s="4" t="str">
        <f>IF(OR(Customers!G333="",Customers!M333=""),"Missing value","")</f>
        <v/>
      </c>
      <c r="P333" s="4">
        <f t="shared" si="5"/>
        <v>0</v>
      </c>
    </row>
    <row r="334" spans="1:16" x14ac:dyDescent="0.25">
      <c r="A334" s="4" t="str">
        <f>Customers!A334</f>
        <v>CL00328</v>
      </c>
      <c r="B334" s="20">
        <f>IF(Customers!G334="","",(Customers!G334-Statistics!$C$7)/Statistics!$C$9)</f>
        <v>-2.1352559539964618E-2</v>
      </c>
      <c r="C334" s="4" t="str">
        <f>IF(Customers!G334="","",IF(OR(Customers!G334&lt;Statistics!$C$15,Customers!G334&gt;Statistics!$C$16),"Outside 1.5·IQR",""))</f>
        <v/>
      </c>
      <c r="D334" s="4" t="str">
        <f>IF(OR(Customers!B334&lt;18,Customers!B334&gt;100),"Implausible age","")</f>
        <v/>
      </c>
      <c r="E334" s="4" t="str">
        <f>IF(Customers!H334&gt;Customers!B334-18,"Tenure &gt; age-18","")</f>
        <v/>
      </c>
      <c r="F334" s="4" t="str">
        <f>IF(Customers!R334&gt;Customers!Q334,"Card spend &gt; limit","")</f>
        <v/>
      </c>
      <c r="G334" s="4" t="str">
        <f>IF(OR(AND(Customers!S334&gt;0,Customers!T334=0),AND(Customers!S334=0,Customers!T334&gt;0)),"Mortgage/payment inconsistent","")</f>
        <v/>
      </c>
      <c r="H334" s="4" t="str">
        <f>IF(AND(Customers!G334&lt;&gt;"",Customers!G334&gt;0,Customers!T334&gt;Customers!G334/12),"Payment &gt; monthly income","")</f>
        <v/>
      </c>
      <c r="I334" s="4" t="str">
        <f>IF(OR(Customers!I334&gt;DATE(2026,9,13),YEAR(Customers!I334)&lt;1980),"Implausible date","")</f>
        <v/>
      </c>
      <c r="J334" s="4" t="str">
        <f>IF(Customers!I334&gt;DATE(2026,9,13),"",IF(ABS(INT((DATE(2026,9,13)-Customers!I334)/365.25)-Customers!H334)&gt;1,"Date/tenure inconsistent",""))</f>
        <v/>
      </c>
      <c r="K334" s="4" t="str">
        <f>IF(COUNTIF(Customers!$A$2:$A$1001,Customers!A334)&gt;1,"Duplicate ID","")</f>
        <v/>
      </c>
      <c r="L334" s="4" t="str">
        <f>IF(COUNTIFS(Customers!$B$2:$B$1001,Customers!B334,Customers!$D$2:$D$1001,Customers!D334,Customers!$G$2:$G$1001,Customers!G334,Customers!$I$2:$I$1001,Customers!I334,Customers!$L$2:$L$1001,Customers!L334)&gt;1,"Duplicate record","")</f>
        <v/>
      </c>
      <c r="M334" s="4" t="str">
        <f>IF(OR(Customers!U334&lt;300,Customers!U334&gt;850),"Score out of range","")</f>
        <v/>
      </c>
      <c r="N334" s="4" t="str">
        <f>IF(AND(Customers!G334&lt;&gt;"",Customers!G334&lt;=0),"Income ≤ 0","")</f>
        <v/>
      </c>
      <c r="O334" s="4" t="str">
        <f>IF(OR(Customers!G334="",Customers!M334=""),"Missing value","")</f>
        <v/>
      </c>
      <c r="P334" s="4">
        <f t="shared" si="5"/>
        <v>0</v>
      </c>
    </row>
    <row r="335" spans="1:16" x14ac:dyDescent="0.25">
      <c r="A335" s="4" t="str">
        <f>Customers!A335</f>
        <v>CL00329</v>
      </c>
      <c r="B335" s="20">
        <f>IF(Customers!G335="","",(Customers!G335-Statistics!$C$7)/Statistics!$C$9)</f>
        <v>2.1196131574512406E-2</v>
      </c>
      <c r="C335" s="4" t="str">
        <f>IF(Customers!G335="","",IF(OR(Customers!G335&lt;Statistics!$C$15,Customers!G335&gt;Statistics!$C$16),"Outside 1.5·IQR",""))</f>
        <v>Outside 1.5·IQR</v>
      </c>
      <c r="D335" s="4" t="str">
        <f>IF(OR(Customers!B335&lt;18,Customers!B335&gt;100),"Implausible age","")</f>
        <v/>
      </c>
      <c r="E335" s="4" t="str">
        <f>IF(Customers!H335&gt;Customers!B335-18,"Tenure &gt; age-18","")</f>
        <v/>
      </c>
      <c r="F335" s="4" t="str">
        <f>IF(Customers!R335&gt;Customers!Q335,"Card spend &gt; limit","")</f>
        <v/>
      </c>
      <c r="G335" s="4" t="str">
        <f>IF(OR(AND(Customers!S335&gt;0,Customers!T335=0),AND(Customers!S335=0,Customers!T335&gt;0)),"Mortgage/payment inconsistent","")</f>
        <v/>
      </c>
      <c r="H335" s="4" t="str">
        <f>IF(AND(Customers!G335&lt;&gt;"",Customers!G335&gt;0,Customers!T335&gt;Customers!G335/12),"Payment &gt; monthly income","")</f>
        <v/>
      </c>
      <c r="I335" s="4" t="str">
        <f>IF(OR(Customers!I335&gt;DATE(2026,9,13),YEAR(Customers!I335)&lt;1980),"Implausible date","")</f>
        <v/>
      </c>
      <c r="J335" s="4" t="str">
        <f>IF(Customers!I335&gt;DATE(2026,9,13),"",IF(ABS(INT((DATE(2026,9,13)-Customers!I335)/365.25)-Customers!H335)&gt;1,"Date/tenure inconsistent",""))</f>
        <v/>
      </c>
      <c r="K335" s="4" t="str">
        <f>IF(COUNTIF(Customers!$A$2:$A$1001,Customers!A335)&gt;1,"Duplicate ID","")</f>
        <v/>
      </c>
      <c r="L335" s="4" t="str">
        <f>IF(COUNTIFS(Customers!$B$2:$B$1001,Customers!B335,Customers!$D$2:$D$1001,Customers!D335,Customers!$G$2:$G$1001,Customers!G335,Customers!$I$2:$I$1001,Customers!I335,Customers!$L$2:$L$1001,Customers!L335)&gt;1,"Duplicate record","")</f>
        <v/>
      </c>
      <c r="M335" s="4" t="str">
        <f>IF(OR(Customers!U335&lt;300,Customers!U335&gt;850),"Score out of range","")</f>
        <v/>
      </c>
      <c r="N335" s="4" t="str">
        <f>IF(AND(Customers!G335&lt;&gt;"",Customers!G335&lt;=0),"Income ≤ 0","")</f>
        <v/>
      </c>
      <c r="O335" s="4" t="str">
        <f>IF(OR(Customers!G335="",Customers!M335=""),"Missing value","")</f>
        <v/>
      </c>
      <c r="P335" s="4">
        <f t="shared" si="5"/>
        <v>1</v>
      </c>
    </row>
    <row r="336" spans="1:16" x14ac:dyDescent="0.25">
      <c r="A336" s="4" t="str">
        <f>Customers!A336</f>
        <v>CL00330</v>
      </c>
      <c r="B336" s="20">
        <f>IF(Customers!G336="","",(Customers!G336-Statistics!$C$7)/Statistics!$C$9)</f>
        <v>-4.5680167654029033E-2</v>
      </c>
      <c r="C336" s="4" t="str">
        <f>IF(Customers!G336="","",IF(OR(Customers!G336&lt;Statistics!$C$15,Customers!G336&gt;Statistics!$C$16),"Outside 1.5·IQR",""))</f>
        <v/>
      </c>
      <c r="D336" s="4" t="str">
        <f>IF(OR(Customers!B336&lt;18,Customers!B336&gt;100),"Implausible age","")</f>
        <v/>
      </c>
      <c r="E336" s="4" t="str">
        <f>IF(Customers!H336&gt;Customers!B336-18,"Tenure &gt; age-18","")</f>
        <v/>
      </c>
      <c r="F336" s="4" t="str">
        <f>IF(Customers!R336&gt;Customers!Q336,"Card spend &gt; limit","")</f>
        <v/>
      </c>
      <c r="G336" s="4" t="str">
        <f>IF(OR(AND(Customers!S336&gt;0,Customers!T336=0),AND(Customers!S336=0,Customers!T336&gt;0)),"Mortgage/payment inconsistent","")</f>
        <v/>
      </c>
      <c r="H336" s="4" t="str">
        <f>IF(AND(Customers!G336&lt;&gt;"",Customers!G336&gt;0,Customers!T336&gt;Customers!G336/12),"Payment &gt; monthly income","")</f>
        <v/>
      </c>
      <c r="I336" s="4" t="str">
        <f>IF(OR(Customers!I336&gt;DATE(2026,9,13),YEAR(Customers!I336)&lt;1980),"Implausible date","")</f>
        <v/>
      </c>
      <c r="J336" s="4" t="str">
        <f>IF(Customers!I336&gt;DATE(2026,9,13),"",IF(ABS(INT((DATE(2026,9,13)-Customers!I336)/365.25)-Customers!H336)&gt;1,"Date/tenure inconsistent",""))</f>
        <v/>
      </c>
      <c r="K336" s="4" t="str">
        <f>IF(COUNTIF(Customers!$A$2:$A$1001,Customers!A336)&gt;1,"Duplicate ID","")</f>
        <v/>
      </c>
      <c r="L336" s="4" t="str">
        <f>IF(COUNTIFS(Customers!$B$2:$B$1001,Customers!B336,Customers!$D$2:$D$1001,Customers!D336,Customers!$G$2:$G$1001,Customers!G336,Customers!$I$2:$I$1001,Customers!I336,Customers!$L$2:$L$1001,Customers!L336)&gt;1,"Duplicate record","")</f>
        <v/>
      </c>
      <c r="M336" s="4" t="str">
        <f>IF(OR(Customers!U336&lt;300,Customers!U336&gt;850),"Score out of range","")</f>
        <v/>
      </c>
      <c r="N336" s="4" t="str">
        <f>IF(AND(Customers!G336&lt;&gt;"",Customers!G336&lt;=0),"Income ≤ 0","")</f>
        <v/>
      </c>
      <c r="O336" s="4" t="str">
        <f>IF(OR(Customers!G336="",Customers!M336=""),"Missing value","")</f>
        <v/>
      </c>
      <c r="P336" s="4">
        <f t="shared" si="5"/>
        <v>0</v>
      </c>
    </row>
    <row r="337" spans="1:16" x14ac:dyDescent="0.25">
      <c r="A337" s="4" t="str">
        <f>Customers!A337</f>
        <v>CL00331</v>
      </c>
      <c r="B337" s="20">
        <f>IF(Customers!G337="","",(Customers!G337-Statistics!$C$7)/Statistics!$C$9)</f>
        <v>-4.6271121697285658E-2</v>
      </c>
      <c r="C337" s="4" t="str">
        <f>IF(Customers!G337="","",IF(OR(Customers!G337&lt;Statistics!$C$15,Customers!G337&gt;Statistics!$C$16),"Outside 1.5·IQR",""))</f>
        <v/>
      </c>
      <c r="D337" s="4" t="str">
        <f>IF(OR(Customers!B337&lt;18,Customers!B337&gt;100),"Implausible age","")</f>
        <v/>
      </c>
      <c r="E337" s="4" t="str">
        <f>IF(Customers!H337&gt;Customers!B337-18,"Tenure &gt; age-18","")</f>
        <v/>
      </c>
      <c r="F337" s="4" t="str">
        <f>IF(Customers!R337&gt;Customers!Q337,"Card spend &gt; limit","")</f>
        <v/>
      </c>
      <c r="G337" s="4" t="str">
        <f>IF(OR(AND(Customers!S337&gt;0,Customers!T337=0),AND(Customers!S337=0,Customers!T337&gt;0)),"Mortgage/payment inconsistent","")</f>
        <v/>
      </c>
      <c r="H337" s="4" t="str">
        <f>IF(AND(Customers!G337&lt;&gt;"",Customers!G337&gt;0,Customers!T337&gt;Customers!G337/12),"Payment &gt; monthly income","")</f>
        <v/>
      </c>
      <c r="I337" s="4" t="str">
        <f>IF(OR(Customers!I337&gt;DATE(2026,9,13),YEAR(Customers!I337)&lt;1980),"Implausible date","")</f>
        <v/>
      </c>
      <c r="J337" s="4" t="str">
        <f>IF(Customers!I337&gt;DATE(2026,9,13),"",IF(ABS(INT((DATE(2026,9,13)-Customers!I337)/365.25)-Customers!H337)&gt;1,"Date/tenure inconsistent",""))</f>
        <v/>
      </c>
      <c r="K337" s="4" t="str">
        <f>IF(COUNTIF(Customers!$A$2:$A$1001,Customers!A337)&gt;1,"Duplicate ID","")</f>
        <v/>
      </c>
      <c r="L337" s="4" t="str">
        <f>IF(COUNTIFS(Customers!$B$2:$B$1001,Customers!B337,Customers!$D$2:$D$1001,Customers!D337,Customers!$G$2:$G$1001,Customers!G337,Customers!$I$2:$I$1001,Customers!I337,Customers!$L$2:$L$1001,Customers!L337)&gt;1,"Duplicate record","")</f>
        <v/>
      </c>
      <c r="M337" s="4" t="str">
        <f>IF(OR(Customers!U337&lt;300,Customers!U337&gt;850),"Score out of range","")</f>
        <v/>
      </c>
      <c r="N337" s="4" t="str">
        <f>IF(AND(Customers!G337&lt;&gt;"",Customers!G337&lt;=0),"Income ≤ 0","")</f>
        <v/>
      </c>
      <c r="O337" s="4" t="str">
        <f>IF(OR(Customers!G337="",Customers!M337=""),"Missing value","")</f>
        <v/>
      </c>
      <c r="P337" s="4">
        <f t="shared" si="5"/>
        <v>0</v>
      </c>
    </row>
    <row r="338" spans="1:16" x14ac:dyDescent="0.25">
      <c r="A338" s="4" t="str">
        <f>Customers!A338</f>
        <v>CL00332</v>
      </c>
      <c r="B338" s="20">
        <f>IF(Customers!G338="","",(Customers!G338-Statistics!$C$7)/Statistics!$C$9)</f>
        <v>1.005201763244374E-3</v>
      </c>
      <c r="C338" s="4" t="str">
        <f>IF(Customers!G338="","",IF(OR(Customers!G338&lt;Statistics!$C$15,Customers!G338&gt;Statistics!$C$16),"Outside 1.5·IQR",""))</f>
        <v/>
      </c>
      <c r="D338" s="4" t="str">
        <f>IF(OR(Customers!B338&lt;18,Customers!B338&gt;100),"Implausible age","")</f>
        <v/>
      </c>
      <c r="E338" s="4" t="str">
        <f>IF(Customers!H338&gt;Customers!B338-18,"Tenure &gt; age-18","")</f>
        <v/>
      </c>
      <c r="F338" s="4" t="str">
        <f>IF(Customers!R338&gt;Customers!Q338,"Card spend &gt; limit","")</f>
        <v/>
      </c>
      <c r="G338" s="4" t="str">
        <f>IF(OR(AND(Customers!S338&gt;0,Customers!T338=0),AND(Customers!S338=0,Customers!T338&gt;0)),"Mortgage/payment inconsistent","")</f>
        <v/>
      </c>
      <c r="H338" s="4" t="str">
        <f>IF(AND(Customers!G338&lt;&gt;"",Customers!G338&gt;0,Customers!T338&gt;Customers!G338/12),"Payment &gt; monthly income","")</f>
        <v/>
      </c>
      <c r="I338" s="4" t="str">
        <f>IF(OR(Customers!I338&gt;DATE(2026,9,13),YEAR(Customers!I338)&lt;1980),"Implausible date","")</f>
        <v/>
      </c>
      <c r="J338" s="4" t="str">
        <f>IF(Customers!I338&gt;DATE(2026,9,13),"",IF(ABS(INT((DATE(2026,9,13)-Customers!I338)/365.25)-Customers!H338)&gt;1,"Date/tenure inconsistent",""))</f>
        <v/>
      </c>
      <c r="K338" s="4" t="str">
        <f>IF(COUNTIF(Customers!$A$2:$A$1001,Customers!A338)&gt;1,"Duplicate ID","")</f>
        <v/>
      </c>
      <c r="L338" s="4" t="str">
        <f>IF(COUNTIFS(Customers!$B$2:$B$1001,Customers!B338,Customers!$D$2:$D$1001,Customers!D338,Customers!$G$2:$G$1001,Customers!G338,Customers!$I$2:$I$1001,Customers!I338,Customers!$L$2:$L$1001,Customers!L338)&gt;1,"Duplicate record","")</f>
        <v/>
      </c>
      <c r="M338" s="4" t="str">
        <f>IF(OR(Customers!U338&lt;300,Customers!U338&gt;850),"Score out of range","")</f>
        <v/>
      </c>
      <c r="N338" s="4" t="str">
        <f>IF(AND(Customers!G338&lt;&gt;"",Customers!G338&lt;=0),"Income ≤ 0","")</f>
        <v/>
      </c>
      <c r="O338" s="4" t="str">
        <f>IF(OR(Customers!G338="",Customers!M338=""),"Missing value","")</f>
        <v/>
      </c>
      <c r="P338" s="4">
        <f t="shared" si="5"/>
        <v>0</v>
      </c>
    </row>
    <row r="339" spans="1:16" x14ac:dyDescent="0.25">
      <c r="A339" s="4" t="str">
        <f>Customers!A339</f>
        <v>CL00333</v>
      </c>
      <c r="B339" s="20">
        <f>IF(Customers!G339="","",(Customers!G339-Statistics!$C$7)/Statistics!$C$9)</f>
        <v>-6.2719342567928396E-2</v>
      </c>
      <c r="C339" s="4" t="str">
        <f>IF(Customers!G339="","",IF(OR(Customers!G339&lt;Statistics!$C$15,Customers!G339&gt;Statistics!$C$16),"Outside 1.5·IQR",""))</f>
        <v/>
      </c>
      <c r="D339" s="4" t="str">
        <f>IF(OR(Customers!B339&lt;18,Customers!B339&gt;100),"Implausible age","")</f>
        <v/>
      </c>
      <c r="E339" s="4" t="str">
        <f>IF(Customers!H339&gt;Customers!B339-18,"Tenure &gt; age-18","")</f>
        <v/>
      </c>
      <c r="F339" s="4" t="str">
        <f>IF(Customers!R339&gt;Customers!Q339,"Card spend &gt; limit","")</f>
        <v/>
      </c>
      <c r="G339" s="4" t="str">
        <f>IF(OR(AND(Customers!S339&gt;0,Customers!T339=0),AND(Customers!S339=0,Customers!T339&gt;0)),"Mortgage/payment inconsistent","")</f>
        <v/>
      </c>
      <c r="H339" s="4" t="str">
        <f>IF(AND(Customers!G339&lt;&gt;"",Customers!G339&gt;0,Customers!T339&gt;Customers!G339/12),"Payment &gt; monthly income","")</f>
        <v/>
      </c>
      <c r="I339" s="4" t="str">
        <f>IF(OR(Customers!I339&gt;DATE(2026,9,13),YEAR(Customers!I339)&lt;1980),"Implausible date","")</f>
        <v/>
      </c>
      <c r="J339" s="4" t="str">
        <f>IF(Customers!I339&gt;DATE(2026,9,13),"",IF(ABS(INT((DATE(2026,9,13)-Customers!I339)/365.25)-Customers!H339)&gt;1,"Date/tenure inconsistent",""))</f>
        <v/>
      </c>
      <c r="K339" s="4" t="str">
        <f>IF(COUNTIF(Customers!$A$2:$A$1001,Customers!A339)&gt;1,"Duplicate ID","")</f>
        <v/>
      </c>
      <c r="L339" s="4" t="str">
        <f>IF(COUNTIFS(Customers!$B$2:$B$1001,Customers!B339,Customers!$D$2:$D$1001,Customers!D339,Customers!$G$2:$G$1001,Customers!G339,Customers!$I$2:$I$1001,Customers!I339,Customers!$L$2:$L$1001,Customers!L339)&gt;1,"Duplicate record","")</f>
        <v/>
      </c>
      <c r="M339" s="4" t="str">
        <f>IF(OR(Customers!U339&lt;300,Customers!U339&gt;850),"Score out of range","")</f>
        <v/>
      </c>
      <c r="N339" s="4" t="str">
        <f>IF(AND(Customers!G339&lt;&gt;"",Customers!G339&lt;=0),"Income ≤ 0","")</f>
        <v/>
      </c>
      <c r="O339" s="4" t="str">
        <f>IF(OR(Customers!G339="",Customers!M339=""),"Missing value","")</f>
        <v/>
      </c>
      <c r="P339" s="4">
        <f t="shared" si="5"/>
        <v>0</v>
      </c>
    </row>
    <row r="340" spans="1:16" x14ac:dyDescent="0.25">
      <c r="A340" s="4" t="str">
        <f>Customers!A340</f>
        <v>CL00334</v>
      </c>
      <c r="B340" s="20">
        <f>IF(Customers!G340="","",(Customers!G340-Statistics!$C$7)/Statistics!$C$9)</f>
        <v>-3.5338471897038086E-2</v>
      </c>
      <c r="C340" s="4" t="str">
        <f>IF(Customers!G340="","",IF(OR(Customers!G340&lt;Statistics!$C$15,Customers!G340&gt;Statistics!$C$16),"Outside 1.5·IQR",""))</f>
        <v/>
      </c>
      <c r="D340" s="4" t="str">
        <f>IF(OR(Customers!B340&lt;18,Customers!B340&gt;100),"Implausible age","")</f>
        <v/>
      </c>
      <c r="E340" s="4" t="str">
        <f>IF(Customers!H340&gt;Customers!B340-18,"Tenure &gt; age-18","")</f>
        <v/>
      </c>
      <c r="F340" s="4" t="str">
        <f>IF(Customers!R340&gt;Customers!Q340,"Card spend &gt; limit","")</f>
        <v/>
      </c>
      <c r="G340" s="4" t="str">
        <f>IF(OR(AND(Customers!S340&gt;0,Customers!T340=0),AND(Customers!S340=0,Customers!T340&gt;0)),"Mortgage/payment inconsistent","")</f>
        <v/>
      </c>
      <c r="H340" s="4" t="str">
        <f>IF(AND(Customers!G340&lt;&gt;"",Customers!G340&gt;0,Customers!T340&gt;Customers!G340/12),"Payment &gt; monthly income","")</f>
        <v/>
      </c>
      <c r="I340" s="4" t="str">
        <f>IF(OR(Customers!I340&gt;DATE(2026,9,13),YEAR(Customers!I340)&lt;1980),"Implausible date","")</f>
        <v/>
      </c>
      <c r="J340" s="4" t="str">
        <f>IF(Customers!I340&gt;DATE(2026,9,13),"",IF(ABS(INT((DATE(2026,9,13)-Customers!I340)/365.25)-Customers!H340)&gt;1,"Date/tenure inconsistent",""))</f>
        <v/>
      </c>
      <c r="K340" s="4" t="str">
        <f>IF(COUNTIF(Customers!$A$2:$A$1001,Customers!A340)&gt;1,"Duplicate ID","")</f>
        <v/>
      </c>
      <c r="L340" s="4" t="str">
        <f>IF(COUNTIFS(Customers!$B$2:$B$1001,Customers!B340,Customers!$D$2:$D$1001,Customers!D340,Customers!$G$2:$G$1001,Customers!G340,Customers!$I$2:$I$1001,Customers!I340,Customers!$L$2:$L$1001,Customers!L340)&gt;1,"Duplicate record","")</f>
        <v/>
      </c>
      <c r="M340" s="4" t="str">
        <f>IF(OR(Customers!U340&lt;300,Customers!U340&gt;850),"Score out of range","")</f>
        <v/>
      </c>
      <c r="N340" s="4" t="str">
        <f>IF(AND(Customers!G340&lt;&gt;"",Customers!G340&lt;=0),"Income ≤ 0","")</f>
        <v/>
      </c>
      <c r="O340" s="4" t="str">
        <f>IF(OR(Customers!G340="",Customers!M340=""),"Missing value","")</f>
        <v/>
      </c>
      <c r="P340" s="4">
        <f t="shared" si="5"/>
        <v>0</v>
      </c>
    </row>
    <row r="341" spans="1:16" x14ac:dyDescent="0.25">
      <c r="A341" s="4" t="str">
        <f>Customers!A341</f>
        <v>CL00335</v>
      </c>
      <c r="B341" s="20">
        <f>IF(Customers!G341="","",(Customers!G341-Statistics!$C$7)/Statistics!$C$9)</f>
        <v>-7.7606165450622355E-3</v>
      </c>
      <c r="C341" s="4" t="str">
        <f>IF(Customers!G341="","",IF(OR(Customers!G341&lt;Statistics!$C$15,Customers!G341&gt;Statistics!$C$16),"Outside 1.5·IQR",""))</f>
        <v/>
      </c>
      <c r="D341" s="4" t="str">
        <f>IF(OR(Customers!B341&lt;18,Customers!B341&gt;100),"Implausible age","")</f>
        <v/>
      </c>
      <c r="E341" s="4" t="str">
        <f>IF(Customers!H341&gt;Customers!B341-18,"Tenure &gt; age-18","")</f>
        <v/>
      </c>
      <c r="F341" s="4" t="str">
        <f>IF(Customers!R341&gt;Customers!Q341,"Card spend &gt; limit","")</f>
        <v/>
      </c>
      <c r="G341" s="4" t="str">
        <f>IF(OR(AND(Customers!S341&gt;0,Customers!T341=0),AND(Customers!S341=0,Customers!T341&gt;0)),"Mortgage/payment inconsistent","")</f>
        <v/>
      </c>
      <c r="H341" s="4" t="str">
        <f>IF(AND(Customers!G341&lt;&gt;"",Customers!G341&gt;0,Customers!T341&gt;Customers!G341/12),"Payment &gt; monthly income","")</f>
        <v/>
      </c>
      <c r="I341" s="4" t="str">
        <f>IF(OR(Customers!I341&gt;DATE(2026,9,13),YEAR(Customers!I341)&lt;1980),"Implausible date","")</f>
        <v/>
      </c>
      <c r="J341" s="4" t="str">
        <f>IF(Customers!I341&gt;DATE(2026,9,13),"",IF(ABS(INT((DATE(2026,9,13)-Customers!I341)/365.25)-Customers!H341)&gt;1,"Date/tenure inconsistent",""))</f>
        <v/>
      </c>
      <c r="K341" s="4" t="str">
        <f>IF(COUNTIF(Customers!$A$2:$A$1001,Customers!A341)&gt;1,"Duplicate ID","")</f>
        <v/>
      </c>
      <c r="L341" s="4" t="str">
        <f>IF(COUNTIFS(Customers!$B$2:$B$1001,Customers!B341,Customers!$D$2:$D$1001,Customers!D341,Customers!$G$2:$G$1001,Customers!G341,Customers!$I$2:$I$1001,Customers!I341,Customers!$L$2:$L$1001,Customers!L341)&gt;1,"Duplicate record","")</f>
        <v/>
      </c>
      <c r="M341" s="4" t="str">
        <f>IF(OR(Customers!U341&lt;300,Customers!U341&gt;850),"Score out of range","")</f>
        <v/>
      </c>
      <c r="N341" s="4" t="str">
        <f>IF(AND(Customers!G341&lt;&gt;"",Customers!G341&lt;=0),"Income ≤ 0","")</f>
        <v/>
      </c>
      <c r="O341" s="4" t="str">
        <f>IF(OR(Customers!G341="",Customers!M341=""),"Missing value","")</f>
        <v/>
      </c>
      <c r="P341" s="4">
        <f t="shared" si="5"/>
        <v>0</v>
      </c>
    </row>
    <row r="342" spans="1:16" x14ac:dyDescent="0.25">
      <c r="A342" s="4" t="str">
        <f>Customers!A342</f>
        <v>CL00336</v>
      </c>
      <c r="B342" s="20">
        <f>IF(Customers!G342="","",(Customers!G342-Statistics!$C$7)/Statistics!$C$9)</f>
        <v>-5.2673123832565762E-2</v>
      </c>
      <c r="C342" s="4" t="str">
        <f>IF(Customers!G342="","",IF(OR(Customers!G342&lt;Statistics!$C$15,Customers!G342&gt;Statistics!$C$16),"Outside 1.5·IQR",""))</f>
        <v/>
      </c>
      <c r="D342" s="4" t="str">
        <f>IF(OR(Customers!B342&lt;18,Customers!B342&gt;100),"Implausible age","")</f>
        <v/>
      </c>
      <c r="E342" s="4" t="str">
        <f>IF(Customers!H342&gt;Customers!B342-18,"Tenure &gt; age-18","")</f>
        <v/>
      </c>
      <c r="F342" s="4" t="str">
        <f>IF(Customers!R342&gt;Customers!Q342,"Card spend &gt; limit","")</f>
        <v/>
      </c>
      <c r="G342" s="4" t="str">
        <f>IF(OR(AND(Customers!S342&gt;0,Customers!T342=0),AND(Customers!S342=0,Customers!T342&gt;0)),"Mortgage/payment inconsistent","")</f>
        <v/>
      </c>
      <c r="H342" s="4" t="str">
        <f>IF(AND(Customers!G342&lt;&gt;"",Customers!G342&gt;0,Customers!T342&gt;Customers!G342/12),"Payment &gt; monthly income","")</f>
        <v/>
      </c>
      <c r="I342" s="4" t="str">
        <f>IF(OR(Customers!I342&gt;DATE(2026,9,13),YEAR(Customers!I342)&lt;1980),"Implausible date","")</f>
        <v/>
      </c>
      <c r="J342" s="4" t="str">
        <f>IF(Customers!I342&gt;DATE(2026,9,13),"",IF(ABS(INT((DATE(2026,9,13)-Customers!I342)/365.25)-Customers!H342)&gt;1,"Date/tenure inconsistent",""))</f>
        <v/>
      </c>
      <c r="K342" s="4" t="str">
        <f>IF(COUNTIF(Customers!$A$2:$A$1001,Customers!A342)&gt;1,"Duplicate ID","")</f>
        <v/>
      </c>
      <c r="L342" s="4" t="str">
        <f>IF(COUNTIFS(Customers!$B$2:$B$1001,Customers!B342,Customers!$D$2:$D$1001,Customers!D342,Customers!$G$2:$G$1001,Customers!G342,Customers!$I$2:$I$1001,Customers!I342,Customers!$L$2:$L$1001,Customers!L342)&gt;1,"Duplicate record","")</f>
        <v/>
      </c>
      <c r="M342" s="4" t="str">
        <f>IF(OR(Customers!U342&lt;300,Customers!U342&gt;850),"Score out of range","")</f>
        <v/>
      </c>
      <c r="N342" s="4" t="str">
        <f>IF(AND(Customers!G342&lt;&gt;"",Customers!G342&lt;=0),"Income ≤ 0","")</f>
        <v/>
      </c>
      <c r="O342" s="4" t="str">
        <f>IF(OR(Customers!G342="",Customers!M342=""),"Missing value","")</f>
        <v/>
      </c>
      <c r="P342" s="4">
        <f t="shared" si="5"/>
        <v>0</v>
      </c>
    </row>
    <row r="343" spans="1:16" x14ac:dyDescent="0.25">
      <c r="A343" s="4" t="str">
        <f>Customers!A343</f>
        <v>CL00337</v>
      </c>
      <c r="B343" s="20">
        <f>IF(Customers!G343="","",(Customers!G343-Statistics!$C$7)/Statistics!$C$9)</f>
        <v>-4.4005797864801924E-2</v>
      </c>
      <c r="C343" s="4" t="str">
        <f>IF(Customers!G343="","",IF(OR(Customers!G343&lt;Statistics!$C$15,Customers!G343&gt;Statistics!$C$16),"Outside 1.5·IQR",""))</f>
        <v/>
      </c>
      <c r="D343" s="4" t="str">
        <f>IF(OR(Customers!B343&lt;18,Customers!B343&gt;100),"Implausible age","")</f>
        <v/>
      </c>
      <c r="E343" s="4" t="str">
        <f>IF(Customers!H343&gt;Customers!B343-18,"Tenure &gt; age-18","")</f>
        <v/>
      </c>
      <c r="F343" s="4" t="str">
        <f>IF(Customers!R343&gt;Customers!Q343,"Card spend &gt; limit","")</f>
        <v/>
      </c>
      <c r="G343" s="4" t="str">
        <f>IF(OR(AND(Customers!S343&gt;0,Customers!T343=0),AND(Customers!S343=0,Customers!T343&gt;0)),"Mortgage/payment inconsistent","")</f>
        <v/>
      </c>
      <c r="H343" s="4" t="str">
        <f>IF(AND(Customers!G343&lt;&gt;"",Customers!G343&gt;0,Customers!T343&gt;Customers!G343/12),"Payment &gt; monthly income","")</f>
        <v/>
      </c>
      <c r="I343" s="4" t="str">
        <f>IF(OR(Customers!I343&gt;DATE(2026,9,13),YEAR(Customers!I343)&lt;1980),"Implausible date","")</f>
        <v/>
      </c>
      <c r="J343" s="4" t="str">
        <f>IF(Customers!I343&gt;DATE(2026,9,13),"",IF(ABS(INT((DATE(2026,9,13)-Customers!I343)/365.25)-Customers!H343)&gt;1,"Date/tenure inconsistent",""))</f>
        <v/>
      </c>
      <c r="K343" s="4" t="str">
        <f>IF(COUNTIF(Customers!$A$2:$A$1001,Customers!A343)&gt;1,"Duplicate ID","")</f>
        <v/>
      </c>
      <c r="L343" s="4" t="str">
        <f>IF(COUNTIFS(Customers!$B$2:$B$1001,Customers!B343,Customers!$D$2:$D$1001,Customers!D343,Customers!$G$2:$G$1001,Customers!G343,Customers!$I$2:$I$1001,Customers!I343,Customers!$L$2:$L$1001,Customers!L343)&gt;1,"Duplicate record","")</f>
        <v/>
      </c>
      <c r="M343" s="4" t="str">
        <f>IF(OR(Customers!U343&lt;300,Customers!U343&gt;850),"Score out of range","")</f>
        <v/>
      </c>
      <c r="N343" s="4" t="str">
        <f>IF(AND(Customers!G343&lt;&gt;"",Customers!G343&lt;=0),"Income ≤ 0","")</f>
        <v/>
      </c>
      <c r="O343" s="4" t="str">
        <f>IF(OR(Customers!G343="",Customers!M343=""),"Missing value","")</f>
        <v/>
      </c>
      <c r="P343" s="4">
        <f t="shared" si="5"/>
        <v>0</v>
      </c>
    </row>
    <row r="344" spans="1:16" x14ac:dyDescent="0.25">
      <c r="A344" s="4" t="str">
        <f>Customers!A344</f>
        <v>CL00338</v>
      </c>
      <c r="B344" s="20">
        <f>IF(Customers!G344="","",(Customers!G344-Statistics!$C$7)/Statistics!$C$9)</f>
        <v>-6.5674112784211522E-2</v>
      </c>
      <c r="C344" s="4" t="str">
        <f>IF(Customers!G344="","",IF(OR(Customers!G344&lt;Statistics!$C$15,Customers!G344&gt;Statistics!$C$16),"Outside 1.5·IQR",""))</f>
        <v/>
      </c>
      <c r="D344" s="4" t="str">
        <f>IF(OR(Customers!B344&lt;18,Customers!B344&gt;100),"Implausible age","")</f>
        <v/>
      </c>
      <c r="E344" s="4" t="str">
        <f>IF(Customers!H344&gt;Customers!B344-18,"Tenure &gt; age-18","")</f>
        <v/>
      </c>
      <c r="F344" s="4" t="str">
        <f>IF(Customers!R344&gt;Customers!Q344,"Card spend &gt; limit","")</f>
        <v/>
      </c>
      <c r="G344" s="4" t="str">
        <f>IF(OR(AND(Customers!S344&gt;0,Customers!T344=0),AND(Customers!S344=0,Customers!T344&gt;0)),"Mortgage/payment inconsistent","")</f>
        <v/>
      </c>
      <c r="H344" s="4" t="str">
        <f>IF(AND(Customers!G344&lt;&gt;"",Customers!G344&gt;0,Customers!T344&gt;Customers!G344/12),"Payment &gt; monthly income","")</f>
        <v/>
      </c>
      <c r="I344" s="4" t="str">
        <f>IF(OR(Customers!I344&gt;DATE(2026,9,13),YEAR(Customers!I344)&lt;1980),"Implausible date","")</f>
        <v/>
      </c>
      <c r="J344" s="4" t="str">
        <f>IF(Customers!I344&gt;DATE(2026,9,13),"",IF(ABS(INT((DATE(2026,9,13)-Customers!I344)/365.25)-Customers!H344)&gt;1,"Date/tenure inconsistent",""))</f>
        <v/>
      </c>
      <c r="K344" s="4" t="str">
        <f>IF(COUNTIF(Customers!$A$2:$A$1001,Customers!A344)&gt;1,"Duplicate ID","")</f>
        <v/>
      </c>
      <c r="L344" s="4" t="str">
        <f>IF(COUNTIFS(Customers!$B$2:$B$1001,Customers!B344,Customers!$D$2:$D$1001,Customers!D344,Customers!$G$2:$G$1001,Customers!G344,Customers!$I$2:$I$1001,Customers!I344,Customers!$L$2:$L$1001,Customers!L344)&gt;1,"Duplicate record","")</f>
        <v/>
      </c>
      <c r="M344" s="4" t="str">
        <f>IF(OR(Customers!U344&lt;300,Customers!U344&gt;850),"Score out of range","")</f>
        <v/>
      </c>
      <c r="N344" s="4" t="str">
        <f>IF(AND(Customers!G344&lt;&gt;"",Customers!G344&lt;=0),"Income ≤ 0","")</f>
        <v/>
      </c>
      <c r="O344" s="4" t="str">
        <f>IF(OR(Customers!G344="",Customers!M344=""),"Missing value","")</f>
        <v/>
      </c>
      <c r="P344" s="4">
        <f t="shared" si="5"/>
        <v>0</v>
      </c>
    </row>
    <row r="345" spans="1:16" x14ac:dyDescent="0.25">
      <c r="A345" s="4" t="str">
        <f>Customers!A345</f>
        <v>CL00339</v>
      </c>
      <c r="B345" s="20">
        <f>IF(Customers!G345="","",(Customers!G345-Statistics!$C$7)/Statistics!$C$9)</f>
        <v>-2.5587730183303768E-2</v>
      </c>
      <c r="C345" s="4" t="str">
        <f>IF(Customers!G345="","",IF(OR(Customers!G345&lt;Statistics!$C$15,Customers!G345&gt;Statistics!$C$16),"Outside 1.5·IQR",""))</f>
        <v/>
      </c>
      <c r="D345" s="4" t="str">
        <f>IF(OR(Customers!B345&lt;18,Customers!B345&gt;100),"Implausible age","")</f>
        <v/>
      </c>
      <c r="E345" s="4" t="str">
        <f>IF(Customers!H345&gt;Customers!B345-18,"Tenure &gt; age-18","")</f>
        <v/>
      </c>
      <c r="F345" s="4" t="str">
        <f>IF(Customers!R345&gt;Customers!Q345,"Card spend &gt; limit","")</f>
        <v/>
      </c>
      <c r="G345" s="4" t="str">
        <f>IF(OR(AND(Customers!S345&gt;0,Customers!T345=0),AND(Customers!S345=0,Customers!T345&gt;0)),"Mortgage/payment inconsistent","")</f>
        <v/>
      </c>
      <c r="H345" s="4" t="str">
        <f>IF(AND(Customers!G345&lt;&gt;"",Customers!G345&gt;0,Customers!T345&gt;Customers!G345/12),"Payment &gt; monthly income","")</f>
        <v/>
      </c>
      <c r="I345" s="4" t="str">
        <f>IF(OR(Customers!I345&gt;DATE(2026,9,13),YEAR(Customers!I345)&lt;1980),"Implausible date","")</f>
        <v/>
      </c>
      <c r="J345" s="4" t="str">
        <f>IF(Customers!I345&gt;DATE(2026,9,13),"",IF(ABS(INT((DATE(2026,9,13)-Customers!I345)/365.25)-Customers!H345)&gt;1,"Date/tenure inconsistent",""))</f>
        <v/>
      </c>
      <c r="K345" s="4" t="str">
        <f>IF(COUNTIF(Customers!$A$2:$A$1001,Customers!A345)&gt;1,"Duplicate ID","")</f>
        <v/>
      </c>
      <c r="L345" s="4" t="str">
        <f>IF(COUNTIFS(Customers!$B$2:$B$1001,Customers!B345,Customers!$D$2:$D$1001,Customers!D345,Customers!$G$2:$G$1001,Customers!G345,Customers!$I$2:$I$1001,Customers!I345,Customers!$L$2:$L$1001,Customers!L345)&gt;1,"Duplicate record","")</f>
        <v/>
      </c>
      <c r="M345" s="4" t="str">
        <f>IF(OR(Customers!U345&lt;300,Customers!U345&gt;850),"Score out of range","")</f>
        <v/>
      </c>
      <c r="N345" s="4" t="str">
        <f>IF(AND(Customers!G345&lt;&gt;"",Customers!G345&lt;=0),"Income ≤ 0","")</f>
        <v/>
      </c>
      <c r="O345" s="4" t="str">
        <f>IF(OR(Customers!G345="",Customers!M345=""),"Missing value","")</f>
        <v/>
      </c>
      <c r="P345" s="4">
        <f t="shared" si="5"/>
        <v>0</v>
      </c>
    </row>
    <row r="346" spans="1:16" x14ac:dyDescent="0.25">
      <c r="A346" s="4" t="str">
        <f>Customers!A346</f>
        <v>CL00340</v>
      </c>
      <c r="B346" s="20">
        <f>IF(Customers!G346="","",(Customers!G346-Statistics!$C$7)/Statistics!$C$9)</f>
        <v>-4.5483182972943487E-2</v>
      </c>
      <c r="C346" s="4" t="str">
        <f>IF(Customers!G346="","",IF(OR(Customers!G346&lt;Statistics!$C$15,Customers!G346&gt;Statistics!$C$16),"Outside 1.5·IQR",""))</f>
        <v/>
      </c>
      <c r="D346" s="4" t="str">
        <f>IF(OR(Customers!B346&lt;18,Customers!B346&gt;100),"Implausible age","")</f>
        <v/>
      </c>
      <c r="E346" s="4" t="str">
        <f>IF(Customers!H346&gt;Customers!B346-18,"Tenure &gt; age-18","")</f>
        <v/>
      </c>
      <c r="F346" s="4" t="str">
        <f>IF(Customers!R346&gt;Customers!Q346,"Card spend &gt; limit","")</f>
        <v/>
      </c>
      <c r="G346" s="4" t="str">
        <f>IF(OR(AND(Customers!S346&gt;0,Customers!T346=0),AND(Customers!S346=0,Customers!T346&gt;0)),"Mortgage/payment inconsistent","")</f>
        <v/>
      </c>
      <c r="H346" s="4" t="str">
        <f>IF(AND(Customers!G346&lt;&gt;"",Customers!G346&gt;0,Customers!T346&gt;Customers!G346/12),"Payment &gt; monthly income","")</f>
        <v/>
      </c>
      <c r="I346" s="4" t="str">
        <f>IF(OR(Customers!I346&gt;DATE(2026,9,13),YEAR(Customers!I346)&lt;1980),"Implausible date","")</f>
        <v/>
      </c>
      <c r="J346" s="4" t="str">
        <f>IF(Customers!I346&gt;DATE(2026,9,13),"",IF(ABS(INT((DATE(2026,9,13)-Customers!I346)/365.25)-Customers!H346)&gt;1,"Date/tenure inconsistent",""))</f>
        <v/>
      </c>
      <c r="K346" s="4" t="str">
        <f>IF(COUNTIF(Customers!$A$2:$A$1001,Customers!A346)&gt;1,"Duplicate ID","")</f>
        <v/>
      </c>
      <c r="L346" s="4" t="str">
        <f>IF(COUNTIFS(Customers!$B$2:$B$1001,Customers!B346,Customers!$D$2:$D$1001,Customers!D346,Customers!$G$2:$G$1001,Customers!G346,Customers!$I$2:$I$1001,Customers!I346,Customers!$L$2:$L$1001,Customers!L346)&gt;1,"Duplicate record","")</f>
        <v/>
      </c>
      <c r="M346" s="4" t="str">
        <f>IF(OR(Customers!U346&lt;300,Customers!U346&gt;850),"Score out of range","")</f>
        <v/>
      </c>
      <c r="N346" s="4" t="str">
        <f>IF(AND(Customers!G346&lt;&gt;"",Customers!G346&lt;=0),"Income ≤ 0","")</f>
        <v/>
      </c>
      <c r="O346" s="4" t="str">
        <f>IF(OR(Customers!G346="",Customers!M346=""),"Missing value","")</f>
        <v/>
      </c>
      <c r="P346" s="4">
        <f t="shared" si="5"/>
        <v>0</v>
      </c>
    </row>
    <row r="347" spans="1:16" x14ac:dyDescent="0.25">
      <c r="A347" s="4" t="str">
        <f>Customers!A347</f>
        <v>CL00341</v>
      </c>
      <c r="B347" s="20">
        <f>IF(Customers!G347="","",(Customers!G347-Statistics!$C$7)/Statistics!$C$9)</f>
        <v>-3.760379572952182E-2</v>
      </c>
      <c r="C347" s="4" t="str">
        <f>IF(Customers!G347="","",IF(OR(Customers!G347&lt;Statistics!$C$15,Customers!G347&gt;Statistics!$C$16),"Outside 1.5·IQR",""))</f>
        <v/>
      </c>
      <c r="D347" s="4" t="str">
        <f>IF(OR(Customers!B347&lt;18,Customers!B347&gt;100),"Implausible age","")</f>
        <v/>
      </c>
      <c r="E347" s="4" t="str">
        <f>IF(Customers!H347&gt;Customers!B347-18,"Tenure &gt; age-18","")</f>
        <v/>
      </c>
      <c r="F347" s="4" t="str">
        <f>IF(Customers!R347&gt;Customers!Q347,"Card spend &gt; limit","")</f>
        <v/>
      </c>
      <c r="G347" s="4" t="str">
        <f>IF(OR(AND(Customers!S347&gt;0,Customers!T347=0),AND(Customers!S347=0,Customers!T347&gt;0)),"Mortgage/payment inconsistent","")</f>
        <v/>
      </c>
      <c r="H347" s="4" t="str">
        <f>IF(AND(Customers!G347&lt;&gt;"",Customers!G347&gt;0,Customers!T347&gt;Customers!G347/12),"Payment &gt; monthly income","")</f>
        <v/>
      </c>
      <c r="I347" s="4" t="str">
        <f>IF(OR(Customers!I347&gt;DATE(2026,9,13),YEAR(Customers!I347)&lt;1980),"Implausible date","")</f>
        <v/>
      </c>
      <c r="J347" s="4" t="str">
        <f>IF(Customers!I347&gt;DATE(2026,9,13),"",IF(ABS(INT((DATE(2026,9,13)-Customers!I347)/365.25)-Customers!H347)&gt;1,"Date/tenure inconsistent",""))</f>
        <v/>
      </c>
      <c r="K347" s="4" t="str">
        <f>IF(COUNTIF(Customers!$A$2:$A$1001,Customers!A347)&gt;1,"Duplicate ID","")</f>
        <v/>
      </c>
      <c r="L347" s="4" t="str">
        <f>IF(COUNTIFS(Customers!$B$2:$B$1001,Customers!B347,Customers!$D$2:$D$1001,Customers!D347,Customers!$G$2:$G$1001,Customers!G347,Customers!$I$2:$I$1001,Customers!I347,Customers!$L$2:$L$1001,Customers!L347)&gt;1,"Duplicate record","")</f>
        <v/>
      </c>
      <c r="M347" s="4" t="str">
        <f>IF(OR(Customers!U347&lt;300,Customers!U347&gt;850),"Score out of range","")</f>
        <v/>
      </c>
      <c r="N347" s="4" t="str">
        <f>IF(AND(Customers!G347&lt;&gt;"",Customers!G347&lt;=0),"Income ≤ 0","")</f>
        <v/>
      </c>
      <c r="O347" s="4" t="str">
        <f>IF(OR(Customers!G347="",Customers!M347=""),"Missing value","")</f>
        <v/>
      </c>
      <c r="P347" s="4">
        <f t="shared" si="5"/>
        <v>0</v>
      </c>
    </row>
    <row r="348" spans="1:16" x14ac:dyDescent="0.25">
      <c r="A348" s="4" t="str">
        <f>Customers!A348</f>
        <v>CL00342</v>
      </c>
      <c r="B348" s="20">
        <f>IF(Customers!G348="","",(Customers!G348-Statistics!$C$7)/Statistics!$C$9)</f>
        <v>1.6173022206831093E-2</v>
      </c>
      <c r="C348" s="4" t="str">
        <f>IF(Customers!G348="","",IF(OR(Customers!G348&lt;Statistics!$C$15,Customers!G348&gt;Statistics!$C$16),"Outside 1.5·IQR",""))</f>
        <v>Outside 1.5·IQR</v>
      </c>
      <c r="D348" s="4" t="str">
        <f>IF(OR(Customers!B348&lt;18,Customers!B348&gt;100),"Implausible age","")</f>
        <v/>
      </c>
      <c r="E348" s="4" t="str">
        <f>IF(Customers!H348&gt;Customers!B348-18,"Tenure &gt; age-18","")</f>
        <v/>
      </c>
      <c r="F348" s="4" t="str">
        <f>IF(Customers!R348&gt;Customers!Q348,"Card spend &gt; limit","")</f>
        <v/>
      </c>
      <c r="G348" s="4" t="str">
        <f>IF(OR(AND(Customers!S348&gt;0,Customers!T348=0),AND(Customers!S348=0,Customers!T348&gt;0)),"Mortgage/payment inconsistent","")</f>
        <v/>
      </c>
      <c r="H348" s="4" t="str">
        <f>IF(AND(Customers!G348&lt;&gt;"",Customers!G348&gt;0,Customers!T348&gt;Customers!G348/12),"Payment &gt; monthly income","")</f>
        <v/>
      </c>
      <c r="I348" s="4" t="str">
        <f>IF(OR(Customers!I348&gt;DATE(2026,9,13),YEAR(Customers!I348)&lt;1980),"Implausible date","")</f>
        <v/>
      </c>
      <c r="J348" s="4" t="str">
        <f>IF(Customers!I348&gt;DATE(2026,9,13),"",IF(ABS(INT((DATE(2026,9,13)-Customers!I348)/365.25)-Customers!H348)&gt;1,"Date/tenure inconsistent",""))</f>
        <v/>
      </c>
      <c r="K348" s="4" t="str">
        <f>IF(COUNTIF(Customers!$A$2:$A$1001,Customers!A348)&gt;1,"Duplicate ID","")</f>
        <v/>
      </c>
      <c r="L348" s="4" t="str">
        <f>IF(COUNTIFS(Customers!$B$2:$B$1001,Customers!B348,Customers!$D$2:$D$1001,Customers!D348,Customers!$G$2:$G$1001,Customers!G348,Customers!$I$2:$I$1001,Customers!I348,Customers!$L$2:$L$1001,Customers!L348)&gt;1,"Duplicate record","")</f>
        <v/>
      </c>
      <c r="M348" s="4" t="str">
        <f>IF(OR(Customers!U348&lt;300,Customers!U348&gt;850),"Score out of range","")</f>
        <v/>
      </c>
      <c r="N348" s="4" t="str">
        <f>IF(AND(Customers!G348&lt;&gt;"",Customers!G348&lt;=0),"Income ≤ 0","")</f>
        <v/>
      </c>
      <c r="O348" s="4" t="str">
        <f>IF(OR(Customers!G348="",Customers!M348=""),"Missing value","")</f>
        <v/>
      </c>
      <c r="P348" s="4">
        <f t="shared" si="5"/>
        <v>1</v>
      </c>
    </row>
    <row r="349" spans="1:16" x14ac:dyDescent="0.25">
      <c r="A349" s="4" t="str">
        <f>Customers!A349</f>
        <v>CL00343</v>
      </c>
      <c r="B349" s="20">
        <f>IF(Customers!G349="","",(Customers!G349-Statistics!$C$7)/Statistics!$C$9)</f>
        <v>-4.4892228929686862E-2</v>
      </c>
      <c r="C349" s="4" t="str">
        <f>IF(Customers!G349="","",IF(OR(Customers!G349&lt;Statistics!$C$15,Customers!G349&gt;Statistics!$C$16),"Outside 1.5·IQR",""))</f>
        <v/>
      </c>
      <c r="D349" s="4" t="str">
        <f>IF(OR(Customers!B349&lt;18,Customers!B349&gt;100),"Implausible age","")</f>
        <v/>
      </c>
      <c r="E349" s="4" t="str">
        <f>IF(Customers!H349&gt;Customers!B349-18,"Tenure &gt; age-18","")</f>
        <v/>
      </c>
      <c r="F349" s="4" t="str">
        <f>IF(Customers!R349&gt;Customers!Q349,"Card spend &gt; limit","")</f>
        <v/>
      </c>
      <c r="G349" s="4" t="str">
        <f>IF(OR(AND(Customers!S349&gt;0,Customers!T349=0),AND(Customers!S349=0,Customers!T349&gt;0)),"Mortgage/payment inconsistent","")</f>
        <v/>
      </c>
      <c r="H349" s="4" t="str">
        <f>IF(AND(Customers!G349&lt;&gt;"",Customers!G349&gt;0,Customers!T349&gt;Customers!G349/12),"Payment &gt; monthly income","")</f>
        <v/>
      </c>
      <c r="I349" s="4" t="str">
        <f>IF(OR(Customers!I349&gt;DATE(2026,9,13),YEAR(Customers!I349)&lt;1980),"Implausible date","")</f>
        <v/>
      </c>
      <c r="J349" s="4" t="str">
        <f>IF(Customers!I349&gt;DATE(2026,9,13),"",IF(ABS(INT((DATE(2026,9,13)-Customers!I349)/365.25)-Customers!H349)&gt;1,"Date/tenure inconsistent",""))</f>
        <v/>
      </c>
      <c r="K349" s="4" t="str">
        <f>IF(COUNTIF(Customers!$A$2:$A$1001,Customers!A349)&gt;1,"Duplicate ID","")</f>
        <v/>
      </c>
      <c r="L349" s="4" t="str">
        <f>IF(COUNTIFS(Customers!$B$2:$B$1001,Customers!B349,Customers!$D$2:$D$1001,Customers!D349,Customers!$G$2:$G$1001,Customers!G349,Customers!$I$2:$I$1001,Customers!I349,Customers!$L$2:$L$1001,Customers!L349)&gt;1,"Duplicate record","")</f>
        <v/>
      </c>
      <c r="M349" s="4" t="str">
        <f>IF(OR(Customers!U349&lt;300,Customers!U349&gt;850),"Score out of range","")</f>
        <v/>
      </c>
      <c r="N349" s="4" t="str">
        <f>IF(AND(Customers!G349&lt;&gt;"",Customers!G349&lt;=0),"Income ≤ 0","")</f>
        <v/>
      </c>
      <c r="O349" s="4" t="str">
        <f>IF(OR(Customers!G349="",Customers!M349=""),"Missing value","")</f>
        <v/>
      </c>
      <c r="P349" s="4">
        <f t="shared" si="5"/>
        <v>0</v>
      </c>
    </row>
    <row r="350" spans="1:16" x14ac:dyDescent="0.25">
      <c r="A350" s="4" t="str">
        <f>Customers!A350</f>
        <v>CL00344</v>
      </c>
      <c r="B350" s="20">
        <f>IF(Customers!G350="","",(Customers!G350-Statistics!$C$7)/Statistics!$C$9)</f>
        <v>-3.1792747637498335E-2</v>
      </c>
      <c r="C350" s="4" t="str">
        <f>IF(Customers!G350="","",IF(OR(Customers!G350&lt;Statistics!$C$15,Customers!G350&gt;Statistics!$C$16),"Outside 1.5·IQR",""))</f>
        <v/>
      </c>
      <c r="D350" s="4" t="str">
        <f>IF(OR(Customers!B350&lt;18,Customers!B350&gt;100),"Implausible age","")</f>
        <v/>
      </c>
      <c r="E350" s="4" t="str">
        <f>IF(Customers!H350&gt;Customers!B350-18,"Tenure &gt; age-18","")</f>
        <v/>
      </c>
      <c r="F350" s="4" t="str">
        <f>IF(Customers!R350&gt;Customers!Q350,"Card spend &gt; limit","")</f>
        <v/>
      </c>
      <c r="G350" s="4" t="str">
        <f>IF(OR(AND(Customers!S350&gt;0,Customers!T350=0),AND(Customers!S350=0,Customers!T350&gt;0)),"Mortgage/payment inconsistent","")</f>
        <v/>
      </c>
      <c r="H350" s="4" t="str">
        <f>IF(AND(Customers!G350&lt;&gt;"",Customers!G350&gt;0,Customers!T350&gt;Customers!G350/12),"Payment &gt; monthly income","")</f>
        <v/>
      </c>
      <c r="I350" s="4" t="str">
        <f>IF(OR(Customers!I350&gt;DATE(2026,9,13),YEAR(Customers!I350)&lt;1980),"Implausible date","")</f>
        <v/>
      </c>
      <c r="J350" s="4" t="str">
        <f>IF(Customers!I350&gt;DATE(2026,9,13),"",IF(ABS(INT((DATE(2026,9,13)-Customers!I350)/365.25)-Customers!H350)&gt;1,"Date/tenure inconsistent",""))</f>
        <v/>
      </c>
      <c r="K350" s="4" t="str">
        <f>IF(COUNTIF(Customers!$A$2:$A$1001,Customers!A350)&gt;1,"Duplicate ID","")</f>
        <v/>
      </c>
      <c r="L350" s="4" t="str">
        <f>IF(COUNTIFS(Customers!$B$2:$B$1001,Customers!B350,Customers!$D$2:$D$1001,Customers!D350,Customers!$G$2:$G$1001,Customers!G350,Customers!$I$2:$I$1001,Customers!I350,Customers!$L$2:$L$1001,Customers!L350)&gt;1,"Duplicate record","")</f>
        <v/>
      </c>
      <c r="M350" s="4" t="str">
        <f>IF(OR(Customers!U350&lt;300,Customers!U350&gt;850),"Score out of range","")</f>
        <v/>
      </c>
      <c r="N350" s="4" t="str">
        <f>IF(AND(Customers!G350&lt;&gt;"",Customers!G350&lt;=0),"Income ≤ 0","")</f>
        <v/>
      </c>
      <c r="O350" s="4" t="str">
        <f>IF(OR(Customers!G350="",Customers!M350=""),"Missing value","")</f>
        <v/>
      </c>
      <c r="P350" s="4">
        <f t="shared" si="5"/>
        <v>0</v>
      </c>
    </row>
    <row r="351" spans="1:16" x14ac:dyDescent="0.25">
      <c r="A351" s="4" t="str">
        <f>Customers!A351</f>
        <v>CL00345</v>
      </c>
      <c r="B351" s="20">
        <f>IF(Customers!G351="","",(Customers!G351-Statistics!$C$7)/Statistics!$C$9)</f>
        <v>-2.9133454442843522E-2</v>
      </c>
      <c r="C351" s="4" t="str">
        <f>IF(Customers!G351="","",IF(OR(Customers!G351&lt;Statistics!$C$15,Customers!G351&gt;Statistics!$C$16),"Outside 1.5·IQR",""))</f>
        <v/>
      </c>
      <c r="D351" s="4" t="str">
        <f>IF(OR(Customers!B351&lt;18,Customers!B351&gt;100),"Implausible age","")</f>
        <v/>
      </c>
      <c r="E351" s="4" t="str">
        <f>IF(Customers!H351&gt;Customers!B351-18,"Tenure &gt; age-18","")</f>
        <v/>
      </c>
      <c r="F351" s="4" t="str">
        <f>IF(Customers!R351&gt;Customers!Q351,"Card spend &gt; limit","")</f>
        <v/>
      </c>
      <c r="G351" s="4" t="str">
        <f>IF(OR(AND(Customers!S351&gt;0,Customers!T351=0),AND(Customers!S351=0,Customers!T351&gt;0)),"Mortgage/payment inconsistent","")</f>
        <v/>
      </c>
      <c r="H351" s="4" t="str">
        <f>IF(AND(Customers!G351&lt;&gt;"",Customers!G351&gt;0,Customers!T351&gt;Customers!G351/12),"Payment &gt; monthly income","")</f>
        <v/>
      </c>
      <c r="I351" s="4" t="str">
        <f>IF(OR(Customers!I351&gt;DATE(2026,9,13),YEAR(Customers!I351)&lt;1980),"Implausible date","")</f>
        <v/>
      </c>
      <c r="J351" s="4" t="str">
        <f>IF(Customers!I351&gt;DATE(2026,9,13),"",IF(ABS(INT((DATE(2026,9,13)-Customers!I351)/365.25)-Customers!H351)&gt;1,"Date/tenure inconsistent",""))</f>
        <v/>
      </c>
      <c r="K351" s="4" t="str">
        <f>IF(COUNTIF(Customers!$A$2:$A$1001,Customers!A351)&gt;1,"Duplicate ID","")</f>
        <v/>
      </c>
      <c r="L351" s="4" t="str">
        <f>IF(COUNTIFS(Customers!$B$2:$B$1001,Customers!B351,Customers!$D$2:$D$1001,Customers!D351,Customers!$G$2:$G$1001,Customers!G351,Customers!$I$2:$I$1001,Customers!I351,Customers!$L$2:$L$1001,Customers!L351)&gt;1,"Duplicate record","")</f>
        <v/>
      </c>
      <c r="M351" s="4" t="str">
        <f>IF(OR(Customers!U351&lt;300,Customers!U351&gt;850),"Score out of range","")</f>
        <v/>
      </c>
      <c r="N351" s="4" t="str">
        <f>IF(AND(Customers!G351&lt;&gt;"",Customers!G351&lt;=0),"Income ≤ 0","")</f>
        <v/>
      </c>
      <c r="O351" s="4" t="str">
        <f>IF(OR(Customers!G351="",Customers!M351=""),"Missing value","")</f>
        <v/>
      </c>
      <c r="P351" s="4">
        <f t="shared" si="5"/>
        <v>0</v>
      </c>
    </row>
    <row r="352" spans="1:16" x14ac:dyDescent="0.25">
      <c r="A352" s="4" t="str">
        <f>Customers!A352</f>
        <v>CL00346</v>
      </c>
      <c r="B352" s="20">
        <f>IF(Customers!G352="","",(Customers!G352-Statistics!$C$7)/Statistics!$C$9)</f>
        <v>-1.9776682091280286E-2</v>
      </c>
      <c r="C352" s="4" t="str">
        <f>IF(Customers!G352="","",IF(OR(Customers!G352&lt;Statistics!$C$15,Customers!G352&gt;Statistics!$C$16),"Outside 1.5·IQR",""))</f>
        <v/>
      </c>
      <c r="D352" s="4" t="str">
        <f>IF(OR(Customers!B352&lt;18,Customers!B352&gt;100),"Implausible age","")</f>
        <v/>
      </c>
      <c r="E352" s="4" t="str">
        <f>IF(Customers!H352&gt;Customers!B352-18,"Tenure &gt; age-18","")</f>
        <v/>
      </c>
      <c r="F352" s="4" t="str">
        <f>IF(Customers!R352&gt;Customers!Q352,"Card spend &gt; limit","")</f>
        <v/>
      </c>
      <c r="G352" s="4" t="str">
        <f>IF(OR(AND(Customers!S352&gt;0,Customers!T352=0),AND(Customers!S352=0,Customers!T352&gt;0)),"Mortgage/payment inconsistent","")</f>
        <v/>
      </c>
      <c r="H352" s="4" t="str">
        <f>IF(AND(Customers!G352&lt;&gt;"",Customers!G352&gt;0,Customers!T352&gt;Customers!G352/12),"Payment &gt; monthly income","")</f>
        <v/>
      </c>
      <c r="I352" s="4" t="str">
        <f>IF(OR(Customers!I352&gt;DATE(2026,9,13),YEAR(Customers!I352)&lt;1980),"Implausible date","")</f>
        <v/>
      </c>
      <c r="J352" s="4" t="str">
        <f>IF(Customers!I352&gt;DATE(2026,9,13),"",IF(ABS(INT((DATE(2026,9,13)-Customers!I352)/365.25)-Customers!H352)&gt;1,"Date/tenure inconsistent",""))</f>
        <v/>
      </c>
      <c r="K352" s="4" t="str">
        <f>IF(COUNTIF(Customers!$A$2:$A$1001,Customers!A352)&gt;1,"Duplicate ID","")</f>
        <v/>
      </c>
      <c r="L352" s="4" t="str">
        <f>IF(COUNTIFS(Customers!$B$2:$B$1001,Customers!B352,Customers!$D$2:$D$1001,Customers!D352,Customers!$G$2:$G$1001,Customers!G352,Customers!$I$2:$I$1001,Customers!I352,Customers!$L$2:$L$1001,Customers!L352)&gt;1,"Duplicate record","")</f>
        <v/>
      </c>
      <c r="M352" s="4" t="str">
        <f>IF(OR(Customers!U352&lt;300,Customers!U352&gt;850),"Score out of range","")</f>
        <v/>
      </c>
      <c r="N352" s="4" t="str">
        <f>IF(AND(Customers!G352&lt;&gt;"",Customers!G352&lt;=0),"Income ≤ 0","")</f>
        <v/>
      </c>
      <c r="O352" s="4" t="str">
        <f>IF(OR(Customers!G352="",Customers!M352=""),"Missing value","")</f>
        <v/>
      </c>
      <c r="P352" s="4">
        <f t="shared" si="5"/>
        <v>0</v>
      </c>
    </row>
    <row r="353" spans="1:16" x14ac:dyDescent="0.25">
      <c r="A353" s="4" t="str">
        <f>Customers!A353</f>
        <v>CL00347</v>
      </c>
      <c r="B353" s="20">
        <f>IF(Customers!G353="","",(Customers!G353-Statistics!$C$7)/Statistics!$C$9)</f>
        <v>-4.8536445529769386E-2</v>
      </c>
      <c r="C353" s="4" t="str">
        <f>IF(Customers!G353="","",IF(OR(Customers!G353&lt;Statistics!$C$15,Customers!G353&gt;Statistics!$C$16),"Outside 1.5·IQR",""))</f>
        <v/>
      </c>
      <c r="D353" s="4" t="str">
        <f>IF(OR(Customers!B353&lt;18,Customers!B353&gt;100),"Implausible age","")</f>
        <v/>
      </c>
      <c r="E353" s="4" t="str">
        <f>IF(Customers!H353&gt;Customers!B353-18,"Tenure &gt; age-18","")</f>
        <v/>
      </c>
      <c r="F353" s="4" t="str">
        <f>IF(Customers!R353&gt;Customers!Q353,"Card spend &gt; limit","")</f>
        <v/>
      </c>
      <c r="G353" s="4" t="str">
        <f>IF(OR(AND(Customers!S353&gt;0,Customers!T353=0),AND(Customers!S353=0,Customers!T353&gt;0)),"Mortgage/payment inconsistent","")</f>
        <v/>
      </c>
      <c r="H353" s="4" t="str">
        <f>IF(AND(Customers!G353&lt;&gt;"",Customers!G353&gt;0,Customers!T353&gt;Customers!G353/12),"Payment &gt; monthly income","")</f>
        <v/>
      </c>
      <c r="I353" s="4" t="str">
        <f>IF(OR(Customers!I353&gt;DATE(2026,9,13),YEAR(Customers!I353)&lt;1980),"Implausible date","")</f>
        <v/>
      </c>
      <c r="J353" s="4" t="str">
        <f>IF(Customers!I353&gt;DATE(2026,9,13),"",IF(ABS(INT((DATE(2026,9,13)-Customers!I353)/365.25)-Customers!H353)&gt;1,"Date/tenure inconsistent",""))</f>
        <v/>
      </c>
      <c r="K353" s="4" t="str">
        <f>IF(COUNTIF(Customers!$A$2:$A$1001,Customers!A353)&gt;1,"Duplicate ID","")</f>
        <v/>
      </c>
      <c r="L353" s="4" t="str">
        <f>IF(COUNTIFS(Customers!$B$2:$B$1001,Customers!B353,Customers!$D$2:$D$1001,Customers!D353,Customers!$G$2:$G$1001,Customers!G353,Customers!$I$2:$I$1001,Customers!I353,Customers!$L$2:$L$1001,Customers!L353)&gt;1,"Duplicate record","")</f>
        <v/>
      </c>
      <c r="M353" s="4" t="str">
        <f>IF(OR(Customers!U353&lt;300,Customers!U353&gt;850),"Score out of range","")</f>
        <v/>
      </c>
      <c r="N353" s="4" t="str">
        <f>IF(AND(Customers!G353&lt;&gt;"",Customers!G353&lt;=0),"Income ≤ 0","")</f>
        <v/>
      </c>
      <c r="O353" s="4" t="str">
        <f>IF(OR(Customers!G353="",Customers!M353=""),"Missing value","")</f>
        <v/>
      </c>
      <c r="P353" s="4">
        <f t="shared" si="5"/>
        <v>0</v>
      </c>
    </row>
    <row r="354" spans="1:16" x14ac:dyDescent="0.25">
      <c r="A354" s="4" t="str">
        <f>Customers!A354</f>
        <v>CL00348</v>
      </c>
      <c r="B354" s="20">
        <f>IF(Customers!G354="","",(Customers!G354-Statistics!$C$7)/Statistics!$C$9)</f>
        <v>-1.5935480810112219E-2</v>
      </c>
      <c r="C354" s="4" t="str">
        <f>IF(Customers!G354="","",IF(OR(Customers!G354&lt;Statistics!$C$15,Customers!G354&gt;Statistics!$C$16),"Outside 1.5·IQR",""))</f>
        <v/>
      </c>
      <c r="D354" s="4" t="str">
        <f>IF(OR(Customers!B354&lt;18,Customers!B354&gt;100),"Implausible age","")</f>
        <v/>
      </c>
      <c r="E354" s="4" t="str">
        <f>IF(Customers!H354&gt;Customers!B354-18,"Tenure &gt; age-18","")</f>
        <v/>
      </c>
      <c r="F354" s="4" t="str">
        <f>IF(Customers!R354&gt;Customers!Q354,"Card spend &gt; limit","")</f>
        <v/>
      </c>
      <c r="G354" s="4" t="str">
        <f>IF(OR(AND(Customers!S354&gt;0,Customers!T354=0),AND(Customers!S354=0,Customers!T354&gt;0)),"Mortgage/payment inconsistent","")</f>
        <v/>
      </c>
      <c r="H354" s="4" t="str">
        <f>IF(AND(Customers!G354&lt;&gt;"",Customers!G354&gt;0,Customers!T354&gt;Customers!G354/12),"Payment &gt; monthly income","")</f>
        <v/>
      </c>
      <c r="I354" s="4" t="str">
        <f>IF(OR(Customers!I354&gt;DATE(2026,9,13),YEAR(Customers!I354)&lt;1980),"Implausible date","")</f>
        <v/>
      </c>
      <c r="J354" s="4" t="str">
        <f>IF(Customers!I354&gt;DATE(2026,9,13),"",IF(ABS(INT((DATE(2026,9,13)-Customers!I354)/365.25)-Customers!H354)&gt;1,"Date/tenure inconsistent",""))</f>
        <v/>
      </c>
      <c r="K354" s="4" t="str">
        <f>IF(COUNTIF(Customers!$A$2:$A$1001,Customers!A354)&gt;1,"Duplicate ID","")</f>
        <v/>
      </c>
      <c r="L354" s="4" t="str">
        <f>IF(COUNTIFS(Customers!$B$2:$B$1001,Customers!B354,Customers!$D$2:$D$1001,Customers!D354,Customers!$G$2:$G$1001,Customers!G354,Customers!$I$2:$I$1001,Customers!I354,Customers!$L$2:$L$1001,Customers!L354)&gt;1,"Duplicate record","")</f>
        <v/>
      </c>
      <c r="M354" s="4" t="str">
        <f>IF(OR(Customers!U354&lt;300,Customers!U354&gt;850),"Score out of range","")</f>
        <v/>
      </c>
      <c r="N354" s="4" t="str">
        <f>IF(AND(Customers!G354&lt;&gt;"",Customers!G354&lt;=0),"Income ≤ 0","")</f>
        <v/>
      </c>
      <c r="O354" s="4" t="str">
        <f>IF(OR(Customers!G354="",Customers!M354=""),"Missing value","")</f>
        <v/>
      </c>
      <c r="P354" s="4">
        <f t="shared" si="5"/>
        <v>0</v>
      </c>
    </row>
    <row r="355" spans="1:16" x14ac:dyDescent="0.25">
      <c r="A355" s="4" t="str">
        <f>Customers!A355</f>
        <v>CL00349</v>
      </c>
      <c r="B355" s="20">
        <f>IF(Customers!G355="","",(Customers!G355-Statistics!$C$7)/Statistics!$C$9)</f>
        <v>-5.2377646810937449E-2</v>
      </c>
      <c r="C355" s="4" t="str">
        <f>IF(Customers!G355="","",IF(OR(Customers!G355&lt;Statistics!$C$15,Customers!G355&gt;Statistics!$C$16),"Outside 1.5·IQR",""))</f>
        <v/>
      </c>
      <c r="D355" s="4" t="str">
        <f>IF(OR(Customers!B355&lt;18,Customers!B355&gt;100),"Implausible age","")</f>
        <v/>
      </c>
      <c r="E355" s="4" t="str">
        <f>IF(Customers!H355&gt;Customers!B355-18,"Tenure &gt; age-18","")</f>
        <v/>
      </c>
      <c r="F355" s="4" t="str">
        <f>IF(Customers!R355&gt;Customers!Q355,"Card spend &gt; limit","")</f>
        <v/>
      </c>
      <c r="G355" s="4" t="str">
        <f>IF(OR(AND(Customers!S355&gt;0,Customers!T355=0),AND(Customers!S355=0,Customers!T355&gt;0)),"Mortgage/payment inconsistent","")</f>
        <v/>
      </c>
      <c r="H355" s="4" t="str">
        <f>IF(AND(Customers!G355&lt;&gt;"",Customers!G355&gt;0,Customers!T355&gt;Customers!G355/12),"Payment &gt; monthly income","")</f>
        <v/>
      </c>
      <c r="I355" s="4" t="str">
        <f>IF(OR(Customers!I355&gt;DATE(2026,9,13),YEAR(Customers!I355)&lt;1980),"Implausible date","")</f>
        <v/>
      </c>
      <c r="J355" s="4" t="str">
        <f>IF(Customers!I355&gt;DATE(2026,9,13),"",IF(ABS(INT((DATE(2026,9,13)-Customers!I355)/365.25)-Customers!H355)&gt;1,"Date/tenure inconsistent",""))</f>
        <v/>
      </c>
      <c r="K355" s="4" t="str">
        <f>IF(COUNTIF(Customers!$A$2:$A$1001,Customers!A355)&gt;1,"Duplicate ID","")</f>
        <v/>
      </c>
      <c r="L355" s="4" t="str">
        <f>IF(COUNTIFS(Customers!$B$2:$B$1001,Customers!B355,Customers!$D$2:$D$1001,Customers!D355,Customers!$G$2:$G$1001,Customers!G355,Customers!$I$2:$I$1001,Customers!I355,Customers!$L$2:$L$1001,Customers!L355)&gt;1,"Duplicate record","")</f>
        <v/>
      </c>
      <c r="M355" s="4" t="str">
        <f>IF(OR(Customers!U355&lt;300,Customers!U355&gt;850),"Score out of range","")</f>
        <v/>
      </c>
      <c r="N355" s="4" t="str">
        <f>IF(AND(Customers!G355&lt;&gt;"",Customers!G355&lt;=0),"Income ≤ 0","")</f>
        <v/>
      </c>
      <c r="O355" s="4" t="str">
        <f>IF(OR(Customers!G355="",Customers!M355=""),"Missing value","")</f>
        <v/>
      </c>
      <c r="P355" s="4">
        <f t="shared" si="5"/>
        <v>0</v>
      </c>
    </row>
    <row r="356" spans="1:16" x14ac:dyDescent="0.25">
      <c r="A356" s="4" t="str">
        <f>Customers!A356</f>
        <v>CL00350</v>
      </c>
      <c r="B356" s="20">
        <f>IF(Customers!G356="","",(Customers!G356-Statistics!$C$7)/Statistics!$C$9)</f>
        <v>-5.1491215746052511E-2</v>
      </c>
      <c r="C356" s="4" t="str">
        <f>IF(Customers!G356="","",IF(OR(Customers!G356&lt;Statistics!$C$15,Customers!G356&gt;Statistics!$C$16),"Outside 1.5·IQR",""))</f>
        <v/>
      </c>
      <c r="D356" s="4" t="str">
        <f>IF(OR(Customers!B356&lt;18,Customers!B356&gt;100),"Implausible age","")</f>
        <v/>
      </c>
      <c r="E356" s="4" t="str">
        <f>IF(Customers!H356&gt;Customers!B356-18,"Tenure &gt; age-18","")</f>
        <v/>
      </c>
      <c r="F356" s="4" t="str">
        <f>IF(Customers!R356&gt;Customers!Q356,"Card spend &gt; limit","")</f>
        <v/>
      </c>
      <c r="G356" s="4" t="str">
        <f>IF(OR(AND(Customers!S356&gt;0,Customers!T356=0),AND(Customers!S356=0,Customers!T356&gt;0)),"Mortgage/payment inconsistent","")</f>
        <v/>
      </c>
      <c r="H356" s="4" t="str">
        <f>IF(AND(Customers!G356&lt;&gt;"",Customers!G356&gt;0,Customers!T356&gt;Customers!G356/12),"Payment &gt; monthly income","")</f>
        <v/>
      </c>
      <c r="I356" s="4" t="str">
        <f>IF(OR(Customers!I356&gt;DATE(2026,9,13),YEAR(Customers!I356)&lt;1980),"Implausible date","")</f>
        <v/>
      </c>
      <c r="J356" s="4" t="str">
        <f>IF(Customers!I356&gt;DATE(2026,9,13),"",IF(ABS(INT((DATE(2026,9,13)-Customers!I356)/365.25)-Customers!H356)&gt;1,"Date/tenure inconsistent",""))</f>
        <v/>
      </c>
      <c r="K356" s="4" t="str">
        <f>IF(COUNTIF(Customers!$A$2:$A$1001,Customers!A356)&gt;1,"Duplicate ID","")</f>
        <v/>
      </c>
      <c r="L356" s="4" t="str">
        <f>IF(COUNTIFS(Customers!$B$2:$B$1001,Customers!B356,Customers!$D$2:$D$1001,Customers!D356,Customers!$G$2:$G$1001,Customers!G356,Customers!$I$2:$I$1001,Customers!I356,Customers!$L$2:$L$1001,Customers!L356)&gt;1,"Duplicate record","")</f>
        <v/>
      </c>
      <c r="M356" s="4" t="str">
        <f>IF(OR(Customers!U356&lt;300,Customers!U356&gt;850),"Score out of range","")</f>
        <v/>
      </c>
      <c r="N356" s="4" t="str">
        <f>IF(AND(Customers!G356&lt;&gt;"",Customers!G356&lt;=0),"Income ≤ 0","")</f>
        <v/>
      </c>
      <c r="O356" s="4" t="str">
        <f>IF(OR(Customers!G356="",Customers!M356=""),"Missing value","")</f>
        <v/>
      </c>
      <c r="P356" s="4">
        <f t="shared" si="5"/>
        <v>0</v>
      </c>
    </row>
    <row r="357" spans="1:16" x14ac:dyDescent="0.25">
      <c r="A357" s="4" t="str">
        <f>Customers!A357</f>
        <v>CL00351</v>
      </c>
      <c r="B357" s="20">
        <f>IF(Customers!G357="","",(Customers!G357-Statistics!$C$7)/Statistics!$C$9)</f>
        <v>-1.2291264210029696E-2</v>
      </c>
      <c r="C357" s="4" t="str">
        <f>IF(Customers!G357="","",IF(OR(Customers!G357&lt;Statistics!$C$15,Customers!G357&gt;Statistics!$C$16),"Outside 1.5·IQR",""))</f>
        <v/>
      </c>
      <c r="D357" s="4" t="str">
        <f>IF(OR(Customers!B357&lt;18,Customers!B357&gt;100),"Implausible age","")</f>
        <v/>
      </c>
      <c r="E357" s="4" t="str">
        <f>IF(Customers!H357&gt;Customers!B357-18,"Tenure &gt; age-18","")</f>
        <v/>
      </c>
      <c r="F357" s="4" t="str">
        <f>IF(Customers!R357&gt;Customers!Q357,"Card spend &gt; limit","")</f>
        <v/>
      </c>
      <c r="G357" s="4" t="str">
        <f>IF(OR(AND(Customers!S357&gt;0,Customers!T357=0),AND(Customers!S357=0,Customers!T357&gt;0)),"Mortgage/payment inconsistent","")</f>
        <v/>
      </c>
      <c r="H357" s="4" t="str">
        <f>IF(AND(Customers!G357&lt;&gt;"",Customers!G357&gt;0,Customers!T357&gt;Customers!G357/12),"Payment &gt; monthly income","")</f>
        <v/>
      </c>
      <c r="I357" s="4" t="str">
        <f>IF(OR(Customers!I357&gt;DATE(2026,9,13),YEAR(Customers!I357)&lt;1980),"Implausible date","")</f>
        <v/>
      </c>
      <c r="J357" s="4" t="str">
        <f>IF(Customers!I357&gt;DATE(2026,9,13),"",IF(ABS(INT((DATE(2026,9,13)-Customers!I357)/365.25)-Customers!H357)&gt;1,"Date/tenure inconsistent",""))</f>
        <v/>
      </c>
      <c r="K357" s="4" t="str">
        <f>IF(COUNTIF(Customers!$A$2:$A$1001,Customers!A357)&gt;1,"Duplicate ID","")</f>
        <v/>
      </c>
      <c r="L357" s="4" t="str">
        <f>IF(COUNTIFS(Customers!$B$2:$B$1001,Customers!B357,Customers!$D$2:$D$1001,Customers!D357,Customers!$G$2:$G$1001,Customers!G357,Customers!$I$2:$I$1001,Customers!I357,Customers!$L$2:$L$1001,Customers!L357)&gt;1,"Duplicate record","")</f>
        <v/>
      </c>
      <c r="M357" s="4" t="str">
        <f>IF(OR(Customers!U357&lt;300,Customers!U357&gt;850),"Score out of range","")</f>
        <v/>
      </c>
      <c r="N357" s="4" t="str">
        <f>IF(AND(Customers!G357&lt;&gt;"",Customers!G357&lt;=0),"Income ≤ 0","")</f>
        <v/>
      </c>
      <c r="O357" s="4" t="str">
        <f>IF(OR(Customers!G357="",Customers!M357=""),"Missing value","")</f>
        <v/>
      </c>
      <c r="P357" s="4">
        <f t="shared" si="5"/>
        <v>0</v>
      </c>
    </row>
    <row r="358" spans="1:16" x14ac:dyDescent="0.25">
      <c r="A358" s="4" t="str">
        <f>Customers!A358</f>
        <v>CL00352</v>
      </c>
      <c r="B358" s="20">
        <f>IF(Customers!G358="","",(Customers!G358-Statistics!$C$7)/Statistics!$C$9)</f>
        <v>-6.1931403843586232E-2</v>
      </c>
      <c r="C358" s="4" t="str">
        <f>IF(Customers!G358="","",IF(OR(Customers!G358&lt;Statistics!$C$15,Customers!G358&gt;Statistics!$C$16),"Outside 1.5·IQR",""))</f>
        <v/>
      </c>
      <c r="D358" s="4" t="str">
        <f>IF(OR(Customers!B358&lt;18,Customers!B358&gt;100),"Implausible age","")</f>
        <v/>
      </c>
      <c r="E358" s="4" t="str">
        <f>IF(Customers!H358&gt;Customers!B358-18,"Tenure &gt; age-18","")</f>
        <v/>
      </c>
      <c r="F358" s="4" t="str">
        <f>IF(Customers!R358&gt;Customers!Q358,"Card spend &gt; limit","")</f>
        <v/>
      </c>
      <c r="G358" s="4" t="str">
        <f>IF(OR(AND(Customers!S358&gt;0,Customers!T358=0),AND(Customers!S358=0,Customers!T358&gt;0)),"Mortgage/payment inconsistent","")</f>
        <v/>
      </c>
      <c r="H358" s="4" t="str">
        <f>IF(AND(Customers!G358&lt;&gt;"",Customers!G358&gt;0,Customers!T358&gt;Customers!G358/12),"Payment &gt; monthly income","")</f>
        <v/>
      </c>
      <c r="I358" s="4" t="str">
        <f>IF(OR(Customers!I358&gt;DATE(2026,9,13),YEAR(Customers!I358)&lt;1980),"Implausible date","")</f>
        <v/>
      </c>
      <c r="J358" s="4" t="str">
        <f>IF(Customers!I358&gt;DATE(2026,9,13),"",IF(ABS(INT((DATE(2026,9,13)-Customers!I358)/365.25)-Customers!H358)&gt;1,"Date/tenure inconsistent",""))</f>
        <v/>
      </c>
      <c r="K358" s="4" t="str">
        <f>IF(COUNTIF(Customers!$A$2:$A$1001,Customers!A358)&gt;1,"Duplicate ID","")</f>
        <v/>
      </c>
      <c r="L358" s="4" t="str">
        <f>IF(COUNTIFS(Customers!$B$2:$B$1001,Customers!B358,Customers!$D$2:$D$1001,Customers!D358,Customers!$G$2:$G$1001,Customers!G358,Customers!$I$2:$I$1001,Customers!I358,Customers!$L$2:$L$1001,Customers!L358)&gt;1,"Duplicate record","")</f>
        <v/>
      </c>
      <c r="M358" s="4" t="str">
        <f>IF(OR(Customers!U358&lt;300,Customers!U358&gt;850),"Score out of range","")</f>
        <v/>
      </c>
      <c r="N358" s="4" t="str">
        <f>IF(AND(Customers!G358&lt;&gt;"",Customers!G358&lt;=0),"Income ≤ 0","")</f>
        <v/>
      </c>
      <c r="O358" s="4" t="str">
        <f>IF(OR(Customers!G358="",Customers!M358=""),"Missing value","")</f>
        <v/>
      </c>
      <c r="P358" s="4">
        <f t="shared" si="5"/>
        <v>0</v>
      </c>
    </row>
    <row r="359" spans="1:16" x14ac:dyDescent="0.25">
      <c r="A359" s="4" t="str">
        <f>Customers!A359</f>
        <v>CL00353</v>
      </c>
      <c r="B359" s="20">
        <f>IF(Customers!G359="","",(Customers!G359-Statistics!$C$7)/Statistics!$C$9)</f>
        <v>-3.4649025513238688E-2</v>
      </c>
      <c r="C359" s="4" t="str">
        <f>IF(Customers!G359="","",IF(OR(Customers!G359&lt;Statistics!$C$15,Customers!G359&gt;Statistics!$C$16),"Outside 1.5·IQR",""))</f>
        <v/>
      </c>
      <c r="D359" s="4" t="str">
        <f>IF(OR(Customers!B359&lt;18,Customers!B359&gt;100),"Implausible age","")</f>
        <v/>
      </c>
      <c r="E359" s="4" t="str">
        <f>IF(Customers!H359&gt;Customers!B359-18,"Tenure &gt; age-18","")</f>
        <v/>
      </c>
      <c r="F359" s="4" t="str">
        <f>IF(Customers!R359&gt;Customers!Q359,"Card spend &gt; limit","")</f>
        <v/>
      </c>
      <c r="G359" s="4" t="str">
        <f>IF(OR(AND(Customers!S359&gt;0,Customers!T359=0),AND(Customers!S359=0,Customers!T359&gt;0)),"Mortgage/payment inconsistent","")</f>
        <v/>
      </c>
      <c r="H359" s="4" t="str">
        <f>IF(AND(Customers!G359&lt;&gt;"",Customers!G359&gt;0,Customers!T359&gt;Customers!G359/12),"Payment &gt; monthly income","")</f>
        <v/>
      </c>
      <c r="I359" s="4" t="str">
        <f>IF(OR(Customers!I359&gt;DATE(2026,9,13),YEAR(Customers!I359)&lt;1980),"Implausible date","")</f>
        <v/>
      </c>
      <c r="J359" s="4" t="str">
        <f>IF(Customers!I359&gt;DATE(2026,9,13),"",IF(ABS(INT((DATE(2026,9,13)-Customers!I359)/365.25)-Customers!H359)&gt;1,"Date/tenure inconsistent",""))</f>
        <v/>
      </c>
      <c r="K359" s="4" t="str">
        <f>IF(COUNTIF(Customers!$A$2:$A$1001,Customers!A359)&gt;1,"Duplicate ID","")</f>
        <v/>
      </c>
      <c r="L359" s="4" t="str">
        <f>IF(COUNTIFS(Customers!$B$2:$B$1001,Customers!B359,Customers!$D$2:$D$1001,Customers!D359,Customers!$G$2:$G$1001,Customers!G359,Customers!$I$2:$I$1001,Customers!I359,Customers!$L$2:$L$1001,Customers!L359)&gt;1,"Duplicate record","")</f>
        <v/>
      </c>
      <c r="M359" s="4" t="str">
        <f>IF(OR(Customers!U359&lt;300,Customers!U359&gt;850),"Score out of range","")</f>
        <v/>
      </c>
      <c r="N359" s="4" t="str">
        <f>IF(AND(Customers!G359&lt;&gt;"",Customers!G359&lt;=0),"Income ≤ 0","")</f>
        <v/>
      </c>
      <c r="O359" s="4" t="str">
        <f>IF(OR(Customers!G359="",Customers!M359=""),"Missing value","")</f>
        <v/>
      </c>
      <c r="P359" s="4">
        <f t="shared" si="5"/>
        <v>0</v>
      </c>
    </row>
    <row r="360" spans="1:16" x14ac:dyDescent="0.25">
      <c r="A360" s="4" t="str">
        <f>Customers!A360</f>
        <v>CL00354</v>
      </c>
      <c r="B360" s="20">
        <f>IF(Customers!G360="","",(Customers!G360-Statistics!$C$7)/Statistics!$C$9)</f>
        <v>-4.4005797864801924E-2</v>
      </c>
      <c r="C360" s="4" t="str">
        <f>IF(Customers!G360="","",IF(OR(Customers!G360&lt;Statistics!$C$15,Customers!G360&gt;Statistics!$C$16),"Outside 1.5·IQR",""))</f>
        <v/>
      </c>
      <c r="D360" s="4" t="str">
        <f>IF(OR(Customers!B360&lt;18,Customers!B360&gt;100),"Implausible age","")</f>
        <v/>
      </c>
      <c r="E360" s="4" t="str">
        <f>IF(Customers!H360&gt;Customers!B360-18,"Tenure &gt; age-18","")</f>
        <v/>
      </c>
      <c r="F360" s="4" t="str">
        <f>IF(Customers!R360&gt;Customers!Q360,"Card spend &gt; limit","")</f>
        <v/>
      </c>
      <c r="G360" s="4" t="str">
        <f>IF(OR(AND(Customers!S360&gt;0,Customers!T360=0),AND(Customers!S360=0,Customers!T360&gt;0)),"Mortgage/payment inconsistent","")</f>
        <v/>
      </c>
      <c r="H360" s="4" t="str">
        <f>IF(AND(Customers!G360&lt;&gt;"",Customers!G360&gt;0,Customers!T360&gt;Customers!G360/12),"Payment &gt; monthly income","")</f>
        <v/>
      </c>
      <c r="I360" s="4" t="str">
        <f>IF(OR(Customers!I360&gt;DATE(2026,9,13),YEAR(Customers!I360)&lt;1980),"Implausible date","")</f>
        <v/>
      </c>
      <c r="J360" s="4" t="str">
        <f>IF(Customers!I360&gt;DATE(2026,9,13),"",IF(ABS(INT((DATE(2026,9,13)-Customers!I360)/365.25)-Customers!H360)&gt;1,"Date/tenure inconsistent",""))</f>
        <v/>
      </c>
      <c r="K360" s="4" t="str">
        <f>IF(COUNTIF(Customers!$A$2:$A$1001,Customers!A360)&gt;1,"Duplicate ID","")</f>
        <v/>
      </c>
      <c r="L360" s="4" t="str">
        <f>IF(COUNTIFS(Customers!$B$2:$B$1001,Customers!B360,Customers!$D$2:$D$1001,Customers!D360,Customers!$G$2:$G$1001,Customers!G360,Customers!$I$2:$I$1001,Customers!I360,Customers!$L$2:$L$1001,Customers!L360)&gt;1,"Duplicate record","")</f>
        <v/>
      </c>
      <c r="M360" s="4" t="str">
        <f>IF(OR(Customers!U360&lt;300,Customers!U360&gt;850),"Score out of range","")</f>
        <v/>
      </c>
      <c r="N360" s="4" t="str">
        <f>IF(AND(Customers!G360&lt;&gt;"",Customers!G360&lt;=0),"Income ≤ 0","")</f>
        <v/>
      </c>
      <c r="O360" s="4" t="str">
        <f>IF(OR(Customers!G360="",Customers!M360=""),"Missing value","")</f>
        <v/>
      </c>
      <c r="P360" s="4">
        <f t="shared" si="5"/>
        <v>0</v>
      </c>
    </row>
    <row r="361" spans="1:16" x14ac:dyDescent="0.25">
      <c r="A361" s="4" t="str">
        <f>Customers!A361</f>
        <v>CL00355</v>
      </c>
      <c r="B361" s="20">
        <f>IF(Customers!G361="","",(Customers!G361-Statistics!$C$7)/Statistics!$C$9)</f>
        <v>-4.9127399573026011E-2</v>
      </c>
      <c r="C361" s="4" t="str">
        <f>IF(Customers!G361="","",IF(OR(Customers!G361&lt;Statistics!$C$15,Customers!G361&gt;Statistics!$C$16),"Outside 1.5·IQR",""))</f>
        <v/>
      </c>
      <c r="D361" s="4" t="str">
        <f>IF(OR(Customers!B361&lt;18,Customers!B361&gt;100),"Implausible age","")</f>
        <v/>
      </c>
      <c r="E361" s="4" t="str">
        <f>IF(Customers!H361&gt;Customers!B361-18,"Tenure &gt; age-18","")</f>
        <v/>
      </c>
      <c r="F361" s="4" t="str">
        <f>IF(Customers!R361&gt;Customers!Q361,"Card spend &gt; limit","")</f>
        <v/>
      </c>
      <c r="G361" s="4" t="str">
        <f>IF(OR(AND(Customers!S361&gt;0,Customers!T361=0),AND(Customers!S361=0,Customers!T361&gt;0)),"Mortgage/payment inconsistent","")</f>
        <v/>
      </c>
      <c r="H361" s="4" t="str">
        <f>IF(AND(Customers!G361&lt;&gt;"",Customers!G361&gt;0,Customers!T361&gt;Customers!G361/12),"Payment &gt; monthly income","")</f>
        <v/>
      </c>
      <c r="I361" s="4" t="str">
        <f>IF(OR(Customers!I361&gt;DATE(2026,9,13),YEAR(Customers!I361)&lt;1980),"Implausible date","")</f>
        <v/>
      </c>
      <c r="J361" s="4" t="str">
        <f>IF(Customers!I361&gt;DATE(2026,9,13),"",IF(ABS(INT((DATE(2026,9,13)-Customers!I361)/365.25)-Customers!H361)&gt;1,"Date/tenure inconsistent",""))</f>
        <v/>
      </c>
      <c r="K361" s="4" t="str">
        <f>IF(COUNTIF(Customers!$A$2:$A$1001,Customers!A361)&gt;1,"Duplicate ID","")</f>
        <v/>
      </c>
      <c r="L361" s="4" t="str">
        <f>IF(COUNTIFS(Customers!$B$2:$B$1001,Customers!B361,Customers!$D$2:$D$1001,Customers!D361,Customers!$G$2:$G$1001,Customers!G361,Customers!$I$2:$I$1001,Customers!I361,Customers!$L$2:$L$1001,Customers!L361)&gt;1,"Duplicate record","")</f>
        <v/>
      </c>
      <c r="M361" s="4" t="str">
        <f>IF(OR(Customers!U361&lt;300,Customers!U361&gt;850),"Score out of range","")</f>
        <v/>
      </c>
      <c r="N361" s="4" t="str">
        <f>IF(AND(Customers!G361&lt;&gt;"",Customers!G361&lt;=0),"Income ≤ 0","")</f>
        <v/>
      </c>
      <c r="O361" s="4" t="str">
        <f>IF(OR(Customers!G361="",Customers!M361=""),"Missing value","")</f>
        <v/>
      </c>
      <c r="P361" s="4">
        <f t="shared" si="5"/>
        <v>0</v>
      </c>
    </row>
    <row r="362" spans="1:16" x14ac:dyDescent="0.25">
      <c r="A362" s="4" t="str">
        <f>Customers!A362</f>
        <v>CL00356</v>
      </c>
      <c r="B362" s="20">
        <f>IF(Customers!G362="","",(Customers!G362-Statistics!$C$7)/Statistics!$C$9)</f>
        <v>-3.8588719134949524E-2</v>
      </c>
      <c r="C362" s="4" t="str">
        <f>IF(Customers!G362="","",IF(OR(Customers!G362&lt;Statistics!$C$15,Customers!G362&gt;Statistics!$C$16),"Outside 1.5·IQR",""))</f>
        <v/>
      </c>
      <c r="D362" s="4" t="str">
        <f>IF(OR(Customers!B362&lt;18,Customers!B362&gt;100),"Implausible age","")</f>
        <v/>
      </c>
      <c r="E362" s="4" t="str">
        <f>IF(Customers!H362&gt;Customers!B362-18,"Tenure &gt; age-18","")</f>
        <v/>
      </c>
      <c r="F362" s="4" t="str">
        <f>IF(Customers!R362&gt;Customers!Q362,"Card spend &gt; limit","")</f>
        <v/>
      </c>
      <c r="G362" s="4" t="str">
        <f>IF(OR(AND(Customers!S362&gt;0,Customers!T362=0),AND(Customers!S362=0,Customers!T362&gt;0)),"Mortgage/payment inconsistent","")</f>
        <v/>
      </c>
      <c r="H362" s="4" t="str">
        <f>IF(AND(Customers!G362&lt;&gt;"",Customers!G362&gt;0,Customers!T362&gt;Customers!G362/12),"Payment &gt; monthly income","")</f>
        <v/>
      </c>
      <c r="I362" s="4" t="str">
        <f>IF(OR(Customers!I362&gt;DATE(2026,9,13),YEAR(Customers!I362)&lt;1980),"Implausible date","")</f>
        <v/>
      </c>
      <c r="J362" s="4" t="str">
        <f>IF(Customers!I362&gt;DATE(2026,9,13),"",IF(ABS(INT((DATE(2026,9,13)-Customers!I362)/365.25)-Customers!H362)&gt;1,"Date/tenure inconsistent",""))</f>
        <v/>
      </c>
      <c r="K362" s="4" t="str">
        <f>IF(COUNTIF(Customers!$A$2:$A$1001,Customers!A362)&gt;1,"Duplicate ID","")</f>
        <v/>
      </c>
      <c r="L362" s="4" t="str">
        <f>IF(COUNTIFS(Customers!$B$2:$B$1001,Customers!B362,Customers!$D$2:$D$1001,Customers!D362,Customers!$G$2:$G$1001,Customers!G362,Customers!$I$2:$I$1001,Customers!I362,Customers!$L$2:$L$1001,Customers!L362)&gt;1,"Duplicate record","")</f>
        <v/>
      </c>
      <c r="M362" s="4" t="str">
        <f>IF(OR(Customers!U362&lt;300,Customers!U362&gt;850),"Score out of range","")</f>
        <v/>
      </c>
      <c r="N362" s="4" t="str">
        <f>IF(AND(Customers!G362&lt;&gt;"",Customers!G362&lt;=0),"Income ≤ 0","")</f>
        <v/>
      </c>
      <c r="O362" s="4" t="str">
        <f>IF(OR(Customers!G362="",Customers!M362=""),"Missing value","")</f>
        <v/>
      </c>
      <c r="P362" s="4">
        <f t="shared" si="5"/>
        <v>0</v>
      </c>
    </row>
    <row r="363" spans="1:16" x14ac:dyDescent="0.25">
      <c r="A363" s="4" t="str">
        <f>Customers!A363</f>
        <v>CL00357</v>
      </c>
      <c r="B363" s="20">
        <f>IF(Customers!G363="","",(Customers!G363-Statistics!$C$7)/Statistics!$C$9)</f>
        <v>-2.3322406350820037E-2</v>
      </c>
      <c r="C363" s="4" t="str">
        <f>IF(Customers!G363="","",IF(OR(Customers!G363&lt;Statistics!$C$15,Customers!G363&gt;Statistics!$C$16),"Outside 1.5·IQR",""))</f>
        <v/>
      </c>
      <c r="D363" s="4" t="str">
        <f>IF(OR(Customers!B363&lt;18,Customers!B363&gt;100),"Implausible age","")</f>
        <v/>
      </c>
      <c r="E363" s="4" t="str">
        <f>IF(Customers!H363&gt;Customers!B363-18,"Tenure &gt; age-18","")</f>
        <v/>
      </c>
      <c r="F363" s="4" t="str">
        <f>IF(Customers!R363&gt;Customers!Q363,"Card spend &gt; limit","")</f>
        <v/>
      </c>
      <c r="G363" s="4" t="str">
        <f>IF(OR(AND(Customers!S363&gt;0,Customers!T363=0),AND(Customers!S363=0,Customers!T363&gt;0)),"Mortgage/payment inconsistent","")</f>
        <v/>
      </c>
      <c r="H363" s="4" t="str">
        <f>IF(AND(Customers!G363&lt;&gt;"",Customers!G363&gt;0,Customers!T363&gt;Customers!G363/12),"Payment &gt; monthly income","")</f>
        <v/>
      </c>
      <c r="I363" s="4" t="str">
        <f>IF(OR(Customers!I363&gt;DATE(2026,9,13),YEAR(Customers!I363)&lt;1980),"Implausible date","")</f>
        <v/>
      </c>
      <c r="J363" s="4" t="str">
        <f>IF(Customers!I363&gt;DATE(2026,9,13),"",IF(ABS(INT((DATE(2026,9,13)-Customers!I363)/365.25)-Customers!H363)&gt;1,"Date/tenure inconsistent",""))</f>
        <v/>
      </c>
      <c r="K363" s="4" t="str">
        <f>IF(COUNTIF(Customers!$A$2:$A$1001,Customers!A363)&gt;1,"Duplicate ID","")</f>
        <v/>
      </c>
      <c r="L363" s="4" t="str">
        <f>IF(COUNTIFS(Customers!$B$2:$B$1001,Customers!B363,Customers!$D$2:$D$1001,Customers!D363,Customers!$G$2:$G$1001,Customers!G363,Customers!$I$2:$I$1001,Customers!I363,Customers!$L$2:$L$1001,Customers!L363)&gt;1,"Duplicate record","")</f>
        <v>Duplicate record</v>
      </c>
      <c r="M363" s="4" t="str">
        <f>IF(OR(Customers!U363&lt;300,Customers!U363&gt;850),"Score out of range","")</f>
        <v/>
      </c>
      <c r="N363" s="4" t="str">
        <f>IF(AND(Customers!G363&lt;&gt;"",Customers!G363&lt;=0),"Income ≤ 0","")</f>
        <v/>
      </c>
      <c r="O363" s="4" t="str">
        <f>IF(OR(Customers!G363="",Customers!M363=""),"Missing value","")</f>
        <v/>
      </c>
      <c r="P363" s="4">
        <f t="shared" si="5"/>
        <v>1</v>
      </c>
    </row>
    <row r="364" spans="1:16" x14ac:dyDescent="0.25">
      <c r="A364" s="4" t="str">
        <f>Customers!A364</f>
        <v>CL00358</v>
      </c>
      <c r="B364" s="20">
        <f>IF(Customers!G364="","",(Customers!G364-Statistics!$C$7)/Statistics!$C$9)</f>
        <v>-5.4938447665049496E-2</v>
      </c>
      <c r="C364" s="4" t="str">
        <f>IF(Customers!G364="","",IF(OR(Customers!G364&lt;Statistics!$C$15,Customers!G364&gt;Statistics!$C$16),"Outside 1.5·IQR",""))</f>
        <v/>
      </c>
      <c r="D364" s="4" t="str">
        <f>IF(OR(Customers!B364&lt;18,Customers!B364&gt;100),"Implausible age","")</f>
        <v/>
      </c>
      <c r="E364" s="4" t="str">
        <f>IF(Customers!H364&gt;Customers!B364-18,"Tenure &gt; age-18","")</f>
        <v/>
      </c>
      <c r="F364" s="4" t="str">
        <f>IF(Customers!R364&gt;Customers!Q364,"Card spend &gt; limit","")</f>
        <v/>
      </c>
      <c r="G364" s="4" t="str">
        <f>IF(OR(AND(Customers!S364&gt;0,Customers!T364=0),AND(Customers!S364=0,Customers!T364&gt;0)),"Mortgage/payment inconsistent","")</f>
        <v/>
      </c>
      <c r="H364" s="4" t="str">
        <f>IF(AND(Customers!G364&lt;&gt;"",Customers!G364&gt;0,Customers!T364&gt;Customers!G364/12),"Payment &gt; monthly income","")</f>
        <v/>
      </c>
      <c r="I364" s="4" t="str">
        <f>IF(OR(Customers!I364&gt;DATE(2026,9,13),YEAR(Customers!I364)&lt;1980),"Implausible date","")</f>
        <v/>
      </c>
      <c r="J364" s="4" t="str">
        <f>IF(Customers!I364&gt;DATE(2026,9,13),"",IF(ABS(INT((DATE(2026,9,13)-Customers!I364)/365.25)-Customers!H364)&gt;1,"Date/tenure inconsistent",""))</f>
        <v/>
      </c>
      <c r="K364" s="4" t="str">
        <f>IF(COUNTIF(Customers!$A$2:$A$1001,Customers!A364)&gt;1,"Duplicate ID","")</f>
        <v/>
      </c>
      <c r="L364" s="4" t="str">
        <f>IF(COUNTIFS(Customers!$B$2:$B$1001,Customers!B364,Customers!$D$2:$D$1001,Customers!D364,Customers!$G$2:$G$1001,Customers!G364,Customers!$I$2:$I$1001,Customers!I364,Customers!$L$2:$L$1001,Customers!L364)&gt;1,"Duplicate record","")</f>
        <v/>
      </c>
      <c r="M364" s="4" t="str">
        <f>IF(OR(Customers!U364&lt;300,Customers!U364&gt;850),"Score out of range","")</f>
        <v/>
      </c>
      <c r="N364" s="4" t="str">
        <f>IF(AND(Customers!G364&lt;&gt;"",Customers!G364&lt;=0),"Income ≤ 0","")</f>
        <v/>
      </c>
      <c r="O364" s="4" t="str">
        <f>IF(OR(Customers!G364="",Customers!M364=""),"Missing value","")</f>
        <v/>
      </c>
      <c r="P364" s="4">
        <f t="shared" si="5"/>
        <v>0</v>
      </c>
    </row>
    <row r="365" spans="1:16" x14ac:dyDescent="0.25">
      <c r="A365" s="4" t="str">
        <f>Customers!A365</f>
        <v>CL00359</v>
      </c>
      <c r="B365" s="20">
        <f>IF(Customers!G365="","",(Customers!G365-Statistics!$C$7)/Statistics!$C$9)</f>
        <v>-1.0025940377545967E-2</v>
      </c>
      <c r="C365" s="4" t="str">
        <f>IF(Customers!G365="","",IF(OR(Customers!G365&lt;Statistics!$C$15,Customers!G365&gt;Statistics!$C$16),"Outside 1.5·IQR",""))</f>
        <v/>
      </c>
      <c r="D365" s="4" t="str">
        <f>IF(OR(Customers!B365&lt;18,Customers!B365&gt;100),"Implausible age","")</f>
        <v/>
      </c>
      <c r="E365" s="4" t="str">
        <f>IF(Customers!H365&gt;Customers!B365-18,"Tenure &gt; age-18","")</f>
        <v/>
      </c>
      <c r="F365" s="4" t="str">
        <f>IF(Customers!R365&gt;Customers!Q365,"Card spend &gt; limit","")</f>
        <v/>
      </c>
      <c r="G365" s="4" t="str">
        <f>IF(OR(AND(Customers!S365&gt;0,Customers!T365=0),AND(Customers!S365=0,Customers!T365&gt;0)),"Mortgage/payment inconsistent","")</f>
        <v/>
      </c>
      <c r="H365" s="4" t="str">
        <f>IF(AND(Customers!G365&lt;&gt;"",Customers!G365&gt;0,Customers!T365&gt;Customers!G365/12),"Payment &gt; monthly income","")</f>
        <v/>
      </c>
      <c r="I365" s="4" t="str">
        <f>IF(OR(Customers!I365&gt;DATE(2026,9,13),YEAR(Customers!I365)&lt;1980),"Implausible date","")</f>
        <v/>
      </c>
      <c r="J365" s="4" t="str">
        <f>IF(Customers!I365&gt;DATE(2026,9,13),"",IF(ABS(INT((DATE(2026,9,13)-Customers!I365)/365.25)-Customers!H365)&gt;1,"Date/tenure inconsistent",""))</f>
        <v/>
      </c>
      <c r="K365" s="4" t="str">
        <f>IF(COUNTIF(Customers!$A$2:$A$1001,Customers!A365)&gt;1,"Duplicate ID","")</f>
        <v/>
      </c>
      <c r="L365" s="4" t="str">
        <f>IF(COUNTIFS(Customers!$B$2:$B$1001,Customers!B365,Customers!$D$2:$D$1001,Customers!D365,Customers!$G$2:$G$1001,Customers!G365,Customers!$I$2:$I$1001,Customers!I365,Customers!$L$2:$L$1001,Customers!L365)&gt;1,"Duplicate record","")</f>
        <v/>
      </c>
      <c r="M365" s="4" t="str">
        <f>IF(OR(Customers!U365&lt;300,Customers!U365&gt;850),"Score out of range","")</f>
        <v/>
      </c>
      <c r="N365" s="4" t="str">
        <f>IF(AND(Customers!G365&lt;&gt;"",Customers!G365&lt;=0),"Income ≤ 0","")</f>
        <v/>
      </c>
      <c r="O365" s="4" t="str">
        <f>IF(OR(Customers!G365="",Customers!M365=""),"Missing value","")</f>
        <v/>
      </c>
      <c r="P365" s="4">
        <f t="shared" si="5"/>
        <v>0</v>
      </c>
    </row>
    <row r="366" spans="1:16" x14ac:dyDescent="0.25">
      <c r="A366" s="4" t="str">
        <f>Customers!A366</f>
        <v>CL00360</v>
      </c>
      <c r="B366" s="20">
        <f>IF(Customers!G366="","",(Customers!G366-Statistics!$C$7)/Statistics!$C$9)</f>
        <v>-6.6363559168010913E-2</v>
      </c>
      <c r="C366" s="4" t="str">
        <f>IF(Customers!G366="","",IF(OR(Customers!G366&lt;Statistics!$C$15,Customers!G366&gt;Statistics!$C$16),"Outside 1.5·IQR",""))</f>
        <v/>
      </c>
      <c r="D366" s="4" t="str">
        <f>IF(OR(Customers!B366&lt;18,Customers!B366&gt;100),"Implausible age","")</f>
        <v/>
      </c>
      <c r="E366" s="4" t="str">
        <f>IF(Customers!H366&gt;Customers!B366-18,"Tenure &gt; age-18","")</f>
        <v/>
      </c>
      <c r="F366" s="4" t="str">
        <f>IF(Customers!R366&gt;Customers!Q366,"Card spend &gt; limit","")</f>
        <v/>
      </c>
      <c r="G366" s="4" t="str">
        <f>IF(OR(AND(Customers!S366&gt;0,Customers!T366=0),AND(Customers!S366=0,Customers!T366&gt;0)),"Mortgage/payment inconsistent","")</f>
        <v/>
      </c>
      <c r="H366" s="4" t="str">
        <f>IF(AND(Customers!G366&lt;&gt;"",Customers!G366&gt;0,Customers!T366&gt;Customers!G366/12),"Payment &gt; monthly income","")</f>
        <v/>
      </c>
      <c r="I366" s="4" t="str">
        <f>IF(OR(Customers!I366&gt;DATE(2026,9,13),YEAR(Customers!I366)&lt;1980),"Implausible date","")</f>
        <v/>
      </c>
      <c r="J366" s="4" t="str">
        <f>IF(Customers!I366&gt;DATE(2026,9,13),"",IF(ABS(INT((DATE(2026,9,13)-Customers!I366)/365.25)-Customers!H366)&gt;1,"Date/tenure inconsistent",""))</f>
        <v/>
      </c>
      <c r="K366" s="4" t="str">
        <f>IF(COUNTIF(Customers!$A$2:$A$1001,Customers!A366)&gt;1,"Duplicate ID","")</f>
        <v/>
      </c>
      <c r="L366" s="4" t="str">
        <f>IF(COUNTIFS(Customers!$B$2:$B$1001,Customers!B366,Customers!$D$2:$D$1001,Customers!D366,Customers!$G$2:$G$1001,Customers!G366,Customers!$I$2:$I$1001,Customers!I366,Customers!$L$2:$L$1001,Customers!L366)&gt;1,"Duplicate record","")</f>
        <v/>
      </c>
      <c r="M366" s="4" t="str">
        <f>IF(OR(Customers!U366&lt;300,Customers!U366&gt;850),"Score out of range","")</f>
        <v/>
      </c>
      <c r="N366" s="4" t="str">
        <f>IF(AND(Customers!G366&lt;&gt;"",Customers!G366&lt;=0),"Income ≤ 0","")</f>
        <v/>
      </c>
      <c r="O366" s="4" t="str">
        <f>IF(OR(Customers!G366="",Customers!M366=""),"Missing value","")</f>
        <v/>
      </c>
      <c r="P366" s="4">
        <f t="shared" si="5"/>
        <v>0</v>
      </c>
    </row>
    <row r="367" spans="1:16" x14ac:dyDescent="0.25">
      <c r="A367" s="4" t="str">
        <f>Customers!A367</f>
        <v>CL00361</v>
      </c>
      <c r="B367" s="20">
        <f>IF(Customers!G367="","",(Customers!G367-Statistics!$C$7)/Statistics!$C$9)</f>
        <v>-5.2082169789309136E-2</v>
      </c>
      <c r="C367" s="4" t="str">
        <f>IF(Customers!G367="","",IF(OR(Customers!G367&lt;Statistics!$C$15,Customers!G367&gt;Statistics!$C$16),"Outside 1.5·IQR",""))</f>
        <v/>
      </c>
      <c r="D367" s="4" t="str">
        <f>IF(OR(Customers!B367&lt;18,Customers!B367&gt;100),"Implausible age","")</f>
        <v/>
      </c>
      <c r="E367" s="4" t="str">
        <f>IF(Customers!H367&gt;Customers!B367-18,"Tenure &gt; age-18","")</f>
        <v/>
      </c>
      <c r="F367" s="4" t="str">
        <f>IF(Customers!R367&gt;Customers!Q367,"Card spend &gt; limit","")</f>
        <v/>
      </c>
      <c r="G367" s="4" t="str">
        <f>IF(OR(AND(Customers!S367&gt;0,Customers!T367=0),AND(Customers!S367=0,Customers!T367&gt;0)),"Mortgage/payment inconsistent","")</f>
        <v/>
      </c>
      <c r="H367" s="4" t="str">
        <f>IF(AND(Customers!G367&lt;&gt;"",Customers!G367&gt;0,Customers!T367&gt;Customers!G367/12),"Payment &gt; monthly income","")</f>
        <v/>
      </c>
      <c r="I367" s="4" t="str">
        <f>IF(OR(Customers!I367&gt;DATE(2026,9,13),YEAR(Customers!I367)&lt;1980),"Implausible date","")</f>
        <v/>
      </c>
      <c r="J367" s="4" t="str">
        <f>IF(Customers!I367&gt;DATE(2026,9,13),"",IF(ABS(INT((DATE(2026,9,13)-Customers!I367)/365.25)-Customers!H367)&gt;1,"Date/tenure inconsistent",""))</f>
        <v/>
      </c>
      <c r="K367" s="4" t="str">
        <f>IF(COUNTIF(Customers!$A$2:$A$1001,Customers!A367)&gt;1,"Duplicate ID","")</f>
        <v/>
      </c>
      <c r="L367" s="4" t="str">
        <f>IF(COUNTIFS(Customers!$B$2:$B$1001,Customers!B367,Customers!$D$2:$D$1001,Customers!D367,Customers!$G$2:$G$1001,Customers!G367,Customers!$I$2:$I$1001,Customers!I367,Customers!$L$2:$L$1001,Customers!L367)&gt;1,"Duplicate record","")</f>
        <v/>
      </c>
      <c r="M367" s="4" t="str">
        <f>IF(OR(Customers!U367&lt;300,Customers!U367&gt;850),"Score out of range","")</f>
        <v/>
      </c>
      <c r="N367" s="4" t="str">
        <f>IF(AND(Customers!G367&lt;&gt;"",Customers!G367&lt;=0),"Income ≤ 0","")</f>
        <v/>
      </c>
      <c r="O367" s="4" t="str">
        <f>IF(OR(Customers!G367="",Customers!M367=""),"Missing value","")</f>
        <v/>
      </c>
      <c r="P367" s="4">
        <f t="shared" si="5"/>
        <v>0</v>
      </c>
    </row>
    <row r="368" spans="1:16" x14ac:dyDescent="0.25">
      <c r="A368" s="4" t="str">
        <f>Customers!A368</f>
        <v>CL00362</v>
      </c>
      <c r="B368" s="20">
        <f>IF(Customers!G368="","",(Customers!G368-Statistics!$C$7)/Statistics!$C$9)</f>
        <v>-3.5338471897038086E-2</v>
      </c>
      <c r="C368" s="4" t="str">
        <f>IF(Customers!G368="","",IF(OR(Customers!G368&lt;Statistics!$C$15,Customers!G368&gt;Statistics!$C$16),"Outside 1.5·IQR",""))</f>
        <v/>
      </c>
      <c r="D368" s="4" t="str">
        <f>IF(OR(Customers!B368&lt;18,Customers!B368&gt;100),"Implausible age","")</f>
        <v/>
      </c>
      <c r="E368" s="4" t="str">
        <f>IF(Customers!H368&gt;Customers!B368-18,"Tenure &gt; age-18","")</f>
        <v/>
      </c>
      <c r="F368" s="4" t="str">
        <f>IF(Customers!R368&gt;Customers!Q368,"Card spend &gt; limit","")</f>
        <v/>
      </c>
      <c r="G368" s="4" t="str">
        <f>IF(OR(AND(Customers!S368&gt;0,Customers!T368=0),AND(Customers!S368=0,Customers!T368&gt;0)),"Mortgage/payment inconsistent","")</f>
        <v/>
      </c>
      <c r="H368" s="4" t="str">
        <f>IF(AND(Customers!G368&lt;&gt;"",Customers!G368&gt;0,Customers!T368&gt;Customers!G368/12),"Payment &gt; monthly income","")</f>
        <v/>
      </c>
      <c r="I368" s="4" t="str">
        <f>IF(OR(Customers!I368&gt;DATE(2026,9,13),YEAR(Customers!I368)&lt;1980),"Implausible date","")</f>
        <v/>
      </c>
      <c r="J368" s="4" t="str">
        <f>IF(Customers!I368&gt;DATE(2026,9,13),"",IF(ABS(INT((DATE(2026,9,13)-Customers!I368)/365.25)-Customers!H368)&gt;1,"Date/tenure inconsistent",""))</f>
        <v/>
      </c>
      <c r="K368" s="4" t="str">
        <f>IF(COUNTIF(Customers!$A$2:$A$1001,Customers!A368)&gt;1,"Duplicate ID","")</f>
        <v/>
      </c>
      <c r="L368" s="4" t="str">
        <f>IF(COUNTIFS(Customers!$B$2:$B$1001,Customers!B368,Customers!$D$2:$D$1001,Customers!D368,Customers!$G$2:$G$1001,Customers!G368,Customers!$I$2:$I$1001,Customers!I368,Customers!$L$2:$L$1001,Customers!L368)&gt;1,"Duplicate record","")</f>
        <v/>
      </c>
      <c r="M368" s="4" t="str">
        <f>IF(OR(Customers!U368&lt;300,Customers!U368&gt;850),"Score out of range","")</f>
        <v/>
      </c>
      <c r="N368" s="4" t="str">
        <f>IF(AND(Customers!G368&lt;&gt;"",Customers!G368&lt;=0),"Income ≤ 0","")</f>
        <v/>
      </c>
      <c r="O368" s="4" t="str">
        <f>IF(OR(Customers!G368="",Customers!M368=""),"Missing value","")</f>
        <v/>
      </c>
      <c r="P368" s="4">
        <f t="shared" si="5"/>
        <v>0</v>
      </c>
    </row>
    <row r="369" spans="1:16" x14ac:dyDescent="0.25">
      <c r="A369" s="4" t="str">
        <f>Customers!A369</f>
        <v>CL00363</v>
      </c>
      <c r="B369" s="20">
        <f>IF(Customers!G369="","",(Customers!G369-Statistics!$C$7)/Statistics!$C$9)</f>
        <v>-4.2922382118831447E-2</v>
      </c>
      <c r="C369" s="4" t="str">
        <f>IF(Customers!G369="","",IF(OR(Customers!G369&lt;Statistics!$C$15,Customers!G369&gt;Statistics!$C$16),"Outside 1.5·IQR",""))</f>
        <v/>
      </c>
      <c r="D369" s="4" t="str">
        <f>IF(OR(Customers!B369&lt;18,Customers!B369&gt;100),"Implausible age","")</f>
        <v/>
      </c>
      <c r="E369" s="4" t="str">
        <f>IF(Customers!H369&gt;Customers!B369-18,"Tenure &gt; age-18","")</f>
        <v/>
      </c>
      <c r="F369" s="4" t="str">
        <f>IF(Customers!R369&gt;Customers!Q369,"Card spend &gt; limit","")</f>
        <v/>
      </c>
      <c r="G369" s="4" t="str">
        <f>IF(OR(AND(Customers!S369&gt;0,Customers!T369=0),AND(Customers!S369=0,Customers!T369&gt;0)),"Mortgage/payment inconsistent","")</f>
        <v/>
      </c>
      <c r="H369" s="4" t="str">
        <f>IF(AND(Customers!G369&lt;&gt;"",Customers!G369&gt;0,Customers!T369&gt;Customers!G369/12),"Payment &gt; monthly income","")</f>
        <v/>
      </c>
      <c r="I369" s="4" t="str">
        <f>IF(OR(Customers!I369&gt;DATE(2026,9,13),YEAR(Customers!I369)&lt;1980),"Implausible date","")</f>
        <v/>
      </c>
      <c r="J369" s="4" t="str">
        <f>IF(Customers!I369&gt;DATE(2026,9,13),"",IF(ABS(INT((DATE(2026,9,13)-Customers!I369)/365.25)-Customers!H369)&gt;1,"Date/tenure inconsistent",""))</f>
        <v/>
      </c>
      <c r="K369" s="4" t="str">
        <f>IF(COUNTIF(Customers!$A$2:$A$1001,Customers!A369)&gt;1,"Duplicate ID","")</f>
        <v/>
      </c>
      <c r="L369" s="4" t="str">
        <f>IF(COUNTIFS(Customers!$B$2:$B$1001,Customers!B369,Customers!$D$2:$D$1001,Customers!D369,Customers!$G$2:$G$1001,Customers!G369,Customers!$I$2:$I$1001,Customers!I369,Customers!$L$2:$L$1001,Customers!L369)&gt;1,"Duplicate record","")</f>
        <v/>
      </c>
      <c r="M369" s="4" t="str">
        <f>IF(OR(Customers!U369&lt;300,Customers!U369&gt;850),"Score out of range","")</f>
        <v/>
      </c>
      <c r="N369" s="4" t="str">
        <f>IF(AND(Customers!G369&lt;&gt;"",Customers!G369&lt;=0),"Income ≤ 0","")</f>
        <v/>
      </c>
      <c r="O369" s="4" t="str">
        <f>IF(OR(Customers!G369="",Customers!M369=""),"Missing value","")</f>
        <v/>
      </c>
      <c r="P369" s="4">
        <f t="shared" si="5"/>
        <v>0</v>
      </c>
    </row>
    <row r="370" spans="1:16" x14ac:dyDescent="0.25">
      <c r="A370" s="4" t="str">
        <f>Customers!A370</f>
        <v>CL00364</v>
      </c>
      <c r="B370" s="20">
        <f>IF(Customers!G370="","",(Customers!G370-Statistics!$C$7)/Statistics!$C$9)</f>
        <v>-2.2731452307563411E-2</v>
      </c>
      <c r="C370" s="4" t="str">
        <f>IF(Customers!G370="","",IF(OR(Customers!G370&lt;Statistics!$C$15,Customers!G370&gt;Statistics!$C$16),"Outside 1.5·IQR",""))</f>
        <v/>
      </c>
      <c r="D370" s="4" t="str">
        <f>IF(OR(Customers!B370&lt;18,Customers!B370&gt;100),"Implausible age","")</f>
        <v/>
      </c>
      <c r="E370" s="4" t="str">
        <f>IF(Customers!H370&gt;Customers!B370-18,"Tenure &gt; age-18","")</f>
        <v/>
      </c>
      <c r="F370" s="4" t="str">
        <f>IF(Customers!R370&gt;Customers!Q370,"Card spend &gt; limit","")</f>
        <v/>
      </c>
      <c r="G370" s="4" t="str">
        <f>IF(OR(AND(Customers!S370&gt;0,Customers!T370=0),AND(Customers!S370=0,Customers!T370&gt;0)),"Mortgage/payment inconsistent","")</f>
        <v/>
      </c>
      <c r="H370" s="4" t="str">
        <f>IF(AND(Customers!G370&lt;&gt;"",Customers!G370&gt;0,Customers!T370&gt;Customers!G370/12),"Payment &gt; monthly income","")</f>
        <v/>
      </c>
      <c r="I370" s="4" t="str">
        <f>IF(OR(Customers!I370&gt;DATE(2026,9,13),YEAR(Customers!I370)&lt;1980),"Implausible date","")</f>
        <v/>
      </c>
      <c r="J370" s="4" t="str">
        <f>IF(Customers!I370&gt;DATE(2026,9,13),"",IF(ABS(INT((DATE(2026,9,13)-Customers!I370)/365.25)-Customers!H370)&gt;1,"Date/tenure inconsistent",""))</f>
        <v/>
      </c>
      <c r="K370" s="4" t="str">
        <f>IF(COUNTIF(Customers!$A$2:$A$1001,Customers!A370)&gt;1,"Duplicate ID","")</f>
        <v/>
      </c>
      <c r="L370" s="4" t="str">
        <f>IF(COUNTIFS(Customers!$B$2:$B$1001,Customers!B370,Customers!$D$2:$D$1001,Customers!D370,Customers!$G$2:$G$1001,Customers!G370,Customers!$I$2:$I$1001,Customers!I370,Customers!$L$2:$L$1001,Customers!L370)&gt;1,"Duplicate record","")</f>
        <v/>
      </c>
      <c r="M370" s="4" t="str">
        <f>IF(OR(Customers!U370&lt;300,Customers!U370&gt;850),"Score out of range","")</f>
        <v/>
      </c>
      <c r="N370" s="4" t="str">
        <f>IF(AND(Customers!G370&lt;&gt;"",Customers!G370&lt;=0),"Income ≤ 0","")</f>
        <v/>
      </c>
      <c r="O370" s="4" t="str">
        <f>IF(OR(Customers!G370="",Customers!M370=""),"Missing value","")</f>
        <v/>
      </c>
      <c r="P370" s="4">
        <f t="shared" si="5"/>
        <v>0</v>
      </c>
    </row>
    <row r="371" spans="1:16" x14ac:dyDescent="0.25">
      <c r="A371" s="4" t="str">
        <f>Customers!A371</f>
        <v>CL00365</v>
      </c>
      <c r="B371" s="20">
        <f>IF(Customers!G371="","",(Customers!G371-Statistics!$C$7)/Statistics!$C$9)</f>
        <v>-4.4301274886430236E-2</v>
      </c>
      <c r="C371" s="4" t="str">
        <f>IF(Customers!G371="","",IF(OR(Customers!G371&lt;Statistics!$C$15,Customers!G371&gt;Statistics!$C$16),"Outside 1.5·IQR",""))</f>
        <v/>
      </c>
      <c r="D371" s="4" t="str">
        <f>IF(OR(Customers!B371&lt;18,Customers!B371&gt;100),"Implausible age","")</f>
        <v/>
      </c>
      <c r="E371" s="4" t="str">
        <f>IF(Customers!H371&gt;Customers!B371-18,"Tenure &gt; age-18","")</f>
        <v/>
      </c>
      <c r="F371" s="4" t="str">
        <f>IF(Customers!R371&gt;Customers!Q371,"Card spend &gt; limit","")</f>
        <v/>
      </c>
      <c r="G371" s="4" t="str">
        <f>IF(OR(AND(Customers!S371&gt;0,Customers!T371=0),AND(Customers!S371=0,Customers!T371&gt;0)),"Mortgage/payment inconsistent","")</f>
        <v/>
      </c>
      <c r="H371" s="4" t="str">
        <f>IF(AND(Customers!G371&lt;&gt;"",Customers!G371&gt;0,Customers!T371&gt;Customers!G371/12),"Payment &gt; monthly income","")</f>
        <v/>
      </c>
      <c r="I371" s="4" t="str">
        <f>IF(OR(Customers!I371&gt;DATE(2026,9,13),YEAR(Customers!I371)&lt;1980),"Implausible date","")</f>
        <v/>
      </c>
      <c r="J371" s="4" t="str">
        <f>IF(Customers!I371&gt;DATE(2026,9,13),"",IF(ABS(INT((DATE(2026,9,13)-Customers!I371)/365.25)-Customers!H371)&gt;1,"Date/tenure inconsistent",""))</f>
        <v/>
      </c>
      <c r="K371" s="4" t="str">
        <f>IF(COUNTIF(Customers!$A$2:$A$1001,Customers!A371)&gt;1,"Duplicate ID","")</f>
        <v/>
      </c>
      <c r="L371" s="4" t="str">
        <f>IF(COUNTIFS(Customers!$B$2:$B$1001,Customers!B371,Customers!$D$2:$D$1001,Customers!D371,Customers!$G$2:$G$1001,Customers!G371,Customers!$I$2:$I$1001,Customers!I371,Customers!$L$2:$L$1001,Customers!L371)&gt;1,"Duplicate record","")</f>
        <v/>
      </c>
      <c r="M371" s="4" t="str">
        <f>IF(OR(Customers!U371&lt;300,Customers!U371&gt;850),"Score out of range","")</f>
        <v/>
      </c>
      <c r="N371" s="4" t="str">
        <f>IF(AND(Customers!G371&lt;&gt;"",Customers!G371&lt;=0),"Income ≤ 0","")</f>
        <v/>
      </c>
      <c r="O371" s="4" t="str">
        <f>IF(OR(Customers!G371="",Customers!M371=""),"Missing value","")</f>
        <v/>
      </c>
      <c r="P371" s="4">
        <f t="shared" si="5"/>
        <v>0</v>
      </c>
    </row>
    <row r="372" spans="1:16" x14ac:dyDescent="0.25">
      <c r="A372" s="4" t="str">
        <f>Customers!A372</f>
        <v>CL00366</v>
      </c>
      <c r="B372" s="20">
        <f>IF(Customers!G372="","",(Customers!G372-Statistics!$C$7)/Statistics!$C$9)</f>
        <v>-4.5877152335114572E-2</v>
      </c>
      <c r="C372" s="4" t="str">
        <f>IF(Customers!G372="","",IF(OR(Customers!G372&lt;Statistics!$C$15,Customers!G372&gt;Statistics!$C$16),"Outside 1.5·IQR",""))</f>
        <v/>
      </c>
      <c r="D372" s="4" t="str">
        <f>IF(OR(Customers!B372&lt;18,Customers!B372&gt;100),"Implausible age","")</f>
        <v/>
      </c>
      <c r="E372" s="4" t="str">
        <f>IF(Customers!H372&gt;Customers!B372-18,"Tenure &gt; age-18","")</f>
        <v/>
      </c>
      <c r="F372" s="4" t="str">
        <f>IF(Customers!R372&gt;Customers!Q372,"Card spend &gt; limit","")</f>
        <v/>
      </c>
      <c r="G372" s="4" t="str">
        <f>IF(OR(AND(Customers!S372&gt;0,Customers!T372=0),AND(Customers!S372=0,Customers!T372&gt;0)),"Mortgage/payment inconsistent","")</f>
        <v/>
      </c>
      <c r="H372" s="4" t="str">
        <f>IF(AND(Customers!G372&lt;&gt;"",Customers!G372&gt;0,Customers!T372&gt;Customers!G372/12),"Payment &gt; monthly income","")</f>
        <v/>
      </c>
      <c r="I372" s="4" t="str">
        <f>IF(OR(Customers!I372&gt;DATE(2026,9,13),YEAR(Customers!I372)&lt;1980),"Implausible date","")</f>
        <v/>
      </c>
      <c r="J372" s="4" t="str">
        <f>IF(Customers!I372&gt;DATE(2026,9,13),"",IF(ABS(INT((DATE(2026,9,13)-Customers!I372)/365.25)-Customers!H372)&gt;1,"Date/tenure inconsistent",""))</f>
        <v/>
      </c>
      <c r="K372" s="4" t="str">
        <f>IF(COUNTIF(Customers!$A$2:$A$1001,Customers!A372)&gt;1,"Duplicate ID","")</f>
        <v/>
      </c>
      <c r="L372" s="4" t="str">
        <f>IF(COUNTIFS(Customers!$B$2:$B$1001,Customers!B372,Customers!$D$2:$D$1001,Customers!D372,Customers!$G$2:$G$1001,Customers!G372,Customers!$I$2:$I$1001,Customers!I372,Customers!$L$2:$L$1001,Customers!L372)&gt;1,"Duplicate record","")</f>
        <v/>
      </c>
      <c r="M372" s="4" t="str">
        <f>IF(OR(Customers!U372&lt;300,Customers!U372&gt;850),"Score out of range","")</f>
        <v/>
      </c>
      <c r="N372" s="4" t="str">
        <f>IF(AND(Customers!G372&lt;&gt;"",Customers!G372&lt;=0),"Income ≤ 0","")</f>
        <v/>
      </c>
      <c r="O372" s="4" t="str">
        <f>IF(OR(Customers!G372="",Customers!M372=""),"Missing value","")</f>
        <v/>
      </c>
      <c r="P372" s="4">
        <f t="shared" si="5"/>
        <v>0</v>
      </c>
    </row>
    <row r="373" spans="1:16" x14ac:dyDescent="0.25">
      <c r="A373" s="4" t="str">
        <f>Customers!A373</f>
        <v>CL00367</v>
      </c>
      <c r="B373" s="20">
        <f>IF(Customers!G373="","",(Customers!G373-Statistics!$C$7)/Statistics!$C$9)</f>
        <v>-1.7018896556082699E-2</v>
      </c>
      <c r="C373" s="4" t="str">
        <f>IF(Customers!G373="","",IF(OR(Customers!G373&lt;Statistics!$C$15,Customers!G373&gt;Statistics!$C$16),"Outside 1.5·IQR",""))</f>
        <v/>
      </c>
      <c r="D373" s="4" t="str">
        <f>IF(OR(Customers!B373&lt;18,Customers!B373&gt;100),"Implausible age","")</f>
        <v/>
      </c>
      <c r="E373" s="4" t="str">
        <f>IF(Customers!H373&gt;Customers!B373-18,"Tenure &gt; age-18","")</f>
        <v/>
      </c>
      <c r="F373" s="4" t="str">
        <f>IF(Customers!R373&gt;Customers!Q373,"Card spend &gt; limit","")</f>
        <v/>
      </c>
      <c r="G373" s="4" t="str">
        <f>IF(OR(AND(Customers!S373&gt;0,Customers!T373=0),AND(Customers!S373=0,Customers!T373&gt;0)),"Mortgage/payment inconsistent","")</f>
        <v/>
      </c>
      <c r="H373" s="4" t="str">
        <f>IF(AND(Customers!G373&lt;&gt;"",Customers!G373&gt;0,Customers!T373&gt;Customers!G373/12),"Payment &gt; monthly income","")</f>
        <v/>
      </c>
      <c r="I373" s="4" t="str">
        <f>IF(OR(Customers!I373&gt;DATE(2026,9,13),YEAR(Customers!I373)&lt;1980),"Implausible date","")</f>
        <v/>
      </c>
      <c r="J373" s="4" t="str">
        <f>IF(Customers!I373&gt;DATE(2026,9,13),"",IF(ABS(INT((DATE(2026,9,13)-Customers!I373)/365.25)-Customers!H373)&gt;1,"Date/tenure inconsistent",""))</f>
        <v/>
      </c>
      <c r="K373" s="4" t="str">
        <f>IF(COUNTIF(Customers!$A$2:$A$1001,Customers!A373)&gt;1,"Duplicate ID","")</f>
        <v/>
      </c>
      <c r="L373" s="4" t="str">
        <f>IF(COUNTIFS(Customers!$B$2:$B$1001,Customers!B373,Customers!$D$2:$D$1001,Customers!D373,Customers!$G$2:$G$1001,Customers!G373,Customers!$I$2:$I$1001,Customers!I373,Customers!$L$2:$L$1001,Customers!L373)&gt;1,"Duplicate record","")</f>
        <v/>
      </c>
      <c r="M373" s="4" t="str">
        <f>IF(OR(Customers!U373&lt;300,Customers!U373&gt;850),"Score out of range","")</f>
        <v/>
      </c>
      <c r="N373" s="4" t="str">
        <f>IF(AND(Customers!G373&lt;&gt;"",Customers!G373&lt;=0),"Income ≤ 0","")</f>
        <v/>
      </c>
      <c r="O373" s="4" t="str">
        <f>IF(OR(Customers!G373="",Customers!M373=""),"Missing value","")</f>
        <v/>
      </c>
      <c r="P373" s="4">
        <f t="shared" si="5"/>
        <v>0</v>
      </c>
    </row>
    <row r="374" spans="1:16" x14ac:dyDescent="0.25">
      <c r="A374" s="4" t="str">
        <f>Customers!A374</f>
        <v>CL00368</v>
      </c>
      <c r="B374" s="20">
        <f>IF(Customers!G374="","",(Customers!G374-Statistics!$C$7)/Statistics!$C$9)</f>
        <v>-5.7696233200247082E-2</v>
      </c>
      <c r="C374" s="4" t="str">
        <f>IF(Customers!G374="","",IF(OR(Customers!G374&lt;Statistics!$C$15,Customers!G374&gt;Statistics!$C$16),"Outside 1.5·IQR",""))</f>
        <v/>
      </c>
      <c r="D374" s="4" t="str">
        <f>IF(OR(Customers!B374&lt;18,Customers!B374&gt;100),"Implausible age","")</f>
        <v/>
      </c>
      <c r="E374" s="4" t="str">
        <f>IF(Customers!H374&gt;Customers!B374-18,"Tenure &gt; age-18","")</f>
        <v/>
      </c>
      <c r="F374" s="4" t="str">
        <f>IF(Customers!R374&gt;Customers!Q374,"Card spend &gt; limit","")</f>
        <v/>
      </c>
      <c r="G374" s="4" t="str">
        <f>IF(OR(AND(Customers!S374&gt;0,Customers!T374=0),AND(Customers!S374=0,Customers!T374&gt;0)),"Mortgage/payment inconsistent","")</f>
        <v/>
      </c>
      <c r="H374" s="4" t="str">
        <f>IF(AND(Customers!G374&lt;&gt;"",Customers!G374&gt;0,Customers!T374&gt;Customers!G374/12),"Payment &gt; monthly income","")</f>
        <v/>
      </c>
      <c r="I374" s="4" t="str">
        <f>IF(OR(Customers!I374&gt;DATE(2026,9,13),YEAR(Customers!I374)&lt;1980),"Implausible date","")</f>
        <v/>
      </c>
      <c r="J374" s="4" t="str">
        <f>IF(Customers!I374&gt;DATE(2026,9,13),"",IF(ABS(INT((DATE(2026,9,13)-Customers!I374)/365.25)-Customers!H374)&gt;1,"Date/tenure inconsistent",""))</f>
        <v/>
      </c>
      <c r="K374" s="4" t="str">
        <f>IF(COUNTIF(Customers!$A$2:$A$1001,Customers!A374)&gt;1,"Duplicate ID","")</f>
        <v/>
      </c>
      <c r="L374" s="4" t="str">
        <f>IF(COUNTIFS(Customers!$B$2:$B$1001,Customers!B374,Customers!$D$2:$D$1001,Customers!D374,Customers!$G$2:$G$1001,Customers!G374,Customers!$I$2:$I$1001,Customers!I374,Customers!$L$2:$L$1001,Customers!L374)&gt;1,"Duplicate record","")</f>
        <v/>
      </c>
      <c r="M374" s="4" t="str">
        <f>IF(OR(Customers!U374&lt;300,Customers!U374&gt;850),"Score out of range","")</f>
        <v/>
      </c>
      <c r="N374" s="4" t="str">
        <f>IF(AND(Customers!G374&lt;&gt;"",Customers!G374&lt;=0),"Income ≤ 0","")</f>
        <v/>
      </c>
      <c r="O374" s="4" t="str">
        <f>IF(OR(Customers!G374="",Customers!M374=""),"Missing value","")</f>
        <v/>
      </c>
      <c r="P374" s="4">
        <f t="shared" si="5"/>
        <v>0</v>
      </c>
    </row>
    <row r="375" spans="1:16" x14ac:dyDescent="0.25">
      <c r="A375" s="4" t="str">
        <f>Customers!A375</f>
        <v>CL00369</v>
      </c>
      <c r="B375" s="20">
        <f>IF(Customers!G375="","",(Customers!G375-Statistics!$C$7)/Statistics!$C$9)</f>
        <v>-4.2134443394489282E-2</v>
      </c>
      <c r="C375" s="4" t="str">
        <f>IF(Customers!G375="","",IF(OR(Customers!G375&lt;Statistics!$C$15,Customers!G375&gt;Statistics!$C$16),"Outside 1.5·IQR",""))</f>
        <v/>
      </c>
      <c r="D375" s="4" t="str">
        <f>IF(OR(Customers!B375&lt;18,Customers!B375&gt;100),"Implausible age","")</f>
        <v/>
      </c>
      <c r="E375" s="4" t="str">
        <f>IF(Customers!H375&gt;Customers!B375-18,"Tenure &gt; age-18","")</f>
        <v/>
      </c>
      <c r="F375" s="4" t="str">
        <f>IF(Customers!R375&gt;Customers!Q375,"Card spend &gt; limit","")</f>
        <v/>
      </c>
      <c r="G375" s="4" t="str">
        <f>IF(OR(AND(Customers!S375&gt;0,Customers!T375=0),AND(Customers!S375=0,Customers!T375&gt;0)),"Mortgage/payment inconsistent","")</f>
        <v/>
      </c>
      <c r="H375" s="4" t="str">
        <f>IF(AND(Customers!G375&lt;&gt;"",Customers!G375&gt;0,Customers!T375&gt;Customers!G375/12),"Payment &gt; monthly income","")</f>
        <v/>
      </c>
      <c r="I375" s="4" t="str">
        <f>IF(OR(Customers!I375&gt;DATE(2026,9,13),YEAR(Customers!I375)&lt;1980),"Implausible date","")</f>
        <v/>
      </c>
      <c r="J375" s="4" t="str">
        <f>IF(Customers!I375&gt;DATE(2026,9,13),"",IF(ABS(INT((DATE(2026,9,13)-Customers!I375)/365.25)-Customers!H375)&gt;1,"Date/tenure inconsistent",""))</f>
        <v/>
      </c>
      <c r="K375" s="4" t="str">
        <f>IF(COUNTIF(Customers!$A$2:$A$1001,Customers!A375)&gt;1,"Duplicate ID","")</f>
        <v/>
      </c>
      <c r="L375" s="4" t="str">
        <f>IF(COUNTIFS(Customers!$B$2:$B$1001,Customers!B375,Customers!$D$2:$D$1001,Customers!D375,Customers!$G$2:$G$1001,Customers!G375,Customers!$I$2:$I$1001,Customers!I375,Customers!$L$2:$L$1001,Customers!L375)&gt;1,"Duplicate record","")</f>
        <v/>
      </c>
      <c r="M375" s="4" t="str">
        <f>IF(OR(Customers!U375&lt;300,Customers!U375&gt;850),"Score out of range","")</f>
        <v/>
      </c>
      <c r="N375" s="4" t="str">
        <f>IF(AND(Customers!G375&lt;&gt;"",Customers!G375&lt;=0),"Income ≤ 0","")</f>
        <v/>
      </c>
      <c r="O375" s="4" t="str">
        <f>IF(OR(Customers!G375="",Customers!M375=""),"Missing value","")</f>
        <v/>
      </c>
      <c r="P375" s="4">
        <f t="shared" si="5"/>
        <v>0</v>
      </c>
    </row>
    <row r="376" spans="1:16" x14ac:dyDescent="0.25">
      <c r="A376" s="4" t="str">
        <f>Customers!A376</f>
        <v>CL00370</v>
      </c>
      <c r="B376" s="20">
        <f>IF(Customers!G376="","",(Customers!G376-Statistics!$C$7)/Statistics!$C$9)</f>
        <v>-7.2370607017714514E-2</v>
      </c>
      <c r="C376" s="4" t="str">
        <f>IF(Customers!G376="","",IF(OR(Customers!G376&lt;Statistics!$C$15,Customers!G376&gt;Statistics!$C$16),"Outside 1.5·IQR",""))</f>
        <v/>
      </c>
      <c r="D376" s="4" t="str">
        <f>IF(OR(Customers!B376&lt;18,Customers!B376&gt;100),"Implausible age","")</f>
        <v/>
      </c>
      <c r="E376" s="4" t="str">
        <f>IF(Customers!H376&gt;Customers!B376-18,"Tenure &gt; age-18","")</f>
        <v/>
      </c>
      <c r="F376" s="4" t="str">
        <f>IF(Customers!R376&gt;Customers!Q376,"Card spend &gt; limit","")</f>
        <v/>
      </c>
      <c r="G376" s="4" t="str">
        <f>IF(OR(AND(Customers!S376&gt;0,Customers!T376=0),AND(Customers!S376=0,Customers!T376&gt;0)),"Mortgage/payment inconsistent","")</f>
        <v/>
      </c>
      <c r="H376" s="4" t="str">
        <f>IF(AND(Customers!G376&lt;&gt;"",Customers!G376&gt;0,Customers!T376&gt;Customers!G376/12),"Payment &gt; monthly income","")</f>
        <v/>
      </c>
      <c r="I376" s="4" t="str">
        <f>IF(OR(Customers!I376&gt;DATE(2026,9,13),YEAR(Customers!I376)&lt;1980),"Implausible date","")</f>
        <v/>
      </c>
      <c r="J376" s="4" t="str">
        <f>IF(Customers!I376&gt;DATE(2026,9,13),"",IF(ABS(INT((DATE(2026,9,13)-Customers!I376)/365.25)-Customers!H376)&gt;1,"Date/tenure inconsistent",""))</f>
        <v/>
      </c>
      <c r="K376" s="4" t="str">
        <f>IF(COUNTIF(Customers!$A$2:$A$1001,Customers!A376)&gt;1,"Duplicate ID","")</f>
        <v/>
      </c>
      <c r="L376" s="4" t="str">
        <f>IF(COUNTIFS(Customers!$B$2:$B$1001,Customers!B376,Customers!$D$2:$D$1001,Customers!D376,Customers!$G$2:$G$1001,Customers!G376,Customers!$I$2:$I$1001,Customers!I376,Customers!$L$2:$L$1001,Customers!L376)&gt;1,"Duplicate record","")</f>
        <v/>
      </c>
      <c r="M376" s="4" t="str">
        <f>IF(OR(Customers!U376&lt;300,Customers!U376&gt;850),"Score out of range","")</f>
        <v/>
      </c>
      <c r="N376" s="4" t="str">
        <f>IF(AND(Customers!G376&lt;&gt;"",Customers!G376&lt;=0),"Income ≤ 0","")</f>
        <v>Income ≤ 0</v>
      </c>
      <c r="O376" s="4" t="str">
        <f>IF(OR(Customers!G376="",Customers!M376=""),"Missing value","")</f>
        <v/>
      </c>
      <c r="P376" s="4">
        <f t="shared" si="5"/>
        <v>1</v>
      </c>
    </row>
    <row r="377" spans="1:16" x14ac:dyDescent="0.25">
      <c r="A377" s="4" t="str">
        <f>Customers!A377</f>
        <v>CL00371</v>
      </c>
      <c r="B377" s="20">
        <f>IF(Customers!G377="","",(Customers!G377-Statistics!$C$7)/Statistics!$C$9)</f>
        <v>-2.7163607631988104E-2</v>
      </c>
      <c r="C377" s="4" t="str">
        <f>IF(Customers!G377="","",IF(OR(Customers!G377&lt;Statistics!$C$15,Customers!G377&gt;Statistics!$C$16),"Outside 1.5·IQR",""))</f>
        <v/>
      </c>
      <c r="D377" s="4" t="str">
        <f>IF(OR(Customers!B377&lt;18,Customers!B377&gt;100),"Implausible age","")</f>
        <v/>
      </c>
      <c r="E377" s="4" t="str">
        <f>IF(Customers!H377&gt;Customers!B377-18,"Tenure &gt; age-18","")</f>
        <v/>
      </c>
      <c r="F377" s="4" t="str">
        <f>IF(Customers!R377&gt;Customers!Q377,"Card spend &gt; limit","")</f>
        <v/>
      </c>
      <c r="G377" s="4" t="str">
        <f>IF(OR(AND(Customers!S377&gt;0,Customers!T377=0),AND(Customers!S377=0,Customers!T377&gt;0)),"Mortgage/payment inconsistent","")</f>
        <v/>
      </c>
      <c r="H377" s="4" t="str">
        <f>IF(AND(Customers!G377&lt;&gt;"",Customers!G377&gt;0,Customers!T377&gt;Customers!G377/12),"Payment &gt; monthly income","")</f>
        <v/>
      </c>
      <c r="I377" s="4" t="str">
        <f>IF(OR(Customers!I377&gt;DATE(2026,9,13),YEAR(Customers!I377)&lt;1980),"Implausible date","")</f>
        <v/>
      </c>
      <c r="J377" s="4" t="str">
        <f>IF(Customers!I377&gt;DATE(2026,9,13),"",IF(ABS(INT((DATE(2026,9,13)-Customers!I377)/365.25)-Customers!H377)&gt;1,"Date/tenure inconsistent",""))</f>
        <v/>
      </c>
      <c r="K377" s="4" t="str">
        <f>IF(COUNTIF(Customers!$A$2:$A$1001,Customers!A377)&gt;1,"Duplicate ID","")</f>
        <v/>
      </c>
      <c r="L377" s="4" t="str">
        <f>IF(COUNTIFS(Customers!$B$2:$B$1001,Customers!B377,Customers!$D$2:$D$1001,Customers!D377,Customers!$G$2:$G$1001,Customers!G377,Customers!$I$2:$I$1001,Customers!I377,Customers!$L$2:$L$1001,Customers!L377)&gt;1,"Duplicate record","")</f>
        <v/>
      </c>
      <c r="M377" s="4" t="str">
        <f>IF(OR(Customers!U377&lt;300,Customers!U377&gt;850),"Score out of range","")</f>
        <v/>
      </c>
      <c r="N377" s="4" t="str">
        <f>IF(AND(Customers!G377&lt;&gt;"",Customers!G377&lt;=0),"Income ≤ 0","")</f>
        <v/>
      </c>
      <c r="O377" s="4" t="str">
        <f>IF(OR(Customers!G377="",Customers!M377=""),"Missing value","")</f>
        <v/>
      </c>
      <c r="P377" s="4">
        <f t="shared" si="5"/>
        <v>0</v>
      </c>
    </row>
    <row r="378" spans="1:16" x14ac:dyDescent="0.25">
      <c r="A378" s="4" t="str">
        <f>Customers!A378</f>
        <v>CL00372</v>
      </c>
      <c r="B378" s="20">
        <f>IF(Customers!G378="","",(Customers!G378-Statistics!$C$7)/Statistics!$C$9)</f>
        <v>-5.2870108513651308E-2</v>
      </c>
      <c r="C378" s="4" t="str">
        <f>IF(Customers!G378="","",IF(OR(Customers!G378&lt;Statistics!$C$15,Customers!G378&gt;Statistics!$C$16),"Outside 1.5·IQR",""))</f>
        <v/>
      </c>
      <c r="D378" s="4" t="str">
        <f>IF(OR(Customers!B378&lt;18,Customers!B378&gt;100),"Implausible age","")</f>
        <v/>
      </c>
      <c r="E378" s="4" t="str">
        <f>IF(Customers!H378&gt;Customers!B378-18,"Tenure &gt; age-18","")</f>
        <v/>
      </c>
      <c r="F378" s="4" t="str">
        <f>IF(Customers!R378&gt;Customers!Q378,"Card spend &gt; limit","")</f>
        <v/>
      </c>
      <c r="G378" s="4" t="str">
        <f>IF(OR(AND(Customers!S378&gt;0,Customers!T378=0),AND(Customers!S378=0,Customers!T378&gt;0)),"Mortgage/payment inconsistent","")</f>
        <v/>
      </c>
      <c r="H378" s="4" t="str">
        <f>IF(AND(Customers!G378&lt;&gt;"",Customers!G378&gt;0,Customers!T378&gt;Customers!G378/12),"Payment &gt; monthly income","")</f>
        <v/>
      </c>
      <c r="I378" s="4" t="str">
        <f>IF(OR(Customers!I378&gt;DATE(2026,9,13),YEAR(Customers!I378)&lt;1980),"Implausible date","")</f>
        <v/>
      </c>
      <c r="J378" s="4" t="str">
        <f>IF(Customers!I378&gt;DATE(2026,9,13),"",IF(ABS(INT((DATE(2026,9,13)-Customers!I378)/365.25)-Customers!H378)&gt;1,"Date/tenure inconsistent",""))</f>
        <v/>
      </c>
      <c r="K378" s="4" t="str">
        <f>IF(COUNTIF(Customers!$A$2:$A$1001,Customers!A378)&gt;1,"Duplicate ID","")</f>
        <v/>
      </c>
      <c r="L378" s="4" t="str">
        <f>IF(COUNTIFS(Customers!$B$2:$B$1001,Customers!B378,Customers!$D$2:$D$1001,Customers!D378,Customers!$G$2:$G$1001,Customers!G378,Customers!$I$2:$I$1001,Customers!I378,Customers!$L$2:$L$1001,Customers!L378)&gt;1,"Duplicate record","")</f>
        <v/>
      </c>
      <c r="M378" s="4" t="str">
        <f>IF(OR(Customers!U378&lt;300,Customers!U378&gt;850),"Score out of range","")</f>
        <v/>
      </c>
      <c r="N378" s="4" t="str">
        <f>IF(AND(Customers!G378&lt;&gt;"",Customers!G378&lt;=0),"Income ≤ 0","")</f>
        <v/>
      </c>
      <c r="O378" s="4" t="str">
        <f>IF(OR(Customers!G378="",Customers!M378=""),"Missing value","")</f>
        <v/>
      </c>
      <c r="P378" s="4">
        <f t="shared" si="5"/>
        <v>0</v>
      </c>
    </row>
    <row r="379" spans="1:16" x14ac:dyDescent="0.25">
      <c r="A379" s="4" t="str">
        <f>Customers!A379</f>
        <v>CL00373</v>
      </c>
      <c r="B379" s="20">
        <f>IF(Customers!G379="","",(Customers!G379-Statistics!$C$7)/Statistics!$C$9)</f>
        <v>-3.9967611902548321E-2</v>
      </c>
      <c r="C379" s="4" t="str">
        <f>IF(Customers!G379="","",IF(OR(Customers!G379&lt;Statistics!$C$15,Customers!G379&gt;Statistics!$C$16),"Outside 1.5·IQR",""))</f>
        <v/>
      </c>
      <c r="D379" s="4" t="str">
        <f>IF(OR(Customers!B379&lt;18,Customers!B379&gt;100),"Implausible age","")</f>
        <v/>
      </c>
      <c r="E379" s="4" t="str">
        <f>IF(Customers!H379&gt;Customers!B379-18,"Tenure &gt; age-18","")</f>
        <v/>
      </c>
      <c r="F379" s="4" t="str">
        <f>IF(Customers!R379&gt;Customers!Q379,"Card spend &gt; limit","")</f>
        <v/>
      </c>
      <c r="G379" s="4" t="str">
        <f>IF(OR(AND(Customers!S379&gt;0,Customers!T379=0),AND(Customers!S379=0,Customers!T379&gt;0)),"Mortgage/payment inconsistent","")</f>
        <v/>
      </c>
      <c r="H379" s="4" t="str">
        <f>IF(AND(Customers!G379&lt;&gt;"",Customers!G379&gt;0,Customers!T379&gt;Customers!G379/12),"Payment &gt; monthly income","")</f>
        <v/>
      </c>
      <c r="I379" s="4" t="str">
        <f>IF(OR(Customers!I379&gt;DATE(2026,9,13),YEAR(Customers!I379)&lt;1980),"Implausible date","")</f>
        <v/>
      </c>
      <c r="J379" s="4" t="str">
        <f>IF(Customers!I379&gt;DATE(2026,9,13),"",IF(ABS(INT((DATE(2026,9,13)-Customers!I379)/365.25)-Customers!H379)&gt;1,"Date/tenure inconsistent",""))</f>
        <v/>
      </c>
      <c r="K379" s="4" t="str">
        <f>IF(COUNTIF(Customers!$A$2:$A$1001,Customers!A379)&gt;1,"Duplicate ID","")</f>
        <v/>
      </c>
      <c r="L379" s="4" t="str">
        <f>IF(COUNTIFS(Customers!$B$2:$B$1001,Customers!B379,Customers!$D$2:$D$1001,Customers!D379,Customers!$G$2:$G$1001,Customers!G379,Customers!$I$2:$I$1001,Customers!I379,Customers!$L$2:$L$1001,Customers!L379)&gt;1,"Duplicate record","")</f>
        <v/>
      </c>
      <c r="M379" s="4" t="str">
        <f>IF(OR(Customers!U379&lt;300,Customers!U379&gt;850),"Score out of range","")</f>
        <v/>
      </c>
      <c r="N379" s="4" t="str">
        <f>IF(AND(Customers!G379&lt;&gt;"",Customers!G379&lt;=0),"Income ≤ 0","")</f>
        <v/>
      </c>
      <c r="O379" s="4" t="str">
        <f>IF(OR(Customers!G379="",Customers!M379=""),"Missing value","")</f>
        <v/>
      </c>
      <c r="P379" s="4">
        <f t="shared" si="5"/>
        <v>0</v>
      </c>
    </row>
    <row r="380" spans="1:16" x14ac:dyDescent="0.25">
      <c r="A380" s="4" t="str">
        <f>Customers!A380</f>
        <v>CL00374</v>
      </c>
      <c r="B380" s="20">
        <f>IF(Customers!G380="","",(Customers!G380-Statistics!$C$7)/Statistics!$C$9)</f>
        <v>-2.9527423805014604E-2</v>
      </c>
      <c r="C380" s="4" t="str">
        <f>IF(Customers!G380="","",IF(OR(Customers!G380&lt;Statistics!$C$15,Customers!G380&gt;Statistics!$C$16),"Outside 1.5·IQR",""))</f>
        <v/>
      </c>
      <c r="D380" s="4" t="str">
        <f>IF(OR(Customers!B380&lt;18,Customers!B380&gt;100),"Implausible age","")</f>
        <v/>
      </c>
      <c r="E380" s="4" t="str">
        <f>IF(Customers!H380&gt;Customers!B380-18,"Tenure &gt; age-18","")</f>
        <v/>
      </c>
      <c r="F380" s="4" t="str">
        <f>IF(Customers!R380&gt;Customers!Q380,"Card spend &gt; limit","")</f>
        <v/>
      </c>
      <c r="G380" s="4" t="str">
        <f>IF(OR(AND(Customers!S380&gt;0,Customers!T380=0),AND(Customers!S380=0,Customers!T380&gt;0)),"Mortgage/payment inconsistent","")</f>
        <v/>
      </c>
      <c r="H380" s="4" t="str">
        <f>IF(AND(Customers!G380&lt;&gt;"",Customers!G380&gt;0,Customers!T380&gt;Customers!G380/12),"Payment &gt; monthly income","")</f>
        <v/>
      </c>
      <c r="I380" s="4" t="str">
        <f>IF(OR(Customers!I380&gt;DATE(2026,9,13),YEAR(Customers!I380)&lt;1980),"Implausible date","")</f>
        <v/>
      </c>
      <c r="J380" s="4" t="str">
        <f>IF(Customers!I380&gt;DATE(2026,9,13),"",IF(ABS(INT((DATE(2026,9,13)-Customers!I380)/365.25)-Customers!H380)&gt;1,"Date/tenure inconsistent",""))</f>
        <v/>
      </c>
      <c r="K380" s="4" t="str">
        <f>IF(COUNTIF(Customers!$A$2:$A$1001,Customers!A380)&gt;1,"Duplicate ID","")</f>
        <v/>
      </c>
      <c r="L380" s="4" t="str">
        <f>IF(COUNTIFS(Customers!$B$2:$B$1001,Customers!B380,Customers!$D$2:$D$1001,Customers!D380,Customers!$G$2:$G$1001,Customers!G380,Customers!$I$2:$I$1001,Customers!I380,Customers!$L$2:$L$1001,Customers!L380)&gt;1,"Duplicate record","")</f>
        <v/>
      </c>
      <c r="M380" s="4" t="str">
        <f>IF(OR(Customers!U380&lt;300,Customers!U380&gt;850),"Score out of range","")</f>
        <v/>
      </c>
      <c r="N380" s="4" t="str">
        <f>IF(AND(Customers!G380&lt;&gt;"",Customers!G380&lt;=0),"Income ≤ 0","")</f>
        <v/>
      </c>
      <c r="O380" s="4" t="str">
        <f>IF(OR(Customers!G380="",Customers!M380=""),"Missing value","")</f>
        <v/>
      </c>
      <c r="P380" s="4">
        <f t="shared" si="5"/>
        <v>0</v>
      </c>
    </row>
    <row r="381" spans="1:16" x14ac:dyDescent="0.25">
      <c r="A381" s="4" t="str">
        <f>Customers!A381</f>
        <v>CL00375</v>
      </c>
      <c r="B381" s="20">
        <f>IF(Customers!G381="","",(Customers!G381-Statistics!$C$7)/Statistics!$C$9)</f>
        <v>-3.0512347210442312E-2</v>
      </c>
      <c r="C381" s="4" t="str">
        <f>IF(Customers!G381="","",IF(OR(Customers!G381&lt;Statistics!$C$15,Customers!G381&gt;Statistics!$C$16),"Outside 1.5·IQR",""))</f>
        <v/>
      </c>
      <c r="D381" s="4" t="str">
        <f>IF(OR(Customers!B381&lt;18,Customers!B381&gt;100),"Implausible age","")</f>
        <v/>
      </c>
      <c r="E381" s="4" t="str">
        <f>IF(Customers!H381&gt;Customers!B381-18,"Tenure &gt; age-18","")</f>
        <v/>
      </c>
      <c r="F381" s="4" t="str">
        <f>IF(Customers!R381&gt;Customers!Q381,"Card spend &gt; limit","")</f>
        <v/>
      </c>
      <c r="G381" s="4" t="str">
        <f>IF(OR(AND(Customers!S381&gt;0,Customers!T381=0),AND(Customers!S381=0,Customers!T381&gt;0)),"Mortgage/payment inconsistent","")</f>
        <v/>
      </c>
      <c r="H381" s="4" t="str">
        <f>IF(AND(Customers!G381&lt;&gt;"",Customers!G381&gt;0,Customers!T381&gt;Customers!G381/12),"Payment &gt; monthly income","")</f>
        <v/>
      </c>
      <c r="I381" s="4" t="str">
        <f>IF(OR(Customers!I381&gt;DATE(2026,9,13),YEAR(Customers!I381)&lt;1980),"Implausible date","")</f>
        <v/>
      </c>
      <c r="J381" s="4" t="str">
        <f>IF(Customers!I381&gt;DATE(2026,9,13),"",IF(ABS(INT((DATE(2026,9,13)-Customers!I381)/365.25)-Customers!H381)&gt;1,"Date/tenure inconsistent",""))</f>
        <v/>
      </c>
      <c r="K381" s="4" t="str">
        <f>IF(COUNTIF(Customers!$A$2:$A$1001,Customers!A381)&gt;1,"Duplicate ID","")</f>
        <v/>
      </c>
      <c r="L381" s="4" t="str">
        <f>IF(COUNTIFS(Customers!$B$2:$B$1001,Customers!B381,Customers!$D$2:$D$1001,Customers!D381,Customers!$G$2:$G$1001,Customers!G381,Customers!$I$2:$I$1001,Customers!I381,Customers!$L$2:$L$1001,Customers!L381)&gt;1,"Duplicate record","")</f>
        <v/>
      </c>
      <c r="M381" s="4" t="str">
        <f>IF(OR(Customers!U381&lt;300,Customers!U381&gt;850),"Score out of range","")</f>
        <v/>
      </c>
      <c r="N381" s="4" t="str">
        <f>IF(AND(Customers!G381&lt;&gt;"",Customers!G381&lt;=0),"Income ≤ 0","")</f>
        <v/>
      </c>
      <c r="O381" s="4" t="str">
        <f>IF(OR(Customers!G381="",Customers!M381=""),"Missing value","")</f>
        <v/>
      </c>
      <c r="P381" s="4">
        <f t="shared" si="5"/>
        <v>0</v>
      </c>
    </row>
    <row r="382" spans="1:16" x14ac:dyDescent="0.25">
      <c r="A382" s="4" t="str">
        <f>Customers!A382</f>
        <v>CL00376</v>
      </c>
      <c r="B382" s="20">
        <f>IF(Customers!G382="","",(Customers!G382-Statistics!$C$7)/Statistics!$C$9)</f>
        <v>-4.183896637286097E-2</v>
      </c>
      <c r="C382" s="4" t="str">
        <f>IF(Customers!G382="","",IF(OR(Customers!G382&lt;Statistics!$C$15,Customers!G382&gt;Statistics!$C$16),"Outside 1.5·IQR",""))</f>
        <v/>
      </c>
      <c r="D382" s="4" t="str">
        <f>IF(OR(Customers!B382&lt;18,Customers!B382&gt;100),"Implausible age","")</f>
        <v/>
      </c>
      <c r="E382" s="4" t="str">
        <f>IF(Customers!H382&gt;Customers!B382-18,"Tenure &gt; age-18","")</f>
        <v/>
      </c>
      <c r="F382" s="4" t="str">
        <f>IF(Customers!R382&gt;Customers!Q382,"Card spend &gt; limit","")</f>
        <v/>
      </c>
      <c r="G382" s="4" t="str">
        <f>IF(OR(AND(Customers!S382&gt;0,Customers!T382=0),AND(Customers!S382=0,Customers!T382&gt;0)),"Mortgage/payment inconsistent","")</f>
        <v/>
      </c>
      <c r="H382" s="4" t="str">
        <f>IF(AND(Customers!G382&lt;&gt;"",Customers!G382&gt;0,Customers!T382&gt;Customers!G382/12),"Payment &gt; monthly income","")</f>
        <v/>
      </c>
      <c r="I382" s="4" t="str">
        <f>IF(OR(Customers!I382&gt;DATE(2026,9,13),YEAR(Customers!I382)&lt;1980),"Implausible date","")</f>
        <v/>
      </c>
      <c r="J382" s="4" t="str">
        <f>IF(Customers!I382&gt;DATE(2026,9,13),"",IF(ABS(INT((DATE(2026,9,13)-Customers!I382)/365.25)-Customers!H382)&gt;1,"Date/tenure inconsistent",""))</f>
        <v/>
      </c>
      <c r="K382" s="4" t="str">
        <f>IF(COUNTIF(Customers!$A$2:$A$1001,Customers!A382)&gt;1,"Duplicate ID","")</f>
        <v/>
      </c>
      <c r="L382" s="4" t="str">
        <f>IF(COUNTIFS(Customers!$B$2:$B$1001,Customers!B382,Customers!$D$2:$D$1001,Customers!D382,Customers!$G$2:$G$1001,Customers!G382,Customers!$I$2:$I$1001,Customers!I382,Customers!$L$2:$L$1001,Customers!L382)&gt;1,"Duplicate record","")</f>
        <v/>
      </c>
      <c r="M382" s="4" t="str">
        <f>IF(OR(Customers!U382&lt;300,Customers!U382&gt;850),"Score out of range","")</f>
        <v/>
      </c>
      <c r="N382" s="4" t="str">
        <f>IF(AND(Customers!G382&lt;&gt;"",Customers!G382&lt;=0),"Income ≤ 0","")</f>
        <v/>
      </c>
      <c r="O382" s="4" t="str">
        <f>IF(OR(Customers!G382="",Customers!M382=""),"Missing value","")</f>
        <v/>
      </c>
      <c r="P382" s="4">
        <f t="shared" si="5"/>
        <v>0</v>
      </c>
    </row>
    <row r="383" spans="1:16" x14ac:dyDescent="0.25">
      <c r="A383" s="4" t="str">
        <f>Customers!A383</f>
        <v>CL00377</v>
      </c>
      <c r="B383" s="20">
        <f>IF(Customers!G383="","",(Customers!G383-Statistics!$C$7)/Statistics!$C$9)</f>
        <v>-5.5036940005592269E-2</v>
      </c>
      <c r="C383" s="4" t="str">
        <f>IF(Customers!G383="","",IF(OR(Customers!G383&lt;Statistics!$C$15,Customers!G383&gt;Statistics!$C$16),"Outside 1.5·IQR",""))</f>
        <v/>
      </c>
      <c r="D383" s="4" t="str">
        <f>IF(OR(Customers!B383&lt;18,Customers!B383&gt;100),"Implausible age","")</f>
        <v/>
      </c>
      <c r="E383" s="4" t="str">
        <f>IF(Customers!H383&gt;Customers!B383-18,"Tenure &gt; age-18","")</f>
        <v/>
      </c>
      <c r="F383" s="4" t="str">
        <f>IF(Customers!R383&gt;Customers!Q383,"Card spend &gt; limit","")</f>
        <v/>
      </c>
      <c r="G383" s="4" t="str">
        <f>IF(OR(AND(Customers!S383&gt;0,Customers!T383=0),AND(Customers!S383=0,Customers!T383&gt;0)),"Mortgage/payment inconsistent","")</f>
        <v/>
      </c>
      <c r="H383" s="4" t="str">
        <f>IF(AND(Customers!G383&lt;&gt;"",Customers!G383&gt;0,Customers!T383&gt;Customers!G383/12),"Payment &gt; monthly income","")</f>
        <v/>
      </c>
      <c r="I383" s="4" t="str">
        <f>IF(OR(Customers!I383&gt;DATE(2026,9,13),YEAR(Customers!I383)&lt;1980),"Implausible date","")</f>
        <v/>
      </c>
      <c r="J383" s="4" t="str">
        <f>IF(Customers!I383&gt;DATE(2026,9,13),"",IF(ABS(INT((DATE(2026,9,13)-Customers!I383)/365.25)-Customers!H383)&gt;1,"Date/tenure inconsistent",""))</f>
        <v/>
      </c>
      <c r="K383" s="4" t="str">
        <f>IF(COUNTIF(Customers!$A$2:$A$1001,Customers!A383)&gt;1,"Duplicate ID","")</f>
        <v/>
      </c>
      <c r="L383" s="4" t="str">
        <f>IF(COUNTIFS(Customers!$B$2:$B$1001,Customers!B383,Customers!$D$2:$D$1001,Customers!D383,Customers!$G$2:$G$1001,Customers!G383,Customers!$I$2:$I$1001,Customers!I383,Customers!$L$2:$L$1001,Customers!L383)&gt;1,"Duplicate record","")</f>
        <v/>
      </c>
      <c r="M383" s="4" t="str">
        <f>IF(OR(Customers!U383&lt;300,Customers!U383&gt;850),"Score out of range","")</f>
        <v/>
      </c>
      <c r="N383" s="4" t="str">
        <f>IF(AND(Customers!G383&lt;&gt;"",Customers!G383&lt;=0),"Income ≤ 0","")</f>
        <v/>
      </c>
      <c r="O383" s="4" t="str">
        <f>IF(OR(Customers!G383="",Customers!M383=""),"Missing value","")</f>
        <v/>
      </c>
      <c r="P383" s="4">
        <f t="shared" si="5"/>
        <v>0</v>
      </c>
    </row>
    <row r="384" spans="1:16" x14ac:dyDescent="0.25">
      <c r="A384" s="4" t="str">
        <f>Customers!A384</f>
        <v>CL00378</v>
      </c>
      <c r="B384" s="20">
        <f>IF(Customers!G384="","",(Customers!G384-Statistics!$C$7)/Statistics!$C$9)</f>
        <v>-4.5680167654029033E-2</v>
      </c>
      <c r="C384" s="4" t="str">
        <f>IF(Customers!G384="","",IF(OR(Customers!G384&lt;Statistics!$C$15,Customers!G384&gt;Statistics!$C$16),"Outside 1.5·IQR",""))</f>
        <v/>
      </c>
      <c r="D384" s="4" t="str">
        <f>IF(OR(Customers!B384&lt;18,Customers!B384&gt;100),"Implausible age","")</f>
        <v/>
      </c>
      <c r="E384" s="4" t="str">
        <f>IF(Customers!H384&gt;Customers!B384-18,"Tenure &gt; age-18","")</f>
        <v/>
      </c>
      <c r="F384" s="4" t="str">
        <f>IF(Customers!R384&gt;Customers!Q384,"Card spend &gt; limit","")</f>
        <v/>
      </c>
      <c r="G384" s="4" t="str">
        <f>IF(OR(AND(Customers!S384&gt;0,Customers!T384=0),AND(Customers!S384=0,Customers!T384&gt;0)),"Mortgage/payment inconsistent","")</f>
        <v/>
      </c>
      <c r="H384" s="4" t="str">
        <f>IF(AND(Customers!G384&lt;&gt;"",Customers!G384&gt;0,Customers!T384&gt;Customers!G384/12),"Payment &gt; monthly income","")</f>
        <v/>
      </c>
      <c r="I384" s="4" t="str">
        <f>IF(OR(Customers!I384&gt;DATE(2026,9,13),YEAR(Customers!I384)&lt;1980),"Implausible date","")</f>
        <v/>
      </c>
      <c r="J384" s="4" t="str">
        <f>IF(Customers!I384&gt;DATE(2026,9,13),"",IF(ABS(INT((DATE(2026,9,13)-Customers!I384)/365.25)-Customers!H384)&gt;1,"Date/tenure inconsistent",""))</f>
        <v/>
      </c>
      <c r="K384" s="4" t="str">
        <f>IF(COUNTIF(Customers!$A$2:$A$1001,Customers!A384)&gt;1,"Duplicate ID","")</f>
        <v/>
      </c>
      <c r="L384" s="4" t="str">
        <f>IF(COUNTIFS(Customers!$B$2:$B$1001,Customers!B384,Customers!$D$2:$D$1001,Customers!D384,Customers!$G$2:$G$1001,Customers!G384,Customers!$I$2:$I$1001,Customers!I384,Customers!$L$2:$L$1001,Customers!L384)&gt;1,"Duplicate record","")</f>
        <v/>
      </c>
      <c r="M384" s="4" t="str">
        <f>IF(OR(Customers!U384&lt;300,Customers!U384&gt;850),"Score out of range","")</f>
        <v/>
      </c>
      <c r="N384" s="4" t="str">
        <f>IF(AND(Customers!G384&lt;&gt;"",Customers!G384&lt;=0),"Income ≤ 0","")</f>
        <v/>
      </c>
      <c r="O384" s="4" t="str">
        <f>IF(OR(Customers!G384="",Customers!M384=""),"Missing value","")</f>
        <v/>
      </c>
      <c r="P384" s="4">
        <f t="shared" si="5"/>
        <v>0</v>
      </c>
    </row>
    <row r="385" spans="1:16" x14ac:dyDescent="0.25">
      <c r="A385" s="4" t="str">
        <f>Customers!A385</f>
        <v>CL00379</v>
      </c>
      <c r="B385" s="20">
        <f>IF(Customers!G385="","",(Customers!G385-Statistics!$C$7)/Statistics!$C$9)</f>
        <v>-3.0315362529356772E-2</v>
      </c>
      <c r="C385" s="4" t="str">
        <f>IF(Customers!G385="","",IF(OR(Customers!G385&lt;Statistics!$C$15,Customers!G385&gt;Statistics!$C$16),"Outside 1.5·IQR",""))</f>
        <v/>
      </c>
      <c r="D385" s="4" t="str">
        <f>IF(OR(Customers!B385&lt;18,Customers!B385&gt;100),"Implausible age","")</f>
        <v/>
      </c>
      <c r="E385" s="4" t="str">
        <f>IF(Customers!H385&gt;Customers!B385-18,"Tenure &gt; age-18","")</f>
        <v/>
      </c>
      <c r="F385" s="4" t="str">
        <f>IF(Customers!R385&gt;Customers!Q385,"Card spend &gt; limit","")</f>
        <v/>
      </c>
      <c r="G385" s="4" t="str">
        <f>IF(OR(AND(Customers!S385&gt;0,Customers!T385=0),AND(Customers!S385=0,Customers!T385&gt;0)),"Mortgage/payment inconsistent","")</f>
        <v/>
      </c>
      <c r="H385" s="4" t="str">
        <f>IF(AND(Customers!G385&lt;&gt;"",Customers!G385&gt;0,Customers!T385&gt;Customers!G385/12),"Payment &gt; monthly income","")</f>
        <v/>
      </c>
      <c r="I385" s="4" t="str">
        <f>IF(OR(Customers!I385&gt;DATE(2026,9,13),YEAR(Customers!I385)&lt;1980),"Implausible date","")</f>
        <v/>
      </c>
      <c r="J385" s="4" t="str">
        <f>IF(Customers!I385&gt;DATE(2026,9,13),"",IF(ABS(INT((DATE(2026,9,13)-Customers!I385)/365.25)-Customers!H385)&gt;1,"Date/tenure inconsistent",""))</f>
        <v/>
      </c>
      <c r="K385" s="4" t="str">
        <f>IF(COUNTIF(Customers!$A$2:$A$1001,Customers!A385)&gt;1,"Duplicate ID","")</f>
        <v/>
      </c>
      <c r="L385" s="4" t="str">
        <f>IF(COUNTIFS(Customers!$B$2:$B$1001,Customers!B385,Customers!$D$2:$D$1001,Customers!D385,Customers!$G$2:$G$1001,Customers!G385,Customers!$I$2:$I$1001,Customers!I385,Customers!$L$2:$L$1001,Customers!L385)&gt;1,"Duplicate record","")</f>
        <v/>
      </c>
      <c r="M385" s="4" t="str">
        <f>IF(OR(Customers!U385&lt;300,Customers!U385&gt;850),"Score out of range","")</f>
        <v/>
      </c>
      <c r="N385" s="4" t="str">
        <f>IF(AND(Customers!G385&lt;&gt;"",Customers!G385&lt;=0),"Income ≤ 0","")</f>
        <v/>
      </c>
      <c r="O385" s="4" t="str">
        <f>IF(OR(Customers!G385="",Customers!M385=""),"Missing value","")</f>
        <v/>
      </c>
      <c r="P385" s="4">
        <f t="shared" si="5"/>
        <v>0</v>
      </c>
    </row>
    <row r="386" spans="1:16" x14ac:dyDescent="0.25">
      <c r="A386" s="4" t="str">
        <f>Customers!A386</f>
        <v>CL00380</v>
      </c>
      <c r="B386" s="20">
        <f>IF(Customers!G386="","",(Customers!G386-Statistics!$C$7)/Statistics!$C$9)</f>
        <v>-3.25806863618405E-2</v>
      </c>
      <c r="C386" s="4" t="str">
        <f>IF(Customers!G386="","",IF(OR(Customers!G386&lt;Statistics!$C$15,Customers!G386&gt;Statistics!$C$16),"Outside 1.5·IQR",""))</f>
        <v/>
      </c>
      <c r="D386" s="4" t="str">
        <f>IF(OR(Customers!B386&lt;18,Customers!B386&gt;100),"Implausible age","")</f>
        <v/>
      </c>
      <c r="E386" s="4" t="str">
        <f>IF(Customers!H386&gt;Customers!B386-18,"Tenure &gt; age-18","")</f>
        <v/>
      </c>
      <c r="F386" s="4" t="str">
        <f>IF(Customers!R386&gt;Customers!Q386,"Card spend &gt; limit","")</f>
        <v/>
      </c>
      <c r="G386" s="4" t="str">
        <f>IF(OR(AND(Customers!S386&gt;0,Customers!T386=0),AND(Customers!S386=0,Customers!T386&gt;0)),"Mortgage/payment inconsistent","")</f>
        <v/>
      </c>
      <c r="H386" s="4" t="str">
        <f>IF(AND(Customers!G386&lt;&gt;"",Customers!G386&gt;0,Customers!T386&gt;Customers!G386/12),"Payment &gt; monthly income","")</f>
        <v/>
      </c>
      <c r="I386" s="4" t="str">
        <f>IF(OR(Customers!I386&gt;DATE(2026,9,13),YEAR(Customers!I386)&lt;1980),"Implausible date","")</f>
        <v/>
      </c>
      <c r="J386" s="4" t="str">
        <f>IF(Customers!I386&gt;DATE(2026,9,13),"",IF(ABS(INT((DATE(2026,9,13)-Customers!I386)/365.25)-Customers!H386)&gt;1,"Date/tenure inconsistent",""))</f>
        <v/>
      </c>
      <c r="K386" s="4" t="str">
        <f>IF(COUNTIF(Customers!$A$2:$A$1001,Customers!A386)&gt;1,"Duplicate ID","")</f>
        <v/>
      </c>
      <c r="L386" s="4" t="str">
        <f>IF(COUNTIFS(Customers!$B$2:$B$1001,Customers!B386,Customers!$D$2:$D$1001,Customers!D386,Customers!$G$2:$G$1001,Customers!G386,Customers!$I$2:$I$1001,Customers!I386,Customers!$L$2:$L$1001,Customers!L386)&gt;1,"Duplicate record","")</f>
        <v/>
      </c>
      <c r="M386" s="4" t="str">
        <f>IF(OR(Customers!U386&lt;300,Customers!U386&gt;850),"Score out of range","")</f>
        <v/>
      </c>
      <c r="N386" s="4" t="str">
        <f>IF(AND(Customers!G386&lt;&gt;"",Customers!G386&lt;=0),"Income ≤ 0","")</f>
        <v/>
      </c>
      <c r="O386" s="4" t="str">
        <f>IF(OR(Customers!G386="",Customers!M386=""),"Missing value","")</f>
        <v/>
      </c>
      <c r="P386" s="4">
        <f t="shared" ref="P386:P449" si="6">SUMPRODUCT(--(C386:O386&lt;&gt;""))</f>
        <v>0</v>
      </c>
    </row>
    <row r="387" spans="1:16" x14ac:dyDescent="0.25">
      <c r="A387" s="4" t="str">
        <f>Customers!A387</f>
        <v>CL00381</v>
      </c>
      <c r="B387" s="20">
        <f>IF(Customers!G387="","",(Customers!G387-Statistics!$C$7)/Statistics!$C$9)</f>
        <v>-3.3270132745639898E-2</v>
      </c>
      <c r="C387" s="4" t="str">
        <f>IF(Customers!G387="","",IF(OR(Customers!G387&lt;Statistics!$C$15,Customers!G387&gt;Statistics!$C$16),"Outside 1.5·IQR",""))</f>
        <v/>
      </c>
      <c r="D387" s="4" t="str">
        <f>IF(OR(Customers!B387&lt;18,Customers!B387&gt;100),"Implausible age","")</f>
        <v/>
      </c>
      <c r="E387" s="4" t="str">
        <f>IF(Customers!H387&gt;Customers!B387-18,"Tenure &gt; age-18","")</f>
        <v/>
      </c>
      <c r="F387" s="4" t="str">
        <f>IF(Customers!R387&gt;Customers!Q387,"Card spend &gt; limit","")</f>
        <v/>
      </c>
      <c r="G387" s="4" t="str">
        <f>IF(OR(AND(Customers!S387&gt;0,Customers!T387=0),AND(Customers!S387=0,Customers!T387&gt;0)),"Mortgage/payment inconsistent","")</f>
        <v/>
      </c>
      <c r="H387" s="4" t="str">
        <f>IF(AND(Customers!G387&lt;&gt;"",Customers!G387&gt;0,Customers!T387&gt;Customers!G387/12),"Payment &gt; monthly income","")</f>
        <v/>
      </c>
      <c r="I387" s="4" t="str">
        <f>IF(OR(Customers!I387&gt;DATE(2026,9,13),YEAR(Customers!I387)&lt;1980),"Implausible date","")</f>
        <v/>
      </c>
      <c r="J387" s="4" t="str">
        <f>IF(Customers!I387&gt;DATE(2026,9,13),"",IF(ABS(INT((DATE(2026,9,13)-Customers!I387)/365.25)-Customers!H387)&gt;1,"Date/tenure inconsistent",""))</f>
        <v/>
      </c>
      <c r="K387" s="4" t="str">
        <f>IF(COUNTIF(Customers!$A$2:$A$1001,Customers!A387)&gt;1,"Duplicate ID","")</f>
        <v/>
      </c>
      <c r="L387" s="4" t="str">
        <f>IF(COUNTIFS(Customers!$B$2:$B$1001,Customers!B387,Customers!$D$2:$D$1001,Customers!D387,Customers!$G$2:$G$1001,Customers!G387,Customers!$I$2:$I$1001,Customers!I387,Customers!$L$2:$L$1001,Customers!L387)&gt;1,"Duplicate record","")</f>
        <v/>
      </c>
      <c r="M387" s="4" t="str">
        <f>IF(OR(Customers!U387&lt;300,Customers!U387&gt;850),"Score out of range","")</f>
        <v/>
      </c>
      <c r="N387" s="4" t="str">
        <f>IF(AND(Customers!G387&lt;&gt;"",Customers!G387&lt;=0),"Income ≤ 0","")</f>
        <v/>
      </c>
      <c r="O387" s="4" t="str">
        <f>IF(OR(Customers!G387="",Customers!M387=""),"Missing value","")</f>
        <v/>
      </c>
      <c r="P387" s="4">
        <f t="shared" si="6"/>
        <v>0</v>
      </c>
    </row>
    <row r="388" spans="1:16" x14ac:dyDescent="0.25">
      <c r="A388" s="4" t="str">
        <f>Customers!A388</f>
        <v>CL00382</v>
      </c>
      <c r="B388" s="20">
        <f>IF(Customers!G388="","",(Customers!G388-Statistics!$C$7)/Statistics!$C$9)</f>
        <v>-4.4990721270229635E-2</v>
      </c>
      <c r="C388" s="4" t="str">
        <f>IF(Customers!G388="","",IF(OR(Customers!G388&lt;Statistics!$C$15,Customers!G388&gt;Statistics!$C$16),"Outside 1.5·IQR",""))</f>
        <v/>
      </c>
      <c r="D388" s="4" t="str">
        <f>IF(OR(Customers!B388&lt;18,Customers!B388&gt;100),"Implausible age","")</f>
        <v/>
      </c>
      <c r="E388" s="4" t="str">
        <f>IF(Customers!H388&gt;Customers!B388-18,"Tenure &gt; age-18","")</f>
        <v/>
      </c>
      <c r="F388" s="4" t="str">
        <f>IF(Customers!R388&gt;Customers!Q388,"Card spend &gt; limit","")</f>
        <v/>
      </c>
      <c r="G388" s="4" t="str">
        <f>IF(OR(AND(Customers!S388&gt;0,Customers!T388=0),AND(Customers!S388=0,Customers!T388&gt;0)),"Mortgage/payment inconsistent","")</f>
        <v/>
      </c>
      <c r="H388" s="4" t="str">
        <f>IF(AND(Customers!G388&lt;&gt;"",Customers!G388&gt;0,Customers!T388&gt;Customers!G388/12),"Payment &gt; monthly income","")</f>
        <v/>
      </c>
      <c r="I388" s="4" t="str">
        <f>IF(OR(Customers!I388&gt;DATE(2026,9,13),YEAR(Customers!I388)&lt;1980),"Implausible date","")</f>
        <v/>
      </c>
      <c r="J388" s="4" t="str">
        <f>IF(Customers!I388&gt;DATE(2026,9,13),"",IF(ABS(INT((DATE(2026,9,13)-Customers!I388)/365.25)-Customers!H388)&gt;1,"Date/tenure inconsistent",""))</f>
        <v/>
      </c>
      <c r="K388" s="4" t="str">
        <f>IF(COUNTIF(Customers!$A$2:$A$1001,Customers!A388)&gt;1,"Duplicate ID","")</f>
        <v/>
      </c>
      <c r="L388" s="4" t="str">
        <f>IF(COUNTIFS(Customers!$B$2:$B$1001,Customers!B388,Customers!$D$2:$D$1001,Customers!D388,Customers!$G$2:$G$1001,Customers!G388,Customers!$I$2:$I$1001,Customers!I388,Customers!$L$2:$L$1001,Customers!L388)&gt;1,"Duplicate record","")</f>
        <v/>
      </c>
      <c r="M388" s="4" t="str">
        <f>IF(OR(Customers!U388&lt;300,Customers!U388&gt;850),"Score out of range","")</f>
        <v/>
      </c>
      <c r="N388" s="4" t="str">
        <f>IF(AND(Customers!G388&lt;&gt;"",Customers!G388&lt;=0),"Income ≤ 0","")</f>
        <v/>
      </c>
      <c r="O388" s="4" t="str">
        <f>IF(OR(Customers!G388="",Customers!M388=""),"Missing value","")</f>
        <v/>
      </c>
      <c r="P388" s="4">
        <f t="shared" si="6"/>
        <v>0</v>
      </c>
    </row>
    <row r="389" spans="1:16" x14ac:dyDescent="0.25">
      <c r="A389" s="4" t="str">
        <f>Customers!A389</f>
        <v>CL00383</v>
      </c>
      <c r="B389" s="20">
        <f>IF(Customers!G389="","",(Customers!G389-Statistics!$C$7)/Statistics!$C$9)</f>
        <v>5.043387725497981E-3</v>
      </c>
      <c r="C389" s="4" t="str">
        <f>IF(Customers!G389="","",IF(OR(Customers!G389&lt;Statistics!$C$15,Customers!G389&gt;Statistics!$C$16),"Outside 1.5·IQR",""))</f>
        <v/>
      </c>
      <c r="D389" s="4" t="str">
        <f>IF(OR(Customers!B389&lt;18,Customers!B389&gt;100),"Implausible age","")</f>
        <v/>
      </c>
      <c r="E389" s="4" t="str">
        <f>IF(Customers!H389&gt;Customers!B389-18,"Tenure &gt; age-18","")</f>
        <v/>
      </c>
      <c r="F389" s="4" t="str">
        <f>IF(Customers!R389&gt;Customers!Q389,"Card spend &gt; limit","")</f>
        <v/>
      </c>
      <c r="G389" s="4" t="str">
        <f>IF(OR(AND(Customers!S389&gt;0,Customers!T389=0),AND(Customers!S389=0,Customers!T389&gt;0)),"Mortgage/payment inconsistent","")</f>
        <v/>
      </c>
      <c r="H389" s="4" t="str">
        <f>IF(AND(Customers!G389&lt;&gt;"",Customers!G389&gt;0,Customers!T389&gt;Customers!G389/12),"Payment &gt; monthly income","")</f>
        <v/>
      </c>
      <c r="I389" s="4" t="str">
        <f>IF(OR(Customers!I389&gt;DATE(2026,9,13),YEAR(Customers!I389)&lt;1980),"Implausible date","")</f>
        <v/>
      </c>
      <c r="J389" s="4" t="str">
        <f>IF(Customers!I389&gt;DATE(2026,9,13),"",IF(ABS(INT((DATE(2026,9,13)-Customers!I389)/365.25)-Customers!H389)&gt;1,"Date/tenure inconsistent",""))</f>
        <v/>
      </c>
      <c r="K389" s="4" t="str">
        <f>IF(COUNTIF(Customers!$A$2:$A$1001,Customers!A389)&gt;1,"Duplicate ID","")</f>
        <v/>
      </c>
      <c r="L389" s="4" t="str">
        <f>IF(COUNTIFS(Customers!$B$2:$B$1001,Customers!B389,Customers!$D$2:$D$1001,Customers!D389,Customers!$G$2:$G$1001,Customers!G389,Customers!$I$2:$I$1001,Customers!I389,Customers!$L$2:$L$1001,Customers!L389)&gt;1,"Duplicate record","")</f>
        <v/>
      </c>
      <c r="M389" s="4" t="str">
        <f>IF(OR(Customers!U389&lt;300,Customers!U389&gt;850),"Score out of range","")</f>
        <v/>
      </c>
      <c r="N389" s="4" t="str">
        <f>IF(AND(Customers!G389&lt;&gt;"",Customers!G389&lt;=0),"Income ≤ 0","")</f>
        <v/>
      </c>
      <c r="O389" s="4" t="str">
        <f>IF(OR(Customers!G389="",Customers!M389=""),"Missing value","")</f>
        <v/>
      </c>
      <c r="P389" s="4">
        <f t="shared" si="6"/>
        <v>0</v>
      </c>
    </row>
    <row r="390" spans="1:16" x14ac:dyDescent="0.25">
      <c r="A390" s="4" t="str">
        <f>Customers!A390</f>
        <v>CL00384</v>
      </c>
      <c r="B390" s="20">
        <f>IF(Customers!G390="","",(Customers!G390-Statistics!$C$7)/Statistics!$C$9)</f>
        <v>-5.6809802135362145E-2</v>
      </c>
      <c r="C390" s="4" t="str">
        <f>IF(Customers!G390="","",IF(OR(Customers!G390&lt;Statistics!$C$15,Customers!G390&gt;Statistics!$C$16),"Outside 1.5·IQR",""))</f>
        <v/>
      </c>
      <c r="D390" s="4" t="str">
        <f>IF(OR(Customers!B390&lt;18,Customers!B390&gt;100),"Implausible age","")</f>
        <v/>
      </c>
      <c r="E390" s="4" t="str">
        <f>IF(Customers!H390&gt;Customers!B390-18,"Tenure &gt; age-18","")</f>
        <v/>
      </c>
      <c r="F390" s="4" t="str">
        <f>IF(Customers!R390&gt;Customers!Q390,"Card spend &gt; limit","")</f>
        <v/>
      </c>
      <c r="G390" s="4" t="str">
        <f>IF(OR(AND(Customers!S390&gt;0,Customers!T390=0),AND(Customers!S390=0,Customers!T390&gt;0)),"Mortgage/payment inconsistent","")</f>
        <v/>
      </c>
      <c r="H390" s="4" t="str">
        <f>IF(AND(Customers!G390&lt;&gt;"",Customers!G390&gt;0,Customers!T390&gt;Customers!G390/12),"Payment &gt; monthly income","")</f>
        <v/>
      </c>
      <c r="I390" s="4" t="str">
        <f>IF(OR(Customers!I390&gt;DATE(2026,9,13),YEAR(Customers!I390)&lt;1980),"Implausible date","")</f>
        <v/>
      </c>
      <c r="J390" s="4" t="str">
        <f>IF(Customers!I390&gt;DATE(2026,9,13),"",IF(ABS(INT((DATE(2026,9,13)-Customers!I390)/365.25)-Customers!H390)&gt;1,"Date/tenure inconsistent",""))</f>
        <v/>
      </c>
      <c r="K390" s="4" t="str">
        <f>IF(COUNTIF(Customers!$A$2:$A$1001,Customers!A390)&gt;1,"Duplicate ID","")</f>
        <v/>
      </c>
      <c r="L390" s="4" t="str">
        <f>IF(COUNTIFS(Customers!$B$2:$B$1001,Customers!B390,Customers!$D$2:$D$1001,Customers!D390,Customers!$G$2:$G$1001,Customers!G390,Customers!$I$2:$I$1001,Customers!I390,Customers!$L$2:$L$1001,Customers!L390)&gt;1,"Duplicate record","")</f>
        <v/>
      </c>
      <c r="M390" s="4" t="str">
        <f>IF(OR(Customers!U390&lt;300,Customers!U390&gt;850),"Score out of range","")</f>
        <v/>
      </c>
      <c r="N390" s="4" t="str">
        <f>IF(AND(Customers!G390&lt;&gt;"",Customers!G390&lt;=0),"Income ≤ 0","")</f>
        <v/>
      </c>
      <c r="O390" s="4" t="str">
        <f>IF(OR(Customers!G390="",Customers!M390=""),"Missing value","")</f>
        <v/>
      </c>
      <c r="P390" s="4">
        <f t="shared" si="6"/>
        <v>0</v>
      </c>
    </row>
    <row r="391" spans="1:16" x14ac:dyDescent="0.25">
      <c r="A391" s="4" t="str">
        <f>Customers!A391</f>
        <v>CL00385</v>
      </c>
      <c r="B391" s="20">
        <f>IF(Customers!G391="","",(Customers!G391-Statistics!$C$7)/Statistics!$C$9)</f>
        <v>-4.7650014464884448E-2</v>
      </c>
      <c r="C391" s="4" t="str">
        <f>IF(Customers!G391="","",IF(OR(Customers!G391&lt;Statistics!$C$15,Customers!G391&gt;Statistics!$C$16),"Outside 1.5·IQR",""))</f>
        <v/>
      </c>
      <c r="D391" s="4" t="str">
        <f>IF(OR(Customers!B391&lt;18,Customers!B391&gt;100),"Implausible age","")</f>
        <v/>
      </c>
      <c r="E391" s="4" t="str">
        <f>IF(Customers!H391&gt;Customers!B391-18,"Tenure &gt; age-18","")</f>
        <v/>
      </c>
      <c r="F391" s="4" t="str">
        <f>IF(Customers!R391&gt;Customers!Q391,"Card spend &gt; limit","")</f>
        <v/>
      </c>
      <c r="G391" s="4" t="str">
        <f>IF(OR(AND(Customers!S391&gt;0,Customers!T391=0),AND(Customers!S391=0,Customers!T391&gt;0)),"Mortgage/payment inconsistent","")</f>
        <v/>
      </c>
      <c r="H391" s="4" t="str">
        <f>IF(AND(Customers!G391&lt;&gt;"",Customers!G391&gt;0,Customers!T391&gt;Customers!G391/12),"Payment &gt; monthly income","")</f>
        <v/>
      </c>
      <c r="I391" s="4" t="str">
        <f>IF(OR(Customers!I391&gt;DATE(2026,9,13),YEAR(Customers!I391)&lt;1980),"Implausible date","")</f>
        <v/>
      </c>
      <c r="J391" s="4" t="str">
        <f>IF(Customers!I391&gt;DATE(2026,9,13),"",IF(ABS(INT((DATE(2026,9,13)-Customers!I391)/365.25)-Customers!H391)&gt;1,"Date/tenure inconsistent",""))</f>
        <v/>
      </c>
      <c r="K391" s="4" t="str">
        <f>IF(COUNTIF(Customers!$A$2:$A$1001,Customers!A391)&gt;1,"Duplicate ID","")</f>
        <v/>
      </c>
      <c r="L391" s="4" t="str">
        <f>IF(COUNTIFS(Customers!$B$2:$B$1001,Customers!B391,Customers!$D$2:$D$1001,Customers!D391,Customers!$G$2:$G$1001,Customers!G391,Customers!$I$2:$I$1001,Customers!I391,Customers!$L$2:$L$1001,Customers!L391)&gt;1,"Duplicate record","")</f>
        <v/>
      </c>
      <c r="M391" s="4" t="str">
        <f>IF(OR(Customers!U391&lt;300,Customers!U391&gt;850),"Score out of range","")</f>
        <v/>
      </c>
      <c r="N391" s="4" t="str">
        <f>IF(AND(Customers!G391&lt;&gt;"",Customers!G391&lt;=0),"Income ≤ 0","")</f>
        <v/>
      </c>
      <c r="O391" s="4" t="str">
        <f>IF(OR(Customers!G391="",Customers!M391=""),"Missing value","")</f>
        <v/>
      </c>
      <c r="P391" s="4">
        <f t="shared" si="6"/>
        <v>0</v>
      </c>
    </row>
    <row r="392" spans="1:16" x14ac:dyDescent="0.25">
      <c r="A392" s="4" t="str">
        <f>Customers!A392</f>
        <v>CL00386</v>
      </c>
      <c r="B392" s="20">
        <f>IF(Customers!G392="","",(Customers!G392-Statistics!$C$7)/Statistics!$C$9)</f>
        <v>-4.0657058286347712E-2</v>
      </c>
      <c r="C392" s="4" t="str">
        <f>IF(Customers!G392="","",IF(OR(Customers!G392&lt;Statistics!$C$15,Customers!G392&gt;Statistics!$C$16),"Outside 1.5·IQR",""))</f>
        <v/>
      </c>
      <c r="D392" s="4" t="str">
        <f>IF(OR(Customers!B392&lt;18,Customers!B392&gt;100),"Implausible age","")</f>
        <v/>
      </c>
      <c r="E392" s="4" t="str">
        <f>IF(Customers!H392&gt;Customers!B392-18,"Tenure &gt; age-18","")</f>
        <v/>
      </c>
      <c r="F392" s="4" t="str">
        <f>IF(Customers!R392&gt;Customers!Q392,"Card spend &gt; limit","")</f>
        <v/>
      </c>
      <c r="G392" s="4" t="str">
        <f>IF(OR(AND(Customers!S392&gt;0,Customers!T392=0),AND(Customers!S392=0,Customers!T392&gt;0)),"Mortgage/payment inconsistent","")</f>
        <v/>
      </c>
      <c r="H392" s="4" t="str">
        <f>IF(AND(Customers!G392&lt;&gt;"",Customers!G392&gt;0,Customers!T392&gt;Customers!G392/12),"Payment &gt; monthly income","")</f>
        <v/>
      </c>
      <c r="I392" s="4" t="str">
        <f>IF(OR(Customers!I392&gt;DATE(2026,9,13),YEAR(Customers!I392)&lt;1980),"Implausible date","")</f>
        <v/>
      </c>
      <c r="J392" s="4" t="str">
        <f>IF(Customers!I392&gt;DATE(2026,9,13),"",IF(ABS(INT((DATE(2026,9,13)-Customers!I392)/365.25)-Customers!H392)&gt;1,"Date/tenure inconsistent",""))</f>
        <v/>
      </c>
      <c r="K392" s="4" t="str">
        <f>IF(COUNTIF(Customers!$A$2:$A$1001,Customers!A392)&gt;1,"Duplicate ID","")</f>
        <v/>
      </c>
      <c r="L392" s="4" t="str">
        <f>IF(COUNTIFS(Customers!$B$2:$B$1001,Customers!B392,Customers!$D$2:$D$1001,Customers!D392,Customers!$G$2:$G$1001,Customers!G392,Customers!$I$2:$I$1001,Customers!I392,Customers!$L$2:$L$1001,Customers!L392)&gt;1,"Duplicate record","")</f>
        <v/>
      </c>
      <c r="M392" s="4" t="str">
        <f>IF(OR(Customers!U392&lt;300,Customers!U392&gt;850),"Score out of range","")</f>
        <v/>
      </c>
      <c r="N392" s="4" t="str">
        <f>IF(AND(Customers!G392&lt;&gt;"",Customers!G392&lt;=0),"Income ≤ 0","")</f>
        <v/>
      </c>
      <c r="O392" s="4" t="str">
        <f>IF(OR(Customers!G392="",Customers!M392=""),"Missing value","")</f>
        <v/>
      </c>
      <c r="P392" s="4">
        <f t="shared" si="6"/>
        <v>0</v>
      </c>
    </row>
    <row r="393" spans="1:16" x14ac:dyDescent="0.25">
      <c r="A393" s="4" t="str">
        <f>Customers!A393</f>
        <v>CL00387</v>
      </c>
      <c r="B393" s="20">
        <f>IF(Customers!G393="","",(Customers!G393-Statistics!$C$7)/Statistics!$C$9)</f>
        <v>-4.3119366799916986E-2</v>
      </c>
      <c r="C393" s="4" t="str">
        <f>IF(Customers!G393="","",IF(OR(Customers!G393&lt;Statistics!$C$15,Customers!G393&gt;Statistics!$C$16),"Outside 1.5·IQR",""))</f>
        <v/>
      </c>
      <c r="D393" s="4" t="str">
        <f>IF(OR(Customers!B393&lt;18,Customers!B393&gt;100),"Implausible age","")</f>
        <v/>
      </c>
      <c r="E393" s="4" t="str">
        <f>IF(Customers!H393&gt;Customers!B393-18,"Tenure &gt; age-18","")</f>
        <v/>
      </c>
      <c r="F393" s="4" t="str">
        <f>IF(Customers!R393&gt;Customers!Q393,"Card spend &gt; limit","")</f>
        <v/>
      </c>
      <c r="G393" s="4" t="str">
        <f>IF(OR(AND(Customers!S393&gt;0,Customers!T393=0),AND(Customers!S393=0,Customers!T393&gt;0)),"Mortgage/payment inconsistent","")</f>
        <v/>
      </c>
      <c r="H393" s="4" t="str">
        <f>IF(AND(Customers!G393&lt;&gt;"",Customers!G393&gt;0,Customers!T393&gt;Customers!G393/12),"Payment &gt; monthly income","")</f>
        <v/>
      </c>
      <c r="I393" s="4" t="str">
        <f>IF(OR(Customers!I393&gt;DATE(2026,9,13),YEAR(Customers!I393)&lt;1980),"Implausible date","")</f>
        <v/>
      </c>
      <c r="J393" s="4" t="str">
        <f>IF(Customers!I393&gt;DATE(2026,9,13),"",IF(ABS(INT((DATE(2026,9,13)-Customers!I393)/365.25)-Customers!H393)&gt;1,"Date/tenure inconsistent",""))</f>
        <v/>
      </c>
      <c r="K393" s="4" t="str">
        <f>IF(COUNTIF(Customers!$A$2:$A$1001,Customers!A393)&gt;1,"Duplicate ID","")</f>
        <v/>
      </c>
      <c r="L393" s="4" t="str">
        <f>IF(COUNTIFS(Customers!$B$2:$B$1001,Customers!B393,Customers!$D$2:$D$1001,Customers!D393,Customers!$G$2:$G$1001,Customers!G393,Customers!$I$2:$I$1001,Customers!I393,Customers!$L$2:$L$1001,Customers!L393)&gt;1,"Duplicate record","")</f>
        <v/>
      </c>
      <c r="M393" s="4" t="str">
        <f>IF(OR(Customers!U393&lt;300,Customers!U393&gt;850),"Score out of range","")</f>
        <v/>
      </c>
      <c r="N393" s="4" t="str">
        <f>IF(AND(Customers!G393&lt;&gt;"",Customers!G393&lt;=0),"Income ≤ 0","")</f>
        <v/>
      </c>
      <c r="O393" s="4" t="str">
        <f>IF(OR(Customers!G393="",Customers!M393=""),"Missing value","")</f>
        <v/>
      </c>
      <c r="P393" s="4">
        <f t="shared" si="6"/>
        <v>0</v>
      </c>
    </row>
    <row r="394" spans="1:16" x14ac:dyDescent="0.25">
      <c r="A394" s="4" t="str">
        <f>Customers!A394</f>
        <v>CL00388</v>
      </c>
      <c r="B394" s="20">
        <f>IF(Customers!G394="","",(Customers!G394-Statistics!$C$7)/Statistics!$C$9)</f>
        <v>-3.2088224659126648E-2</v>
      </c>
      <c r="C394" s="4" t="str">
        <f>IF(Customers!G394="","",IF(OR(Customers!G394&lt;Statistics!$C$15,Customers!G394&gt;Statistics!$C$16),"Outside 1.5·IQR",""))</f>
        <v/>
      </c>
      <c r="D394" s="4" t="str">
        <f>IF(OR(Customers!B394&lt;18,Customers!B394&gt;100),"Implausible age","")</f>
        <v/>
      </c>
      <c r="E394" s="4" t="str">
        <f>IF(Customers!H394&gt;Customers!B394-18,"Tenure &gt; age-18","")</f>
        <v/>
      </c>
      <c r="F394" s="4" t="str">
        <f>IF(Customers!R394&gt;Customers!Q394,"Card spend &gt; limit","")</f>
        <v/>
      </c>
      <c r="G394" s="4" t="str">
        <f>IF(OR(AND(Customers!S394&gt;0,Customers!T394=0),AND(Customers!S394=0,Customers!T394&gt;0)),"Mortgage/payment inconsistent","")</f>
        <v/>
      </c>
      <c r="H394" s="4" t="str">
        <f>IF(AND(Customers!G394&lt;&gt;"",Customers!G394&gt;0,Customers!T394&gt;Customers!G394/12),"Payment &gt; monthly income","")</f>
        <v/>
      </c>
      <c r="I394" s="4" t="str">
        <f>IF(OR(Customers!I394&gt;DATE(2026,9,13),YEAR(Customers!I394)&lt;1980),"Implausible date","")</f>
        <v/>
      </c>
      <c r="J394" s="4" t="str">
        <f>IF(Customers!I394&gt;DATE(2026,9,13),"",IF(ABS(INT((DATE(2026,9,13)-Customers!I394)/365.25)-Customers!H394)&gt;1,"Date/tenure inconsistent",""))</f>
        <v/>
      </c>
      <c r="K394" s="4" t="str">
        <f>IF(COUNTIF(Customers!$A$2:$A$1001,Customers!A394)&gt;1,"Duplicate ID","")</f>
        <v/>
      </c>
      <c r="L394" s="4" t="str">
        <f>IF(COUNTIFS(Customers!$B$2:$B$1001,Customers!B394,Customers!$D$2:$D$1001,Customers!D394,Customers!$G$2:$G$1001,Customers!G394,Customers!$I$2:$I$1001,Customers!I394,Customers!$L$2:$L$1001,Customers!L394)&gt;1,"Duplicate record","")</f>
        <v/>
      </c>
      <c r="M394" s="4" t="str">
        <f>IF(OR(Customers!U394&lt;300,Customers!U394&gt;850),"Score out of range","")</f>
        <v/>
      </c>
      <c r="N394" s="4" t="str">
        <f>IF(AND(Customers!G394&lt;&gt;"",Customers!G394&lt;=0),"Income ≤ 0","")</f>
        <v/>
      </c>
      <c r="O394" s="4" t="str">
        <f>IF(OR(Customers!G394="",Customers!M394=""),"Missing value","")</f>
        <v/>
      </c>
      <c r="P394" s="4">
        <f t="shared" si="6"/>
        <v>0</v>
      </c>
    </row>
    <row r="395" spans="1:16" x14ac:dyDescent="0.25">
      <c r="A395" s="4" t="str">
        <f>Customers!A395</f>
        <v>CL00389</v>
      </c>
      <c r="B395" s="20">
        <f>IF(Customers!G395="","",(Customers!G395-Statistics!$C$7)/Statistics!$C$9)</f>
        <v>-4.6566598718913971E-2</v>
      </c>
      <c r="C395" s="4" t="str">
        <f>IF(Customers!G395="","",IF(OR(Customers!G395&lt;Statistics!$C$15,Customers!G395&gt;Statistics!$C$16),"Outside 1.5·IQR",""))</f>
        <v/>
      </c>
      <c r="D395" s="4" t="str">
        <f>IF(OR(Customers!B395&lt;18,Customers!B395&gt;100),"Implausible age","")</f>
        <v/>
      </c>
      <c r="E395" s="4" t="str">
        <f>IF(Customers!H395&gt;Customers!B395-18,"Tenure &gt; age-18","")</f>
        <v/>
      </c>
      <c r="F395" s="4" t="str">
        <f>IF(Customers!R395&gt;Customers!Q395,"Card spend &gt; limit","")</f>
        <v/>
      </c>
      <c r="G395" s="4" t="str">
        <f>IF(OR(AND(Customers!S395&gt;0,Customers!T395=0),AND(Customers!S395=0,Customers!T395&gt;0)),"Mortgage/payment inconsistent","")</f>
        <v/>
      </c>
      <c r="H395" s="4" t="str">
        <f>IF(AND(Customers!G395&lt;&gt;"",Customers!G395&gt;0,Customers!T395&gt;Customers!G395/12),"Payment &gt; monthly income","")</f>
        <v/>
      </c>
      <c r="I395" s="4" t="str">
        <f>IF(OR(Customers!I395&gt;DATE(2026,9,13),YEAR(Customers!I395)&lt;1980),"Implausible date","")</f>
        <v/>
      </c>
      <c r="J395" s="4" t="str">
        <f>IF(Customers!I395&gt;DATE(2026,9,13),"",IF(ABS(INT((DATE(2026,9,13)-Customers!I395)/365.25)-Customers!H395)&gt;1,"Date/tenure inconsistent",""))</f>
        <v/>
      </c>
      <c r="K395" s="4" t="str">
        <f>IF(COUNTIF(Customers!$A$2:$A$1001,Customers!A395)&gt;1,"Duplicate ID","")</f>
        <v/>
      </c>
      <c r="L395" s="4" t="str">
        <f>IF(COUNTIFS(Customers!$B$2:$B$1001,Customers!B395,Customers!$D$2:$D$1001,Customers!D395,Customers!$G$2:$G$1001,Customers!G395,Customers!$I$2:$I$1001,Customers!I395,Customers!$L$2:$L$1001,Customers!L395)&gt;1,"Duplicate record","")</f>
        <v/>
      </c>
      <c r="M395" s="4" t="str">
        <f>IF(OR(Customers!U395&lt;300,Customers!U395&gt;850),"Score out of range","")</f>
        <v/>
      </c>
      <c r="N395" s="4" t="str">
        <f>IF(AND(Customers!G395&lt;&gt;"",Customers!G395&lt;=0),"Income ≤ 0","")</f>
        <v/>
      </c>
      <c r="O395" s="4" t="str">
        <f>IF(OR(Customers!G395="",Customers!M395=""),"Missing value","")</f>
        <v/>
      </c>
      <c r="P395" s="4">
        <f t="shared" si="6"/>
        <v>0</v>
      </c>
    </row>
    <row r="396" spans="1:16" x14ac:dyDescent="0.25">
      <c r="A396" s="4" t="str">
        <f>Customers!A396</f>
        <v>CL00390</v>
      </c>
      <c r="B396" s="20">
        <f>IF(Customers!G396="","",(Customers!G396-Statistics!$C$7)/Statistics!$C$9)</f>
        <v>-2.2450454746670658E-3</v>
      </c>
      <c r="C396" s="4" t="str">
        <f>IF(Customers!G396="","",IF(OR(Customers!G396&lt;Statistics!$C$15,Customers!G396&gt;Statistics!$C$16),"Outside 1.5·IQR",""))</f>
        <v/>
      </c>
      <c r="D396" s="4" t="str">
        <f>IF(OR(Customers!B396&lt;18,Customers!B396&gt;100),"Implausible age","")</f>
        <v/>
      </c>
      <c r="E396" s="4" t="str">
        <f>IF(Customers!H396&gt;Customers!B396-18,"Tenure &gt; age-18","")</f>
        <v/>
      </c>
      <c r="F396" s="4" t="str">
        <f>IF(Customers!R396&gt;Customers!Q396,"Card spend &gt; limit","")</f>
        <v/>
      </c>
      <c r="G396" s="4" t="str">
        <f>IF(OR(AND(Customers!S396&gt;0,Customers!T396=0),AND(Customers!S396=0,Customers!T396&gt;0)),"Mortgage/payment inconsistent","")</f>
        <v/>
      </c>
      <c r="H396" s="4" t="str">
        <f>IF(AND(Customers!G396&lt;&gt;"",Customers!G396&gt;0,Customers!T396&gt;Customers!G396/12),"Payment &gt; monthly income","")</f>
        <v/>
      </c>
      <c r="I396" s="4" t="str">
        <f>IF(OR(Customers!I396&gt;DATE(2026,9,13),YEAR(Customers!I396)&lt;1980),"Implausible date","")</f>
        <v/>
      </c>
      <c r="J396" s="4" t="str">
        <f>IF(Customers!I396&gt;DATE(2026,9,13),"",IF(ABS(INT((DATE(2026,9,13)-Customers!I396)/365.25)-Customers!H396)&gt;1,"Date/tenure inconsistent",""))</f>
        <v/>
      </c>
      <c r="K396" s="4" t="str">
        <f>IF(COUNTIF(Customers!$A$2:$A$1001,Customers!A396)&gt;1,"Duplicate ID","")</f>
        <v/>
      </c>
      <c r="L396" s="4" t="str">
        <f>IF(COUNTIFS(Customers!$B$2:$B$1001,Customers!B396,Customers!$D$2:$D$1001,Customers!D396,Customers!$G$2:$G$1001,Customers!G396,Customers!$I$2:$I$1001,Customers!I396,Customers!$L$2:$L$1001,Customers!L396)&gt;1,"Duplicate record","")</f>
        <v/>
      </c>
      <c r="M396" s="4" t="str">
        <f>IF(OR(Customers!U396&lt;300,Customers!U396&gt;850),"Score out of range","")</f>
        <v/>
      </c>
      <c r="N396" s="4" t="str">
        <f>IF(AND(Customers!G396&lt;&gt;"",Customers!G396&lt;=0),"Income ≤ 0","")</f>
        <v/>
      </c>
      <c r="O396" s="4" t="str">
        <f>IF(OR(Customers!G396="",Customers!M396=""),"Missing value","")</f>
        <v/>
      </c>
      <c r="P396" s="4">
        <f t="shared" si="6"/>
        <v>0</v>
      </c>
    </row>
    <row r="397" spans="1:16" x14ac:dyDescent="0.25">
      <c r="A397" s="4" t="str">
        <f>Customers!A397</f>
        <v>CL00391</v>
      </c>
      <c r="B397" s="20">
        <f>IF(Customers!G397="","",(Customers!G397-Statistics!$C$7)/Statistics!$C$9)</f>
        <v>3.1143857969332268E-2</v>
      </c>
      <c r="C397" s="4" t="str">
        <f>IF(Customers!G397="","",IF(OR(Customers!G397&lt;Statistics!$C$15,Customers!G397&gt;Statistics!$C$16),"Outside 1.5·IQR",""))</f>
        <v>Outside 1.5·IQR</v>
      </c>
      <c r="D397" s="4" t="str">
        <f>IF(OR(Customers!B397&lt;18,Customers!B397&gt;100),"Implausible age","")</f>
        <v/>
      </c>
      <c r="E397" s="4" t="str">
        <f>IF(Customers!H397&gt;Customers!B397-18,"Tenure &gt; age-18","")</f>
        <v/>
      </c>
      <c r="F397" s="4" t="str">
        <f>IF(Customers!R397&gt;Customers!Q397,"Card spend &gt; limit","")</f>
        <v/>
      </c>
      <c r="G397" s="4" t="str">
        <f>IF(OR(AND(Customers!S397&gt;0,Customers!T397=0),AND(Customers!S397=0,Customers!T397&gt;0)),"Mortgage/payment inconsistent","")</f>
        <v/>
      </c>
      <c r="H397" s="4" t="str">
        <f>IF(AND(Customers!G397&lt;&gt;"",Customers!G397&gt;0,Customers!T397&gt;Customers!G397/12),"Payment &gt; monthly income","")</f>
        <v/>
      </c>
      <c r="I397" s="4" t="str">
        <f>IF(OR(Customers!I397&gt;DATE(2026,9,13),YEAR(Customers!I397)&lt;1980),"Implausible date","")</f>
        <v/>
      </c>
      <c r="J397" s="4" t="str">
        <f>IF(Customers!I397&gt;DATE(2026,9,13),"",IF(ABS(INT((DATE(2026,9,13)-Customers!I397)/365.25)-Customers!H397)&gt;1,"Date/tenure inconsistent",""))</f>
        <v/>
      </c>
      <c r="K397" s="4" t="str">
        <f>IF(COUNTIF(Customers!$A$2:$A$1001,Customers!A397)&gt;1,"Duplicate ID","")</f>
        <v/>
      </c>
      <c r="L397" s="4" t="str">
        <f>IF(COUNTIFS(Customers!$B$2:$B$1001,Customers!B397,Customers!$D$2:$D$1001,Customers!D397,Customers!$G$2:$G$1001,Customers!G397,Customers!$I$2:$I$1001,Customers!I397,Customers!$L$2:$L$1001,Customers!L397)&gt;1,"Duplicate record","")</f>
        <v/>
      </c>
      <c r="M397" s="4" t="str">
        <f>IF(OR(Customers!U397&lt;300,Customers!U397&gt;850),"Score out of range","")</f>
        <v/>
      </c>
      <c r="N397" s="4" t="str">
        <f>IF(AND(Customers!G397&lt;&gt;"",Customers!G397&lt;=0),"Income ≤ 0","")</f>
        <v/>
      </c>
      <c r="O397" s="4" t="str">
        <f>IF(OR(Customers!G397="",Customers!M397=""),"Missing value","")</f>
        <v/>
      </c>
      <c r="P397" s="4">
        <f t="shared" si="6"/>
        <v>1</v>
      </c>
    </row>
    <row r="398" spans="1:16" x14ac:dyDescent="0.25">
      <c r="A398" s="4" t="str">
        <f>Customers!A398</f>
        <v>CL00392</v>
      </c>
      <c r="B398" s="20">
        <f>IF(Customers!G398="","",(Customers!G398-Statistics!$C$7)/Statistics!$C$9)</f>
        <v>3.1575537944497769E-4</v>
      </c>
      <c r="C398" s="4" t="str">
        <f>IF(Customers!G398="","",IF(OR(Customers!G398&lt;Statistics!$C$15,Customers!G398&gt;Statistics!$C$16),"Outside 1.5·IQR",""))</f>
        <v/>
      </c>
      <c r="D398" s="4" t="str">
        <f>IF(OR(Customers!B398&lt;18,Customers!B398&gt;100),"Implausible age","")</f>
        <v/>
      </c>
      <c r="E398" s="4" t="str">
        <f>IF(Customers!H398&gt;Customers!B398-18,"Tenure &gt; age-18","")</f>
        <v/>
      </c>
      <c r="F398" s="4" t="str">
        <f>IF(Customers!R398&gt;Customers!Q398,"Card spend &gt; limit","")</f>
        <v/>
      </c>
      <c r="G398" s="4" t="str">
        <f>IF(OR(AND(Customers!S398&gt;0,Customers!T398=0),AND(Customers!S398=0,Customers!T398&gt;0)),"Mortgage/payment inconsistent","")</f>
        <v/>
      </c>
      <c r="H398" s="4" t="str">
        <f>IF(AND(Customers!G398&lt;&gt;"",Customers!G398&gt;0,Customers!T398&gt;Customers!G398/12),"Payment &gt; monthly income","")</f>
        <v/>
      </c>
      <c r="I398" s="4" t="str">
        <f>IF(OR(Customers!I398&gt;DATE(2026,9,13),YEAR(Customers!I398)&lt;1980),"Implausible date","")</f>
        <v/>
      </c>
      <c r="J398" s="4" t="str">
        <f>IF(Customers!I398&gt;DATE(2026,9,13),"",IF(ABS(INT((DATE(2026,9,13)-Customers!I398)/365.25)-Customers!H398)&gt;1,"Date/tenure inconsistent",""))</f>
        <v/>
      </c>
      <c r="K398" s="4" t="str">
        <f>IF(COUNTIF(Customers!$A$2:$A$1001,Customers!A398)&gt;1,"Duplicate ID","")</f>
        <v/>
      </c>
      <c r="L398" s="4" t="str">
        <f>IF(COUNTIFS(Customers!$B$2:$B$1001,Customers!B398,Customers!$D$2:$D$1001,Customers!D398,Customers!$G$2:$G$1001,Customers!G398,Customers!$I$2:$I$1001,Customers!I398,Customers!$L$2:$L$1001,Customers!L398)&gt;1,"Duplicate record","")</f>
        <v/>
      </c>
      <c r="M398" s="4" t="str">
        <f>IF(OR(Customers!U398&lt;300,Customers!U398&gt;850),"Score out of range","")</f>
        <v/>
      </c>
      <c r="N398" s="4" t="str">
        <f>IF(AND(Customers!G398&lt;&gt;"",Customers!G398&lt;=0),"Income ≤ 0","")</f>
        <v/>
      </c>
      <c r="O398" s="4" t="str">
        <f>IF(OR(Customers!G398="",Customers!M398=""),"Missing value","")</f>
        <v/>
      </c>
      <c r="P398" s="4">
        <f t="shared" si="6"/>
        <v>0</v>
      </c>
    </row>
    <row r="399" spans="1:16" x14ac:dyDescent="0.25">
      <c r="A399" s="4" t="str">
        <f>Customers!A399</f>
        <v>CL00393</v>
      </c>
      <c r="B399" s="20">
        <f>IF(Customers!G399="","",(Customers!G399-Statistics!$C$7)/Statistics!$C$9)</f>
        <v>-5.2673123832565762E-2</v>
      </c>
      <c r="C399" s="4" t="str">
        <f>IF(Customers!G399="","",IF(OR(Customers!G399&lt;Statistics!$C$15,Customers!G399&gt;Statistics!$C$16),"Outside 1.5·IQR",""))</f>
        <v/>
      </c>
      <c r="D399" s="4" t="str">
        <f>IF(OR(Customers!B399&lt;18,Customers!B399&gt;100),"Implausible age","")</f>
        <v/>
      </c>
      <c r="E399" s="4" t="str">
        <f>IF(Customers!H399&gt;Customers!B399-18,"Tenure &gt; age-18","")</f>
        <v/>
      </c>
      <c r="F399" s="4" t="str">
        <f>IF(Customers!R399&gt;Customers!Q399,"Card spend &gt; limit","")</f>
        <v/>
      </c>
      <c r="G399" s="4" t="str">
        <f>IF(OR(AND(Customers!S399&gt;0,Customers!T399=0),AND(Customers!S399=0,Customers!T399&gt;0)),"Mortgage/payment inconsistent","")</f>
        <v/>
      </c>
      <c r="H399" s="4" t="str">
        <f>IF(AND(Customers!G399&lt;&gt;"",Customers!G399&gt;0,Customers!T399&gt;Customers!G399/12),"Payment &gt; monthly income","")</f>
        <v/>
      </c>
      <c r="I399" s="4" t="str">
        <f>IF(OR(Customers!I399&gt;DATE(2026,9,13),YEAR(Customers!I399)&lt;1980),"Implausible date","")</f>
        <v/>
      </c>
      <c r="J399" s="4" t="str">
        <f>IF(Customers!I399&gt;DATE(2026,9,13),"",IF(ABS(INT((DATE(2026,9,13)-Customers!I399)/365.25)-Customers!H399)&gt;1,"Date/tenure inconsistent",""))</f>
        <v/>
      </c>
      <c r="K399" s="4" t="str">
        <f>IF(COUNTIF(Customers!$A$2:$A$1001,Customers!A399)&gt;1,"Duplicate ID","")</f>
        <v/>
      </c>
      <c r="L399" s="4" t="str">
        <f>IF(COUNTIFS(Customers!$B$2:$B$1001,Customers!B399,Customers!$D$2:$D$1001,Customers!D399,Customers!$G$2:$G$1001,Customers!G399,Customers!$I$2:$I$1001,Customers!I399,Customers!$L$2:$L$1001,Customers!L399)&gt;1,"Duplicate record","")</f>
        <v/>
      </c>
      <c r="M399" s="4" t="str">
        <f>IF(OR(Customers!U399&lt;300,Customers!U399&gt;850),"Score out of range","")</f>
        <v/>
      </c>
      <c r="N399" s="4" t="str">
        <f>IF(AND(Customers!G399&lt;&gt;"",Customers!G399&lt;=0),"Income ≤ 0","")</f>
        <v/>
      </c>
      <c r="O399" s="4" t="str">
        <f>IF(OR(Customers!G399="",Customers!M399=""),"Missing value","")</f>
        <v/>
      </c>
      <c r="P399" s="4">
        <f t="shared" si="6"/>
        <v>0</v>
      </c>
    </row>
    <row r="400" spans="1:16" x14ac:dyDescent="0.25">
      <c r="A400" s="4" t="str">
        <f>Customers!A400</f>
        <v>CL00394</v>
      </c>
      <c r="B400" s="20">
        <f>IF(Customers!G400="","",(Customers!G400-Statistics!$C$7)/Statistics!$C$9)</f>
        <v>-4.420278254588747E-2</v>
      </c>
      <c r="C400" s="4" t="str">
        <f>IF(Customers!G400="","",IF(OR(Customers!G400&lt;Statistics!$C$15,Customers!G400&gt;Statistics!$C$16),"Outside 1.5·IQR",""))</f>
        <v/>
      </c>
      <c r="D400" s="4" t="str">
        <f>IF(OR(Customers!B400&lt;18,Customers!B400&gt;100),"Implausible age","")</f>
        <v/>
      </c>
      <c r="E400" s="4" t="str">
        <f>IF(Customers!H400&gt;Customers!B400-18,"Tenure &gt; age-18","")</f>
        <v/>
      </c>
      <c r="F400" s="4" t="str">
        <f>IF(Customers!R400&gt;Customers!Q400,"Card spend &gt; limit","")</f>
        <v/>
      </c>
      <c r="G400" s="4" t="str">
        <f>IF(OR(AND(Customers!S400&gt;0,Customers!T400=0),AND(Customers!S400=0,Customers!T400&gt;0)),"Mortgage/payment inconsistent","")</f>
        <v/>
      </c>
      <c r="H400" s="4" t="str">
        <f>IF(AND(Customers!G400&lt;&gt;"",Customers!G400&gt;0,Customers!T400&gt;Customers!G400/12),"Payment &gt; monthly income","")</f>
        <v/>
      </c>
      <c r="I400" s="4" t="str">
        <f>IF(OR(Customers!I400&gt;DATE(2026,9,13),YEAR(Customers!I400)&lt;1980),"Implausible date","")</f>
        <v/>
      </c>
      <c r="J400" s="4" t="str">
        <f>IF(Customers!I400&gt;DATE(2026,9,13),"",IF(ABS(INT((DATE(2026,9,13)-Customers!I400)/365.25)-Customers!H400)&gt;1,"Date/tenure inconsistent",""))</f>
        <v/>
      </c>
      <c r="K400" s="4" t="str">
        <f>IF(COUNTIF(Customers!$A$2:$A$1001,Customers!A400)&gt;1,"Duplicate ID","")</f>
        <v/>
      </c>
      <c r="L400" s="4" t="str">
        <f>IF(COUNTIFS(Customers!$B$2:$B$1001,Customers!B400,Customers!$D$2:$D$1001,Customers!D400,Customers!$G$2:$G$1001,Customers!G400,Customers!$I$2:$I$1001,Customers!I400,Customers!$L$2:$L$1001,Customers!L400)&gt;1,"Duplicate record","")</f>
        <v/>
      </c>
      <c r="M400" s="4" t="str">
        <f>IF(OR(Customers!U400&lt;300,Customers!U400&gt;850),"Score out of range","")</f>
        <v/>
      </c>
      <c r="N400" s="4" t="str">
        <f>IF(AND(Customers!G400&lt;&gt;"",Customers!G400&lt;=0),"Income ≤ 0","")</f>
        <v/>
      </c>
      <c r="O400" s="4" t="str">
        <f>IF(OR(Customers!G400="",Customers!M400=""),"Missing value","")</f>
        <v/>
      </c>
      <c r="P400" s="4">
        <f t="shared" si="6"/>
        <v>0</v>
      </c>
    </row>
    <row r="401" spans="1:16" x14ac:dyDescent="0.25">
      <c r="A401" s="4" t="str">
        <f>Customers!A401</f>
        <v>CL00395</v>
      </c>
      <c r="B401" s="20">
        <f>IF(Customers!G401="","",(Customers!G401-Statistics!$C$7)/Statistics!$C$9)</f>
        <v>-5.080176936225312E-2</v>
      </c>
      <c r="C401" s="4" t="str">
        <f>IF(Customers!G401="","",IF(OR(Customers!G401&lt;Statistics!$C$15,Customers!G401&gt;Statistics!$C$16),"Outside 1.5·IQR",""))</f>
        <v/>
      </c>
      <c r="D401" s="4" t="str">
        <f>IF(OR(Customers!B401&lt;18,Customers!B401&gt;100),"Implausible age","")</f>
        <v/>
      </c>
      <c r="E401" s="4" t="str">
        <f>IF(Customers!H401&gt;Customers!B401-18,"Tenure &gt; age-18","")</f>
        <v/>
      </c>
      <c r="F401" s="4" t="str">
        <f>IF(Customers!R401&gt;Customers!Q401,"Card spend &gt; limit","")</f>
        <v/>
      </c>
      <c r="G401" s="4" t="str">
        <f>IF(OR(AND(Customers!S401&gt;0,Customers!T401=0),AND(Customers!S401=0,Customers!T401&gt;0)),"Mortgage/payment inconsistent","")</f>
        <v/>
      </c>
      <c r="H401" s="4" t="str">
        <f>IF(AND(Customers!G401&lt;&gt;"",Customers!G401&gt;0,Customers!T401&gt;Customers!G401/12),"Payment &gt; monthly income","")</f>
        <v/>
      </c>
      <c r="I401" s="4" t="str">
        <f>IF(OR(Customers!I401&gt;DATE(2026,9,13),YEAR(Customers!I401)&lt;1980),"Implausible date","")</f>
        <v/>
      </c>
      <c r="J401" s="4" t="str">
        <f>IF(Customers!I401&gt;DATE(2026,9,13),"",IF(ABS(INT((DATE(2026,9,13)-Customers!I401)/365.25)-Customers!H401)&gt;1,"Date/tenure inconsistent",""))</f>
        <v/>
      </c>
      <c r="K401" s="4" t="str">
        <f>IF(COUNTIF(Customers!$A$2:$A$1001,Customers!A401)&gt;1,"Duplicate ID","")</f>
        <v/>
      </c>
      <c r="L401" s="4" t="str">
        <f>IF(COUNTIFS(Customers!$B$2:$B$1001,Customers!B401,Customers!$D$2:$D$1001,Customers!D401,Customers!$G$2:$G$1001,Customers!G401,Customers!$I$2:$I$1001,Customers!I401,Customers!$L$2:$L$1001,Customers!L401)&gt;1,"Duplicate record","")</f>
        <v/>
      </c>
      <c r="M401" s="4" t="str">
        <f>IF(OR(Customers!U401&lt;300,Customers!U401&gt;850),"Score out of range","")</f>
        <v/>
      </c>
      <c r="N401" s="4" t="str">
        <f>IF(AND(Customers!G401&lt;&gt;"",Customers!G401&lt;=0),"Income ≤ 0","")</f>
        <v/>
      </c>
      <c r="O401" s="4" t="str">
        <f>IF(OR(Customers!G401="",Customers!M401=""),"Missing value","")</f>
        <v/>
      </c>
      <c r="P401" s="4">
        <f t="shared" si="6"/>
        <v>0</v>
      </c>
    </row>
    <row r="402" spans="1:16" x14ac:dyDescent="0.25">
      <c r="A402" s="4" t="str">
        <f>Customers!A402</f>
        <v>CL00396</v>
      </c>
      <c r="B402" s="20">
        <f>IF(Customers!G402="","",(Customers!G402-Statistics!$C$7)/Statistics!$C$9)</f>
        <v>-2.5292253161675455E-2</v>
      </c>
      <c r="C402" s="4" t="str">
        <f>IF(Customers!G402="","",IF(OR(Customers!G402&lt;Statistics!$C$15,Customers!G402&gt;Statistics!$C$16),"Outside 1.5·IQR",""))</f>
        <v/>
      </c>
      <c r="D402" s="4" t="str">
        <f>IF(OR(Customers!B402&lt;18,Customers!B402&gt;100),"Implausible age","")</f>
        <v/>
      </c>
      <c r="E402" s="4" t="str">
        <f>IF(Customers!H402&gt;Customers!B402-18,"Tenure &gt; age-18","")</f>
        <v/>
      </c>
      <c r="F402" s="4" t="str">
        <f>IF(Customers!R402&gt;Customers!Q402,"Card spend &gt; limit","")</f>
        <v/>
      </c>
      <c r="G402" s="4" t="str">
        <f>IF(OR(AND(Customers!S402&gt;0,Customers!T402=0),AND(Customers!S402=0,Customers!T402&gt;0)),"Mortgage/payment inconsistent","")</f>
        <v/>
      </c>
      <c r="H402" s="4" t="str">
        <f>IF(AND(Customers!G402&lt;&gt;"",Customers!G402&gt;0,Customers!T402&gt;Customers!G402/12),"Payment &gt; monthly income","")</f>
        <v/>
      </c>
      <c r="I402" s="4" t="str">
        <f>IF(OR(Customers!I402&gt;DATE(2026,9,13),YEAR(Customers!I402)&lt;1980),"Implausible date","")</f>
        <v/>
      </c>
      <c r="J402" s="4" t="str">
        <f>IF(Customers!I402&gt;DATE(2026,9,13),"",IF(ABS(INT((DATE(2026,9,13)-Customers!I402)/365.25)-Customers!H402)&gt;1,"Date/tenure inconsistent",""))</f>
        <v/>
      </c>
      <c r="K402" s="4" t="str">
        <f>IF(COUNTIF(Customers!$A$2:$A$1001,Customers!A402)&gt;1,"Duplicate ID","")</f>
        <v/>
      </c>
      <c r="L402" s="4" t="str">
        <f>IF(COUNTIFS(Customers!$B$2:$B$1001,Customers!B402,Customers!$D$2:$D$1001,Customers!D402,Customers!$G$2:$G$1001,Customers!G402,Customers!$I$2:$I$1001,Customers!I402,Customers!$L$2:$L$1001,Customers!L402)&gt;1,"Duplicate record","")</f>
        <v/>
      </c>
      <c r="M402" s="4" t="str">
        <f>IF(OR(Customers!U402&lt;300,Customers!U402&gt;850),"Score out of range","")</f>
        <v/>
      </c>
      <c r="N402" s="4" t="str">
        <f>IF(AND(Customers!G402&lt;&gt;"",Customers!G402&lt;=0),"Income ≤ 0","")</f>
        <v/>
      </c>
      <c r="O402" s="4" t="str">
        <f>IF(OR(Customers!G402="",Customers!M402=""),"Missing value","")</f>
        <v/>
      </c>
      <c r="P402" s="4">
        <f t="shared" si="6"/>
        <v>0</v>
      </c>
    </row>
    <row r="403" spans="1:16" x14ac:dyDescent="0.25">
      <c r="A403" s="4" t="str">
        <f>Customers!A403</f>
        <v>CL00397</v>
      </c>
      <c r="B403" s="20">
        <f>IF(Customers!G403="","",(Customers!G403-Statistics!$C$7)/Statistics!$C$9)</f>
        <v>-4.0657058286347712E-2</v>
      </c>
      <c r="C403" s="4" t="str">
        <f>IF(Customers!G403="","",IF(OR(Customers!G403&lt;Statistics!$C$15,Customers!G403&gt;Statistics!$C$16),"Outside 1.5·IQR",""))</f>
        <v/>
      </c>
      <c r="D403" s="4" t="str">
        <f>IF(OR(Customers!B403&lt;18,Customers!B403&gt;100),"Implausible age","")</f>
        <v/>
      </c>
      <c r="E403" s="4" t="str">
        <f>IF(Customers!H403&gt;Customers!B403-18,"Tenure &gt; age-18","")</f>
        <v/>
      </c>
      <c r="F403" s="4" t="str">
        <f>IF(Customers!R403&gt;Customers!Q403,"Card spend &gt; limit","")</f>
        <v/>
      </c>
      <c r="G403" s="4" t="str">
        <f>IF(OR(AND(Customers!S403&gt;0,Customers!T403=0),AND(Customers!S403=0,Customers!T403&gt;0)),"Mortgage/payment inconsistent","")</f>
        <v/>
      </c>
      <c r="H403" s="4" t="str">
        <f>IF(AND(Customers!G403&lt;&gt;"",Customers!G403&gt;0,Customers!T403&gt;Customers!G403/12),"Payment &gt; monthly income","")</f>
        <v/>
      </c>
      <c r="I403" s="4" t="str">
        <f>IF(OR(Customers!I403&gt;DATE(2026,9,13),YEAR(Customers!I403)&lt;1980),"Implausible date","")</f>
        <v/>
      </c>
      <c r="J403" s="4" t="str">
        <f>IF(Customers!I403&gt;DATE(2026,9,13),"",IF(ABS(INT((DATE(2026,9,13)-Customers!I403)/365.25)-Customers!H403)&gt;1,"Date/tenure inconsistent",""))</f>
        <v/>
      </c>
      <c r="K403" s="4" t="str">
        <f>IF(COUNTIF(Customers!$A$2:$A$1001,Customers!A403)&gt;1,"Duplicate ID","")</f>
        <v/>
      </c>
      <c r="L403" s="4" t="str">
        <f>IF(COUNTIFS(Customers!$B$2:$B$1001,Customers!B403,Customers!$D$2:$D$1001,Customers!D403,Customers!$G$2:$G$1001,Customers!G403,Customers!$I$2:$I$1001,Customers!I403,Customers!$L$2:$L$1001,Customers!L403)&gt;1,"Duplicate record","")</f>
        <v/>
      </c>
      <c r="M403" s="4" t="str">
        <f>IF(OR(Customers!U403&lt;300,Customers!U403&gt;850),"Score out of range","")</f>
        <v/>
      </c>
      <c r="N403" s="4" t="str">
        <f>IF(AND(Customers!G403&lt;&gt;"",Customers!G403&lt;=0),"Income ≤ 0","")</f>
        <v/>
      </c>
      <c r="O403" s="4" t="str">
        <f>IF(OR(Customers!G403="",Customers!M403=""),"Missing value","")</f>
        <v/>
      </c>
      <c r="P403" s="4">
        <f t="shared" si="6"/>
        <v>0</v>
      </c>
    </row>
    <row r="404" spans="1:16" x14ac:dyDescent="0.25">
      <c r="A404" s="4" t="str">
        <f>Customers!A404</f>
        <v>CL00398</v>
      </c>
      <c r="B404" s="20">
        <f>IF(Customers!G404="","",(Customers!G404-Statistics!$C$7)/Statistics!$C$9)</f>
        <v>6.1381006515962934E-2</v>
      </c>
      <c r="C404" s="4" t="str">
        <f>IF(Customers!G404="","",IF(OR(Customers!G404&lt;Statistics!$C$15,Customers!G404&gt;Statistics!$C$16),"Outside 1.5·IQR",""))</f>
        <v>Outside 1.5·IQR</v>
      </c>
      <c r="D404" s="4" t="str">
        <f>IF(OR(Customers!B404&lt;18,Customers!B404&gt;100),"Implausible age","")</f>
        <v/>
      </c>
      <c r="E404" s="4" t="str">
        <f>IF(Customers!H404&gt;Customers!B404-18,"Tenure &gt; age-18","")</f>
        <v/>
      </c>
      <c r="F404" s="4" t="str">
        <f>IF(Customers!R404&gt;Customers!Q404,"Card spend &gt; limit","")</f>
        <v/>
      </c>
      <c r="G404" s="4" t="str">
        <f>IF(OR(AND(Customers!S404&gt;0,Customers!T404=0),AND(Customers!S404=0,Customers!T404&gt;0)),"Mortgage/payment inconsistent","")</f>
        <v/>
      </c>
      <c r="H404" s="4" t="str">
        <f>IF(AND(Customers!G404&lt;&gt;"",Customers!G404&gt;0,Customers!T404&gt;Customers!G404/12),"Payment &gt; monthly income","")</f>
        <v/>
      </c>
      <c r="I404" s="4" t="str">
        <f>IF(OR(Customers!I404&gt;DATE(2026,9,13),YEAR(Customers!I404)&lt;1980),"Implausible date","")</f>
        <v/>
      </c>
      <c r="J404" s="4" t="str">
        <f>IF(Customers!I404&gt;DATE(2026,9,13),"",IF(ABS(INT((DATE(2026,9,13)-Customers!I404)/365.25)-Customers!H404)&gt;1,"Date/tenure inconsistent",""))</f>
        <v/>
      </c>
      <c r="K404" s="4" t="str">
        <f>IF(COUNTIF(Customers!$A$2:$A$1001,Customers!A404)&gt;1,"Duplicate ID","")</f>
        <v/>
      </c>
      <c r="L404" s="4" t="str">
        <f>IF(COUNTIFS(Customers!$B$2:$B$1001,Customers!B404,Customers!$D$2:$D$1001,Customers!D404,Customers!$G$2:$G$1001,Customers!G404,Customers!$I$2:$I$1001,Customers!I404,Customers!$L$2:$L$1001,Customers!L404)&gt;1,"Duplicate record","")</f>
        <v/>
      </c>
      <c r="M404" s="4" t="str">
        <f>IF(OR(Customers!U404&lt;300,Customers!U404&gt;850),"Score out of range","")</f>
        <v/>
      </c>
      <c r="N404" s="4" t="str">
        <f>IF(AND(Customers!G404&lt;&gt;"",Customers!G404&lt;=0),"Income ≤ 0","")</f>
        <v/>
      </c>
      <c r="O404" s="4" t="str">
        <f>IF(OR(Customers!G404="",Customers!M404=""),"Missing value","")</f>
        <v/>
      </c>
      <c r="P404" s="4">
        <f t="shared" si="6"/>
        <v>1</v>
      </c>
    </row>
    <row r="405" spans="1:16" x14ac:dyDescent="0.25">
      <c r="A405" s="4" t="str">
        <f>Customers!A405</f>
        <v>CL00399</v>
      </c>
      <c r="B405" s="20">
        <f>IF(Customers!G405="","",(Customers!G405-Statistics!$C$7)/Statistics!$C$9)</f>
        <v>-3.5929425940294711E-2</v>
      </c>
      <c r="C405" s="4" t="str">
        <f>IF(Customers!G405="","",IF(OR(Customers!G405&lt;Statistics!$C$15,Customers!G405&gt;Statistics!$C$16),"Outside 1.5·IQR",""))</f>
        <v/>
      </c>
      <c r="D405" s="4" t="str">
        <f>IF(OR(Customers!B405&lt;18,Customers!B405&gt;100),"Implausible age","")</f>
        <v/>
      </c>
      <c r="E405" s="4" t="str">
        <f>IF(Customers!H405&gt;Customers!B405-18,"Tenure &gt; age-18","")</f>
        <v/>
      </c>
      <c r="F405" s="4" t="str">
        <f>IF(Customers!R405&gt;Customers!Q405,"Card spend &gt; limit","")</f>
        <v/>
      </c>
      <c r="G405" s="4" t="str">
        <f>IF(OR(AND(Customers!S405&gt;0,Customers!T405=0),AND(Customers!S405=0,Customers!T405&gt;0)),"Mortgage/payment inconsistent","")</f>
        <v/>
      </c>
      <c r="H405" s="4" t="str">
        <f>IF(AND(Customers!G405&lt;&gt;"",Customers!G405&gt;0,Customers!T405&gt;Customers!G405/12),"Payment &gt; monthly income","")</f>
        <v/>
      </c>
      <c r="I405" s="4" t="str">
        <f>IF(OR(Customers!I405&gt;DATE(2026,9,13),YEAR(Customers!I405)&lt;1980),"Implausible date","")</f>
        <v/>
      </c>
      <c r="J405" s="4" t="str">
        <f>IF(Customers!I405&gt;DATE(2026,9,13),"",IF(ABS(INT((DATE(2026,9,13)-Customers!I405)/365.25)-Customers!H405)&gt;1,"Date/tenure inconsistent",""))</f>
        <v/>
      </c>
      <c r="K405" s="4" t="str">
        <f>IF(COUNTIF(Customers!$A$2:$A$1001,Customers!A405)&gt;1,"Duplicate ID","")</f>
        <v/>
      </c>
      <c r="L405" s="4" t="str">
        <f>IF(COUNTIFS(Customers!$B$2:$B$1001,Customers!B405,Customers!$D$2:$D$1001,Customers!D405,Customers!$G$2:$G$1001,Customers!G405,Customers!$I$2:$I$1001,Customers!I405,Customers!$L$2:$L$1001,Customers!L405)&gt;1,"Duplicate record","")</f>
        <v/>
      </c>
      <c r="M405" s="4" t="str">
        <f>IF(OR(Customers!U405&lt;300,Customers!U405&gt;850),"Score out of range","")</f>
        <v/>
      </c>
      <c r="N405" s="4" t="str">
        <f>IF(AND(Customers!G405&lt;&gt;"",Customers!G405&lt;=0),"Income ≤ 0","")</f>
        <v/>
      </c>
      <c r="O405" s="4" t="str">
        <f>IF(OR(Customers!G405="",Customers!M405=""),"Missing value","")</f>
        <v/>
      </c>
      <c r="P405" s="4">
        <f t="shared" si="6"/>
        <v>0</v>
      </c>
    </row>
    <row r="406" spans="1:16" x14ac:dyDescent="0.25">
      <c r="A406" s="4" t="str">
        <f>Customers!A406</f>
        <v>CL00400</v>
      </c>
      <c r="B406" s="20">
        <f>IF(Customers!G406="","",(Customers!G406-Statistics!$C$7)/Statistics!$C$9)</f>
        <v>-6.4590697038241038E-2</v>
      </c>
      <c r="C406" s="4" t="str">
        <f>IF(Customers!G406="","",IF(OR(Customers!G406&lt;Statistics!$C$15,Customers!G406&gt;Statistics!$C$16),"Outside 1.5·IQR",""))</f>
        <v/>
      </c>
      <c r="D406" s="4" t="str">
        <f>IF(OR(Customers!B406&lt;18,Customers!B406&gt;100),"Implausible age","")</f>
        <v/>
      </c>
      <c r="E406" s="4" t="str">
        <f>IF(Customers!H406&gt;Customers!B406-18,"Tenure &gt; age-18","")</f>
        <v/>
      </c>
      <c r="F406" s="4" t="str">
        <f>IF(Customers!R406&gt;Customers!Q406,"Card spend &gt; limit","")</f>
        <v/>
      </c>
      <c r="G406" s="4" t="str">
        <f>IF(OR(AND(Customers!S406&gt;0,Customers!T406=0),AND(Customers!S406=0,Customers!T406&gt;0)),"Mortgage/payment inconsistent","")</f>
        <v/>
      </c>
      <c r="H406" s="4" t="str">
        <f>IF(AND(Customers!G406&lt;&gt;"",Customers!G406&gt;0,Customers!T406&gt;Customers!G406/12),"Payment &gt; monthly income","")</f>
        <v/>
      </c>
      <c r="I406" s="4" t="str">
        <f>IF(OR(Customers!I406&gt;DATE(2026,9,13),YEAR(Customers!I406)&lt;1980),"Implausible date","")</f>
        <v/>
      </c>
      <c r="J406" s="4" t="str">
        <f>IF(Customers!I406&gt;DATE(2026,9,13),"",IF(ABS(INT((DATE(2026,9,13)-Customers!I406)/365.25)-Customers!H406)&gt;1,"Date/tenure inconsistent",""))</f>
        <v/>
      </c>
      <c r="K406" s="4" t="str">
        <f>IF(COUNTIF(Customers!$A$2:$A$1001,Customers!A406)&gt;1,"Duplicate ID","")</f>
        <v/>
      </c>
      <c r="L406" s="4" t="str">
        <f>IF(COUNTIFS(Customers!$B$2:$B$1001,Customers!B406,Customers!$D$2:$D$1001,Customers!D406,Customers!$G$2:$G$1001,Customers!G406,Customers!$I$2:$I$1001,Customers!I406,Customers!$L$2:$L$1001,Customers!L406)&gt;1,"Duplicate record","")</f>
        <v/>
      </c>
      <c r="M406" s="4" t="str">
        <f>IF(OR(Customers!U406&lt;300,Customers!U406&gt;850),"Score out of range","")</f>
        <v/>
      </c>
      <c r="N406" s="4" t="str">
        <f>IF(AND(Customers!G406&lt;&gt;"",Customers!G406&lt;=0),"Income ≤ 0","")</f>
        <v/>
      </c>
      <c r="O406" s="4" t="str">
        <f>IF(OR(Customers!G406="",Customers!M406=""),"Missing value","")</f>
        <v/>
      </c>
      <c r="P406" s="4">
        <f t="shared" si="6"/>
        <v>0</v>
      </c>
    </row>
    <row r="407" spans="1:16" x14ac:dyDescent="0.25">
      <c r="A407" s="4" t="str">
        <f>Customers!A407</f>
        <v>CL00401</v>
      </c>
      <c r="B407" s="20">
        <f>IF(Customers!G407="","",(Customers!G407-Statistics!$C$7)/Statistics!$C$9)</f>
        <v>-6.3605773632813334E-2</v>
      </c>
      <c r="C407" s="4" t="str">
        <f>IF(Customers!G407="","",IF(OR(Customers!G407&lt;Statistics!$C$15,Customers!G407&gt;Statistics!$C$16),"Outside 1.5·IQR",""))</f>
        <v/>
      </c>
      <c r="D407" s="4" t="str">
        <f>IF(OR(Customers!B407&lt;18,Customers!B407&gt;100),"Implausible age","")</f>
        <v/>
      </c>
      <c r="E407" s="4" t="str">
        <f>IF(Customers!H407&gt;Customers!B407-18,"Tenure &gt; age-18","")</f>
        <v/>
      </c>
      <c r="F407" s="4" t="str">
        <f>IF(Customers!R407&gt;Customers!Q407,"Card spend &gt; limit","")</f>
        <v/>
      </c>
      <c r="G407" s="4" t="str">
        <f>IF(OR(AND(Customers!S407&gt;0,Customers!T407=0),AND(Customers!S407=0,Customers!T407&gt;0)),"Mortgage/payment inconsistent","")</f>
        <v/>
      </c>
      <c r="H407" s="4" t="str">
        <f>IF(AND(Customers!G407&lt;&gt;"",Customers!G407&gt;0,Customers!T407&gt;Customers!G407/12),"Payment &gt; monthly income","")</f>
        <v/>
      </c>
      <c r="I407" s="4" t="str">
        <f>IF(OR(Customers!I407&gt;DATE(2026,9,13),YEAR(Customers!I407)&lt;1980),"Implausible date","")</f>
        <v/>
      </c>
      <c r="J407" s="4" t="str">
        <f>IF(Customers!I407&gt;DATE(2026,9,13),"",IF(ABS(INT((DATE(2026,9,13)-Customers!I407)/365.25)-Customers!H407)&gt;1,"Date/tenure inconsistent",""))</f>
        <v/>
      </c>
      <c r="K407" s="4" t="str">
        <f>IF(COUNTIF(Customers!$A$2:$A$1001,Customers!A407)&gt;1,"Duplicate ID","")</f>
        <v/>
      </c>
      <c r="L407" s="4" t="str">
        <f>IF(COUNTIFS(Customers!$B$2:$B$1001,Customers!B407,Customers!$D$2:$D$1001,Customers!D407,Customers!$G$2:$G$1001,Customers!G407,Customers!$I$2:$I$1001,Customers!I407,Customers!$L$2:$L$1001,Customers!L407)&gt;1,"Duplicate record","")</f>
        <v/>
      </c>
      <c r="M407" s="4" t="str">
        <f>IF(OR(Customers!U407&lt;300,Customers!U407&gt;850),"Score out of range","")</f>
        <v/>
      </c>
      <c r="N407" s="4" t="str">
        <f>IF(AND(Customers!G407&lt;&gt;"",Customers!G407&lt;=0),"Income ≤ 0","")</f>
        <v/>
      </c>
      <c r="O407" s="4" t="str">
        <f>IF(OR(Customers!G407="",Customers!M407=""),"Missing value","")</f>
        <v/>
      </c>
      <c r="P407" s="4">
        <f t="shared" si="6"/>
        <v>0</v>
      </c>
    </row>
    <row r="408" spans="1:16" x14ac:dyDescent="0.25">
      <c r="A408" s="4" t="str">
        <f>Customers!A408</f>
        <v>CL00402</v>
      </c>
      <c r="B408" s="20">
        <f>IF(Customers!G408="","",(Customers!G408-Statistics!$C$7)/Statistics!$C$9)</f>
        <v>-5.7893217881332622E-2</v>
      </c>
      <c r="C408" s="4" t="str">
        <f>IF(Customers!G408="","",IF(OR(Customers!G408&lt;Statistics!$C$15,Customers!G408&gt;Statistics!$C$16),"Outside 1.5·IQR",""))</f>
        <v/>
      </c>
      <c r="D408" s="4" t="str">
        <f>IF(OR(Customers!B408&lt;18,Customers!B408&gt;100),"Implausible age","")</f>
        <v/>
      </c>
      <c r="E408" s="4" t="str">
        <f>IF(Customers!H408&gt;Customers!B408-18,"Tenure &gt; age-18","")</f>
        <v/>
      </c>
      <c r="F408" s="4" t="str">
        <f>IF(Customers!R408&gt;Customers!Q408,"Card spend &gt; limit","")</f>
        <v/>
      </c>
      <c r="G408" s="4" t="str">
        <f>IF(OR(AND(Customers!S408&gt;0,Customers!T408=0),AND(Customers!S408=0,Customers!T408&gt;0)),"Mortgage/payment inconsistent","")</f>
        <v/>
      </c>
      <c r="H408" s="4" t="str">
        <f>IF(AND(Customers!G408&lt;&gt;"",Customers!G408&gt;0,Customers!T408&gt;Customers!G408/12),"Payment &gt; monthly income","")</f>
        <v/>
      </c>
      <c r="I408" s="4" t="str">
        <f>IF(OR(Customers!I408&gt;DATE(2026,9,13),YEAR(Customers!I408)&lt;1980),"Implausible date","")</f>
        <v/>
      </c>
      <c r="J408" s="4" t="str">
        <f>IF(Customers!I408&gt;DATE(2026,9,13),"",IF(ABS(INT((DATE(2026,9,13)-Customers!I408)/365.25)-Customers!H408)&gt;1,"Date/tenure inconsistent",""))</f>
        <v/>
      </c>
      <c r="K408" s="4" t="str">
        <f>IF(COUNTIF(Customers!$A$2:$A$1001,Customers!A408)&gt;1,"Duplicate ID","")</f>
        <v/>
      </c>
      <c r="L408" s="4" t="str">
        <f>IF(COUNTIFS(Customers!$B$2:$B$1001,Customers!B408,Customers!$D$2:$D$1001,Customers!D408,Customers!$G$2:$G$1001,Customers!G408,Customers!$I$2:$I$1001,Customers!I408,Customers!$L$2:$L$1001,Customers!L408)&gt;1,"Duplicate record","")</f>
        <v/>
      </c>
      <c r="M408" s="4" t="str">
        <f>IF(OR(Customers!U408&lt;300,Customers!U408&gt;850),"Score out of range","")</f>
        <v/>
      </c>
      <c r="N408" s="4" t="str">
        <f>IF(AND(Customers!G408&lt;&gt;"",Customers!G408&lt;=0),"Income ≤ 0","")</f>
        <v/>
      </c>
      <c r="O408" s="4" t="str">
        <f>IF(OR(Customers!G408="",Customers!M408=""),"Missing value","")</f>
        <v/>
      </c>
      <c r="P408" s="4">
        <f t="shared" si="6"/>
        <v>0</v>
      </c>
    </row>
    <row r="409" spans="1:16" x14ac:dyDescent="0.25">
      <c r="A409" s="4" t="str">
        <f>Customers!A409</f>
        <v>CL00403</v>
      </c>
      <c r="B409" s="20">
        <f>IF(Customers!G409="","",(Customers!G409-Statistics!$C$7)/Statistics!$C$9)</f>
        <v>-3.4944502534867E-2</v>
      </c>
      <c r="C409" s="4" t="str">
        <f>IF(Customers!G409="","",IF(OR(Customers!G409&lt;Statistics!$C$15,Customers!G409&gt;Statistics!$C$16),"Outside 1.5·IQR",""))</f>
        <v/>
      </c>
      <c r="D409" s="4" t="str">
        <f>IF(OR(Customers!B409&lt;18,Customers!B409&gt;100),"Implausible age","")</f>
        <v/>
      </c>
      <c r="E409" s="4" t="str">
        <f>IF(Customers!H409&gt;Customers!B409-18,"Tenure &gt; age-18","")</f>
        <v/>
      </c>
      <c r="F409" s="4" t="str">
        <f>IF(Customers!R409&gt;Customers!Q409,"Card spend &gt; limit","")</f>
        <v/>
      </c>
      <c r="G409" s="4" t="str">
        <f>IF(OR(AND(Customers!S409&gt;0,Customers!T409=0),AND(Customers!S409=0,Customers!T409&gt;0)),"Mortgage/payment inconsistent","")</f>
        <v/>
      </c>
      <c r="H409" s="4" t="str">
        <f>IF(AND(Customers!G409&lt;&gt;"",Customers!G409&gt;0,Customers!T409&gt;Customers!G409/12),"Payment &gt; monthly income","")</f>
        <v/>
      </c>
      <c r="I409" s="4" t="str">
        <f>IF(OR(Customers!I409&gt;DATE(2026,9,13),YEAR(Customers!I409)&lt;1980),"Implausible date","")</f>
        <v/>
      </c>
      <c r="J409" s="4" t="str">
        <f>IF(Customers!I409&gt;DATE(2026,9,13),"",IF(ABS(INT((DATE(2026,9,13)-Customers!I409)/365.25)-Customers!H409)&gt;1,"Date/tenure inconsistent",""))</f>
        <v/>
      </c>
      <c r="K409" s="4" t="str">
        <f>IF(COUNTIF(Customers!$A$2:$A$1001,Customers!A409)&gt;1,"Duplicate ID","")</f>
        <v/>
      </c>
      <c r="L409" s="4" t="str">
        <f>IF(COUNTIFS(Customers!$B$2:$B$1001,Customers!B409,Customers!$D$2:$D$1001,Customers!D409,Customers!$G$2:$G$1001,Customers!G409,Customers!$I$2:$I$1001,Customers!I409,Customers!$L$2:$L$1001,Customers!L409)&gt;1,"Duplicate record","")</f>
        <v/>
      </c>
      <c r="M409" s="4" t="str">
        <f>IF(OR(Customers!U409&lt;300,Customers!U409&gt;850),"Score out of range","")</f>
        <v/>
      </c>
      <c r="N409" s="4" t="str">
        <f>IF(AND(Customers!G409&lt;&gt;"",Customers!G409&lt;=0),"Income ≤ 0","")</f>
        <v/>
      </c>
      <c r="O409" s="4" t="str">
        <f>IF(OR(Customers!G409="",Customers!M409=""),"Missing value","")</f>
        <v/>
      </c>
      <c r="P409" s="4">
        <f t="shared" si="6"/>
        <v>0</v>
      </c>
    </row>
    <row r="410" spans="1:16" x14ac:dyDescent="0.25">
      <c r="A410" s="4" t="str">
        <f>Customers!A410</f>
        <v>CL00404</v>
      </c>
      <c r="B410" s="20">
        <f>IF(Customers!G410="","",(Customers!G410-Statistics!$C$7)/Statistics!$C$9)</f>
        <v>-3.780078041060736E-2</v>
      </c>
      <c r="C410" s="4" t="str">
        <f>IF(Customers!G410="","",IF(OR(Customers!G410&lt;Statistics!$C$15,Customers!G410&gt;Statistics!$C$16),"Outside 1.5·IQR",""))</f>
        <v/>
      </c>
      <c r="D410" s="4" t="str">
        <f>IF(OR(Customers!B410&lt;18,Customers!B410&gt;100),"Implausible age","")</f>
        <v/>
      </c>
      <c r="E410" s="4" t="str">
        <f>IF(Customers!H410&gt;Customers!B410-18,"Tenure &gt; age-18","")</f>
        <v/>
      </c>
      <c r="F410" s="4" t="str">
        <f>IF(Customers!R410&gt;Customers!Q410,"Card spend &gt; limit","")</f>
        <v/>
      </c>
      <c r="G410" s="4" t="str">
        <f>IF(OR(AND(Customers!S410&gt;0,Customers!T410=0),AND(Customers!S410=0,Customers!T410&gt;0)),"Mortgage/payment inconsistent","")</f>
        <v/>
      </c>
      <c r="H410" s="4" t="str">
        <f>IF(AND(Customers!G410&lt;&gt;"",Customers!G410&gt;0,Customers!T410&gt;Customers!G410/12),"Payment &gt; monthly income","")</f>
        <v/>
      </c>
      <c r="I410" s="4" t="str">
        <f>IF(OR(Customers!I410&gt;DATE(2026,9,13),YEAR(Customers!I410)&lt;1980),"Implausible date","")</f>
        <v/>
      </c>
      <c r="J410" s="4" t="str">
        <f>IF(Customers!I410&gt;DATE(2026,9,13),"",IF(ABS(INT((DATE(2026,9,13)-Customers!I410)/365.25)-Customers!H410)&gt;1,"Date/tenure inconsistent",""))</f>
        <v/>
      </c>
      <c r="K410" s="4" t="str">
        <f>IF(COUNTIF(Customers!$A$2:$A$1001,Customers!A410)&gt;1,"Duplicate ID","")</f>
        <v/>
      </c>
      <c r="L410" s="4" t="str">
        <f>IF(COUNTIFS(Customers!$B$2:$B$1001,Customers!B410,Customers!$D$2:$D$1001,Customers!D410,Customers!$G$2:$G$1001,Customers!G410,Customers!$I$2:$I$1001,Customers!I410,Customers!$L$2:$L$1001,Customers!L410)&gt;1,"Duplicate record","")</f>
        <v/>
      </c>
      <c r="M410" s="4" t="str">
        <f>IF(OR(Customers!U410&lt;300,Customers!U410&gt;850),"Score out of range","")</f>
        <v/>
      </c>
      <c r="N410" s="4" t="str">
        <f>IF(AND(Customers!G410&lt;&gt;"",Customers!G410&lt;=0),"Income ≤ 0","")</f>
        <v/>
      </c>
      <c r="O410" s="4" t="str">
        <f>IF(OR(Customers!G410="",Customers!M410=""),"Missing value","")</f>
        <v/>
      </c>
      <c r="P410" s="4">
        <f t="shared" si="6"/>
        <v>0</v>
      </c>
    </row>
    <row r="411" spans="1:16" x14ac:dyDescent="0.25">
      <c r="A411" s="4" t="str">
        <f>Customers!A411</f>
        <v>CL00405</v>
      </c>
      <c r="B411" s="20">
        <f>IF(Customers!G411="","",(Customers!G411-Statistics!$C$7)/Statistics!$C$9)</f>
        <v>-4.183896637286097E-2</v>
      </c>
      <c r="C411" s="4" t="str">
        <f>IF(Customers!G411="","",IF(OR(Customers!G411&lt;Statistics!$C$15,Customers!G411&gt;Statistics!$C$16),"Outside 1.5·IQR",""))</f>
        <v/>
      </c>
      <c r="D411" s="4" t="str">
        <f>IF(OR(Customers!B411&lt;18,Customers!B411&gt;100),"Implausible age","")</f>
        <v/>
      </c>
      <c r="E411" s="4" t="str">
        <f>IF(Customers!H411&gt;Customers!B411-18,"Tenure &gt; age-18","")</f>
        <v/>
      </c>
      <c r="F411" s="4" t="str">
        <f>IF(Customers!R411&gt;Customers!Q411,"Card spend &gt; limit","")</f>
        <v/>
      </c>
      <c r="G411" s="4" t="str">
        <f>IF(OR(AND(Customers!S411&gt;0,Customers!T411=0),AND(Customers!S411=0,Customers!T411&gt;0)),"Mortgage/payment inconsistent","")</f>
        <v/>
      </c>
      <c r="H411" s="4" t="str">
        <f>IF(AND(Customers!G411&lt;&gt;"",Customers!G411&gt;0,Customers!T411&gt;Customers!G411/12),"Payment &gt; monthly income","")</f>
        <v/>
      </c>
      <c r="I411" s="4" t="str">
        <f>IF(OR(Customers!I411&gt;DATE(2026,9,13),YEAR(Customers!I411)&lt;1980),"Implausible date","")</f>
        <v/>
      </c>
      <c r="J411" s="4" t="str">
        <f>IF(Customers!I411&gt;DATE(2026,9,13),"",IF(ABS(INT((DATE(2026,9,13)-Customers!I411)/365.25)-Customers!H411)&gt;1,"Date/tenure inconsistent",""))</f>
        <v/>
      </c>
      <c r="K411" s="4" t="str">
        <f>IF(COUNTIF(Customers!$A$2:$A$1001,Customers!A411)&gt;1,"Duplicate ID","")</f>
        <v/>
      </c>
      <c r="L411" s="4" t="str">
        <f>IF(COUNTIFS(Customers!$B$2:$B$1001,Customers!B411,Customers!$D$2:$D$1001,Customers!D411,Customers!$G$2:$G$1001,Customers!G411,Customers!$I$2:$I$1001,Customers!I411,Customers!$L$2:$L$1001,Customers!L411)&gt;1,"Duplicate record","")</f>
        <v/>
      </c>
      <c r="M411" s="4" t="str">
        <f>IF(OR(Customers!U411&lt;300,Customers!U411&gt;850),"Score out of range","")</f>
        <v/>
      </c>
      <c r="N411" s="4" t="str">
        <f>IF(AND(Customers!G411&lt;&gt;"",Customers!G411&lt;=0),"Income ≤ 0","")</f>
        <v/>
      </c>
      <c r="O411" s="4" t="str">
        <f>IF(OR(Customers!G411="",Customers!M411=""),"Missing value","")</f>
        <v/>
      </c>
      <c r="P411" s="4">
        <f t="shared" si="6"/>
        <v>0</v>
      </c>
    </row>
    <row r="412" spans="1:16" x14ac:dyDescent="0.25">
      <c r="A412" s="4" t="str">
        <f>Customers!A412</f>
        <v>CL00406</v>
      </c>
      <c r="B412" s="20">
        <f>IF(Customers!G412="","",(Customers!G412-Statistics!$C$7)/Statistics!$C$9)</f>
        <v>0.73625052391502921</v>
      </c>
      <c r="C412" s="4" t="str">
        <f>IF(Customers!G412="","",IF(OR(Customers!G412&lt;Statistics!$C$15,Customers!G412&gt;Statistics!$C$16),"Outside 1.5·IQR",""))</f>
        <v>Outside 1.5·IQR</v>
      </c>
      <c r="D412" s="4" t="str">
        <f>IF(OR(Customers!B412&lt;18,Customers!B412&gt;100),"Implausible age","")</f>
        <v/>
      </c>
      <c r="E412" s="4" t="str">
        <f>IF(Customers!H412&gt;Customers!B412-18,"Tenure &gt; age-18","")</f>
        <v/>
      </c>
      <c r="F412" s="4" t="str">
        <f>IF(Customers!R412&gt;Customers!Q412,"Card spend &gt; limit","")</f>
        <v/>
      </c>
      <c r="G412" s="4" t="str">
        <f>IF(OR(AND(Customers!S412&gt;0,Customers!T412=0),AND(Customers!S412=0,Customers!T412&gt;0)),"Mortgage/payment inconsistent","")</f>
        <v/>
      </c>
      <c r="H412" s="4" t="str">
        <f>IF(AND(Customers!G412&lt;&gt;"",Customers!G412&gt;0,Customers!T412&gt;Customers!G412/12),"Payment &gt; monthly income","")</f>
        <v/>
      </c>
      <c r="I412" s="4" t="str">
        <f>IF(OR(Customers!I412&gt;DATE(2026,9,13),YEAR(Customers!I412)&lt;1980),"Implausible date","")</f>
        <v/>
      </c>
      <c r="J412" s="4" t="str">
        <f>IF(Customers!I412&gt;DATE(2026,9,13),"",IF(ABS(INT((DATE(2026,9,13)-Customers!I412)/365.25)-Customers!H412)&gt;1,"Date/tenure inconsistent",""))</f>
        <v/>
      </c>
      <c r="K412" s="4" t="str">
        <f>IF(COUNTIF(Customers!$A$2:$A$1001,Customers!A412)&gt;1,"Duplicate ID","")</f>
        <v/>
      </c>
      <c r="L412" s="4" t="str">
        <f>IF(COUNTIFS(Customers!$B$2:$B$1001,Customers!B412,Customers!$D$2:$D$1001,Customers!D412,Customers!$G$2:$G$1001,Customers!G412,Customers!$I$2:$I$1001,Customers!I412,Customers!$L$2:$L$1001,Customers!L412)&gt;1,"Duplicate record","")</f>
        <v/>
      </c>
      <c r="M412" s="4" t="str">
        <f>IF(OR(Customers!U412&lt;300,Customers!U412&gt;850),"Score out of range","")</f>
        <v/>
      </c>
      <c r="N412" s="4" t="str">
        <f>IF(AND(Customers!G412&lt;&gt;"",Customers!G412&lt;=0),"Income ≤ 0","")</f>
        <v/>
      </c>
      <c r="O412" s="4" t="str">
        <f>IF(OR(Customers!G412="",Customers!M412=""),"Missing value","")</f>
        <v/>
      </c>
      <c r="P412" s="4">
        <f t="shared" si="6"/>
        <v>1</v>
      </c>
    </row>
    <row r="413" spans="1:16" x14ac:dyDescent="0.25">
      <c r="A413" s="4" t="str">
        <f>Customers!A413</f>
        <v>CL00407</v>
      </c>
      <c r="B413" s="20">
        <f>IF(Customers!G413="","",(Customers!G413-Statistics!$C$7)/Statistics!$C$9)</f>
        <v>-6.5378635762583209E-2</v>
      </c>
      <c r="C413" s="4" t="str">
        <f>IF(Customers!G413="","",IF(OR(Customers!G413&lt;Statistics!$C$15,Customers!G413&gt;Statistics!$C$16),"Outside 1.5·IQR",""))</f>
        <v/>
      </c>
      <c r="D413" s="4" t="str">
        <f>IF(OR(Customers!B413&lt;18,Customers!B413&gt;100),"Implausible age","")</f>
        <v/>
      </c>
      <c r="E413" s="4" t="str">
        <f>IF(Customers!H413&gt;Customers!B413-18,"Tenure &gt; age-18","")</f>
        <v/>
      </c>
      <c r="F413" s="4" t="str">
        <f>IF(Customers!R413&gt;Customers!Q413,"Card spend &gt; limit","")</f>
        <v/>
      </c>
      <c r="G413" s="4" t="str">
        <f>IF(OR(AND(Customers!S413&gt;0,Customers!T413=0),AND(Customers!S413=0,Customers!T413&gt;0)),"Mortgage/payment inconsistent","")</f>
        <v/>
      </c>
      <c r="H413" s="4" t="str">
        <f>IF(AND(Customers!G413&lt;&gt;"",Customers!G413&gt;0,Customers!T413&gt;Customers!G413/12),"Payment &gt; monthly income","")</f>
        <v/>
      </c>
      <c r="I413" s="4" t="str">
        <f>IF(OR(Customers!I413&gt;DATE(2026,9,13),YEAR(Customers!I413)&lt;1980),"Implausible date","")</f>
        <v/>
      </c>
      <c r="J413" s="4" t="str">
        <f>IF(Customers!I413&gt;DATE(2026,9,13),"",IF(ABS(INT((DATE(2026,9,13)-Customers!I413)/365.25)-Customers!H413)&gt;1,"Date/tenure inconsistent",""))</f>
        <v/>
      </c>
      <c r="K413" s="4" t="str">
        <f>IF(COUNTIF(Customers!$A$2:$A$1001,Customers!A413)&gt;1,"Duplicate ID","")</f>
        <v/>
      </c>
      <c r="L413" s="4" t="str">
        <f>IF(COUNTIFS(Customers!$B$2:$B$1001,Customers!B413,Customers!$D$2:$D$1001,Customers!D413,Customers!$G$2:$G$1001,Customers!G413,Customers!$I$2:$I$1001,Customers!I413,Customers!$L$2:$L$1001,Customers!L413)&gt;1,"Duplicate record","")</f>
        <v/>
      </c>
      <c r="M413" s="4" t="str">
        <f>IF(OR(Customers!U413&lt;300,Customers!U413&gt;850),"Score out of range","")</f>
        <v/>
      </c>
      <c r="N413" s="4" t="str">
        <f>IF(AND(Customers!G413&lt;&gt;"",Customers!G413&lt;=0),"Income ≤ 0","")</f>
        <v/>
      </c>
      <c r="O413" s="4" t="str">
        <f>IF(OR(Customers!G413="",Customers!M413=""),"Missing value","")</f>
        <v/>
      </c>
      <c r="P413" s="4">
        <f t="shared" si="6"/>
        <v>0</v>
      </c>
    </row>
    <row r="414" spans="1:16" x14ac:dyDescent="0.25">
      <c r="A414" s="4" t="str">
        <f>Customers!A414</f>
        <v>CL00408</v>
      </c>
      <c r="B414" s="20">
        <f>IF(Customers!G414="","",(Customers!G414-Statistics!$C$7)/Statistics!$C$9)</f>
        <v>-3.8391734453863985E-2</v>
      </c>
      <c r="C414" s="4" t="str">
        <f>IF(Customers!G414="","",IF(OR(Customers!G414&lt;Statistics!$C$15,Customers!G414&gt;Statistics!$C$16),"Outside 1.5·IQR",""))</f>
        <v/>
      </c>
      <c r="D414" s="4" t="str">
        <f>IF(OR(Customers!B414&lt;18,Customers!B414&gt;100),"Implausible age","")</f>
        <v/>
      </c>
      <c r="E414" s="4" t="str">
        <f>IF(Customers!H414&gt;Customers!B414-18,"Tenure &gt; age-18","")</f>
        <v/>
      </c>
      <c r="F414" s="4" t="str">
        <f>IF(Customers!R414&gt;Customers!Q414,"Card spend &gt; limit","")</f>
        <v/>
      </c>
      <c r="G414" s="4" t="str">
        <f>IF(OR(AND(Customers!S414&gt;0,Customers!T414=0),AND(Customers!S414=0,Customers!T414&gt;0)),"Mortgage/payment inconsistent","")</f>
        <v/>
      </c>
      <c r="H414" s="4" t="str">
        <f>IF(AND(Customers!G414&lt;&gt;"",Customers!G414&gt;0,Customers!T414&gt;Customers!G414/12),"Payment &gt; monthly income","")</f>
        <v/>
      </c>
      <c r="I414" s="4" t="str">
        <f>IF(OR(Customers!I414&gt;DATE(2026,9,13),YEAR(Customers!I414)&lt;1980),"Implausible date","")</f>
        <v/>
      </c>
      <c r="J414" s="4" t="str">
        <f>IF(Customers!I414&gt;DATE(2026,9,13),"",IF(ABS(INT((DATE(2026,9,13)-Customers!I414)/365.25)-Customers!H414)&gt;1,"Date/tenure inconsistent",""))</f>
        <v/>
      </c>
      <c r="K414" s="4" t="str">
        <f>IF(COUNTIF(Customers!$A$2:$A$1001,Customers!A414)&gt;1,"Duplicate ID","")</f>
        <v/>
      </c>
      <c r="L414" s="4" t="str">
        <f>IF(COUNTIFS(Customers!$B$2:$B$1001,Customers!B414,Customers!$D$2:$D$1001,Customers!D414,Customers!$G$2:$G$1001,Customers!G414,Customers!$I$2:$I$1001,Customers!I414,Customers!$L$2:$L$1001,Customers!L414)&gt;1,"Duplicate record","")</f>
        <v/>
      </c>
      <c r="M414" s="4" t="str">
        <f>IF(OR(Customers!U414&lt;300,Customers!U414&gt;850),"Score out of range","")</f>
        <v/>
      </c>
      <c r="N414" s="4" t="str">
        <f>IF(AND(Customers!G414&lt;&gt;"",Customers!G414&lt;=0),"Income ≤ 0","")</f>
        <v/>
      </c>
      <c r="O414" s="4" t="str">
        <f>IF(OR(Customers!G414="",Customers!M414=""),"Missing value","")</f>
        <v/>
      </c>
      <c r="P414" s="4">
        <f t="shared" si="6"/>
        <v>0</v>
      </c>
    </row>
    <row r="415" spans="1:16" x14ac:dyDescent="0.25">
      <c r="A415" s="4" t="str">
        <f>Customers!A415</f>
        <v>CL00409</v>
      </c>
      <c r="B415" s="20">
        <f>IF(Customers!G415="","",(Customers!G415-Statistics!$C$7)/Statistics!$C$9)</f>
        <v>-2.1549544221050161E-2</v>
      </c>
      <c r="C415" s="4" t="str">
        <f>IF(Customers!G415="","",IF(OR(Customers!G415&lt;Statistics!$C$15,Customers!G415&gt;Statistics!$C$16),"Outside 1.5·IQR",""))</f>
        <v/>
      </c>
      <c r="D415" s="4" t="str">
        <f>IF(OR(Customers!B415&lt;18,Customers!B415&gt;100),"Implausible age","")</f>
        <v/>
      </c>
      <c r="E415" s="4" t="str">
        <f>IF(Customers!H415&gt;Customers!B415-18,"Tenure &gt; age-18","")</f>
        <v/>
      </c>
      <c r="F415" s="4" t="str">
        <f>IF(Customers!R415&gt;Customers!Q415,"Card spend &gt; limit","")</f>
        <v/>
      </c>
      <c r="G415" s="4" t="str">
        <f>IF(OR(AND(Customers!S415&gt;0,Customers!T415=0),AND(Customers!S415=0,Customers!T415&gt;0)),"Mortgage/payment inconsistent","")</f>
        <v/>
      </c>
      <c r="H415" s="4" t="str">
        <f>IF(AND(Customers!G415&lt;&gt;"",Customers!G415&gt;0,Customers!T415&gt;Customers!G415/12),"Payment &gt; monthly income","")</f>
        <v/>
      </c>
      <c r="I415" s="4" t="str">
        <f>IF(OR(Customers!I415&gt;DATE(2026,9,13),YEAR(Customers!I415)&lt;1980),"Implausible date","")</f>
        <v/>
      </c>
      <c r="J415" s="4" t="str">
        <f>IF(Customers!I415&gt;DATE(2026,9,13),"",IF(ABS(INT((DATE(2026,9,13)-Customers!I415)/365.25)-Customers!H415)&gt;1,"Date/tenure inconsistent",""))</f>
        <v/>
      </c>
      <c r="K415" s="4" t="str">
        <f>IF(COUNTIF(Customers!$A$2:$A$1001,Customers!A415)&gt;1,"Duplicate ID","")</f>
        <v/>
      </c>
      <c r="L415" s="4" t="str">
        <f>IF(COUNTIFS(Customers!$B$2:$B$1001,Customers!B415,Customers!$D$2:$D$1001,Customers!D415,Customers!$G$2:$G$1001,Customers!G415,Customers!$I$2:$I$1001,Customers!I415,Customers!$L$2:$L$1001,Customers!L415)&gt;1,"Duplicate record","")</f>
        <v/>
      </c>
      <c r="M415" s="4" t="str">
        <f>IF(OR(Customers!U415&lt;300,Customers!U415&gt;850),"Score out of range","")</f>
        <v/>
      </c>
      <c r="N415" s="4" t="str">
        <f>IF(AND(Customers!G415&lt;&gt;"",Customers!G415&lt;=0),"Income ≤ 0","")</f>
        <v/>
      </c>
      <c r="O415" s="4" t="str">
        <f>IF(OR(Customers!G415="",Customers!M415=""),"Missing value","")</f>
        <v/>
      </c>
      <c r="P415" s="4">
        <f t="shared" si="6"/>
        <v>0</v>
      </c>
    </row>
    <row r="416" spans="1:16" x14ac:dyDescent="0.25">
      <c r="A416" s="4" t="str">
        <f>Customers!A416</f>
        <v>CL00410</v>
      </c>
      <c r="B416" s="20">
        <f>IF(Customers!G416="","",(Customers!G416-Statistics!$C$7)/Statistics!$C$9)</f>
        <v>-1.5935480810112219E-2</v>
      </c>
      <c r="C416" s="4" t="str">
        <f>IF(Customers!G416="","",IF(OR(Customers!G416&lt;Statistics!$C$15,Customers!G416&gt;Statistics!$C$16),"Outside 1.5·IQR",""))</f>
        <v/>
      </c>
      <c r="D416" s="4" t="str">
        <f>IF(OR(Customers!B416&lt;18,Customers!B416&gt;100),"Implausible age","")</f>
        <v/>
      </c>
      <c r="E416" s="4" t="str">
        <f>IF(Customers!H416&gt;Customers!B416-18,"Tenure &gt; age-18","")</f>
        <v/>
      </c>
      <c r="F416" s="4" t="str">
        <f>IF(Customers!R416&gt;Customers!Q416,"Card spend &gt; limit","")</f>
        <v/>
      </c>
      <c r="G416" s="4" t="str">
        <f>IF(OR(AND(Customers!S416&gt;0,Customers!T416=0),AND(Customers!S416=0,Customers!T416&gt;0)),"Mortgage/payment inconsistent","")</f>
        <v/>
      </c>
      <c r="H416" s="4" t="str">
        <f>IF(AND(Customers!G416&lt;&gt;"",Customers!G416&gt;0,Customers!T416&gt;Customers!G416/12),"Payment &gt; monthly income","")</f>
        <v/>
      </c>
      <c r="I416" s="4" t="str">
        <f>IF(OR(Customers!I416&gt;DATE(2026,9,13),YEAR(Customers!I416)&lt;1980),"Implausible date","")</f>
        <v/>
      </c>
      <c r="J416" s="4" t="str">
        <f>IF(Customers!I416&gt;DATE(2026,9,13),"",IF(ABS(INT((DATE(2026,9,13)-Customers!I416)/365.25)-Customers!H416)&gt;1,"Date/tenure inconsistent",""))</f>
        <v/>
      </c>
      <c r="K416" s="4" t="str">
        <f>IF(COUNTIF(Customers!$A$2:$A$1001,Customers!A416)&gt;1,"Duplicate ID","")</f>
        <v/>
      </c>
      <c r="L416" s="4" t="str">
        <f>IF(COUNTIFS(Customers!$B$2:$B$1001,Customers!B416,Customers!$D$2:$D$1001,Customers!D416,Customers!$G$2:$G$1001,Customers!G416,Customers!$I$2:$I$1001,Customers!I416,Customers!$L$2:$L$1001,Customers!L416)&gt;1,"Duplicate record","")</f>
        <v/>
      </c>
      <c r="M416" s="4" t="str">
        <f>IF(OR(Customers!U416&lt;300,Customers!U416&gt;850),"Score out of range","")</f>
        <v/>
      </c>
      <c r="N416" s="4" t="str">
        <f>IF(AND(Customers!G416&lt;&gt;"",Customers!G416&lt;=0),"Income ≤ 0","")</f>
        <v/>
      </c>
      <c r="O416" s="4" t="str">
        <f>IF(OR(Customers!G416="",Customers!M416=""),"Missing value","")</f>
        <v/>
      </c>
      <c r="P416" s="4">
        <f t="shared" si="6"/>
        <v>0</v>
      </c>
    </row>
    <row r="417" spans="1:16" x14ac:dyDescent="0.25">
      <c r="A417" s="4" t="str">
        <f>Customers!A417</f>
        <v>CL00411</v>
      </c>
      <c r="B417" s="20">
        <f>IF(Customers!G417="","",(Customers!G417-Statistics!$C$7)/Statistics!$C$9)</f>
        <v>-1.7018896556082699E-2</v>
      </c>
      <c r="C417" s="4" t="str">
        <f>IF(Customers!G417="","",IF(OR(Customers!G417&lt;Statistics!$C$15,Customers!G417&gt;Statistics!$C$16),"Outside 1.5·IQR",""))</f>
        <v/>
      </c>
      <c r="D417" s="4" t="str">
        <f>IF(OR(Customers!B417&lt;18,Customers!B417&gt;100),"Implausible age","")</f>
        <v/>
      </c>
      <c r="E417" s="4" t="str">
        <f>IF(Customers!H417&gt;Customers!B417-18,"Tenure &gt; age-18","")</f>
        <v/>
      </c>
      <c r="F417" s="4" t="str">
        <f>IF(Customers!R417&gt;Customers!Q417,"Card spend &gt; limit","")</f>
        <v/>
      </c>
      <c r="G417" s="4" t="str">
        <f>IF(OR(AND(Customers!S417&gt;0,Customers!T417=0),AND(Customers!S417=0,Customers!T417&gt;0)),"Mortgage/payment inconsistent","")</f>
        <v/>
      </c>
      <c r="H417" s="4" t="str">
        <f>IF(AND(Customers!G417&lt;&gt;"",Customers!G417&gt;0,Customers!T417&gt;Customers!G417/12),"Payment &gt; monthly income","")</f>
        <v/>
      </c>
      <c r="I417" s="4" t="str">
        <f>IF(OR(Customers!I417&gt;DATE(2026,9,13),YEAR(Customers!I417)&lt;1980),"Implausible date","")</f>
        <v/>
      </c>
      <c r="J417" s="4" t="str">
        <f>IF(Customers!I417&gt;DATE(2026,9,13),"",IF(ABS(INT((DATE(2026,9,13)-Customers!I417)/365.25)-Customers!H417)&gt;1,"Date/tenure inconsistent",""))</f>
        <v/>
      </c>
      <c r="K417" s="4" t="str">
        <f>IF(COUNTIF(Customers!$A$2:$A$1001,Customers!A417)&gt;1,"Duplicate ID","")</f>
        <v/>
      </c>
      <c r="L417" s="4" t="str">
        <f>IF(COUNTIFS(Customers!$B$2:$B$1001,Customers!B417,Customers!$D$2:$D$1001,Customers!D417,Customers!$G$2:$G$1001,Customers!G417,Customers!$I$2:$I$1001,Customers!I417,Customers!$L$2:$L$1001,Customers!L417)&gt;1,"Duplicate record","")</f>
        <v/>
      </c>
      <c r="M417" s="4" t="str">
        <f>IF(OR(Customers!U417&lt;300,Customers!U417&gt;850),"Score out of range","")</f>
        <v/>
      </c>
      <c r="N417" s="4" t="str">
        <f>IF(AND(Customers!G417&lt;&gt;"",Customers!G417&lt;=0),"Income ≤ 0","")</f>
        <v/>
      </c>
      <c r="O417" s="4" t="str">
        <f>IF(OR(Customers!G417="",Customers!M417=""),"Missing value","")</f>
        <v/>
      </c>
      <c r="P417" s="4">
        <f t="shared" si="6"/>
        <v>0</v>
      </c>
    </row>
    <row r="418" spans="1:16" x14ac:dyDescent="0.25">
      <c r="A418" s="4" t="str">
        <f>Customers!A418</f>
        <v>CL00412</v>
      </c>
      <c r="B418" s="20">
        <f>IF(Customers!G418="","",(Customers!G418-Statistics!$C$7)/Statistics!$C$9)</f>
        <v>-6.6856020870724772E-2</v>
      </c>
      <c r="C418" s="4" t="str">
        <f>IF(Customers!G418="","",IF(OR(Customers!G418&lt;Statistics!$C$15,Customers!G418&gt;Statistics!$C$16),"Outside 1.5·IQR",""))</f>
        <v/>
      </c>
      <c r="D418" s="4" t="str">
        <f>IF(OR(Customers!B418&lt;18,Customers!B418&gt;100),"Implausible age","")</f>
        <v/>
      </c>
      <c r="E418" s="4" t="str">
        <f>IF(Customers!H418&gt;Customers!B418-18,"Tenure &gt; age-18","")</f>
        <v/>
      </c>
      <c r="F418" s="4" t="str">
        <f>IF(Customers!R418&gt;Customers!Q418,"Card spend &gt; limit","")</f>
        <v/>
      </c>
      <c r="G418" s="4" t="str">
        <f>IF(OR(AND(Customers!S418&gt;0,Customers!T418=0),AND(Customers!S418=0,Customers!T418&gt;0)),"Mortgage/payment inconsistent","")</f>
        <v/>
      </c>
      <c r="H418" s="4" t="str">
        <f>IF(AND(Customers!G418&lt;&gt;"",Customers!G418&gt;0,Customers!T418&gt;Customers!G418/12),"Payment &gt; monthly income","")</f>
        <v/>
      </c>
      <c r="I418" s="4" t="str">
        <f>IF(OR(Customers!I418&gt;DATE(2026,9,13),YEAR(Customers!I418)&lt;1980),"Implausible date","")</f>
        <v/>
      </c>
      <c r="J418" s="4" t="str">
        <f>IF(Customers!I418&gt;DATE(2026,9,13),"",IF(ABS(INT((DATE(2026,9,13)-Customers!I418)/365.25)-Customers!H418)&gt;1,"Date/tenure inconsistent",""))</f>
        <v/>
      </c>
      <c r="K418" s="4" t="str">
        <f>IF(COUNTIF(Customers!$A$2:$A$1001,Customers!A418)&gt;1,"Duplicate ID","")</f>
        <v/>
      </c>
      <c r="L418" s="4" t="str">
        <f>IF(COUNTIFS(Customers!$B$2:$B$1001,Customers!B418,Customers!$D$2:$D$1001,Customers!D418,Customers!$G$2:$G$1001,Customers!G418,Customers!$I$2:$I$1001,Customers!I418,Customers!$L$2:$L$1001,Customers!L418)&gt;1,"Duplicate record","")</f>
        <v/>
      </c>
      <c r="M418" s="4" t="str">
        <f>IF(OR(Customers!U418&lt;300,Customers!U418&gt;850),"Score out of range","")</f>
        <v/>
      </c>
      <c r="N418" s="4" t="str">
        <f>IF(AND(Customers!G418&lt;&gt;"",Customers!G418&lt;=0),"Income ≤ 0","")</f>
        <v/>
      </c>
      <c r="O418" s="4" t="str">
        <f>IF(OR(Customers!G418="",Customers!M418=""),"Missing value","")</f>
        <v/>
      </c>
      <c r="P418" s="4">
        <f t="shared" si="6"/>
        <v>0</v>
      </c>
    </row>
    <row r="419" spans="1:16" x14ac:dyDescent="0.25">
      <c r="A419" s="4" t="str">
        <f>Customers!A419</f>
        <v>CL00413</v>
      </c>
      <c r="B419" s="20">
        <f>IF(Customers!G419="","",(Customers!G419-Statistics!$C$7)/Statistics!$C$9)</f>
        <v>-6.6265066827468147E-2</v>
      </c>
      <c r="C419" s="4" t="str">
        <f>IF(Customers!G419="","",IF(OR(Customers!G419&lt;Statistics!$C$15,Customers!G419&gt;Statistics!$C$16),"Outside 1.5·IQR",""))</f>
        <v/>
      </c>
      <c r="D419" s="4" t="str">
        <f>IF(OR(Customers!B419&lt;18,Customers!B419&gt;100),"Implausible age","")</f>
        <v/>
      </c>
      <c r="E419" s="4" t="str">
        <f>IF(Customers!H419&gt;Customers!B419-18,"Tenure &gt; age-18","")</f>
        <v/>
      </c>
      <c r="F419" s="4" t="str">
        <f>IF(Customers!R419&gt;Customers!Q419,"Card spend &gt; limit","")</f>
        <v/>
      </c>
      <c r="G419" s="4" t="str">
        <f>IF(OR(AND(Customers!S419&gt;0,Customers!T419=0),AND(Customers!S419=0,Customers!T419&gt;0)),"Mortgage/payment inconsistent","")</f>
        <v/>
      </c>
      <c r="H419" s="4" t="str">
        <f>IF(AND(Customers!G419&lt;&gt;"",Customers!G419&gt;0,Customers!T419&gt;Customers!G419/12),"Payment &gt; monthly income","")</f>
        <v/>
      </c>
      <c r="I419" s="4" t="str">
        <f>IF(OR(Customers!I419&gt;DATE(2026,9,13),YEAR(Customers!I419)&lt;1980),"Implausible date","")</f>
        <v/>
      </c>
      <c r="J419" s="4" t="str">
        <f>IF(Customers!I419&gt;DATE(2026,9,13),"",IF(ABS(INT((DATE(2026,9,13)-Customers!I419)/365.25)-Customers!H419)&gt;1,"Date/tenure inconsistent",""))</f>
        <v/>
      </c>
      <c r="K419" s="4" t="str">
        <f>IF(COUNTIF(Customers!$A$2:$A$1001,Customers!A419)&gt;1,"Duplicate ID","")</f>
        <v/>
      </c>
      <c r="L419" s="4" t="str">
        <f>IF(COUNTIFS(Customers!$B$2:$B$1001,Customers!B419,Customers!$D$2:$D$1001,Customers!D419,Customers!$G$2:$G$1001,Customers!G419,Customers!$I$2:$I$1001,Customers!I419,Customers!$L$2:$L$1001,Customers!L419)&gt;1,"Duplicate record","")</f>
        <v/>
      </c>
      <c r="M419" s="4" t="str">
        <f>IF(OR(Customers!U419&lt;300,Customers!U419&gt;850),"Score out of range","")</f>
        <v/>
      </c>
      <c r="N419" s="4" t="str">
        <f>IF(AND(Customers!G419&lt;&gt;"",Customers!G419&lt;=0),"Income ≤ 0","")</f>
        <v/>
      </c>
      <c r="O419" s="4" t="str">
        <f>IF(OR(Customers!G419="",Customers!M419=""),"Missing value","")</f>
        <v/>
      </c>
      <c r="P419" s="4">
        <f t="shared" si="6"/>
        <v>0</v>
      </c>
    </row>
    <row r="420" spans="1:16" x14ac:dyDescent="0.25">
      <c r="A420" s="4" t="str">
        <f>Customers!A420</f>
        <v>CL00414</v>
      </c>
      <c r="B420" s="20">
        <f>IF(Customers!G420="","",(Customers!G420-Statistics!$C$7)/Statistics!$C$9)</f>
        <v>-4.3414843821545299E-2</v>
      </c>
      <c r="C420" s="4" t="str">
        <f>IF(Customers!G420="","",IF(OR(Customers!G420&lt;Statistics!$C$15,Customers!G420&gt;Statistics!$C$16),"Outside 1.5·IQR",""))</f>
        <v/>
      </c>
      <c r="D420" s="4" t="str">
        <f>IF(OR(Customers!B420&lt;18,Customers!B420&gt;100),"Implausible age","")</f>
        <v/>
      </c>
      <c r="E420" s="4" t="str">
        <f>IF(Customers!H420&gt;Customers!B420-18,"Tenure &gt; age-18","")</f>
        <v/>
      </c>
      <c r="F420" s="4" t="str">
        <f>IF(Customers!R420&gt;Customers!Q420,"Card spend &gt; limit","")</f>
        <v/>
      </c>
      <c r="G420" s="4" t="str">
        <f>IF(OR(AND(Customers!S420&gt;0,Customers!T420=0),AND(Customers!S420=0,Customers!T420&gt;0)),"Mortgage/payment inconsistent","")</f>
        <v/>
      </c>
      <c r="H420" s="4" t="str">
        <f>IF(AND(Customers!G420&lt;&gt;"",Customers!G420&gt;0,Customers!T420&gt;Customers!G420/12),"Payment &gt; monthly income","")</f>
        <v/>
      </c>
      <c r="I420" s="4" t="str">
        <f>IF(OR(Customers!I420&gt;DATE(2026,9,13),YEAR(Customers!I420)&lt;1980),"Implausible date","")</f>
        <v/>
      </c>
      <c r="J420" s="4" t="str">
        <f>IF(Customers!I420&gt;DATE(2026,9,13),"",IF(ABS(INT((DATE(2026,9,13)-Customers!I420)/365.25)-Customers!H420)&gt;1,"Date/tenure inconsistent",""))</f>
        <v/>
      </c>
      <c r="K420" s="4" t="str">
        <f>IF(COUNTIF(Customers!$A$2:$A$1001,Customers!A420)&gt;1,"Duplicate ID","")</f>
        <v/>
      </c>
      <c r="L420" s="4" t="str">
        <f>IF(COUNTIFS(Customers!$B$2:$B$1001,Customers!B420,Customers!$D$2:$D$1001,Customers!D420,Customers!$G$2:$G$1001,Customers!G420,Customers!$I$2:$I$1001,Customers!I420,Customers!$L$2:$L$1001,Customers!L420)&gt;1,"Duplicate record","")</f>
        <v/>
      </c>
      <c r="M420" s="4" t="str">
        <f>IF(OR(Customers!U420&lt;300,Customers!U420&gt;850),"Score out of range","")</f>
        <v/>
      </c>
      <c r="N420" s="4" t="str">
        <f>IF(AND(Customers!G420&lt;&gt;"",Customers!G420&lt;=0),"Income ≤ 0","")</f>
        <v/>
      </c>
      <c r="O420" s="4" t="str">
        <f>IF(OR(Customers!G420="",Customers!M420=""),"Missing value","")</f>
        <v/>
      </c>
      <c r="P420" s="4">
        <f t="shared" si="6"/>
        <v>0</v>
      </c>
    </row>
    <row r="421" spans="1:16" x14ac:dyDescent="0.25">
      <c r="A421" s="4" t="str">
        <f>Customers!A421</f>
        <v>CL00415</v>
      </c>
      <c r="B421" s="20">
        <f>IF(Customers!G421="","",(Customers!G421-Statistics!$C$7)/Statistics!$C$9)</f>
        <v>-6.6757528530182006E-2</v>
      </c>
      <c r="C421" s="4" t="str">
        <f>IF(Customers!G421="","",IF(OR(Customers!G421&lt;Statistics!$C$15,Customers!G421&gt;Statistics!$C$16),"Outside 1.5·IQR",""))</f>
        <v/>
      </c>
      <c r="D421" s="4" t="str">
        <f>IF(OR(Customers!B421&lt;18,Customers!B421&gt;100),"Implausible age","")</f>
        <v/>
      </c>
      <c r="E421" s="4" t="str">
        <f>IF(Customers!H421&gt;Customers!B421-18,"Tenure &gt; age-18","")</f>
        <v/>
      </c>
      <c r="F421" s="4" t="str">
        <f>IF(Customers!R421&gt;Customers!Q421,"Card spend &gt; limit","")</f>
        <v/>
      </c>
      <c r="G421" s="4" t="str">
        <f>IF(OR(AND(Customers!S421&gt;0,Customers!T421=0),AND(Customers!S421=0,Customers!T421&gt;0)),"Mortgage/payment inconsistent","")</f>
        <v/>
      </c>
      <c r="H421" s="4" t="str">
        <f>IF(AND(Customers!G421&lt;&gt;"",Customers!G421&gt;0,Customers!T421&gt;Customers!G421/12),"Payment &gt; monthly income","")</f>
        <v/>
      </c>
      <c r="I421" s="4" t="str">
        <f>IF(OR(Customers!I421&gt;DATE(2026,9,13),YEAR(Customers!I421)&lt;1980),"Implausible date","")</f>
        <v/>
      </c>
      <c r="J421" s="4" t="str">
        <f>IF(Customers!I421&gt;DATE(2026,9,13),"",IF(ABS(INT((DATE(2026,9,13)-Customers!I421)/365.25)-Customers!H421)&gt;1,"Date/tenure inconsistent",""))</f>
        <v/>
      </c>
      <c r="K421" s="4" t="str">
        <f>IF(COUNTIF(Customers!$A$2:$A$1001,Customers!A421)&gt;1,"Duplicate ID","")</f>
        <v/>
      </c>
      <c r="L421" s="4" t="str">
        <f>IF(COUNTIFS(Customers!$B$2:$B$1001,Customers!B421,Customers!$D$2:$D$1001,Customers!D421,Customers!$G$2:$G$1001,Customers!G421,Customers!$I$2:$I$1001,Customers!I421,Customers!$L$2:$L$1001,Customers!L421)&gt;1,"Duplicate record","")</f>
        <v/>
      </c>
      <c r="M421" s="4" t="str">
        <f>IF(OR(Customers!U421&lt;300,Customers!U421&gt;850),"Score out of range","")</f>
        <v/>
      </c>
      <c r="N421" s="4" t="str">
        <f>IF(AND(Customers!G421&lt;&gt;"",Customers!G421&lt;=0),"Income ≤ 0","")</f>
        <v/>
      </c>
      <c r="O421" s="4" t="str">
        <f>IF(OR(Customers!G421="",Customers!M421=""),"Missing value","")</f>
        <v/>
      </c>
      <c r="P421" s="4">
        <f t="shared" si="6"/>
        <v>0</v>
      </c>
    </row>
    <row r="422" spans="1:16" x14ac:dyDescent="0.25">
      <c r="A422" s="4" t="str">
        <f>Customers!A422</f>
        <v>CL00416</v>
      </c>
      <c r="B422" s="20">
        <f>IF(Customers!G422="","",(Customers!G422-Statistics!$C$7)/Statistics!$C$9)</f>
        <v>-5.0407800000082034E-2</v>
      </c>
      <c r="C422" s="4" t="str">
        <f>IF(Customers!G422="","",IF(OR(Customers!G422&lt;Statistics!$C$15,Customers!G422&gt;Statistics!$C$16),"Outside 1.5·IQR",""))</f>
        <v/>
      </c>
      <c r="D422" s="4" t="str">
        <f>IF(OR(Customers!B422&lt;18,Customers!B422&gt;100),"Implausible age","")</f>
        <v/>
      </c>
      <c r="E422" s="4" t="str">
        <f>IF(Customers!H422&gt;Customers!B422-18,"Tenure &gt; age-18","")</f>
        <v/>
      </c>
      <c r="F422" s="4" t="str">
        <f>IF(Customers!R422&gt;Customers!Q422,"Card spend &gt; limit","")</f>
        <v/>
      </c>
      <c r="G422" s="4" t="str">
        <f>IF(OR(AND(Customers!S422&gt;0,Customers!T422=0),AND(Customers!S422=0,Customers!T422&gt;0)),"Mortgage/payment inconsistent","")</f>
        <v/>
      </c>
      <c r="H422" s="4" t="str">
        <f>IF(AND(Customers!G422&lt;&gt;"",Customers!G422&gt;0,Customers!T422&gt;Customers!G422/12),"Payment &gt; monthly income","")</f>
        <v/>
      </c>
      <c r="I422" s="4" t="str">
        <f>IF(OR(Customers!I422&gt;DATE(2026,9,13),YEAR(Customers!I422)&lt;1980),"Implausible date","")</f>
        <v/>
      </c>
      <c r="J422" s="4" t="str">
        <f>IF(Customers!I422&gt;DATE(2026,9,13),"",IF(ABS(INT((DATE(2026,9,13)-Customers!I422)/365.25)-Customers!H422)&gt;1,"Date/tenure inconsistent",""))</f>
        <v/>
      </c>
      <c r="K422" s="4" t="str">
        <f>IF(COUNTIF(Customers!$A$2:$A$1001,Customers!A422)&gt;1,"Duplicate ID","")</f>
        <v>Duplicate ID</v>
      </c>
      <c r="L422" s="4" t="str">
        <f>IF(COUNTIFS(Customers!$B$2:$B$1001,Customers!B422,Customers!$D$2:$D$1001,Customers!D422,Customers!$G$2:$G$1001,Customers!G422,Customers!$I$2:$I$1001,Customers!I422,Customers!$L$2:$L$1001,Customers!L422)&gt;1,"Duplicate record","")</f>
        <v>Duplicate record</v>
      </c>
      <c r="M422" s="4" t="str">
        <f>IF(OR(Customers!U422&lt;300,Customers!U422&gt;850),"Score out of range","")</f>
        <v/>
      </c>
      <c r="N422" s="4" t="str">
        <f>IF(AND(Customers!G422&lt;&gt;"",Customers!G422&lt;=0),"Income ≤ 0","")</f>
        <v/>
      </c>
      <c r="O422" s="4" t="str">
        <f>IF(OR(Customers!G422="",Customers!M422=""),"Missing value","")</f>
        <v/>
      </c>
      <c r="P422" s="4">
        <f t="shared" si="6"/>
        <v>2</v>
      </c>
    </row>
    <row r="423" spans="1:16" x14ac:dyDescent="0.25">
      <c r="A423" s="4" t="str">
        <f>Customers!A423</f>
        <v>CL00417</v>
      </c>
      <c r="B423" s="20">
        <f>IF(Customers!G423="","",(Customers!G423-Statistics!$C$7)/Statistics!$C$9)</f>
        <v>-4.794549148651276E-2</v>
      </c>
      <c r="C423" s="4" t="str">
        <f>IF(Customers!G423="","",IF(OR(Customers!G423&lt;Statistics!$C$15,Customers!G423&gt;Statistics!$C$16),"Outside 1.5·IQR",""))</f>
        <v/>
      </c>
      <c r="D423" s="4" t="str">
        <f>IF(OR(Customers!B423&lt;18,Customers!B423&gt;100),"Implausible age","")</f>
        <v/>
      </c>
      <c r="E423" s="4" t="str">
        <f>IF(Customers!H423&gt;Customers!B423-18,"Tenure &gt; age-18","")</f>
        <v/>
      </c>
      <c r="F423" s="4" t="str">
        <f>IF(Customers!R423&gt;Customers!Q423,"Card spend &gt; limit","")</f>
        <v/>
      </c>
      <c r="G423" s="4" t="str">
        <f>IF(OR(AND(Customers!S423&gt;0,Customers!T423=0),AND(Customers!S423=0,Customers!T423&gt;0)),"Mortgage/payment inconsistent","")</f>
        <v/>
      </c>
      <c r="H423" s="4" t="str">
        <f>IF(AND(Customers!G423&lt;&gt;"",Customers!G423&gt;0,Customers!T423&gt;Customers!G423/12),"Payment &gt; monthly income","")</f>
        <v/>
      </c>
      <c r="I423" s="4" t="str">
        <f>IF(OR(Customers!I423&gt;DATE(2026,9,13),YEAR(Customers!I423)&lt;1980),"Implausible date","")</f>
        <v/>
      </c>
      <c r="J423" s="4" t="str">
        <f>IF(Customers!I423&gt;DATE(2026,9,13),"",IF(ABS(INT((DATE(2026,9,13)-Customers!I423)/365.25)-Customers!H423)&gt;1,"Date/tenure inconsistent",""))</f>
        <v/>
      </c>
      <c r="K423" s="4" t="str">
        <f>IF(COUNTIF(Customers!$A$2:$A$1001,Customers!A423)&gt;1,"Duplicate ID","")</f>
        <v/>
      </c>
      <c r="L423" s="4" t="str">
        <f>IF(COUNTIFS(Customers!$B$2:$B$1001,Customers!B423,Customers!$D$2:$D$1001,Customers!D423,Customers!$G$2:$G$1001,Customers!G423,Customers!$I$2:$I$1001,Customers!I423,Customers!$L$2:$L$1001,Customers!L423)&gt;1,"Duplicate record","")</f>
        <v/>
      </c>
      <c r="M423" s="4" t="str">
        <f>IF(OR(Customers!U423&lt;300,Customers!U423&gt;850),"Score out of range","")</f>
        <v/>
      </c>
      <c r="N423" s="4" t="str">
        <f>IF(AND(Customers!G423&lt;&gt;"",Customers!G423&lt;=0),"Income ≤ 0","")</f>
        <v/>
      </c>
      <c r="O423" s="4" t="str">
        <f>IF(OR(Customers!G423="",Customers!M423=""),"Missing value","")</f>
        <v/>
      </c>
      <c r="P423" s="4">
        <f t="shared" si="6"/>
        <v>0</v>
      </c>
    </row>
    <row r="424" spans="1:16" x14ac:dyDescent="0.25">
      <c r="A424" s="4" t="str">
        <f>Customers!A424</f>
        <v>CL00418</v>
      </c>
      <c r="B424" s="20">
        <f>IF(Customers!G424="","",(Customers!G424-Statistics!$C$7)/Statistics!$C$9)</f>
        <v>1.597603752574555E-2</v>
      </c>
      <c r="C424" s="4" t="str">
        <f>IF(Customers!G424="","",IF(OR(Customers!G424&lt;Statistics!$C$15,Customers!G424&gt;Statistics!$C$16),"Outside 1.5·IQR",""))</f>
        <v>Outside 1.5·IQR</v>
      </c>
      <c r="D424" s="4" t="str">
        <f>IF(OR(Customers!B424&lt;18,Customers!B424&gt;100),"Implausible age","")</f>
        <v/>
      </c>
      <c r="E424" s="4" t="str">
        <f>IF(Customers!H424&gt;Customers!B424-18,"Tenure &gt; age-18","")</f>
        <v/>
      </c>
      <c r="F424" s="4" t="str">
        <f>IF(Customers!R424&gt;Customers!Q424,"Card spend &gt; limit","")</f>
        <v/>
      </c>
      <c r="G424" s="4" t="str">
        <f>IF(OR(AND(Customers!S424&gt;0,Customers!T424=0),AND(Customers!S424=0,Customers!T424&gt;0)),"Mortgage/payment inconsistent","")</f>
        <v/>
      </c>
      <c r="H424" s="4" t="str">
        <f>IF(AND(Customers!G424&lt;&gt;"",Customers!G424&gt;0,Customers!T424&gt;Customers!G424/12),"Payment &gt; monthly income","")</f>
        <v/>
      </c>
      <c r="I424" s="4" t="str">
        <f>IF(OR(Customers!I424&gt;DATE(2026,9,13),YEAR(Customers!I424)&lt;1980),"Implausible date","")</f>
        <v/>
      </c>
      <c r="J424" s="4" t="str">
        <f>IF(Customers!I424&gt;DATE(2026,9,13),"",IF(ABS(INT((DATE(2026,9,13)-Customers!I424)/365.25)-Customers!H424)&gt;1,"Date/tenure inconsistent",""))</f>
        <v/>
      </c>
      <c r="K424" s="4" t="str">
        <f>IF(COUNTIF(Customers!$A$2:$A$1001,Customers!A424)&gt;1,"Duplicate ID","")</f>
        <v/>
      </c>
      <c r="L424" s="4" t="str">
        <f>IF(COUNTIFS(Customers!$B$2:$B$1001,Customers!B424,Customers!$D$2:$D$1001,Customers!D424,Customers!$G$2:$G$1001,Customers!G424,Customers!$I$2:$I$1001,Customers!I424,Customers!$L$2:$L$1001,Customers!L424)&gt;1,"Duplicate record","")</f>
        <v/>
      </c>
      <c r="M424" s="4" t="str">
        <f>IF(OR(Customers!U424&lt;300,Customers!U424&gt;850),"Score out of range","")</f>
        <v/>
      </c>
      <c r="N424" s="4" t="str">
        <f>IF(AND(Customers!G424&lt;&gt;"",Customers!G424&lt;=0),"Income ≤ 0","")</f>
        <v/>
      </c>
      <c r="O424" s="4" t="str">
        <f>IF(OR(Customers!G424="",Customers!M424=""),"Missing value","")</f>
        <v/>
      </c>
      <c r="P424" s="4">
        <f t="shared" si="6"/>
        <v>1</v>
      </c>
    </row>
    <row r="425" spans="1:16" x14ac:dyDescent="0.25">
      <c r="A425" s="4" t="str">
        <f>Customers!A425</f>
        <v>CL00419</v>
      </c>
      <c r="B425" s="20">
        <f>IF(Customers!G425="","",(Customers!G425-Statistics!$C$7)/Statistics!$C$9)</f>
        <v>-4.3217859140459759E-2</v>
      </c>
      <c r="C425" s="4" t="str">
        <f>IF(Customers!G425="","",IF(OR(Customers!G425&lt;Statistics!$C$15,Customers!G425&gt;Statistics!$C$16),"Outside 1.5·IQR",""))</f>
        <v/>
      </c>
      <c r="D425" s="4" t="str">
        <f>IF(OR(Customers!B425&lt;18,Customers!B425&gt;100),"Implausible age","")</f>
        <v/>
      </c>
      <c r="E425" s="4" t="str">
        <f>IF(Customers!H425&gt;Customers!B425-18,"Tenure &gt; age-18","")</f>
        <v/>
      </c>
      <c r="F425" s="4" t="str">
        <f>IF(Customers!R425&gt;Customers!Q425,"Card spend &gt; limit","")</f>
        <v/>
      </c>
      <c r="G425" s="4" t="str">
        <f>IF(OR(AND(Customers!S425&gt;0,Customers!T425=0),AND(Customers!S425=0,Customers!T425&gt;0)),"Mortgage/payment inconsistent","")</f>
        <v/>
      </c>
      <c r="H425" s="4" t="str">
        <f>IF(AND(Customers!G425&lt;&gt;"",Customers!G425&gt;0,Customers!T425&gt;Customers!G425/12),"Payment &gt; monthly income","")</f>
        <v/>
      </c>
      <c r="I425" s="4" t="str">
        <f>IF(OR(Customers!I425&gt;DATE(2026,9,13),YEAR(Customers!I425)&lt;1980),"Implausible date","")</f>
        <v/>
      </c>
      <c r="J425" s="4" t="str">
        <f>IF(Customers!I425&gt;DATE(2026,9,13),"",IF(ABS(INT((DATE(2026,9,13)-Customers!I425)/365.25)-Customers!H425)&gt;1,"Date/tenure inconsistent",""))</f>
        <v/>
      </c>
      <c r="K425" s="4" t="str">
        <f>IF(COUNTIF(Customers!$A$2:$A$1001,Customers!A425)&gt;1,"Duplicate ID","")</f>
        <v/>
      </c>
      <c r="L425" s="4" t="str">
        <f>IF(COUNTIFS(Customers!$B$2:$B$1001,Customers!B425,Customers!$D$2:$D$1001,Customers!D425,Customers!$G$2:$G$1001,Customers!G425,Customers!$I$2:$I$1001,Customers!I425,Customers!$L$2:$L$1001,Customers!L425)&gt;1,"Duplicate record","")</f>
        <v/>
      </c>
      <c r="M425" s="4" t="str">
        <f>IF(OR(Customers!U425&lt;300,Customers!U425&gt;850),"Score out of range","")</f>
        <v/>
      </c>
      <c r="N425" s="4" t="str">
        <f>IF(AND(Customers!G425&lt;&gt;"",Customers!G425&lt;=0),"Income ≤ 0","")</f>
        <v/>
      </c>
      <c r="O425" s="4" t="str">
        <f>IF(OR(Customers!G425="",Customers!M425=""),"Missing value","")</f>
        <v/>
      </c>
      <c r="P425" s="4">
        <f t="shared" si="6"/>
        <v>0</v>
      </c>
    </row>
    <row r="426" spans="1:16" x14ac:dyDescent="0.25">
      <c r="A426" s="4" t="str">
        <f>Customers!A426</f>
        <v>CL00420</v>
      </c>
      <c r="B426" s="20">
        <f>IF(Customers!G426="","",(Customers!G426-Statistics!$C$7)/Statistics!$C$9)</f>
        <v>-2.7754561675244729E-2</v>
      </c>
      <c r="C426" s="4" t="str">
        <f>IF(Customers!G426="","",IF(OR(Customers!G426&lt;Statistics!$C$15,Customers!G426&gt;Statistics!$C$16),"Outside 1.5·IQR",""))</f>
        <v/>
      </c>
      <c r="D426" s="4" t="str">
        <f>IF(OR(Customers!B426&lt;18,Customers!B426&gt;100),"Implausible age","")</f>
        <v/>
      </c>
      <c r="E426" s="4" t="str">
        <f>IF(Customers!H426&gt;Customers!B426-18,"Tenure &gt; age-18","")</f>
        <v/>
      </c>
      <c r="F426" s="4" t="str">
        <f>IF(Customers!R426&gt;Customers!Q426,"Card spend &gt; limit","")</f>
        <v/>
      </c>
      <c r="G426" s="4" t="str">
        <f>IF(OR(AND(Customers!S426&gt;0,Customers!T426=0),AND(Customers!S426=0,Customers!T426&gt;0)),"Mortgage/payment inconsistent","")</f>
        <v/>
      </c>
      <c r="H426" s="4" t="str">
        <f>IF(AND(Customers!G426&lt;&gt;"",Customers!G426&gt;0,Customers!T426&gt;Customers!G426/12),"Payment &gt; monthly income","")</f>
        <v/>
      </c>
      <c r="I426" s="4" t="str">
        <f>IF(OR(Customers!I426&gt;DATE(2026,9,13),YEAR(Customers!I426)&lt;1980),"Implausible date","")</f>
        <v/>
      </c>
      <c r="J426" s="4" t="str">
        <f>IF(Customers!I426&gt;DATE(2026,9,13),"",IF(ABS(INT((DATE(2026,9,13)-Customers!I426)/365.25)-Customers!H426)&gt;1,"Date/tenure inconsistent",""))</f>
        <v/>
      </c>
      <c r="K426" s="4" t="str">
        <f>IF(COUNTIF(Customers!$A$2:$A$1001,Customers!A426)&gt;1,"Duplicate ID","")</f>
        <v/>
      </c>
      <c r="L426" s="4" t="str">
        <f>IF(COUNTIFS(Customers!$B$2:$B$1001,Customers!B426,Customers!$D$2:$D$1001,Customers!D426,Customers!$G$2:$G$1001,Customers!G426,Customers!$I$2:$I$1001,Customers!I426,Customers!$L$2:$L$1001,Customers!L426)&gt;1,"Duplicate record","")</f>
        <v/>
      </c>
      <c r="M426" s="4" t="str">
        <f>IF(OR(Customers!U426&lt;300,Customers!U426&gt;850),"Score out of range","")</f>
        <v/>
      </c>
      <c r="N426" s="4" t="str">
        <f>IF(AND(Customers!G426&lt;&gt;"",Customers!G426&lt;=0),"Income ≤ 0","")</f>
        <v/>
      </c>
      <c r="O426" s="4" t="str">
        <f>IF(OR(Customers!G426="",Customers!M426=""),"Missing value","")</f>
        <v/>
      </c>
      <c r="P426" s="4">
        <f t="shared" si="6"/>
        <v>0</v>
      </c>
    </row>
    <row r="427" spans="1:16" x14ac:dyDescent="0.25">
      <c r="A427" s="4" t="str">
        <f>Customers!A427</f>
        <v>CL00421</v>
      </c>
      <c r="B427" s="20">
        <f>IF(Customers!G427="","",(Customers!G427-Statistics!$C$7)/Statistics!$C$9)</f>
        <v>-4.5877152335114572E-2</v>
      </c>
      <c r="C427" s="4" t="str">
        <f>IF(Customers!G427="","",IF(OR(Customers!G427&lt;Statistics!$C$15,Customers!G427&gt;Statistics!$C$16),"Outside 1.5·IQR",""))</f>
        <v/>
      </c>
      <c r="D427" s="4" t="str">
        <f>IF(OR(Customers!B427&lt;18,Customers!B427&gt;100),"Implausible age","")</f>
        <v/>
      </c>
      <c r="E427" s="4" t="str">
        <f>IF(Customers!H427&gt;Customers!B427-18,"Tenure &gt; age-18","")</f>
        <v/>
      </c>
      <c r="F427" s="4" t="str">
        <f>IF(Customers!R427&gt;Customers!Q427,"Card spend &gt; limit","")</f>
        <v/>
      </c>
      <c r="G427" s="4" t="str">
        <f>IF(OR(AND(Customers!S427&gt;0,Customers!T427=0),AND(Customers!S427=0,Customers!T427&gt;0)),"Mortgage/payment inconsistent","")</f>
        <v/>
      </c>
      <c r="H427" s="4" t="str">
        <f>IF(AND(Customers!G427&lt;&gt;"",Customers!G427&gt;0,Customers!T427&gt;Customers!G427/12),"Payment &gt; monthly income","")</f>
        <v/>
      </c>
      <c r="I427" s="4" t="str">
        <f>IF(OR(Customers!I427&gt;DATE(2026,9,13),YEAR(Customers!I427)&lt;1980),"Implausible date","")</f>
        <v/>
      </c>
      <c r="J427" s="4" t="str">
        <f>IF(Customers!I427&gt;DATE(2026,9,13),"",IF(ABS(INT((DATE(2026,9,13)-Customers!I427)/365.25)-Customers!H427)&gt;1,"Date/tenure inconsistent",""))</f>
        <v/>
      </c>
      <c r="K427" s="4" t="str">
        <f>IF(COUNTIF(Customers!$A$2:$A$1001,Customers!A427)&gt;1,"Duplicate ID","")</f>
        <v/>
      </c>
      <c r="L427" s="4" t="str">
        <f>IF(COUNTIFS(Customers!$B$2:$B$1001,Customers!B427,Customers!$D$2:$D$1001,Customers!D427,Customers!$G$2:$G$1001,Customers!G427,Customers!$I$2:$I$1001,Customers!I427,Customers!$L$2:$L$1001,Customers!L427)&gt;1,"Duplicate record","")</f>
        <v/>
      </c>
      <c r="M427" s="4" t="str">
        <f>IF(OR(Customers!U427&lt;300,Customers!U427&gt;850),"Score out of range","")</f>
        <v/>
      </c>
      <c r="N427" s="4" t="str">
        <f>IF(AND(Customers!G427&lt;&gt;"",Customers!G427&lt;=0),"Income ≤ 0","")</f>
        <v/>
      </c>
      <c r="O427" s="4" t="str">
        <f>IF(OR(Customers!G427="",Customers!M427=""),"Missing value","")</f>
        <v/>
      </c>
      <c r="P427" s="4">
        <f t="shared" si="6"/>
        <v>0</v>
      </c>
    </row>
    <row r="428" spans="1:16" x14ac:dyDescent="0.25">
      <c r="A428" s="4" t="str">
        <f>Customers!A428</f>
        <v>CL00422</v>
      </c>
      <c r="B428" s="20">
        <f>IF(Customers!G428="","",(Customers!G428-Statistics!$C$7)/Statistics!$C$9)</f>
        <v>-2.5095268480589916E-2</v>
      </c>
      <c r="C428" s="4" t="str">
        <f>IF(Customers!G428="","",IF(OR(Customers!G428&lt;Statistics!$C$15,Customers!G428&gt;Statistics!$C$16),"Outside 1.5·IQR",""))</f>
        <v/>
      </c>
      <c r="D428" s="4" t="str">
        <f>IF(OR(Customers!B428&lt;18,Customers!B428&gt;100),"Implausible age","")</f>
        <v/>
      </c>
      <c r="E428" s="4" t="str">
        <f>IF(Customers!H428&gt;Customers!B428-18,"Tenure &gt; age-18","")</f>
        <v/>
      </c>
      <c r="F428" s="4" t="str">
        <f>IF(Customers!R428&gt;Customers!Q428,"Card spend &gt; limit","")</f>
        <v/>
      </c>
      <c r="G428" s="4" t="str">
        <f>IF(OR(AND(Customers!S428&gt;0,Customers!T428=0),AND(Customers!S428=0,Customers!T428&gt;0)),"Mortgage/payment inconsistent","")</f>
        <v/>
      </c>
      <c r="H428" s="4" t="str">
        <f>IF(AND(Customers!G428&lt;&gt;"",Customers!G428&gt;0,Customers!T428&gt;Customers!G428/12),"Payment &gt; monthly income","")</f>
        <v/>
      </c>
      <c r="I428" s="4" t="str">
        <f>IF(OR(Customers!I428&gt;DATE(2026,9,13),YEAR(Customers!I428)&lt;1980),"Implausible date","")</f>
        <v/>
      </c>
      <c r="J428" s="4" t="str">
        <f>IF(Customers!I428&gt;DATE(2026,9,13),"",IF(ABS(INT((DATE(2026,9,13)-Customers!I428)/365.25)-Customers!H428)&gt;1,"Date/tenure inconsistent",""))</f>
        <v/>
      </c>
      <c r="K428" s="4" t="str">
        <f>IF(COUNTIF(Customers!$A$2:$A$1001,Customers!A428)&gt;1,"Duplicate ID","")</f>
        <v/>
      </c>
      <c r="L428" s="4" t="str">
        <f>IF(COUNTIFS(Customers!$B$2:$B$1001,Customers!B428,Customers!$D$2:$D$1001,Customers!D428,Customers!$G$2:$G$1001,Customers!G428,Customers!$I$2:$I$1001,Customers!I428,Customers!$L$2:$L$1001,Customers!L428)&gt;1,"Duplicate record","")</f>
        <v/>
      </c>
      <c r="M428" s="4" t="str">
        <f>IF(OR(Customers!U428&lt;300,Customers!U428&gt;850),"Score out of range","")</f>
        <v/>
      </c>
      <c r="N428" s="4" t="str">
        <f>IF(AND(Customers!G428&lt;&gt;"",Customers!G428&lt;=0),"Income ≤ 0","")</f>
        <v/>
      </c>
      <c r="O428" s="4" t="str">
        <f>IF(OR(Customers!G428="",Customers!M428=""),"Missing value","")</f>
        <v/>
      </c>
      <c r="P428" s="4">
        <f t="shared" si="6"/>
        <v>0</v>
      </c>
    </row>
    <row r="429" spans="1:16" x14ac:dyDescent="0.25">
      <c r="A429" s="4" t="str">
        <f>Customers!A429</f>
        <v>CL00423</v>
      </c>
      <c r="B429" s="20">
        <f>IF(Customers!G429="","",(Customers!G429-Statistics!$C$7)/Statistics!$C$9)</f>
        <v>-3.9573642540377235E-2</v>
      </c>
      <c r="C429" s="4" t="str">
        <f>IF(Customers!G429="","",IF(OR(Customers!G429&lt;Statistics!$C$15,Customers!G429&gt;Statistics!$C$16),"Outside 1.5·IQR",""))</f>
        <v/>
      </c>
      <c r="D429" s="4" t="str">
        <f>IF(OR(Customers!B429&lt;18,Customers!B429&gt;100),"Implausible age","")</f>
        <v/>
      </c>
      <c r="E429" s="4" t="str">
        <f>IF(Customers!H429&gt;Customers!B429-18,"Tenure &gt; age-18","")</f>
        <v/>
      </c>
      <c r="F429" s="4" t="str">
        <f>IF(Customers!R429&gt;Customers!Q429,"Card spend &gt; limit","")</f>
        <v/>
      </c>
      <c r="G429" s="4" t="str">
        <f>IF(OR(AND(Customers!S429&gt;0,Customers!T429=0),AND(Customers!S429=0,Customers!T429&gt;0)),"Mortgage/payment inconsistent","")</f>
        <v/>
      </c>
      <c r="H429" s="4" t="str">
        <f>IF(AND(Customers!G429&lt;&gt;"",Customers!G429&gt;0,Customers!T429&gt;Customers!G429/12),"Payment &gt; monthly income","")</f>
        <v/>
      </c>
      <c r="I429" s="4" t="str">
        <f>IF(OR(Customers!I429&gt;DATE(2026,9,13),YEAR(Customers!I429)&lt;1980),"Implausible date","")</f>
        <v/>
      </c>
      <c r="J429" s="4" t="str">
        <f>IF(Customers!I429&gt;DATE(2026,9,13),"",IF(ABS(INT((DATE(2026,9,13)-Customers!I429)/365.25)-Customers!H429)&gt;1,"Date/tenure inconsistent",""))</f>
        <v/>
      </c>
      <c r="K429" s="4" t="str">
        <f>IF(COUNTIF(Customers!$A$2:$A$1001,Customers!A429)&gt;1,"Duplicate ID","")</f>
        <v/>
      </c>
      <c r="L429" s="4" t="str">
        <f>IF(COUNTIFS(Customers!$B$2:$B$1001,Customers!B429,Customers!$D$2:$D$1001,Customers!D429,Customers!$G$2:$G$1001,Customers!G429,Customers!$I$2:$I$1001,Customers!I429,Customers!$L$2:$L$1001,Customers!L429)&gt;1,"Duplicate record","")</f>
        <v/>
      </c>
      <c r="M429" s="4" t="str">
        <f>IF(OR(Customers!U429&lt;300,Customers!U429&gt;850),"Score out of range","")</f>
        <v/>
      </c>
      <c r="N429" s="4" t="str">
        <f>IF(AND(Customers!G429&lt;&gt;"",Customers!G429&lt;=0),"Income ≤ 0","")</f>
        <v/>
      </c>
      <c r="O429" s="4" t="str">
        <f>IF(OR(Customers!G429="",Customers!M429=""),"Missing value","")</f>
        <v/>
      </c>
      <c r="P429" s="4">
        <f t="shared" si="6"/>
        <v>0</v>
      </c>
    </row>
    <row r="430" spans="1:16" x14ac:dyDescent="0.25">
      <c r="A430" s="4" t="str">
        <f>Customers!A430</f>
        <v>CL00424</v>
      </c>
      <c r="B430" s="20">
        <f>IF(Customers!G430="","",(Customers!G430-Statistics!$C$7)/Statistics!$C$9)</f>
        <v>-6.7643959595066944E-2</v>
      </c>
      <c r="C430" s="4" t="str">
        <f>IF(Customers!G430="","",IF(OR(Customers!G430&lt;Statistics!$C$15,Customers!G430&gt;Statistics!$C$16),"Outside 1.5·IQR",""))</f>
        <v/>
      </c>
      <c r="D430" s="4" t="str">
        <f>IF(OR(Customers!B430&lt;18,Customers!B430&gt;100),"Implausible age","")</f>
        <v/>
      </c>
      <c r="E430" s="4" t="str">
        <f>IF(Customers!H430&gt;Customers!B430-18,"Tenure &gt; age-18","")</f>
        <v/>
      </c>
      <c r="F430" s="4" t="str">
        <f>IF(Customers!R430&gt;Customers!Q430,"Card spend &gt; limit","")</f>
        <v/>
      </c>
      <c r="G430" s="4" t="str">
        <f>IF(OR(AND(Customers!S430&gt;0,Customers!T430=0),AND(Customers!S430=0,Customers!T430&gt;0)),"Mortgage/payment inconsistent","")</f>
        <v/>
      </c>
      <c r="H430" s="4" t="str">
        <f>IF(AND(Customers!G430&lt;&gt;"",Customers!G430&gt;0,Customers!T430&gt;Customers!G430/12),"Payment &gt; monthly income","")</f>
        <v/>
      </c>
      <c r="I430" s="4" t="str">
        <f>IF(OR(Customers!I430&gt;DATE(2026,9,13),YEAR(Customers!I430)&lt;1980),"Implausible date","")</f>
        <v/>
      </c>
      <c r="J430" s="4" t="str">
        <f>IF(Customers!I430&gt;DATE(2026,9,13),"",IF(ABS(INT((DATE(2026,9,13)-Customers!I430)/365.25)-Customers!H430)&gt;1,"Date/tenure inconsistent",""))</f>
        <v/>
      </c>
      <c r="K430" s="4" t="str">
        <f>IF(COUNTIF(Customers!$A$2:$A$1001,Customers!A430)&gt;1,"Duplicate ID","")</f>
        <v/>
      </c>
      <c r="L430" s="4" t="str">
        <f>IF(COUNTIFS(Customers!$B$2:$B$1001,Customers!B430,Customers!$D$2:$D$1001,Customers!D430,Customers!$G$2:$G$1001,Customers!G430,Customers!$I$2:$I$1001,Customers!I430,Customers!$L$2:$L$1001,Customers!L430)&gt;1,"Duplicate record","")</f>
        <v/>
      </c>
      <c r="M430" s="4" t="str">
        <f>IF(OR(Customers!U430&lt;300,Customers!U430&gt;850),"Score out of range","")</f>
        <v/>
      </c>
      <c r="N430" s="4" t="str">
        <f>IF(AND(Customers!G430&lt;&gt;"",Customers!G430&lt;=0),"Income ≤ 0","")</f>
        <v/>
      </c>
      <c r="O430" s="4" t="str">
        <f>IF(OR(Customers!G430="",Customers!M430=""),"Missing value","")</f>
        <v/>
      </c>
      <c r="P430" s="4">
        <f t="shared" si="6"/>
        <v>0</v>
      </c>
    </row>
    <row r="431" spans="1:16" x14ac:dyDescent="0.25">
      <c r="A431" s="4" t="str">
        <f>Customers!A431</f>
        <v>CL00425</v>
      </c>
      <c r="B431" s="20">
        <f>IF(Customers!G431="","",(Customers!G431-Statistics!$C$7)/Statistics!$C$9)</f>
        <v>-5.5036940005592269E-2</v>
      </c>
      <c r="C431" s="4" t="str">
        <f>IF(Customers!G431="","",IF(OR(Customers!G431&lt;Statistics!$C$15,Customers!G431&gt;Statistics!$C$16),"Outside 1.5·IQR",""))</f>
        <v/>
      </c>
      <c r="D431" s="4" t="str">
        <f>IF(OR(Customers!B431&lt;18,Customers!B431&gt;100),"Implausible age","")</f>
        <v/>
      </c>
      <c r="E431" s="4" t="str">
        <f>IF(Customers!H431&gt;Customers!B431-18,"Tenure &gt; age-18","")</f>
        <v/>
      </c>
      <c r="F431" s="4" t="str">
        <f>IF(Customers!R431&gt;Customers!Q431,"Card spend &gt; limit","")</f>
        <v/>
      </c>
      <c r="G431" s="4" t="str">
        <f>IF(OR(AND(Customers!S431&gt;0,Customers!T431=0),AND(Customers!S431=0,Customers!T431&gt;0)),"Mortgage/payment inconsistent","")</f>
        <v/>
      </c>
      <c r="H431" s="4" t="str">
        <f>IF(AND(Customers!G431&lt;&gt;"",Customers!G431&gt;0,Customers!T431&gt;Customers!G431/12),"Payment &gt; monthly income","")</f>
        <v/>
      </c>
      <c r="I431" s="4" t="str">
        <f>IF(OR(Customers!I431&gt;DATE(2026,9,13),YEAR(Customers!I431)&lt;1980),"Implausible date","")</f>
        <v/>
      </c>
      <c r="J431" s="4" t="str">
        <f>IF(Customers!I431&gt;DATE(2026,9,13),"",IF(ABS(INT((DATE(2026,9,13)-Customers!I431)/365.25)-Customers!H431)&gt;1,"Date/tenure inconsistent",""))</f>
        <v/>
      </c>
      <c r="K431" s="4" t="str">
        <f>IF(COUNTIF(Customers!$A$2:$A$1001,Customers!A431)&gt;1,"Duplicate ID","")</f>
        <v/>
      </c>
      <c r="L431" s="4" t="str">
        <f>IF(COUNTIFS(Customers!$B$2:$B$1001,Customers!B431,Customers!$D$2:$D$1001,Customers!D431,Customers!$G$2:$G$1001,Customers!G431,Customers!$I$2:$I$1001,Customers!I431,Customers!$L$2:$L$1001,Customers!L431)&gt;1,"Duplicate record","")</f>
        <v/>
      </c>
      <c r="M431" s="4" t="str">
        <f>IF(OR(Customers!U431&lt;300,Customers!U431&gt;850),"Score out of range","")</f>
        <v/>
      </c>
      <c r="N431" s="4" t="str">
        <f>IF(AND(Customers!G431&lt;&gt;"",Customers!G431&lt;=0),"Income ≤ 0","")</f>
        <v/>
      </c>
      <c r="O431" s="4" t="str">
        <f>IF(OR(Customers!G431="",Customers!M431=""),"Missing value","")</f>
        <v/>
      </c>
      <c r="P431" s="4">
        <f t="shared" si="6"/>
        <v>0</v>
      </c>
    </row>
    <row r="432" spans="1:16" x14ac:dyDescent="0.25">
      <c r="A432" s="4" t="str">
        <f>Customers!A432</f>
        <v>CL00426</v>
      </c>
      <c r="B432" s="20">
        <f>IF(Customers!G432="","",(Customers!G432-Statistics!$C$7)/Statistics!$C$9)</f>
        <v>-4.1051027648518798E-2</v>
      </c>
      <c r="C432" s="4" t="str">
        <f>IF(Customers!G432="","",IF(OR(Customers!G432&lt;Statistics!$C$15,Customers!G432&gt;Statistics!$C$16),"Outside 1.5·IQR",""))</f>
        <v/>
      </c>
      <c r="D432" s="4" t="str">
        <f>IF(OR(Customers!B432&lt;18,Customers!B432&gt;100),"Implausible age","")</f>
        <v/>
      </c>
      <c r="E432" s="4" t="str">
        <f>IF(Customers!H432&gt;Customers!B432-18,"Tenure &gt; age-18","")</f>
        <v/>
      </c>
      <c r="F432" s="4" t="str">
        <f>IF(Customers!R432&gt;Customers!Q432,"Card spend &gt; limit","")</f>
        <v/>
      </c>
      <c r="G432" s="4" t="str">
        <f>IF(OR(AND(Customers!S432&gt;0,Customers!T432=0),AND(Customers!S432=0,Customers!T432&gt;0)),"Mortgage/payment inconsistent","")</f>
        <v/>
      </c>
      <c r="H432" s="4" t="str">
        <f>IF(AND(Customers!G432&lt;&gt;"",Customers!G432&gt;0,Customers!T432&gt;Customers!G432/12),"Payment &gt; monthly income","")</f>
        <v/>
      </c>
      <c r="I432" s="4" t="str">
        <f>IF(OR(Customers!I432&gt;DATE(2026,9,13),YEAR(Customers!I432)&lt;1980),"Implausible date","")</f>
        <v/>
      </c>
      <c r="J432" s="4" t="str">
        <f>IF(Customers!I432&gt;DATE(2026,9,13),"",IF(ABS(INT((DATE(2026,9,13)-Customers!I432)/365.25)-Customers!H432)&gt;1,"Date/tenure inconsistent",""))</f>
        <v/>
      </c>
      <c r="K432" s="4" t="str">
        <f>IF(COUNTIF(Customers!$A$2:$A$1001,Customers!A432)&gt;1,"Duplicate ID","")</f>
        <v/>
      </c>
      <c r="L432" s="4" t="str">
        <f>IF(COUNTIFS(Customers!$B$2:$B$1001,Customers!B432,Customers!$D$2:$D$1001,Customers!D432,Customers!$G$2:$G$1001,Customers!G432,Customers!$I$2:$I$1001,Customers!I432,Customers!$L$2:$L$1001,Customers!L432)&gt;1,"Duplicate record","")</f>
        <v/>
      </c>
      <c r="M432" s="4" t="str">
        <f>IF(OR(Customers!U432&lt;300,Customers!U432&gt;850),"Score out of range","")</f>
        <v/>
      </c>
      <c r="N432" s="4" t="str">
        <f>IF(AND(Customers!G432&lt;&gt;"",Customers!G432&lt;=0),"Income ≤ 0","")</f>
        <v/>
      </c>
      <c r="O432" s="4" t="str">
        <f>IF(OR(Customers!G432="",Customers!M432=""),"Missing value","")</f>
        <v/>
      </c>
      <c r="P432" s="4">
        <f t="shared" si="6"/>
        <v>0</v>
      </c>
    </row>
    <row r="433" spans="1:16" x14ac:dyDescent="0.25">
      <c r="A433" s="4" t="str">
        <f>Customers!A433</f>
        <v>CL00427</v>
      </c>
      <c r="B433" s="20">
        <f>IF(Customers!G433="","",(Customers!G433-Statistics!$C$7)/Statistics!$C$9)</f>
        <v>31.446162305150995</v>
      </c>
      <c r="C433" s="4" t="str">
        <f>IF(Customers!G433="","",IF(OR(Customers!G433&lt;Statistics!$C$15,Customers!G433&gt;Statistics!$C$16),"Outside 1.5·IQR",""))</f>
        <v>Outside 1.5·IQR</v>
      </c>
      <c r="D433" s="4" t="str">
        <f>IF(OR(Customers!B433&lt;18,Customers!B433&gt;100),"Implausible age","")</f>
        <v/>
      </c>
      <c r="E433" s="4" t="str">
        <f>IF(Customers!H433&gt;Customers!B433-18,"Tenure &gt; age-18","")</f>
        <v/>
      </c>
      <c r="F433" s="4" t="str">
        <f>IF(Customers!R433&gt;Customers!Q433,"Card spend &gt; limit","")</f>
        <v/>
      </c>
      <c r="G433" s="4" t="str">
        <f>IF(OR(AND(Customers!S433&gt;0,Customers!T433=0),AND(Customers!S433=0,Customers!T433&gt;0)),"Mortgage/payment inconsistent","")</f>
        <v/>
      </c>
      <c r="H433" s="4" t="str">
        <f>IF(AND(Customers!G433&lt;&gt;"",Customers!G433&gt;0,Customers!T433&gt;Customers!G433/12),"Payment &gt; monthly income","")</f>
        <v/>
      </c>
      <c r="I433" s="4" t="str">
        <f>IF(OR(Customers!I433&gt;DATE(2026,9,13),YEAR(Customers!I433)&lt;1980),"Implausible date","")</f>
        <v/>
      </c>
      <c r="J433" s="4" t="str">
        <f>IF(Customers!I433&gt;DATE(2026,9,13),"",IF(ABS(INT((DATE(2026,9,13)-Customers!I433)/365.25)-Customers!H433)&gt;1,"Date/tenure inconsistent",""))</f>
        <v/>
      </c>
      <c r="K433" s="4" t="str">
        <f>IF(COUNTIF(Customers!$A$2:$A$1001,Customers!A433)&gt;1,"Duplicate ID","")</f>
        <v/>
      </c>
      <c r="L433" s="4" t="str">
        <f>IF(COUNTIFS(Customers!$B$2:$B$1001,Customers!B433,Customers!$D$2:$D$1001,Customers!D433,Customers!$G$2:$G$1001,Customers!G433,Customers!$I$2:$I$1001,Customers!I433,Customers!$L$2:$L$1001,Customers!L433)&gt;1,"Duplicate record","")</f>
        <v/>
      </c>
      <c r="M433" s="4" t="str">
        <f>IF(OR(Customers!U433&lt;300,Customers!U433&gt;850),"Score out of range","")</f>
        <v/>
      </c>
      <c r="N433" s="4" t="str">
        <f>IF(AND(Customers!G433&lt;&gt;"",Customers!G433&lt;=0),"Income ≤ 0","")</f>
        <v/>
      </c>
      <c r="O433" s="4" t="str">
        <f>IF(OR(Customers!G433="",Customers!M433=""),"Missing value","")</f>
        <v/>
      </c>
      <c r="P433" s="4">
        <f t="shared" si="6"/>
        <v>1</v>
      </c>
    </row>
    <row r="434" spans="1:16" x14ac:dyDescent="0.25">
      <c r="A434" s="4" t="str">
        <f>Customers!A434</f>
        <v>CL00428</v>
      </c>
      <c r="B434" s="20">
        <f>IF(Customers!G434="","",(Customers!G434-Statistics!$C$7)/Statistics!$C$9)</f>
        <v>-5.7302263838075997E-2</v>
      </c>
      <c r="C434" s="4" t="str">
        <f>IF(Customers!G434="","",IF(OR(Customers!G434&lt;Statistics!$C$15,Customers!G434&gt;Statistics!$C$16),"Outside 1.5·IQR",""))</f>
        <v/>
      </c>
      <c r="D434" s="4" t="str">
        <f>IF(OR(Customers!B434&lt;18,Customers!B434&gt;100),"Implausible age","")</f>
        <v/>
      </c>
      <c r="E434" s="4" t="str">
        <f>IF(Customers!H434&gt;Customers!B434-18,"Tenure &gt; age-18","")</f>
        <v/>
      </c>
      <c r="F434" s="4" t="str">
        <f>IF(Customers!R434&gt;Customers!Q434,"Card spend &gt; limit","")</f>
        <v/>
      </c>
      <c r="G434" s="4" t="str">
        <f>IF(OR(AND(Customers!S434&gt;0,Customers!T434=0),AND(Customers!S434=0,Customers!T434&gt;0)),"Mortgage/payment inconsistent","")</f>
        <v/>
      </c>
      <c r="H434" s="4" t="str">
        <f>IF(AND(Customers!G434&lt;&gt;"",Customers!G434&gt;0,Customers!T434&gt;Customers!G434/12),"Payment &gt; monthly income","")</f>
        <v/>
      </c>
      <c r="I434" s="4" t="str">
        <f>IF(OR(Customers!I434&gt;DATE(2026,9,13),YEAR(Customers!I434)&lt;1980),"Implausible date","")</f>
        <v/>
      </c>
      <c r="J434" s="4" t="str">
        <f>IF(Customers!I434&gt;DATE(2026,9,13),"",IF(ABS(INT((DATE(2026,9,13)-Customers!I434)/365.25)-Customers!H434)&gt;1,"Date/tenure inconsistent",""))</f>
        <v/>
      </c>
      <c r="K434" s="4" t="str">
        <f>IF(COUNTIF(Customers!$A$2:$A$1001,Customers!A434)&gt;1,"Duplicate ID","")</f>
        <v/>
      </c>
      <c r="L434" s="4" t="str">
        <f>IF(COUNTIFS(Customers!$B$2:$B$1001,Customers!B434,Customers!$D$2:$D$1001,Customers!D434,Customers!$G$2:$G$1001,Customers!G434,Customers!$I$2:$I$1001,Customers!I434,Customers!$L$2:$L$1001,Customers!L434)&gt;1,"Duplicate record","")</f>
        <v/>
      </c>
      <c r="M434" s="4" t="str">
        <f>IF(OR(Customers!U434&lt;300,Customers!U434&gt;850),"Score out of range","")</f>
        <v/>
      </c>
      <c r="N434" s="4" t="str">
        <f>IF(AND(Customers!G434&lt;&gt;"",Customers!G434&lt;=0),"Income ≤ 0","")</f>
        <v/>
      </c>
      <c r="O434" s="4" t="str">
        <f>IF(OR(Customers!G434="",Customers!M434=""),"Missing value","")</f>
        <v/>
      </c>
      <c r="P434" s="4">
        <f t="shared" si="6"/>
        <v>0</v>
      </c>
    </row>
    <row r="435" spans="1:16" x14ac:dyDescent="0.25">
      <c r="A435" s="4" t="str">
        <f>Customers!A435</f>
        <v>CL00429</v>
      </c>
      <c r="B435" s="20">
        <f>IF(Customers!G435="","",(Customers!G435-Statistics!$C$7)/Statistics!$C$9)</f>
        <v>-6.7053005551810319E-2</v>
      </c>
      <c r="C435" s="4" t="str">
        <f>IF(Customers!G435="","",IF(OR(Customers!G435&lt;Statistics!$C$15,Customers!G435&gt;Statistics!$C$16),"Outside 1.5·IQR",""))</f>
        <v/>
      </c>
      <c r="D435" s="4" t="str">
        <f>IF(OR(Customers!B435&lt;18,Customers!B435&gt;100),"Implausible age","")</f>
        <v/>
      </c>
      <c r="E435" s="4" t="str">
        <f>IF(Customers!H435&gt;Customers!B435-18,"Tenure &gt; age-18","")</f>
        <v/>
      </c>
      <c r="F435" s="4" t="str">
        <f>IF(Customers!R435&gt;Customers!Q435,"Card spend &gt; limit","")</f>
        <v/>
      </c>
      <c r="G435" s="4" t="str">
        <f>IF(OR(AND(Customers!S435&gt;0,Customers!T435=0),AND(Customers!S435=0,Customers!T435&gt;0)),"Mortgage/payment inconsistent","")</f>
        <v/>
      </c>
      <c r="H435" s="4" t="str">
        <f>IF(AND(Customers!G435&lt;&gt;"",Customers!G435&gt;0,Customers!T435&gt;Customers!G435/12),"Payment &gt; monthly income","")</f>
        <v/>
      </c>
      <c r="I435" s="4" t="str">
        <f>IF(OR(Customers!I435&gt;DATE(2026,9,13),YEAR(Customers!I435)&lt;1980),"Implausible date","")</f>
        <v/>
      </c>
      <c r="J435" s="4" t="str">
        <f>IF(Customers!I435&gt;DATE(2026,9,13),"",IF(ABS(INT((DATE(2026,9,13)-Customers!I435)/365.25)-Customers!H435)&gt;1,"Date/tenure inconsistent",""))</f>
        <v/>
      </c>
      <c r="K435" s="4" t="str">
        <f>IF(COUNTIF(Customers!$A$2:$A$1001,Customers!A435)&gt;1,"Duplicate ID","")</f>
        <v/>
      </c>
      <c r="L435" s="4" t="str">
        <f>IF(COUNTIFS(Customers!$B$2:$B$1001,Customers!B435,Customers!$D$2:$D$1001,Customers!D435,Customers!$G$2:$G$1001,Customers!G435,Customers!$I$2:$I$1001,Customers!I435,Customers!$L$2:$L$1001,Customers!L435)&gt;1,"Duplicate record","")</f>
        <v/>
      </c>
      <c r="M435" s="4" t="str">
        <f>IF(OR(Customers!U435&lt;300,Customers!U435&gt;850),"Score out of range","")</f>
        <v/>
      </c>
      <c r="N435" s="4" t="str">
        <f>IF(AND(Customers!G435&lt;&gt;"",Customers!G435&lt;=0),"Income ≤ 0","")</f>
        <v/>
      </c>
      <c r="O435" s="4" t="str">
        <f>IF(OR(Customers!G435="",Customers!M435=""),"Missing value","")</f>
        <v/>
      </c>
      <c r="P435" s="4">
        <f t="shared" si="6"/>
        <v>0</v>
      </c>
    </row>
    <row r="436" spans="1:16" x14ac:dyDescent="0.25">
      <c r="A436" s="4" t="str">
        <f>Customers!A436</f>
        <v>CL00430</v>
      </c>
      <c r="B436" s="20">
        <f>IF(Customers!G436="","",(Customers!G436-Statistics!$C$7)/Statistics!$C$9)</f>
        <v>-4.9718353616282636E-2</v>
      </c>
      <c r="C436" s="4" t="str">
        <f>IF(Customers!G436="","",IF(OR(Customers!G436&lt;Statistics!$C$15,Customers!G436&gt;Statistics!$C$16),"Outside 1.5·IQR",""))</f>
        <v/>
      </c>
      <c r="D436" s="4" t="str">
        <f>IF(OR(Customers!B436&lt;18,Customers!B436&gt;100),"Implausible age","")</f>
        <v/>
      </c>
      <c r="E436" s="4" t="str">
        <f>IF(Customers!H436&gt;Customers!B436-18,"Tenure &gt; age-18","")</f>
        <v/>
      </c>
      <c r="F436" s="4" t="str">
        <f>IF(Customers!R436&gt;Customers!Q436,"Card spend &gt; limit","")</f>
        <v/>
      </c>
      <c r="G436" s="4" t="str">
        <f>IF(OR(AND(Customers!S436&gt;0,Customers!T436=0),AND(Customers!S436=0,Customers!T436&gt;0)),"Mortgage/payment inconsistent","")</f>
        <v/>
      </c>
      <c r="H436" s="4" t="str">
        <f>IF(AND(Customers!G436&lt;&gt;"",Customers!G436&gt;0,Customers!T436&gt;Customers!G436/12),"Payment &gt; monthly income","")</f>
        <v/>
      </c>
      <c r="I436" s="4" t="str">
        <f>IF(OR(Customers!I436&gt;DATE(2026,9,13),YEAR(Customers!I436)&lt;1980),"Implausible date","")</f>
        <v/>
      </c>
      <c r="J436" s="4" t="str">
        <f>IF(Customers!I436&gt;DATE(2026,9,13),"",IF(ABS(INT((DATE(2026,9,13)-Customers!I436)/365.25)-Customers!H436)&gt;1,"Date/tenure inconsistent",""))</f>
        <v/>
      </c>
      <c r="K436" s="4" t="str">
        <f>IF(COUNTIF(Customers!$A$2:$A$1001,Customers!A436)&gt;1,"Duplicate ID","")</f>
        <v/>
      </c>
      <c r="L436" s="4" t="str">
        <f>IF(COUNTIFS(Customers!$B$2:$B$1001,Customers!B436,Customers!$D$2:$D$1001,Customers!D436,Customers!$G$2:$G$1001,Customers!G436,Customers!$I$2:$I$1001,Customers!I436,Customers!$L$2:$L$1001,Customers!L436)&gt;1,"Duplicate record","")</f>
        <v/>
      </c>
      <c r="M436" s="4" t="str">
        <f>IF(OR(Customers!U436&lt;300,Customers!U436&gt;850),"Score out of range","")</f>
        <v/>
      </c>
      <c r="N436" s="4" t="str">
        <f>IF(AND(Customers!G436&lt;&gt;"",Customers!G436&lt;=0),"Income ≤ 0","")</f>
        <v/>
      </c>
      <c r="O436" s="4" t="str">
        <f>IF(OR(Customers!G436="",Customers!M436=""),"Missing value","")</f>
        <v/>
      </c>
      <c r="P436" s="4">
        <f t="shared" si="6"/>
        <v>0</v>
      </c>
    </row>
    <row r="437" spans="1:16" x14ac:dyDescent="0.25">
      <c r="A437" s="4" t="str">
        <f>Customers!A437</f>
        <v>CL00431</v>
      </c>
      <c r="B437" s="20">
        <f>IF(Customers!G437="","",(Customers!G437-Statistics!$C$7)/Statistics!$C$9)</f>
        <v>-4.3808813183716384E-2</v>
      </c>
      <c r="C437" s="4" t="str">
        <f>IF(Customers!G437="","",IF(OR(Customers!G437&lt;Statistics!$C$15,Customers!G437&gt;Statistics!$C$16),"Outside 1.5·IQR",""))</f>
        <v/>
      </c>
      <c r="D437" s="4" t="str">
        <f>IF(OR(Customers!B437&lt;18,Customers!B437&gt;100),"Implausible age","")</f>
        <v/>
      </c>
      <c r="E437" s="4" t="str">
        <f>IF(Customers!H437&gt;Customers!B437-18,"Tenure &gt; age-18","")</f>
        <v/>
      </c>
      <c r="F437" s="4" t="str">
        <f>IF(Customers!R437&gt;Customers!Q437,"Card spend &gt; limit","")</f>
        <v/>
      </c>
      <c r="G437" s="4" t="str">
        <f>IF(OR(AND(Customers!S437&gt;0,Customers!T437=0),AND(Customers!S437=0,Customers!T437&gt;0)),"Mortgage/payment inconsistent","")</f>
        <v/>
      </c>
      <c r="H437" s="4" t="str">
        <f>IF(AND(Customers!G437&lt;&gt;"",Customers!G437&gt;0,Customers!T437&gt;Customers!G437/12),"Payment &gt; monthly income","")</f>
        <v/>
      </c>
      <c r="I437" s="4" t="str">
        <f>IF(OR(Customers!I437&gt;DATE(2026,9,13),YEAR(Customers!I437)&lt;1980),"Implausible date","")</f>
        <v/>
      </c>
      <c r="J437" s="4" t="str">
        <f>IF(Customers!I437&gt;DATE(2026,9,13),"",IF(ABS(INT((DATE(2026,9,13)-Customers!I437)/365.25)-Customers!H437)&gt;1,"Date/tenure inconsistent",""))</f>
        <v/>
      </c>
      <c r="K437" s="4" t="str">
        <f>IF(COUNTIF(Customers!$A$2:$A$1001,Customers!A437)&gt;1,"Duplicate ID","")</f>
        <v/>
      </c>
      <c r="L437" s="4" t="str">
        <f>IF(COUNTIFS(Customers!$B$2:$B$1001,Customers!B437,Customers!$D$2:$D$1001,Customers!D437,Customers!$G$2:$G$1001,Customers!G437,Customers!$I$2:$I$1001,Customers!I437,Customers!$L$2:$L$1001,Customers!L437)&gt;1,"Duplicate record","")</f>
        <v/>
      </c>
      <c r="M437" s="4" t="str">
        <f>IF(OR(Customers!U437&lt;300,Customers!U437&gt;850),"Score out of range","")</f>
        <v/>
      </c>
      <c r="N437" s="4" t="str">
        <f>IF(AND(Customers!G437&lt;&gt;"",Customers!G437&lt;=0),"Income ≤ 0","")</f>
        <v/>
      </c>
      <c r="O437" s="4" t="str">
        <f>IF(OR(Customers!G437="",Customers!M437=""),"Missing value","")</f>
        <v/>
      </c>
      <c r="P437" s="4">
        <f t="shared" si="6"/>
        <v>0</v>
      </c>
    </row>
    <row r="438" spans="1:16" x14ac:dyDescent="0.25">
      <c r="A438" s="4" t="str">
        <f>Customers!A438</f>
        <v>CL00432</v>
      </c>
      <c r="B438" s="20">
        <f>IF(Customers!G438="","",(Customers!G438-Statistics!$C$7)/Statistics!$C$9)</f>
        <v>-3.2777671042926046E-2</v>
      </c>
      <c r="C438" s="4" t="str">
        <f>IF(Customers!G438="","",IF(OR(Customers!G438&lt;Statistics!$C$15,Customers!G438&gt;Statistics!$C$16),"Outside 1.5·IQR",""))</f>
        <v/>
      </c>
      <c r="D438" s="4" t="str">
        <f>IF(OR(Customers!B438&lt;18,Customers!B438&gt;100),"Implausible age","")</f>
        <v/>
      </c>
      <c r="E438" s="4" t="str">
        <f>IF(Customers!H438&gt;Customers!B438-18,"Tenure &gt; age-18","")</f>
        <v/>
      </c>
      <c r="F438" s="4" t="str">
        <f>IF(Customers!R438&gt;Customers!Q438,"Card spend &gt; limit","")</f>
        <v/>
      </c>
      <c r="G438" s="4" t="str">
        <f>IF(OR(AND(Customers!S438&gt;0,Customers!T438=0),AND(Customers!S438=0,Customers!T438&gt;0)),"Mortgage/payment inconsistent","")</f>
        <v/>
      </c>
      <c r="H438" s="4" t="str">
        <f>IF(AND(Customers!G438&lt;&gt;"",Customers!G438&gt;0,Customers!T438&gt;Customers!G438/12),"Payment &gt; monthly income","")</f>
        <v/>
      </c>
      <c r="I438" s="4" t="str">
        <f>IF(OR(Customers!I438&gt;DATE(2026,9,13),YEAR(Customers!I438)&lt;1980),"Implausible date","")</f>
        <v/>
      </c>
      <c r="J438" s="4" t="str">
        <f>IF(Customers!I438&gt;DATE(2026,9,13),"",IF(ABS(INT((DATE(2026,9,13)-Customers!I438)/365.25)-Customers!H438)&gt;1,"Date/tenure inconsistent",""))</f>
        <v/>
      </c>
      <c r="K438" s="4" t="str">
        <f>IF(COUNTIF(Customers!$A$2:$A$1001,Customers!A438)&gt;1,"Duplicate ID","")</f>
        <v/>
      </c>
      <c r="L438" s="4" t="str">
        <f>IF(COUNTIFS(Customers!$B$2:$B$1001,Customers!B438,Customers!$D$2:$D$1001,Customers!D438,Customers!$G$2:$G$1001,Customers!G438,Customers!$I$2:$I$1001,Customers!I438,Customers!$L$2:$L$1001,Customers!L438)&gt;1,"Duplicate record","")</f>
        <v/>
      </c>
      <c r="M438" s="4" t="str">
        <f>IF(OR(Customers!U438&lt;300,Customers!U438&gt;850),"Score out of range","")</f>
        <v/>
      </c>
      <c r="N438" s="4" t="str">
        <f>IF(AND(Customers!G438&lt;&gt;"",Customers!G438&lt;=0),"Income ≤ 0","")</f>
        <v/>
      </c>
      <c r="O438" s="4" t="str">
        <f>IF(OR(Customers!G438="",Customers!M438=""),"Missing value","")</f>
        <v/>
      </c>
      <c r="P438" s="4">
        <f t="shared" si="6"/>
        <v>0</v>
      </c>
    </row>
    <row r="439" spans="1:16" x14ac:dyDescent="0.25">
      <c r="A439" s="4" t="str">
        <f>Customers!A439</f>
        <v>CL00433</v>
      </c>
      <c r="B439" s="20">
        <f>IF(Customers!G439="","",(Customers!G439-Statistics!$C$7)/Statistics!$C$9)</f>
        <v>-2.3519391031905579E-2</v>
      </c>
      <c r="C439" s="4" t="str">
        <f>IF(Customers!G439="","",IF(OR(Customers!G439&lt;Statistics!$C$15,Customers!G439&gt;Statistics!$C$16),"Outside 1.5·IQR",""))</f>
        <v/>
      </c>
      <c r="D439" s="4" t="str">
        <f>IF(OR(Customers!B439&lt;18,Customers!B439&gt;100),"Implausible age","")</f>
        <v/>
      </c>
      <c r="E439" s="4" t="str">
        <f>IF(Customers!H439&gt;Customers!B439-18,"Tenure &gt; age-18","")</f>
        <v/>
      </c>
      <c r="F439" s="4" t="str">
        <f>IF(Customers!R439&gt;Customers!Q439,"Card spend &gt; limit","")</f>
        <v/>
      </c>
      <c r="G439" s="4" t="str">
        <f>IF(OR(AND(Customers!S439&gt;0,Customers!T439=0),AND(Customers!S439=0,Customers!T439&gt;0)),"Mortgage/payment inconsistent","")</f>
        <v/>
      </c>
      <c r="H439" s="4" t="str">
        <f>IF(AND(Customers!G439&lt;&gt;"",Customers!G439&gt;0,Customers!T439&gt;Customers!G439/12),"Payment &gt; monthly income","")</f>
        <v/>
      </c>
      <c r="I439" s="4" t="str">
        <f>IF(OR(Customers!I439&gt;DATE(2026,9,13),YEAR(Customers!I439)&lt;1980),"Implausible date","")</f>
        <v/>
      </c>
      <c r="J439" s="4" t="str">
        <f>IF(Customers!I439&gt;DATE(2026,9,13),"",IF(ABS(INT((DATE(2026,9,13)-Customers!I439)/365.25)-Customers!H439)&gt;1,"Date/tenure inconsistent",""))</f>
        <v/>
      </c>
      <c r="K439" s="4" t="str">
        <f>IF(COUNTIF(Customers!$A$2:$A$1001,Customers!A439)&gt;1,"Duplicate ID","")</f>
        <v/>
      </c>
      <c r="L439" s="4" t="str">
        <f>IF(COUNTIFS(Customers!$B$2:$B$1001,Customers!B439,Customers!$D$2:$D$1001,Customers!D439,Customers!$G$2:$G$1001,Customers!G439,Customers!$I$2:$I$1001,Customers!I439,Customers!$L$2:$L$1001,Customers!L439)&gt;1,"Duplicate record","")</f>
        <v/>
      </c>
      <c r="M439" s="4" t="str">
        <f>IF(OR(Customers!U439&lt;300,Customers!U439&gt;850),"Score out of range","")</f>
        <v/>
      </c>
      <c r="N439" s="4" t="str">
        <f>IF(AND(Customers!G439&lt;&gt;"",Customers!G439&lt;=0),"Income ≤ 0","")</f>
        <v/>
      </c>
      <c r="O439" s="4" t="str">
        <f>IF(OR(Customers!G439="",Customers!M439=""),"Missing value","")</f>
        <v/>
      </c>
      <c r="P439" s="4">
        <f t="shared" si="6"/>
        <v>0</v>
      </c>
    </row>
    <row r="440" spans="1:16" x14ac:dyDescent="0.25">
      <c r="A440" s="4" t="str">
        <f>Customers!A440</f>
        <v>CL00434</v>
      </c>
      <c r="B440" s="20">
        <f>IF(Customers!G440="","",(Customers!G440-Statistics!$C$7)/Statistics!$C$9)</f>
        <v>-3.760379572952182E-2</v>
      </c>
      <c r="C440" s="4" t="str">
        <f>IF(Customers!G440="","",IF(OR(Customers!G440&lt;Statistics!$C$15,Customers!G440&gt;Statistics!$C$16),"Outside 1.5·IQR",""))</f>
        <v/>
      </c>
      <c r="D440" s="4" t="str">
        <f>IF(OR(Customers!B440&lt;18,Customers!B440&gt;100),"Implausible age","")</f>
        <v/>
      </c>
      <c r="E440" s="4" t="str">
        <f>IF(Customers!H440&gt;Customers!B440-18,"Tenure &gt; age-18","")</f>
        <v/>
      </c>
      <c r="F440" s="4" t="str">
        <f>IF(Customers!R440&gt;Customers!Q440,"Card spend &gt; limit","")</f>
        <v/>
      </c>
      <c r="G440" s="4" t="str">
        <f>IF(OR(AND(Customers!S440&gt;0,Customers!T440=0),AND(Customers!S440=0,Customers!T440&gt;0)),"Mortgage/payment inconsistent","")</f>
        <v/>
      </c>
      <c r="H440" s="4" t="str">
        <f>IF(AND(Customers!G440&lt;&gt;"",Customers!G440&gt;0,Customers!T440&gt;Customers!G440/12),"Payment &gt; monthly income","")</f>
        <v/>
      </c>
      <c r="I440" s="4" t="str">
        <f>IF(OR(Customers!I440&gt;DATE(2026,9,13),YEAR(Customers!I440)&lt;1980),"Implausible date","")</f>
        <v/>
      </c>
      <c r="J440" s="4" t="str">
        <f>IF(Customers!I440&gt;DATE(2026,9,13),"",IF(ABS(INT((DATE(2026,9,13)-Customers!I440)/365.25)-Customers!H440)&gt;1,"Date/tenure inconsistent",""))</f>
        <v/>
      </c>
      <c r="K440" s="4" t="str">
        <f>IF(COUNTIF(Customers!$A$2:$A$1001,Customers!A440)&gt;1,"Duplicate ID","")</f>
        <v/>
      </c>
      <c r="L440" s="4" t="str">
        <f>IF(COUNTIFS(Customers!$B$2:$B$1001,Customers!B440,Customers!$D$2:$D$1001,Customers!D440,Customers!$G$2:$G$1001,Customers!G440,Customers!$I$2:$I$1001,Customers!I440,Customers!$L$2:$L$1001,Customers!L440)&gt;1,"Duplicate record","")</f>
        <v/>
      </c>
      <c r="M440" s="4" t="str">
        <f>IF(OR(Customers!U440&lt;300,Customers!U440&gt;850),"Score out of range","")</f>
        <v/>
      </c>
      <c r="N440" s="4" t="str">
        <f>IF(AND(Customers!G440&lt;&gt;"",Customers!G440&lt;=0),"Income ≤ 0","")</f>
        <v/>
      </c>
      <c r="O440" s="4" t="str">
        <f>IF(OR(Customers!G440="",Customers!M440=""),"Missing value","")</f>
        <v/>
      </c>
      <c r="P440" s="4">
        <f t="shared" si="6"/>
        <v>0</v>
      </c>
    </row>
    <row r="441" spans="1:16" x14ac:dyDescent="0.25">
      <c r="A441" s="4" t="str">
        <f>Customers!A441</f>
        <v>CL00435</v>
      </c>
      <c r="B441" s="20">
        <f>IF(Customers!G441="","",(Customers!G441-Statistics!$C$7)/Statistics!$C$9)</f>
        <v>4.0402137980352734E-2</v>
      </c>
      <c r="C441" s="4" t="str">
        <f>IF(Customers!G441="","",IF(OR(Customers!G441&lt;Statistics!$C$15,Customers!G441&gt;Statistics!$C$16),"Outside 1.5·IQR",""))</f>
        <v>Outside 1.5·IQR</v>
      </c>
      <c r="D441" s="4" t="str">
        <f>IF(OR(Customers!B441&lt;18,Customers!B441&gt;100),"Implausible age","")</f>
        <v/>
      </c>
      <c r="E441" s="4" t="str">
        <f>IF(Customers!H441&gt;Customers!B441-18,"Tenure &gt; age-18","")</f>
        <v/>
      </c>
      <c r="F441" s="4" t="str">
        <f>IF(Customers!R441&gt;Customers!Q441,"Card spend &gt; limit","")</f>
        <v/>
      </c>
      <c r="G441" s="4" t="str">
        <f>IF(OR(AND(Customers!S441&gt;0,Customers!T441=0),AND(Customers!S441=0,Customers!T441&gt;0)),"Mortgage/payment inconsistent","")</f>
        <v/>
      </c>
      <c r="H441" s="4" t="str">
        <f>IF(AND(Customers!G441&lt;&gt;"",Customers!G441&gt;0,Customers!T441&gt;Customers!G441/12),"Payment &gt; monthly income","")</f>
        <v/>
      </c>
      <c r="I441" s="4" t="str">
        <f>IF(OR(Customers!I441&gt;DATE(2026,9,13),YEAR(Customers!I441)&lt;1980),"Implausible date","")</f>
        <v/>
      </c>
      <c r="J441" s="4" t="str">
        <f>IF(Customers!I441&gt;DATE(2026,9,13),"",IF(ABS(INT((DATE(2026,9,13)-Customers!I441)/365.25)-Customers!H441)&gt;1,"Date/tenure inconsistent",""))</f>
        <v/>
      </c>
      <c r="K441" s="4" t="str">
        <f>IF(COUNTIF(Customers!$A$2:$A$1001,Customers!A441)&gt;1,"Duplicate ID","")</f>
        <v/>
      </c>
      <c r="L441" s="4" t="str">
        <f>IF(COUNTIFS(Customers!$B$2:$B$1001,Customers!B441,Customers!$D$2:$D$1001,Customers!D441,Customers!$G$2:$G$1001,Customers!G441,Customers!$I$2:$I$1001,Customers!I441,Customers!$L$2:$L$1001,Customers!L441)&gt;1,"Duplicate record","")</f>
        <v/>
      </c>
      <c r="M441" s="4" t="str">
        <f>IF(OR(Customers!U441&lt;300,Customers!U441&gt;850),"Score out of range","")</f>
        <v/>
      </c>
      <c r="N441" s="4" t="str">
        <f>IF(AND(Customers!G441&lt;&gt;"",Customers!G441&lt;=0),"Income ≤ 0","")</f>
        <v/>
      </c>
      <c r="O441" s="4" t="str">
        <f>IF(OR(Customers!G441="",Customers!M441=""),"Missing value","")</f>
        <v/>
      </c>
      <c r="P441" s="4">
        <f t="shared" si="6"/>
        <v>1</v>
      </c>
    </row>
    <row r="442" spans="1:16" x14ac:dyDescent="0.25">
      <c r="A442" s="4" t="str">
        <f>Customers!A442</f>
        <v>CL00436</v>
      </c>
      <c r="B442" s="20">
        <f>IF(Customers!G442="","",(Customers!G442-Statistics!$C$7)/Statistics!$C$9)</f>
        <v>-3.0610839550985085E-2</v>
      </c>
      <c r="C442" s="4" t="str">
        <f>IF(Customers!G442="","",IF(OR(Customers!G442&lt;Statistics!$C$15,Customers!G442&gt;Statistics!$C$16),"Outside 1.5·IQR",""))</f>
        <v/>
      </c>
      <c r="D442" s="4" t="str">
        <f>IF(OR(Customers!B442&lt;18,Customers!B442&gt;100),"Implausible age","")</f>
        <v/>
      </c>
      <c r="E442" s="4" t="str">
        <f>IF(Customers!H442&gt;Customers!B442-18,"Tenure &gt; age-18","")</f>
        <v/>
      </c>
      <c r="F442" s="4" t="str">
        <f>IF(Customers!R442&gt;Customers!Q442,"Card spend &gt; limit","")</f>
        <v/>
      </c>
      <c r="G442" s="4" t="str">
        <f>IF(OR(AND(Customers!S442&gt;0,Customers!T442=0),AND(Customers!S442=0,Customers!T442&gt;0)),"Mortgage/payment inconsistent","")</f>
        <v/>
      </c>
      <c r="H442" s="4" t="str">
        <f>IF(AND(Customers!G442&lt;&gt;"",Customers!G442&gt;0,Customers!T442&gt;Customers!G442/12),"Payment &gt; monthly income","")</f>
        <v/>
      </c>
      <c r="I442" s="4" t="str">
        <f>IF(OR(Customers!I442&gt;DATE(2026,9,13),YEAR(Customers!I442)&lt;1980),"Implausible date","")</f>
        <v/>
      </c>
      <c r="J442" s="4" t="str">
        <f>IF(Customers!I442&gt;DATE(2026,9,13),"",IF(ABS(INT((DATE(2026,9,13)-Customers!I442)/365.25)-Customers!H442)&gt;1,"Date/tenure inconsistent",""))</f>
        <v/>
      </c>
      <c r="K442" s="4" t="str">
        <f>IF(COUNTIF(Customers!$A$2:$A$1001,Customers!A442)&gt;1,"Duplicate ID","")</f>
        <v/>
      </c>
      <c r="L442" s="4" t="str">
        <f>IF(COUNTIFS(Customers!$B$2:$B$1001,Customers!B442,Customers!$D$2:$D$1001,Customers!D442,Customers!$G$2:$G$1001,Customers!G442,Customers!$I$2:$I$1001,Customers!I442,Customers!$L$2:$L$1001,Customers!L442)&gt;1,"Duplicate record","")</f>
        <v/>
      </c>
      <c r="M442" s="4" t="str">
        <f>IF(OR(Customers!U442&lt;300,Customers!U442&gt;850),"Score out of range","")</f>
        <v/>
      </c>
      <c r="N442" s="4" t="str">
        <f>IF(AND(Customers!G442&lt;&gt;"",Customers!G442&lt;=0),"Income ≤ 0","")</f>
        <v/>
      </c>
      <c r="O442" s="4" t="str">
        <f>IF(OR(Customers!G442="",Customers!M442=""),"Missing value","")</f>
        <v/>
      </c>
      <c r="P442" s="4">
        <f t="shared" si="6"/>
        <v>0</v>
      </c>
    </row>
    <row r="443" spans="1:16" x14ac:dyDescent="0.25">
      <c r="A443" s="4" t="str">
        <f>Customers!A443</f>
        <v>CL00437</v>
      </c>
      <c r="B443" s="20">
        <f>IF(Customers!G443="","",(Customers!G443-Statistics!$C$7)/Statistics!$C$9)</f>
        <v>-5.0112322978453722E-2</v>
      </c>
      <c r="C443" s="4" t="str">
        <f>IF(Customers!G443="","",IF(OR(Customers!G443&lt;Statistics!$C$15,Customers!G443&gt;Statistics!$C$16),"Outside 1.5·IQR",""))</f>
        <v/>
      </c>
      <c r="D443" s="4" t="str">
        <f>IF(OR(Customers!B443&lt;18,Customers!B443&gt;100),"Implausible age","")</f>
        <v/>
      </c>
      <c r="E443" s="4" t="str">
        <f>IF(Customers!H443&gt;Customers!B443-18,"Tenure &gt; age-18","")</f>
        <v/>
      </c>
      <c r="F443" s="4" t="str">
        <f>IF(Customers!R443&gt;Customers!Q443,"Card spend &gt; limit","")</f>
        <v/>
      </c>
      <c r="G443" s="4" t="str">
        <f>IF(OR(AND(Customers!S443&gt;0,Customers!T443=0),AND(Customers!S443=0,Customers!T443&gt;0)),"Mortgage/payment inconsistent","")</f>
        <v/>
      </c>
      <c r="H443" s="4" t="str">
        <f>IF(AND(Customers!G443&lt;&gt;"",Customers!G443&gt;0,Customers!T443&gt;Customers!G443/12),"Payment &gt; monthly income","")</f>
        <v/>
      </c>
      <c r="I443" s="4" t="str">
        <f>IF(OR(Customers!I443&gt;DATE(2026,9,13),YEAR(Customers!I443)&lt;1980),"Implausible date","")</f>
        <v/>
      </c>
      <c r="J443" s="4" t="str">
        <f>IF(Customers!I443&gt;DATE(2026,9,13),"",IF(ABS(INT((DATE(2026,9,13)-Customers!I443)/365.25)-Customers!H443)&gt;1,"Date/tenure inconsistent",""))</f>
        <v/>
      </c>
      <c r="K443" s="4" t="str">
        <f>IF(COUNTIF(Customers!$A$2:$A$1001,Customers!A443)&gt;1,"Duplicate ID","")</f>
        <v/>
      </c>
      <c r="L443" s="4" t="str">
        <f>IF(COUNTIFS(Customers!$B$2:$B$1001,Customers!B443,Customers!$D$2:$D$1001,Customers!D443,Customers!$G$2:$G$1001,Customers!G443,Customers!$I$2:$I$1001,Customers!I443,Customers!$L$2:$L$1001,Customers!L443)&gt;1,"Duplicate record","")</f>
        <v/>
      </c>
      <c r="M443" s="4" t="str">
        <f>IF(OR(Customers!U443&lt;300,Customers!U443&gt;850),"Score out of range","")</f>
        <v/>
      </c>
      <c r="N443" s="4" t="str">
        <f>IF(AND(Customers!G443&lt;&gt;"",Customers!G443&lt;=0),"Income ≤ 0","")</f>
        <v/>
      </c>
      <c r="O443" s="4" t="str">
        <f>IF(OR(Customers!G443="",Customers!M443=""),"Missing value","")</f>
        <v/>
      </c>
      <c r="P443" s="4">
        <f t="shared" si="6"/>
        <v>0</v>
      </c>
    </row>
    <row r="444" spans="1:16" x14ac:dyDescent="0.25">
      <c r="A444" s="4" t="str">
        <f>Customers!A444</f>
        <v>CL00438</v>
      </c>
      <c r="B444" s="20">
        <f>IF(Customers!G444="","",(Customers!G444-Statistics!$C$7)/Statistics!$C$9)</f>
        <v>-5.9075125967845872E-2</v>
      </c>
      <c r="C444" s="4" t="str">
        <f>IF(Customers!G444="","",IF(OR(Customers!G444&lt;Statistics!$C$15,Customers!G444&gt;Statistics!$C$16),"Outside 1.5·IQR",""))</f>
        <v/>
      </c>
      <c r="D444" s="4" t="str">
        <f>IF(OR(Customers!B444&lt;18,Customers!B444&gt;100),"Implausible age","")</f>
        <v/>
      </c>
      <c r="E444" s="4" t="str">
        <f>IF(Customers!H444&gt;Customers!B444-18,"Tenure &gt; age-18","")</f>
        <v/>
      </c>
      <c r="F444" s="4" t="str">
        <f>IF(Customers!R444&gt;Customers!Q444,"Card spend &gt; limit","")</f>
        <v/>
      </c>
      <c r="G444" s="4" t="str">
        <f>IF(OR(AND(Customers!S444&gt;0,Customers!T444=0),AND(Customers!S444=0,Customers!T444&gt;0)),"Mortgage/payment inconsistent","")</f>
        <v/>
      </c>
      <c r="H444" s="4" t="str">
        <f>IF(AND(Customers!G444&lt;&gt;"",Customers!G444&gt;0,Customers!T444&gt;Customers!G444/12),"Payment &gt; monthly income","")</f>
        <v/>
      </c>
      <c r="I444" s="4" t="str">
        <f>IF(OR(Customers!I444&gt;DATE(2026,9,13),YEAR(Customers!I444)&lt;1980),"Implausible date","")</f>
        <v/>
      </c>
      <c r="J444" s="4" t="str">
        <f>IF(Customers!I444&gt;DATE(2026,9,13),"",IF(ABS(INT((DATE(2026,9,13)-Customers!I444)/365.25)-Customers!H444)&gt;1,"Date/tenure inconsistent",""))</f>
        <v/>
      </c>
      <c r="K444" s="4" t="str">
        <f>IF(COUNTIF(Customers!$A$2:$A$1001,Customers!A444)&gt;1,"Duplicate ID","")</f>
        <v/>
      </c>
      <c r="L444" s="4" t="str">
        <f>IF(COUNTIFS(Customers!$B$2:$B$1001,Customers!B444,Customers!$D$2:$D$1001,Customers!D444,Customers!$G$2:$G$1001,Customers!G444,Customers!$I$2:$I$1001,Customers!I444,Customers!$L$2:$L$1001,Customers!L444)&gt;1,"Duplicate record","")</f>
        <v/>
      </c>
      <c r="M444" s="4" t="str">
        <f>IF(OR(Customers!U444&lt;300,Customers!U444&gt;850),"Score out of range","")</f>
        <v/>
      </c>
      <c r="N444" s="4" t="str">
        <f>IF(AND(Customers!G444&lt;&gt;"",Customers!G444&lt;=0),"Income ≤ 0","")</f>
        <v/>
      </c>
      <c r="O444" s="4" t="str">
        <f>IF(OR(Customers!G444="",Customers!M444=""),"Missing value","")</f>
        <v/>
      </c>
      <c r="P444" s="4">
        <f t="shared" si="6"/>
        <v>0</v>
      </c>
    </row>
    <row r="445" spans="1:16" x14ac:dyDescent="0.25">
      <c r="A445" s="4" t="str">
        <f>Customers!A445</f>
        <v>CL00439</v>
      </c>
      <c r="B445" s="20">
        <f>IF(Customers!G445="","",(Customers!G445-Statistics!$C$7)/Statistics!$C$9)</f>
        <v>-4.3217859140459759E-2</v>
      </c>
      <c r="C445" s="4" t="str">
        <f>IF(Customers!G445="","",IF(OR(Customers!G445&lt;Statistics!$C$15,Customers!G445&gt;Statistics!$C$16),"Outside 1.5·IQR",""))</f>
        <v/>
      </c>
      <c r="D445" s="4" t="str">
        <f>IF(OR(Customers!B445&lt;18,Customers!B445&gt;100),"Implausible age","")</f>
        <v/>
      </c>
      <c r="E445" s="4" t="str">
        <f>IF(Customers!H445&gt;Customers!B445-18,"Tenure &gt; age-18","")</f>
        <v/>
      </c>
      <c r="F445" s="4" t="str">
        <f>IF(Customers!R445&gt;Customers!Q445,"Card spend &gt; limit","")</f>
        <v/>
      </c>
      <c r="G445" s="4" t="str">
        <f>IF(OR(AND(Customers!S445&gt;0,Customers!T445=0),AND(Customers!S445=0,Customers!T445&gt;0)),"Mortgage/payment inconsistent","")</f>
        <v/>
      </c>
      <c r="H445" s="4" t="str">
        <f>IF(AND(Customers!G445&lt;&gt;"",Customers!G445&gt;0,Customers!T445&gt;Customers!G445/12),"Payment &gt; monthly income","")</f>
        <v/>
      </c>
      <c r="I445" s="4" t="str">
        <f>IF(OR(Customers!I445&gt;DATE(2026,9,13),YEAR(Customers!I445)&lt;1980),"Implausible date","")</f>
        <v/>
      </c>
      <c r="J445" s="4" t="str">
        <f>IF(Customers!I445&gt;DATE(2026,9,13),"",IF(ABS(INT((DATE(2026,9,13)-Customers!I445)/365.25)-Customers!H445)&gt;1,"Date/tenure inconsistent",""))</f>
        <v/>
      </c>
      <c r="K445" s="4" t="str">
        <f>IF(COUNTIF(Customers!$A$2:$A$1001,Customers!A445)&gt;1,"Duplicate ID","")</f>
        <v/>
      </c>
      <c r="L445" s="4" t="str">
        <f>IF(COUNTIFS(Customers!$B$2:$B$1001,Customers!B445,Customers!$D$2:$D$1001,Customers!D445,Customers!$G$2:$G$1001,Customers!G445,Customers!$I$2:$I$1001,Customers!I445,Customers!$L$2:$L$1001,Customers!L445)&gt;1,"Duplicate record","")</f>
        <v/>
      </c>
      <c r="M445" s="4" t="str">
        <f>IF(OR(Customers!U445&lt;300,Customers!U445&gt;850),"Score out of range","")</f>
        <v/>
      </c>
      <c r="N445" s="4" t="str">
        <f>IF(AND(Customers!G445&lt;&gt;"",Customers!G445&lt;=0),"Income ≤ 0","")</f>
        <v/>
      </c>
      <c r="O445" s="4" t="str">
        <f>IF(OR(Customers!G445="",Customers!M445=""),"Missing value","")</f>
        <v/>
      </c>
      <c r="P445" s="4">
        <f t="shared" si="6"/>
        <v>0</v>
      </c>
    </row>
    <row r="446" spans="1:16" x14ac:dyDescent="0.25">
      <c r="A446" s="4" t="str">
        <f>Customers!A446</f>
        <v>CL00440</v>
      </c>
      <c r="B446" s="20">
        <f>IF(Customers!G446="","",(Customers!G446-Statistics!$C$7)/Statistics!$C$9)</f>
        <v>-6.5083158740954897E-2</v>
      </c>
      <c r="C446" s="4" t="str">
        <f>IF(Customers!G446="","",IF(OR(Customers!G446&lt;Statistics!$C$15,Customers!G446&gt;Statistics!$C$16),"Outside 1.5·IQR",""))</f>
        <v/>
      </c>
      <c r="D446" s="4" t="str">
        <f>IF(OR(Customers!B446&lt;18,Customers!B446&gt;100),"Implausible age","")</f>
        <v/>
      </c>
      <c r="E446" s="4" t="str">
        <f>IF(Customers!H446&gt;Customers!B446-18,"Tenure &gt; age-18","")</f>
        <v/>
      </c>
      <c r="F446" s="4" t="str">
        <f>IF(Customers!R446&gt;Customers!Q446,"Card spend &gt; limit","")</f>
        <v/>
      </c>
      <c r="G446" s="4" t="str">
        <f>IF(OR(AND(Customers!S446&gt;0,Customers!T446=0),AND(Customers!S446=0,Customers!T446&gt;0)),"Mortgage/payment inconsistent","")</f>
        <v/>
      </c>
      <c r="H446" s="4" t="str">
        <f>IF(AND(Customers!G446&lt;&gt;"",Customers!G446&gt;0,Customers!T446&gt;Customers!G446/12),"Payment &gt; monthly income","")</f>
        <v/>
      </c>
      <c r="I446" s="4" t="str">
        <f>IF(OR(Customers!I446&gt;DATE(2026,9,13),YEAR(Customers!I446)&lt;1980),"Implausible date","")</f>
        <v/>
      </c>
      <c r="J446" s="4" t="str">
        <f>IF(Customers!I446&gt;DATE(2026,9,13),"",IF(ABS(INT((DATE(2026,9,13)-Customers!I446)/365.25)-Customers!H446)&gt;1,"Date/tenure inconsistent",""))</f>
        <v/>
      </c>
      <c r="K446" s="4" t="str">
        <f>IF(COUNTIF(Customers!$A$2:$A$1001,Customers!A446)&gt;1,"Duplicate ID","")</f>
        <v/>
      </c>
      <c r="L446" s="4" t="str">
        <f>IF(COUNTIFS(Customers!$B$2:$B$1001,Customers!B446,Customers!$D$2:$D$1001,Customers!D446,Customers!$G$2:$G$1001,Customers!G446,Customers!$I$2:$I$1001,Customers!I446,Customers!$L$2:$L$1001,Customers!L446)&gt;1,"Duplicate record","")</f>
        <v/>
      </c>
      <c r="M446" s="4" t="str">
        <f>IF(OR(Customers!U446&lt;300,Customers!U446&gt;850),"Score out of range","")</f>
        <v/>
      </c>
      <c r="N446" s="4" t="str">
        <f>IF(AND(Customers!G446&lt;&gt;"",Customers!G446&lt;=0),"Income ≤ 0","")</f>
        <v/>
      </c>
      <c r="O446" s="4" t="str">
        <f>IF(OR(Customers!G446="",Customers!M446=""),"Missing value","")</f>
        <v/>
      </c>
      <c r="P446" s="4">
        <f t="shared" si="6"/>
        <v>0</v>
      </c>
    </row>
    <row r="447" spans="1:16" x14ac:dyDescent="0.25">
      <c r="A447" s="4" t="str">
        <f>Customers!A447</f>
        <v>CL00441</v>
      </c>
      <c r="B447" s="20">
        <f>IF(Customers!G447="","",(Customers!G447-Statistics!$C$7)/Statistics!$C$9)</f>
        <v>-2.8444008059044124E-2</v>
      </c>
      <c r="C447" s="4" t="str">
        <f>IF(Customers!G447="","",IF(OR(Customers!G447&lt;Statistics!$C$15,Customers!G447&gt;Statistics!$C$16),"Outside 1.5·IQR",""))</f>
        <v/>
      </c>
      <c r="D447" s="4" t="str">
        <f>IF(OR(Customers!B447&lt;18,Customers!B447&gt;100),"Implausible age","")</f>
        <v/>
      </c>
      <c r="E447" s="4" t="str">
        <f>IF(Customers!H447&gt;Customers!B447-18,"Tenure &gt; age-18","")</f>
        <v/>
      </c>
      <c r="F447" s="4" t="str">
        <f>IF(Customers!R447&gt;Customers!Q447,"Card spend &gt; limit","")</f>
        <v/>
      </c>
      <c r="G447" s="4" t="str">
        <f>IF(OR(AND(Customers!S447&gt;0,Customers!T447=0),AND(Customers!S447=0,Customers!T447&gt;0)),"Mortgage/payment inconsistent","")</f>
        <v/>
      </c>
      <c r="H447" s="4" t="str">
        <f>IF(AND(Customers!G447&lt;&gt;"",Customers!G447&gt;0,Customers!T447&gt;Customers!G447/12),"Payment &gt; monthly income","")</f>
        <v/>
      </c>
      <c r="I447" s="4" t="str">
        <f>IF(OR(Customers!I447&gt;DATE(2026,9,13),YEAR(Customers!I447)&lt;1980),"Implausible date","")</f>
        <v/>
      </c>
      <c r="J447" s="4" t="str">
        <f>IF(Customers!I447&gt;DATE(2026,9,13),"",IF(ABS(INT((DATE(2026,9,13)-Customers!I447)/365.25)-Customers!H447)&gt;1,"Date/tenure inconsistent",""))</f>
        <v/>
      </c>
      <c r="K447" s="4" t="str">
        <f>IF(COUNTIF(Customers!$A$2:$A$1001,Customers!A447)&gt;1,"Duplicate ID","")</f>
        <v/>
      </c>
      <c r="L447" s="4" t="str">
        <f>IF(COUNTIFS(Customers!$B$2:$B$1001,Customers!B447,Customers!$D$2:$D$1001,Customers!D447,Customers!$G$2:$G$1001,Customers!G447,Customers!$I$2:$I$1001,Customers!I447,Customers!$L$2:$L$1001,Customers!L447)&gt;1,"Duplicate record","")</f>
        <v/>
      </c>
      <c r="M447" s="4" t="str">
        <f>IF(OR(Customers!U447&lt;300,Customers!U447&gt;850),"Score out of range","")</f>
        <v/>
      </c>
      <c r="N447" s="4" t="str">
        <f>IF(AND(Customers!G447&lt;&gt;"",Customers!G447&lt;=0),"Income ≤ 0","")</f>
        <v/>
      </c>
      <c r="O447" s="4" t="str">
        <f>IF(OR(Customers!G447="",Customers!M447=""),"Missing value","")</f>
        <v/>
      </c>
      <c r="P447" s="4">
        <f t="shared" si="6"/>
        <v>0</v>
      </c>
    </row>
    <row r="448" spans="1:16" x14ac:dyDescent="0.25">
      <c r="A448" s="4" t="str">
        <f>Customers!A448</f>
        <v>CL00442</v>
      </c>
      <c r="B448" s="20">
        <f>IF(Customers!G448="","",(Customers!G448-Statistics!$C$7)/Statistics!$C$9)</f>
        <v>-3.238370168075496E-2</v>
      </c>
      <c r="C448" s="4" t="str">
        <f>IF(Customers!G448="","",IF(OR(Customers!G448&lt;Statistics!$C$15,Customers!G448&gt;Statistics!$C$16),"Outside 1.5·IQR",""))</f>
        <v/>
      </c>
      <c r="D448" s="4" t="str">
        <f>IF(OR(Customers!B448&lt;18,Customers!B448&gt;100),"Implausible age","")</f>
        <v/>
      </c>
      <c r="E448" s="4" t="str">
        <f>IF(Customers!H448&gt;Customers!B448-18,"Tenure &gt; age-18","")</f>
        <v/>
      </c>
      <c r="F448" s="4" t="str">
        <f>IF(Customers!R448&gt;Customers!Q448,"Card spend &gt; limit","")</f>
        <v/>
      </c>
      <c r="G448" s="4" t="str">
        <f>IF(OR(AND(Customers!S448&gt;0,Customers!T448=0),AND(Customers!S448=0,Customers!T448&gt;0)),"Mortgage/payment inconsistent","")</f>
        <v/>
      </c>
      <c r="H448" s="4" t="str">
        <f>IF(AND(Customers!G448&lt;&gt;"",Customers!G448&gt;0,Customers!T448&gt;Customers!G448/12),"Payment &gt; monthly income","")</f>
        <v/>
      </c>
      <c r="I448" s="4" t="str">
        <f>IF(OR(Customers!I448&gt;DATE(2026,9,13),YEAR(Customers!I448)&lt;1980),"Implausible date","")</f>
        <v/>
      </c>
      <c r="J448" s="4" t="str">
        <f>IF(Customers!I448&gt;DATE(2026,9,13),"",IF(ABS(INT((DATE(2026,9,13)-Customers!I448)/365.25)-Customers!H448)&gt;1,"Date/tenure inconsistent",""))</f>
        <v/>
      </c>
      <c r="K448" s="4" t="str">
        <f>IF(COUNTIF(Customers!$A$2:$A$1001,Customers!A448)&gt;1,"Duplicate ID","")</f>
        <v/>
      </c>
      <c r="L448" s="4" t="str">
        <f>IF(COUNTIFS(Customers!$B$2:$B$1001,Customers!B448,Customers!$D$2:$D$1001,Customers!D448,Customers!$G$2:$G$1001,Customers!G448,Customers!$I$2:$I$1001,Customers!I448,Customers!$L$2:$L$1001,Customers!L448)&gt;1,"Duplicate record","")</f>
        <v/>
      </c>
      <c r="M448" s="4" t="str">
        <f>IF(OR(Customers!U448&lt;300,Customers!U448&gt;850),"Score out of range","")</f>
        <v/>
      </c>
      <c r="N448" s="4" t="str">
        <f>IF(AND(Customers!G448&lt;&gt;"",Customers!G448&lt;=0),"Income ≤ 0","")</f>
        <v/>
      </c>
      <c r="O448" s="4" t="str">
        <f>IF(OR(Customers!G448="",Customers!M448=""),"Missing value","")</f>
        <v/>
      </c>
      <c r="P448" s="4">
        <f t="shared" si="6"/>
        <v>0</v>
      </c>
    </row>
    <row r="449" spans="1:16" x14ac:dyDescent="0.25">
      <c r="A449" s="4" t="str">
        <f>Customers!A449</f>
        <v>CL00443</v>
      </c>
      <c r="B449" s="20">
        <f>IF(Customers!G449="","",(Customers!G449-Statistics!$C$7)/Statistics!$C$9)</f>
        <v>-1.2783725912743552E-2</v>
      </c>
      <c r="C449" s="4" t="str">
        <f>IF(Customers!G449="","",IF(OR(Customers!G449&lt;Statistics!$C$15,Customers!G449&gt;Statistics!$C$16),"Outside 1.5·IQR",""))</f>
        <v/>
      </c>
      <c r="D449" s="4" t="str">
        <f>IF(OR(Customers!B449&lt;18,Customers!B449&gt;100),"Implausible age","")</f>
        <v/>
      </c>
      <c r="E449" s="4" t="str">
        <f>IF(Customers!H449&gt;Customers!B449-18,"Tenure &gt; age-18","")</f>
        <v/>
      </c>
      <c r="F449" s="4" t="str">
        <f>IF(Customers!R449&gt;Customers!Q449,"Card spend &gt; limit","")</f>
        <v/>
      </c>
      <c r="G449" s="4" t="str">
        <f>IF(OR(AND(Customers!S449&gt;0,Customers!T449=0),AND(Customers!S449=0,Customers!T449&gt;0)),"Mortgage/payment inconsistent","")</f>
        <v/>
      </c>
      <c r="H449" s="4" t="str">
        <f>IF(AND(Customers!G449&lt;&gt;"",Customers!G449&gt;0,Customers!T449&gt;Customers!G449/12),"Payment &gt; monthly income","")</f>
        <v/>
      </c>
      <c r="I449" s="4" t="str">
        <f>IF(OR(Customers!I449&gt;DATE(2026,9,13),YEAR(Customers!I449)&lt;1980),"Implausible date","")</f>
        <v/>
      </c>
      <c r="J449" s="4" t="str">
        <f>IF(Customers!I449&gt;DATE(2026,9,13),"",IF(ABS(INT((DATE(2026,9,13)-Customers!I449)/365.25)-Customers!H449)&gt;1,"Date/tenure inconsistent",""))</f>
        <v/>
      </c>
      <c r="K449" s="4" t="str">
        <f>IF(COUNTIF(Customers!$A$2:$A$1001,Customers!A449)&gt;1,"Duplicate ID","")</f>
        <v/>
      </c>
      <c r="L449" s="4" t="str">
        <f>IF(COUNTIFS(Customers!$B$2:$B$1001,Customers!B449,Customers!$D$2:$D$1001,Customers!D449,Customers!$G$2:$G$1001,Customers!G449,Customers!$I$2:$I$1001,Customers!I449,Customers!$L$2:$L$1001,Customers!L449)&gt;1,"Duplicate record","")</f>
        <v/>
      </c>
      <c r="M449" s="4" t="str">
        <f>IF(OR(Customers!U449&lt;300,Customers!U449&gt;850),"Score out of range","")</f>
        <v/>
      </c>
      <c r="N449" s="4" t="str">
        <f>IF(AND(Customers!G449&lt;&gt;"",Customers!G449&lt;=0),"Income ≤ 0","")</f>
        <v/>
      </c>
      <c r="O449" s="4" t="str">
        <f>IF(OR(Customers!G449="",Customers!M449=""),"Missing value","")</f>
        <v/>
      </c>
      <c r="P449" s="4">
        <f t="shared" si="6"/>
        <v>0</v>
      </c>
    </row>
    <row r="450" spans="1:16" x14ac:dyDescent="0.25">
      <c r="A450" s="4" t="str">
        <f>Customers!A450</f>
        <v>CL00444</v>
      </c>
      <c r="B450" s="20">
        <f>IF(Customers!G450="","",(Customers!G450-Statistics!$C$7)/Statistics!$C$9)</f>
        <v>-6.6363559168010913E-2</v>
      </c>
      <c r="C450" s="4" t="str">
        <f>IF(Customers!G450="","",IF(OR(Customers!G450&lt;Statistics!$C$15,Customers!G450&gt;Statistics!$C$16),"Outside 1.5·IQR",""))</f>
        <v/>
      </c>
      <c r="D450" s="4" t="str">
        <f>IF(OR(Customers!B450&lt;18,Customers!B450&gt;100),"Implausible age","")</f>
        <v/>
      </c>
      <c r="E450" s="4" t="str">
        <f>IF(Customers!H450&gt;Customers!B450-18,"Tenure &gt; age-18","")</f>
        <v/>
      </c>
      <c r="F450" s="4" t="str">
        <f>IF(Customers!R450&gt;Customers!Q450,"Card spend &gt; limit","")</f>
        <v/>
      </c>
      <c r="G450" s="4" t="str">
        <f>IF(OR(AND(Customers!S450&gt;0,Customers!T450=0),AND(Customers!S450=0,Customers!T450&gt;0)),"Mortgage/payment inconsistent","")</f>
        <v/>
      </c>
      <c r="H450" s="4" t="str">
        <f>IF(AND(Customers!G450&lt;&gt;"",Customers!G450&gt;0,Customers!T450&gt;Customers!G450/12),"Payment &gt; monthly income","")</f>
        <v/>
      </c>
      <c r="I450" s="4" t="str">
        <f>IF(OR(Customers!I450&gt;DATE(2026,9,13),YEAR(Customers!I450)&lt;1980),"Implausible date","")</f>
        <v/>
      </c>
      <c r="J450" s="4" t="str">
        <f>IF(Customers!I450&gt;DATE(2026,9,13),"",IF(ABS(INT((DATE(2026,9,13)-Customers!I450)/365.25)-Customers!H450)&gt;1,"Date/tenure inconsistent",""))</f>
        <v/>
      </c>
      <c r="K450" s="4" t="str">
        <f>IF(COUNTIF(Customers!$A$2:$A$1001,Customers!A450)&gt;1,"Duplicate ID","")</f>
        <v/>
      </c>
      <c r="L450" s="4" t="str">
        <f>IF(COUNTIFS(Customers!$B$2:$B$1001,Customers!B450,Customers!$D$2:$D$1001,Customers!D450,Customers!$G$2:$G$1001,Customers!G450,Customers!$I$2:$I$1001,Customers!I450,Customers!$L$2:$L$1001,Customers!L450)&gt;1,"Duplicate record","")</f>
        <v/>
      </c>
      <c r="M450" s="4" t="str">
        <f>IF(OR(Customers!U450&lt;300,Customers!U450&gt;850),"Score out of range","")</f>
        <v/>
      </c>
      <c r="N450" s="4" t="str">
        <f>IF(AND(Customers!G450&lt;&gt;"",Customers!G450&lt;=0),"Income ≤ 0","")</f>
        <v/>
      </c>
      <c r="O450" s="4" t="str">
        <f>IF(OR(Customers!G450="",Customers!M450=""),"Missing value","")</f>
        <v/>
      </c>
      <c r="P450" s="4">
        <f t="shared" ref="P450:P513" si="7">SUMPRODUCT(--(C450:O450&lt;&gt;""))</f>
        <v>0</v>
      </c>
    </row>
    <row r="451" spans="1:16" x14ac:dyDescent="0.25">
      <c r="A451" s="4" t="str">
        <f>Customers!A451</f>
        <v>CL00445</v>
      </c>
      <c r="B451" s="20">
        <f>IF(Customers!G451="","",(Customers!G451-Statistics!$C$7)/Statistics!$C$9)</f>
        <v>-5.7597740859704309E-2</v>
      </c>
      <c r="C451" s="4" t="str">
        <f>IF(Customers!G451="","",IF(OR(Customers!G451&lt;Statistics!$C$15,Customers!G451&gt;Statistics!$C$16),"Outside 1.5·IQR",""))</f>
        <v/>
      </c>
      <c r="D451" s="4" t="str">
        <f>IF(OR(Customers!B451&lt;18,Customers!B451&gt;100),"Implausible age","")</f>
        <v/>
      </c>
      <c r="E451" s="4" t="str">
        <f>IF(Customers!H451&gt;Customers!B451-18,"Tenure &gt; age-18","")</f>
        <v/>
      </c>
      <c r="F451" s="4" t="str">
        <f>IF(Customers!R451&gt;Customers!Q451,"Card spend &gt; limit","")</f>
        <v/>
      </c>
      <c r="G451" s="4" t="str">
        <f>IF(OR(AND(Customers!S451&gt;0,Customers!T451=0),AND(Customers!S451=0,Customers!T451&gt;0)),"Mortgage/payment inconsistent","")</f>
        <v/>
      </c>
      <c r="H451" s="4" t="str">
        <f>IF(AND(Customers!G451&lt;&gt;"",Customers!G451&gt;0,Customers!T451&gt;Customers!G451/12),"Payment &gt; monthly income","")</f>
        <v/>
      </c>
      <c r="I451" s="4" t="str">
        <f>IF(OR(Customers!I451&gt;DATE(2026,9,13),YEAR(Customers!I451)&lt;1980),"Implausible date","")</f>
        <v/>
      </c>
      <c r="J451" s="4" t="str">
        <f>IF(Customers!I451&gt;DATE(2026,9,13),"",IF(ABS(INT((DATE(2026,9,13)-Customers!I451)/365.25)-Customers!H451)&gt;1,"Date/tenure inconsistent",""))</f>
        <v/>
      </c>
      <c r="K451" s="4" t="str">
        <f>IF(COUNTIF(Customers!$A$2:$A$1001,Customers!A451)&gt;1,"Duplicate ID","")</f>
        <v/>
      </c>
      <c r="L451" s="4" t="str">
        <f>IF(COUNTIFS(Customers!$B$2:$B$1001,Customers!B451,Customers!$D$2:$D$1001,Customers!D451,Customers!$G$2:$G$1001,Customers!G451,Customers!$I$2:$I$1001,Customers!I451,Customers!$L$2:$L$1001,Customers!L451)&gt;1,"Duplicate record","")</f>
        <v/>
      </c>
      <c r="M451" s="4" t="str">
        <f>IF(OR(Customers!U451&lt;300,Customers!U451&gt;850),"Score out of range","")</f>
        <v/>
      </c>
      <c r="N451" s="4" t="str">
        <f>IF(AND(Customers!G451&lt;&gt;"",Customers!G451&lt;=0),"Income ≤ 0","")</f>
        <v/>
      </c>
      <c r="O451" s="4" t="str">
        <f>IF(OR(Customers!G451="",Customers!M451=""),"Missing value","")</f>
        <v/>
      </c>
      <c r="P451" s="4">
        <f t="shared" si="7"/>
        <v>0</v>
      </c>
    </row>
    <row r="452" spans="1:16" x14ac:dyDescent="0.25">
      <c r="A452" s="4" t="str">
        <f>Customers!A452</f>
        <v>CL00446</v>
      </c>
      <c r="B452" s="20">
        <f>IF(Customers!G452="","",(Customers!G452-Statistics!$C$7)/Statistics!$C$9)</f>
        <v>-3.4255056151067609E-2</v>
      </c>
      <c r="C452" s="4" t="str">
        <f>IF(Customers!G452="","",IF(OR(Customers!G452&lt;Statistics!$C$15,Customers!G452&gt;Statistics!$C$16),"Outside 1.5·IQR",""))</f>
        <v/>
      </c>
      <c r="D452" s="4" t="str">
        <f>IF(OR(Customers!B452&lt;18,Customers!B452&gt;100),"Implausible age","")</f>
        <v/>
      </c>
      <c r="E452" s="4" t="str">
        <f>IF(Customers!H452&gt;Customers!B452-18,"Tenure &gt; age-18","")</f>
        <v/>
      </c>
      <c r="F452" s="4" t="str">
        <f>IF(Customers!R452&gt;Customers!Q452,"Card spend &gt; limit","")</f>
        <v/>
      </c>
      <c r="G452" s="4" t="str">
        <f>IF(OR(AND(Customers!S452&gt;0,Customers!T452=0),AND(Customers!S452=0,Customers!T452&gt;0)),"Mortgage/payment inconsistent","")</f>
        <v/>
      </c>
      <c r="H452" s="4" t="str">
        <f>IF(AND(Customers!G452&lt;&gt;"",Customers!G452&gt;0,Customers!T452&gt;Customers!G452/12),"Payment &gt; monthly income","")</f>
        <v/>
      </c>
      <c r="I452" s="4" t="str">
        <f>IF(OR(Customers!I452&gt;DATE(2026,9,13),YEAR(Customers!I452)&lt;1980),"Implausible date","")</f>
        <v/>
      </c>
      <c r="J452" s="4" t="str">
        <f>IF(Customers!I452&gt;DATE(2026,9,13),"",IF(ABS(INT((DATE(2026,9,13)-Customers!I452)/365.25)-Customers!H452)&gt;1,"Date/tenure inconsistent",""))</f>
        <v/>
      </c>
      <c r="K452" s="4" t="str">
        <f>IF(COUNTIF(Customers!$A$2:$A$1001,Customers!A452)&gt;1,"Duplicate ID","")</f>
        <v/>
      </c>
      <c r="L452" s="4" t="str">
        <f>IF(COUNTIFS(Customers!$B$2:$B$1001,Customers!B452,Customers!$D$2:$D$1001,Customers!D452,Customers!$G$2:$G$1001,Customers!G452,Customers!$I$2:$I$1001,Customers!I452,Customers!$L$2:$L$1001,Customers!L452)&gt;1,"Duplicate record","")</f>
        <v/>
      </c>
      <c r="M452" s="4" t="str">
        <f>IF(OR(Customers!U452&lt;300,Customers!U452&gt;850),"Score out of range","")</f>
        <v/>
      </c>
      <c r="N452" s="4" t="str">
        <f>IF(AND(Customers!G452&lt;&gt;"",Customers!G452&lt;=0),"Income ≤ 0","")</f>
        <v/>
      </c>
      <c r="O452" s="4" t="str">
        <f>IF(OR(Customers!G452="",Customers!M452=""),"Missing value","")</f>
        <v/>
      </c>
      <c r="P452" s="4">
        <f t="shared" si="7"/>
        <v>0</v>
      </c>
    </row>
    <row r="453" spans="1:16" x14ac:dyDescent="0.25">
      <c r="A453" s="4" t="str">
        <f>Customers!A453</f>
        <v>CL00447</v>
      </c>
      <c r="B453" s="20">
        <f>IF(Customers!G453="","",(Customers!G453-Statistics!$C$7)/Statistics!$C$9)</f>
        <v>-3.238370168075496E-2</v>
      </c>
      <c r="C453" s="4" t="str">
        <f>IF(Customers!G453="","",IF(OR(Customers!G453&lt;Statistics!$C$15,Customers!G453&gt;Statistics!$C$16),"Outside 1.5·IQR",""))</f>
        <v/>
      </c>
      <c r="D453" s="4" t="str">
        <f>IF(OR(Customers!B453&lt;18,Customers!B453&gt;100),"Implausible age","")</f>
        <v/>
      </c>
      <c r="E453" s="4" t="str">
        <f>IF(Customers!H453&gt;Customers!B453-18,"Tenure &gt; age-18","")</f>
        <v/>
      </c>
      <c r="F453" s="4" t="str">
        <f>IF(Customers!R453&gt;Customers!Q453,"Card spend &gt; limit","")</f>
        <v/>
      </c>
      <c r="G453" s="4" t="str">
        <f>IF(OR(AND(Customers!S453&gt;0,Customers!T453=0),AND(Customers!S453=0,Customers!T453&gt;0)),"Mortgage/payment inconsistent","")</f>
        <v/>
      </c>
      <c r="H453" s="4" t="str">
        <f>IF(AND(Customers!G453&lt;&gt;"",Customers!G453&gt;0,Customers!T453&gt;Customers!G453/12),"Payment &gt; monthly income","")</f>
        <v/>
      </c>
      <c r="I453" s="4" t="str">
        <f>IF(OR(Customers!I453&gt;DATE(2026,9,13),YEAR(Customers!I453)&lt;1980),"Implausible date","")</f>
        <v/>
      </c>
      <c r="J453" s="4" t="str">
        <f>IF(Customers!I453&gt;DATE(2026,9,13),"",IF(ABS(INT((DATE(2026,9,13)-Customers!I453)/365.25)-Customers!H453)&gt;1,"Date/tenure inconsistent",""))</f>
        <v/>
      </c>
      <c r="K453" s="4" t="str">
        <f>IF(COUNTIF(Customers!$A$2:$A$1001,Customers!A453)&gt;1,"Duplicate ID","")</f>
        <v/>
      </c>
      <c r="L453" s="4" t="str">
        <f>IF(COUNTIFS(Customers!$B$2:$B$1001,Customers!B453,Customers!$D$2:$D$1001,Customers!D453,Customers!$G$2:$G$1001,Customers!G453,Customers!$I$2:$I$1001,Customers!I453,Customers!$L$2:$L$1001,Customers!L453)&gt;1,"Duplicate record","")</f>
        <v/>
      </c>
      <c r="M453" s="4" t="str">
        <f>IF(OR(Customers!U453&lt;300,Customers!U453&gt;850),"Score out of range","")</f>
        <v/>
      </c>
      <c r="N453" s="4" t="str">
        <f>IF(AND(Customers!G453&lt;&gt;"",Customers!G453&lt;=0),"Income ≤ 0","")</f>
        <v/>
      </c>
      <c r="O453" s="4" t="str">
        <f>IF(OR(Customers!G453="",Customers!M453=""),"Missing value","")</f>
        <v/>
      </c>
      <c r="P453" s="4">
        <f t="shared" si="7"/>
        <v>0</v>
      </c>
    </row>
    <row r="454" spans="1:16" x14ac:dyDescent="0.25">
      <c r="A454" s="4" t="str">
        <f>Customers!A454</f>
        <v>CL00448</v>
      </c>
      <c r="B454" s="20">
        <f>IF(Customers!G454="","",(Customers!G454-Statistics!$C$7)/Statistics!$C$9)</f>
        <v>-5.9173618308388645E-2</v>
      </c>
      <c r="C454" s="4" t="str">
        <f>IF(Customers!G454="","",IF(OR(Customers!G454&lt;Statistics!$C$15,Customers!G454&gt;Statistics!$C$16),"Outside 1.5·IQR",""))</f>
        <v/>
      </c>
      <c r="D454" s="4" t="str">
        <f>IF(OR(Customers!B454&lt;18,Customers!B454&gt;100),"Implausible age","")</f>
        <v/>
      </c>
      <c r="E454" s="4" t="str">
        <f>IF(Customers!H454&gt;Customers!B454-18,"Tenure &gt; age-18","")</f>
        <v/>
      </c>
      <c r="F454" s="4" t="str">
        <f>IF(Customers!R454&gt;Customers!Q454,"Card spend &gt; limit","")</f>
        <v/>
      </c>
      <c r="G454" s="4" t="str">
        <f>IF(OR(AND(Customers!S454&gt;0,Customers!T454=0),AND(Customers!S454=0,Customers!T454&gt;0)),"Mortgage/payment inconsistent","")</f>
        <v/>
      </c>
      <c r="H454" s="4" t="str">
        <f>IF(AND(Customers!G454&lt;&gt;"",Customers!G454&gt;0,Customers!T454&gt;Customers!G454/12),"Payment &gt; monthly income","")</f>
        <v/>
      </c>
      <c r="I454" s="4" t="str">
        <f>IF(OR(Customers!I454&gt;DATE(2026,9,13),YEAR(Customers!I454)&lt;1980),"Implausible date","")</f>
        <v/>
      </c>
      <c r="J454" s="4" t="str">
        <f>IF(Customers!I454&gt;DATE(2026,9,13),"",IF(ABS(INT((DATE(2026,9,13)-Customers!I454)/365.25)-Customers!H454)&gt;1,"Date/tenure inconsistent",""))</f>
        <v/>
      </c>
      <c r="K454" s="4" t="str">
        <f>IF(COUNTIF(Customers!$A$2:$A$1001,Customers!A454)&gt;1,"Duplicate ID","")</f>
        <v/>
      </c>
      <c r="L454" s="4" t="str">
        <f>IF(COUNTIFS(Customers!$B$2:$B$1001,Customers!B454,Customers!$D$2:$D$1001,Customers!D454,Customers!$G$2:$G$1001,Customers!G454,Customers!$I$2:$I$1001,Customers!I454,Customers!$L$2:$L$1001,Customers!L454)&gt;1,"Duplicate record","")</f>
        <v/>
      </c>
      <c r="M454" s="4" t="str">
        <f>IF(OR(Customers!U454&lt;300,Customers!U454&gt;850),"Score out of range","")</f>
        <v/>
      </c>
      <c r="N454" s="4" t="str">
        <f>IF(AND(Customers!G454&lt;&gt;"",Customers!G454&lt;=0),"Income ≤ 0","")</f>
        <v/>
      </c>
      <c r="O454" s="4" t="str">
        <f>IF(OR(Customers!G454="",Customers!M454=""),"Missing value","")</f>
        <v/>
      </c>
      <c r="P454" s="4">
        <f t="shared" si="7"/>
        <v>0</v>
      </c>
    </row>
    <row r="455" spans="1:16" x14ac:dyDescent="0.25">
      <c r="A455" s="4" t="str">
        <f>Customers!A455</f>
        <v>CL00449</v>
      </c>
      <c r="B455" s="20">
        <f>IF(Customers!G455="","",(Customers!G455-Statistics!$C$7)/Statistics!$C$9)</f>
        <v>-6.7151497892353085E-2</v>
      </c>
      <c r="C455" s="4" t="str">
        <f>IF(Customers!G455="","",IF(OR(Customers!G455&lt;Statistics!$C$15,Customers!G455&gt;Statistics!$C$16),"Outside 1.5·IQR",""))</f>
        <v/>
      </c>
      <c r="D455" s="4" t="str">
        <f>IF(OR(Customers!B455&lt;18,Customers!B455&gt;100),"Implausible age","")</f>
        <v>Implausible age</v>
      </c>
      <c r="E455" s="4" t="str">
        <f>IF(Customers!H455&gt;Customers!B455-18,"Tenure &gt; age-18","")</f>
        <v>Tenure &gt; age-18</v>
      </c>
      <c r="F455" s="4" t="str">
        <f>IF(Customers!R455&gt;Customers!Q455,"Card spend &gt; limit","")</f>
        <v/>
      </c>
      <c r="G455" s="4" t="str">
        <f>IF(OR(AND(Customers!S455&gt;0,Customers!T455=0),AND(Customers!S455=0,Customers!T455&gt;0)),"Mortgage/payment inconsistent","")</f>
        <v/>
      </c>
      <c r="H455" s="4" t="str">
        <f>IF(AND(Customers!G455&lt;&gt;"",Customers!G455&gt;0,Customers!T455&gt;Customers!G455/12),"Payment &gt; monthly income","")</f>
        <v/>
      </c>
      <c r="I455" s="4" t="str">
        <f>IF(OR(Customers!I455&gt;DATE(2026,9,13),YEAR(Customers!I455)&lt;1980),"Implausible date","")</f>
        <v/>
      </c>
      <c r="J455" s="4" t="str">
        <f>IF(Customers!I455&gt;DATE(2026,9,13),"",IF(ABS(INT((DATE(2026,9,13)-Customers!I455)/365.25)-Customers!H455)&gt;1,"Date/tenure inconsistent",""))</f>
        <v/>
      </c>
      <c r="K455" s="4" t="str">
        <f>IF(COUNTIF(Customers!$A$2:$A$1001,Customers!A455)&gt;1,"Duplicate ID","")</f>
        <v/>
      </c>
      <c r="L455" s="4" t="str">
        <f>IF(COUNTIFS(Customers!$B$2:$B$1001,Customers!B455,Customers!$D$2:$D$1001,Customers!D455,Customers!$G$2:$G$1001,Customers!G455,Customers!$I$2:$I$1001,Customers!I455,Customers!$L$2:$L$1001,Customers!L455)&gt;1,"Duplicate record","")</f>
        <v/>
      </c>
      <c r="M455" s="4" t="str">
        <f>IF(OR(Customers!U455&lt;300,Customers!U455&gt;850),"Score out of range","")</f>
        <v/>
      </c>
      <c r="N455" s="4" t="str">
        <f>IF(AND(Customers!G455&lt;&gt;"",Customers!G455&lt;=0),"Income ≤ 0","")</f>
        <v/>
      </c>
      <c r="O455" s="4" t="str">
        <f>IF(OR(Customers!G455="",Customers!M455=""),"Missing value","")</f>
        <v/>
      </c>
      <c r="P455" s="4">
        <f t="shared" si="7"/>
        <v>2</v>
      </c>
    </row>
    <row r="456" spans="1:16" x14ac:dyDescent="0.25">
      <c r="A456" s="4" t="str">
        <f>Customers!A456</f>
        <v>CL00450</v>
      </c>
      <c r="B456" s="20">
        <f>IF(Customers!G456="","",(Customers!G456-Statistics!$C$7)/Statistics!$C$9)</f>
        <v>-5.9173618308388645E-2</v>
      </c>
      <c r="C456" s="4" t="str">
        <f>IF(Customers!G456="","",IF(OR(Customers!G456&lt;Statistics!$C$15,Customers!G456&gt;Statistics!$C$16),"Outside 1.5·IQR",""))</f>
        <v/>
      </c>
      <c r="D456" s="4" t="str">
        <f>IF(OR(Customers!B456&lt;18,Customers!B456&gt;100),"Implausible age","")</f>
        <v/>
      </c>
      <c r="E456" s="4" t="str">
        <f>IF(Customers!H456&gt;Customers!B456-18,"Tenure &gt; age-18","")</f>
        <v/>
      </c>
      <c r="F456" s="4" t="str">
        <f>IF(Customers!R456&gt;Customers!Q456,"Card spend &gt; limit","")</f>
        <v/>
      </c>
      <c r="G456" s="4" t="str">
        <f>IF(OR(AND(Customers!S456&gt;0,Customers!T456=0),AND(Customers!S456=0,Customers!T456&gt;0)),"Mortgage/payment inconsistent","")</f>
        <v/>
      </c>
      <c r="H456" s="4" t="str">
        <f>IF(AND(Customers!G456&lt;&gt;"",Customers!G456&gt;0,Customers!T456&gt;Customers!G456/12),"Payment &gt; monthly income","")</f>
        <v/>
      </c>
      <c r="I456" s="4" t="str">
        <f>IF(OR(Customers!I456&gt;DATE(2026,9,13),YEAR(Customers!I456)&lt;1980),"Implausible date","")</f>
        <v/>
      </c>
      <c r="J456" s="4" t="str">
        <f>IF(Customers!I456&gt;DATE(2026,9,13),"",IF(ABS(INT((DATE(2026,9,13)-Customers!I456)/365.25)-Customers!H456)&gt;1,"Date/tenure inconsistent",""))</f>
        <v/>
      </c>
      <c r="K456" s="4" t="str">
        <f>IF(COUNTIF(Customers!$A$2:$A$1001,Customers!A456)&gt;1,"Duplicate ID","")</f>
        <v/>
      </c>
      <c r="L456" s="4" t="str">
        <f>IF(COUNTIFS(Customers!$B$2:$B$1001,Customers!B456,Customers!$D$2:$D$1001,Customers!D456,Customers!$G$2:$G$1001,Customers!G456,Customers!$I$2:$I$1001,Customers!I456,Customers!$L$2:$L$1001,Customers!L456)&gt;1,"Duplicate record","")</f>
        <v/>
      </c>
      <c r="M456" s="4" t="str">
        <f>IF(OR(Customers!U456&lt;300,Customers!U456&gt;850),"Score out of range","")</f>
        <v/>
      </c>
      <c r="N456" s="4" t="str">
        <f>IF(AND(Customers!G456&lt;&gt;"",Customers!G456&lt;=0),"Income ≤ 0","")</f>
        <v/>
      </c>
      <c r="O456" s="4" t="str">
        <f>IF(OR(Customers!G456="",Customers!M456=""),"Missing value","")</f>
        <v/>
      </c>
      <c r="P456" s="4">
        <f t="shared" si="7"/>
        <v>0</v>
      </c>
    </row>
    <row r="457" spans="1:16" x14ac:dyDescent="0.25">
      <c r="A457" s="4" t="str">
        <f>Customers!A457</f>
        <v>CL00451</v>
      </c>
      <c r="B457" s="20">
        <f>IF(Customers!G457="","",(Customers!G457-Statistics!$C$7)/Statistics!$C$9)</f>
        <v>-4.5187705951315174E-2</v>
      </c>
      <c r="C457" s="4" t="str">
        <f>IF(Customers!G457="","",IF(OR(Customers!G457&lt;Statistics!$C$15,Customers!G457&gt;Statistics!$C$16),"Outside 1.5·IQR",""))</f>
        <v/>
      </c>
      <c r="D457" s="4" t="str">
        <f>IF(OR(Customers!B457&lt;18,Customers!B457&gt;100),"Implausible age","")</f>
        <v/>
      </c>
      <c r="E457" s="4" t="str">
        <f>IF(Customers!H457&gt;Customers!B457-18,"Tenure &gt; age-18","")</f>
        <v/>
      </c>
      <c r="F457" s="4" t="str">
        <f>IF(Customers!R457&gt;Customers!Q457,"Card spend &gt; limit","")</f>
        <v/>
      </c>
      <c r="G457" s="4" t="str">
        <f>IF(OR(AND(Customers!S457&gt;0,Customers!T457=0),AND(Customers!S457=0,Customers!T457&gt;0)),"Mortgage/payment inconsistent","")</f>
        <v/>
      </c>
      <c r="H457" s="4" t="str">
        <f>IF(AND(Customers!G457&lt;&gt;"",Customers!G457&gt;0,Customers!T457&gt;Customers!G457/12),"Payment &gt; monthly income","")</f>
        <v/>
      </c>
      <c r="I457" s="4" t="str">
        <f>IF(OR(Customers!I457&gt;DATE(2026,9,13),YEAR(Customers!I457)&lt;1980),"Implausible date","")</f>
        <v/>
      </c>
      <c r="J457" s="4" t="str">
        <f>IF(Customers!I457&gt;DATE(2026,9,13),"",IF(ABS(INT((DATE(2026,9,13)-Customers!I457)/365.25)-Customers!H457)&gt;1,"Date/tenure inconsistent",""))</f>
        <v/>
      </c>
      <c r="K457" s="4" t="str">
        <f>IF(COUNTIF(Customers!$A$2:$A$1001,Customers!A457)&gt;1,"Duplicate ID","")</f>
        <v/>
      </c>
      <c r="L457" s="4" t="str">
        <f>IF(COUNTIFS(Customers!$B$2:$B$1001,Customers!B457,Customers!$D$2:$D$1001,Customers!D457,Customers!$G$2:$G$1001,Customers!G457,Customers!$I$2:$I$1001,Customers!I457,Customers!$L$2:$L$1001,Customers!L457)&gt;1,"Duplicate record","")</f>
        <v/>
      </c>
      <c r="M457" s="4" t="str">
        <f>IF(OR(Customers!U457&lt;300,Customers!U457&gt;850),"Score out of range","")</f>
        <v/>
      </c>
      <c r="N457" s="4" t="str">
        <f>IF(AND(Customers!G457&lt;&gt;"",Customers!G457&lt;=0),"Income ≤ 0","")</f>
        <v/>
      </c>
      <c r="O457" s="4" t="str">
        <f>IF(OR(Customers!G457="",Customers!M457=""),"Missing value","")</f>
        <v/>
      </c>
      <c r="P457" s="4">
        <f t="shared" si="7"/>
        <v>0</v>
      </c>
    </row>
    <row r="458" spans="1:16" x14ac:dyDescent="0.25">
      <c r="A458" s="4" t="str">
        <f>Customers!A458</f>
        <v>CL00452</v>
      </c>
      <c r="B458" s="20">
        <f>IF(Customers!G458="","",(Customers!G458-Statistics!$C$7)/Statistics!$C$9)</f>
        <v>-1.3586144097821277E-3</v>
      </c>
      <c r="C458" s="4" t="str">
        <f>IF(Customers!G458="","",IF(OR(Customers!G458&lt;Statistics!$C$15,Customers!G458&gt;Statistics!$C$16),"Outside 1.5·IQR",""))</f>
        <v/>
      </c>
      <c r="D458" s="4" t="str">
        <f>IF(OR(Customers!B458&lt;18,Customers!B458&gt;100),"Implausible age","")</f>
        <v/>
      </c>
      <c r="E458" s="4" t="str">
        <f>IF(Customers!H458&gt;Customers!B458-18,"Tenure &gt; age-18","")</f>
        <v/>
      </c>
      <c r="F458" s="4" t="str">
        <f>IF(Customers!R458&gt;Customers!Q458,"Card spend &gt; limit","")</f>
        <v/>
      </c>
      <c r="G458" s="4" t="str">
        <f>IF(OR(AND(Customers!S458&gt;0,Customers!T458=0),AND(Customers!S458=0,Customers!T458&gt;0)),"Mortgage/payment inconsistent","")</f>
        <v/>
      </c>
      <c r="H458" s="4" t="str">
        <f>IF(AND(Customers!G458&lt;&gt;"",Customers!G458&gt;0,Customers!T458&gt;Customers!G458/12),"Payment &gt; monthly income","")</f>
        <v/>
      </c>
      <c r="I458" s="4" t="str">
        <f>IF(OR(Customers!I458&gt;DATE(2026,9,13),YEAR(Customers!I458)&lt;1980),"Implausible date","")</f>
        <v/>
      </c>
      <c r="J458" s="4" t="str">
        <f>IF(Customers!I458&gt;DATE(2026,9,13),"",IF(ABS(INT((DATE(2026,9,13)-Customers!I458)/365.25)-Customers!H458)&gt;1,"Date/tenure inconsistent",""))</f>
        <v/>
      </c>
      <c r="K458" s="4" t="str">
        <f>IF(COUNTIF(Customers!$A$2:$A$1001,Customers!A458)&gt;1,"Duplicate ID","")</f>
        <v/>
      </c>
      <c r="L458" s="4" t="str">
        <f>IF(COUNTIFS(Customers!$B$2:$B$1001,Customers!B458,Customers!$D$2:$D$1001,Customers!D458,Customers!$G$2:$G$1001,Customers!G458,Customers!$I$2:$I$1001,Customers!I458,Customers!$L$2:$L$1001,Customers!L458)&gt;1,"Duplicate record","")</f>
        <v/>
      </c>
      <c r="M458" s="4" t="str">
        <f>IF(OR(Customers!U458&lt;300,Customers!U458&gt;850),"Score out of range","")</f>
        <v/>
      </c>
      <c r="N458" s="4" t="str">
        <f>IF(AND(Customers!G458&lt;&gt;"",Customers!G458&lt;=0),"Income ≤ 0","")</f>
        <v/>
      </c>
      <c r="O458" s="4" t="str">
        <f>IF(OR(Customers!G458="",Customers!M458=""),"Missing value","")</f>
        <v/>
      </c>
      <c r="P458" s="4">
        <f t="shared" si="7"/>
        <v>0</v>
      </c>
    </row>
    <row r="459" spans="1:16" x14ac:dyDescent="0.25">
      <c r="A459" s="4" t="str">
        <f>Customers!A459</f>
        <v>CL00453</v>
      </c>
      <c r="B459" s="20">
        <f>IF(Customers!G459="","",(Customers!G459-Statistics!$C$7)/Statistics!$C$9)</f>
        <v>-3.7209826367350735E-2</v>
      </c>
      <c r="C459" s="4" t="str">
        <f>IF(Customers!G459="","",IF(OR(Customers!G459&lt;Statistics!$C$15,Customers!G459&gt;Statistics!$C$16),"Outside 1.5·IQR",""))</f>
        <v/>
      </c>
      <c r="D459" s="4" t="str">
        <f>IF(OR(Customers!B459&lt;18,Customers!B459&gt;100),"Implausible age","")</f>
        <v/>
      </c>
      <c r="E459" s="4" t="str">
        <f>IF(Customers!H459&gt;Customers!B459-18,"Tenure &gt; age-18","")</f>
        <v/>
      </c>
      <c r="F459" s="4" t="str">
        <f>IF(Customers!R459&gt;Customers!Q459,"Card spend &gt; limit","")</f>
        <v/>
      </c>
      <c r="G459" s="4" t="str">
        <f>IF(OR(AND(Customers!S459&gt;0,Customers!T459=0),AND(Customers!S459=0,Customers!T459&gt;0)),"Mortgage/payment inconsistent","")</f>
        <v/>
      </c>
      <c r="H459" s="4" t="str">
        <f>IF(AND(Customers!G459&lt;&gt;"",Customers!G459&gt;0,Customers!T459&gt;Customers!G459/12),"Payment &gt; monthly income","")</f>
        <v/>
      </c>
      <c r="I459" s="4" t="str">
        <f>IF(OR(Customers!I459&gt;DATE(2026,9,13),YEAR(Customers!I459)&lt;1980),"Implausible date","")</f>
        <v/>
      </c>
      <c r="J459" s="4" t="str">
        <f>IF(Customers!I459&gt;DATE(2026,9,13),"",IF(ABS(INT((DATE(2026,9,13)-Customers!I459)/365.25)-Customers!H459)&gt;1,"Date/tenure inconsistent",""))</f>
        <v/>
      </c>
      <c r="K459" s="4" t="str">
        <f>IF(COUNTIF(Customers!$A$2:$A$1001,Customers!A459)&gt;1,"Duplicate ID","")</f>
        <v/>
      </c>
      <c r="L459" s="4" t="str">
        <f>IF(COUNTIFS(Customers!$B$2:$B$1001,Customers!B459,Customers!$D$2:$D$1001,Customers!D459,Customers!$G$2:$G$1001,Customers!G459,Customers!$I$2:$I$1001,Customers!I459,Customers!$L$2:$L$1001,Customers!L459)&gt;1,"Duplicate record","")</f>
        <v/>
      </c>
      <c r="M459" s="4" t="str">
        <f>IF(OR(Customers!U459&lt;300,Customers!U459&gt;850),"Score out of range","")</f>
        <v/>
      </c>
      <c r="N459" s="4" t="str">
        <f>IF(AND(Customers!G459&lt;&gt;"",Customers!G459&lt;=0),"Income ≤ 0","")</f>
        <v/>
      </c>
      <c r="O459" s="4" t="str">
        <f>IF(OR(Customers!G459="",Customers!M459=""),"Missing value","")</f>
        <v/>
      </c>
      <c r="P459" s="4">
        <f t="shared" si="7"/>
        <v>0</v>
      </c>
    </row>
    <row r="460" spans="1:16" x14ac:dyDescent="0.25">
      <c r="A460" s="4" t="str">
        <f>Customers!A460</f>
        <v>CL00454</v>
      </c>
      <c r="B460" s="20">
        <f>IF(Customers!G460="","",(Customers!G460-Statistics!$C$7)/Statistics!$C$9)</f>
        <v>7.702680920152795E-3</v>
      </c>
      <c r="C460" s="4" t="str">
        <f>IF(Customers!G460="","",IF(OR(Customers!G460&lt;Statistics!$C$15,Customers!G460&gt;Statistics!$C$16),"Outside 1.5·IQR",""))</f>
        <v>Outside 1.5·IQR</v>
      </c>
      <c r="D460" s="4" t="str">
        <f>IF(OR(Customers!B460&lt;18,Customers!B460&gt;100),"Implausible age","")</f>
        <v/>
      </c>
      <c r="E460" s="4" t="str">
        <f>IF(Customers!H460&gt;Customers!B460-18,"Tenure &gt; age-18","")</f>
        <v/>
      </c>
      <c r="F460" s="4" t="str">
        <f>IF(Customers!R460&gt;Customers!Q460,"Card spend &gt; limit","")</f>
        <v/>
      </c>
      <c r="G460" s="4" t="str">
        <f>IF(OR(AND(Customers!S460&gt;0,Customers!T460=0),AND(Customers!S460=0,Customers!T460&gt;0)),"Mortgage/payment inconsistent","")</f>
        <v/>
      </c>
      <c r="H460" s="4" t="str">
        <f>IF(AND(Customers!G460&lt;&gt;"",Customers!G460&gt;0,Customers!T460&gt;Customers!G460/12),"Payment &gt; monthly income","")</f>
        <v/>
      </c>
      <c r="I460" s="4" t="str">
        <f>IF(OR(Customers!I460&gt;DATE(2026,9,13),YEAR(Customers!I460)&lt;1980),"Implausible date","")</f>
        <v/>
      </c>
      <c r="J460" s="4" t="str">
        <f>IF(Customers!I460&gt;DATE(2026,9,13),"",IF(ABS(INT((DATE(2026,9,13)-Customers!I460)/365.25)-Customers!H460)&gt;1,"Date/tenure inconsistent",""))</f>
        <v/>
      </c>
      <c r="K460" s="4" t="str">
        <f>IF(COUNTIF(Customers!$A$2:$A$1001,Customers!A460)&gt;1,"Duplicate ID","")</f>
        <v/>
      </c>
      <c r="L460" s="4" t="str">
        <f>IF(COUNTIFS(Customers!$B$2:$B$1001,Customers!B460,Customers!$D$2:$D$1001,Customers!D460,Customers!$G$2:$G$1001,Customers!G460,Customers!$I$2:$I$1001,Customers!I460,Customers!$L$2:$L$1001,Customers!L460)&gt;1,"Duplicate record","")</f>
        <v/>
      </c>
      <c r="M460" s="4" t="str">
        <f>IF(OR(Customers!U460&lt;300,Customers!U460&gt;850),"Score out of range","")</f>
        <v/>
      </c>
      <c r="N460" s="4" t="str">
        <f>IF(AND(Customers!G460&lt;&gt;"",Customers!G460&lt;=0),"Income ≤ 0","")</f>
        <v/>
      </c>
      <c r="O460" s="4" t="str">
        <f>IF(OR(Customers!G460="",Customers!M460=""),"Missing value","")</f>
        <v/>
      </c>
      <c r="P460" s="4">
        <f t="shared" si="7"/>
        <v>1</v>
      </c>
    </row>
    <row r="461" spans="1:16" x14ac:dyDescent="0.25">
      <c r="A461" s="4" t="str">
        <f>Customers!A461</f>
        <v>CL00455</v>
      </c>
      <c r="B461" s="20">
        <f>IF(Customers!G461="","",(Customers!G461-Statistics!$C$7)/Statistics!$C$9)</f>
        <v>-5.6317340432648286E-2</v>
      </c>
      <c r="C461" s="4" t="str">
        <f>IF(Customers!G461="","",IF(OR(Customers!G461&lt;Statistics!$C$15,Customers!G461&gt;Statistics!$C$16),"Outside 1.5·IQR",""))</f>
        <v/>
      </c>
      <c r="D461" s="4" t="str">
        <f>IF(OR(Customers!B461&lt;18,Customers!B461&gt;100),"Implausible age","")</f>
        <v/>
      </c>
      <c r="E461" s="4" t="str">
        <f>IF(Customers!H461&gt;Customers!B461-18,"Tenure &gt; age-18","")</f>
        <v/>
      </c>
      <c r="F461" s="4" t="str">
        <f>IF(Customers!R461&gt;Customers!Q461,"Card spend &gt; limit","")</f>
        <v/>
      </c>
      <c r="G461" s="4" t="str">
        <f>IF(OR(AND(Customers!S461&gt;0,Customers!T461=0),AND(Customers!S461=0,Customers!T461&gt;0)),"Mortgage/payment inconsistent","")</f>
        <v/>
      </c>
      <c r="H461" s="4" t="str">
        <f>IF(AND(Customers!G461&lt;&gt;"",Customers!G461&gt;0,Customers!T461&gt;Customers!G461/12),"Payment &gt; monthly income","")</f>
        <v/>
      </c>
      <c r="I461" s="4" t="str">
        <f>IF(OR(Customers!I461&gt;DATE(2026,9,13),YEAR(Customers!I461)&lt;1980),"Implausible date","")</f>
        <v/>
      </c>
      <c r="J461" s="4" t="str">
        <f>IF(Customers!I461&gt;DATE(2026,9,13),"",IF(ABS(INT((DATE(2026,9,13)-Customers!I461)/365.25)-Customers!H461)&gt;1,"Date/tenure inconsistent",""))</f>
        <v/>
      </c>
      <c r="K461" s="4" t="str">
        <f>IF(COUNTIF(Customers!$A$2:$A$1001,Customers!A461)&gt;1,"Duplicate ID","")</f>
        <v/>
      </c>
      <c r="L461" s="4" t="str">
        <f>IF(COUNTIFS(Customers!$B$2:$B$1001,Customers!B461,Customers!$D$2:$D$1001,Customers!D461,Customers!$G$2:$G$1001,Customers!G461,Customers!$I$2:$I$1001,Customers!I461,Customers!$L$2:$L$1001,Customers!L461)&gt;1,"Duplicate record","")</f>
        <v/>
      </c>
      <c r="M461" s="4" t="str">
        <f>IF(OR(Customers!U461&lt;300,Customers!U461&gt;850),"Score out of range","")</f>
        <v/>
      </c>
      <c r="N461" s="4" t="str">
        <f>IF(AND(Customers!G461&lt;&gt;"",Customers!G461&lt;=0),"Income ≤ 0","")</f>
        <v/>
      </c>
      <c r="O461" s="4" t="str">
        <f>IF(OR(Customers!G461="",Customers!M461=""),"Missing value","")</f>
        <v/>
      </c>
      <c r="P461" s="4">
        <f t="shared" si="7"/>
        <v>0</v>
      </c>
    </row>
    <row r="462" spans="1:16" x14ac:dyDescent="0.25">
      <c r="A462" s="4" t="str">
        <f>Customers!A462</f>
        <v>CL00456</v>
      </c>
      <c r="B462" s="20">
        <f>IF(Customers!G462="","",(Customers!G462-Statistics!$C$7)/Statistics!$C$9)</f>
        <v>-4.7846999145969994E-2</v>
      </c>
      <c r="C462" s="4" t="str">
        <f>IF(Customers!G462="","",IF(OR(Customers!G462&lt;Statistics!$C$15,Customers!G462&gt;Statistics!$C$16),"Outside 1.5·IQR",""))</f>
        <v/>
      </c>
      <c r="D462" s="4" t="str">
        <f>IF(OR(Customers!B462&lt;18,Customers!B462&gt;100),"Implausible age","")</f>
        <v/>
      </c>
      <c r="E462" s="4" t="str">
        <f>IF(Customers!H462&gt;Customers!B462-18,"Tenure &gt; age-18","")</f>
        <v/>
      </c>
      <c r="F462" s="4" t="str">
        <f>IF(Customers!R462&gt;Customers!Q462,"Card spend &gt; limit","")</f>
        <v/>
      </c>
      <c r="G462" s="4" t="str">
        <f>IF(OR(AND(Customers!S462&gt;0,Customers!T462=0),AND(Customers!S462=0,Customers!T462&gt;0)),"Mortgage/payment inconsistent","")</f>
        <v/>
      </c>
      <c r="H462" s="4" t="str">
        <f>IF(AND(Customers!G462&lt;&gt;"",Customers!G462&gt;0,Customers!T462&gt;Customers!G462/12),"Payment &gt; monthly income","")</f>
        <v/>
      </c>
      <c r="I462" s="4" t="str">
        <f>IF(OR(Customers!I462&gt;DATE(2026,9,13),YEAR(Customers!I462)&lt;1980),"Implausible date","")</f>
        <v/>
      </c>
      <c r="J462" s="4" t="str">
        <f>IF(Customers!I462&gt;DATE(2026,9,13),"",IF(ABS(INT((DATE(2026,9,13)-Customers!I462)/365.25)-Customers!H462)&gt;1,"Date/tenure inconsistent",""))</f>
        <v/>
      </c>
      <c r="K462" s="4" t="str">
        <f>IF(COUNTIF(Customers!$A$2:$A$1001,Customers!A462)&gt;1,"Duplicate ID","")</f>
        <v/>
      </c>
      <c r="L462" s="4" t="str">
        <f>IF(COUNTIFS(Customers!$B$2:$B$1001,Customers!B462,Customers!$D$2:$D$1001,Customers!D462,Customers!$G$2:$G$1001,Customers!G462,Customers!$I$2:$I$1001,Customers!I462,Customers!$L$2:$L$1001,Customers!L462)&gt;1,"Duplicate record","")</f>
        <v/>
      </c>
      <c r="M462" s="4" t="str">
        <f>IF(OR(Customers!U462&lt;300,Customers!U462&gt;850),"Score out of range","")</f>
        <v/>
      </c>
      <c r="N462" s="4" t="str">
        <f>IF(AND(Customers!G462&lt;&gt;"",Customers!G462&lt;=0),"Income ≤ 0","")</f>
        <v/>
      </c>
      <c r="O462" s="4" t="str">
        <f>IF(OR(Customers!G462="",Customers!M462=""),"Missing value","")</f>
        <v/>
      </c>
      <c r="P462" s="4">
        <f t="shared" si="7"/>
        <v>0</v>
      </c>
    </row>
    <row r="463" spans="1:16" x14ac:dyDescent="0.25">
      <c r="A463" s="4" t="str">
        <f>Customers!A463</f>
        <v>CL00457</v>
      </c>
      <c r="B463" s="20">
        <f>IF(Customers!G463="","",(Customers!G463-Statistics!$C$7)/Statistics!$C$9)</f>
        <v>-2.1943513583221243E-2</v>
      </c>
      <c r="C463" s="4" t="str">
        <f>IF(Customers!G463="","",IF(OR(Customers!G463&lt;Statistics!$C$15,Customers!G463&gt;Statistics!$C$16),"Outside 1.5·IQR",""))</f>
        <v/>
      </c>
      <c r="D463" s="4" t="str">
        <f>IF(OR(Customers!B463&lt;18,Customers!B463&gt;100),"Implausible age","")</f>
        <v/>
      </c>
      <c r="E463" s="4" t="str">
        <f>IF(Customers!H463&gt;Customers!B463-18,"Tenure &gt; age-18","")</f>
        <v/>
      </c>
      <c r="F463" s="4" t="str">
        <f>IF(Customers!R463&gt;Customers!Q463,"Card spend &gt; limit","")</f>
        <v/>
      </c>
      <c r="G463" s="4" t="str">
        <f>IF(OR(AND(Customers!S463&gt;0,Customers!T463=0),AND(Customers!S463=0,Customers!T463&gt;0)),"Mortgage/payment inconsistent","")</f>
        <v/>
      </c>
      <c r="H463" s="4" t="str">
        <f>IF(AND(Customers!G463&lt;&gt;"",Customers!G463&gt;0,Customers!T463&gt;Customers!G463/12),"Payment &gt; monthly income","")</f>
        <v/>
      </c>
      <c r="I463" s="4" t="str">
        <f>IF(OR(Customers!I463&gt;DATE(2026,9,13),YEAR(Customers!I463)&lt;1980),"Implausible date","")</f>
        <v/>
      </c>
      <c r="J463" s="4" t="str">
        <f>IF(Customers!I463&gt;DATE(2026,9,13),"",IF(ABS(INT((DATE(2026,9,13)-Customers!I463)/365.25)-Customers!H463)&gt;1,"Date/tenure inconsistent",""))</f>
        <v/>
      </c>
      <c r="K463" s="4" t="str">
        <f>IF(COUNTIF(Customers!$A$2:$A$1001,Customers!A463)&gt;1,"Duplicate ID","")</f>
        <v>Duplicate ID</v>
      </c>
      <c r="L463" s="4" t="str">
        <f>IF(COUNTIFS(Customers!$B$2:$B$1001,Customers!B463,Customers!$D$2:$D$1001,Customers!D463,Customers!$G$2:$G$1001,Customers!G463,Customers!$I$2:$I$1001,Customers!I463,Customers!$L$2:$L$1001,Customers!L463)&gt;1,"Duplicate record","")</f>
        <v>Duplicate record</v>
      </c>
      <c r="M463" s="4" t="str">
        <f>IF(OR(Customers!U463&lt;300,Customers!U463&gt;850),"Score out of range","")</f>
        <v/>
      </c>
      <c r="N463" s="4" t="str">
        <f>IF(AND(Customers!G463&lt;&gt;"",Customers!G463&lt;=0),"Income ≤ 0","")</f>
        <v/>
      </c>
      <c r="O463" s="4" t="str">
        <f>IF(OR(Customers!G463="",Customers!M463=""),"Missing value","")</f>
        <v/>
      </c>
      <c r="P463" s="4">
        <f t="shared" si="7"/>
        <v>2</v>
      </c>
    </row>
    <row r="464" spans="1:16" x14ac:dyDescent="0.25">
      <c r="A464" s="4" t="str">
        <f>Customers!A464</f>
        <v>CL00458</v>
      </c>
      <c r="B464" s="20">
        <f>IF(Customers!G464="","",(Customers!G464-Statistics!$C$7)/Statistics!$C$9)</f>
        <v>-2.6671145929274248E-2</v>
      </c>
      <c r="C464" s="4" t="str">
        <f>IF(Customers!G464="","",IF(OR(Customers!G464&lt;Statistics!$C$15,Customers!G464&gt;Statistics!$C$16),"Outside 1.5·IQR",""))</f>
        <v/>
      </c>
      <c r="D464" s="4" t="str">
        <f>IF(OR(Customers!B464&lt;18,Customers!B464&gt;100),"Implausible age","")</f>
        <v/>
      </c>
      <c r="E464" s="4" t="str">
        <f>IF(Customers!H464&gt;Customers!B464-18,"Tenure &gt; age-18","")</f>
        <v/>
      </c>
      <c r="F464" s="4" t="str">
        <f>IF(Customers!R464&gt;Customers!Q464,"Card spend &gt; limit","")</f>
        <v/>
      </c>
      <c r="G464" s="4" t="str">
        <f>IF(OR(AND(Customers!S464&gt;0,Customers!T464=0),AND(Customers!S464=0,Customers!T464&gt;0)),"Mortgage/payment inconsistent","")</f>
        <v/>
      </c>
      <c r="H464" s="4" t="str">
        <f>IF(AND(Customers!G464&lt;&gt;"",Customers!G464&gt;0,Customers!T464&gt;Customers!G464/12),"Payment &gt; monthly income","")</f>
        <v/>
      </c>
      <c r="I464" s="4" t="str">
        <f>IF(OR(Customers!I464&gt;DATE(2026,9,13),YEAR(Customers!I464)&lt;1980),"Implausible date","")</f>
        <v/>
      </c>
      <c r="J464" s="4" t="str">
        <f>IF(Customers!I464&gt;DATE(2026,9,13),"",IF(ABS(INT((DATE(2026,9,13)-Customers!I464)/365.25)-Customers!H464)&gt;1,"Date/tenure inconsistent",""))</f>
        <v/>
      </c>
      <c r="K464" s="4" t="str">
        <f>IF(COUNTIF(Customers!$A$2:$A$1001,Customers!A464)&gt;1,"Duplicate ID","")</f>
        <v/>
      </c>
      <c r="L464" s="4" t="str">
        <f>IF(COUNTIFS(Customers!$B$2:$B$1001,Customers!B464,Customers!$D$2:$D$1001,Customers!D464,Customers!$G$2:$G$1001,Customers!G464,Customers!$I$2:$I$1001,Customers!I464,Customers!$L$2:$L$1001,Customers!L464)&gt;1,"Duplicate record","")</f>
        <v/>
      </c>
      <c r="M464" s="4" t="str">
        <f>IF(OR(Customers!U464&lt;300,Customers!U464&gt;850),"Score out of range","")</f>
        <v/>
      </c>
      <c r="N464" s="4" t="str">
        <f>IF(AND(Customers!G464&lt;&gt;"",Customers!G464&lt;=0),"Income ≤ 0","")</f>
        <v/>
      </c>
      <c r="O464" s="4" t="str">
        <f>IF(OR(Customers!G464="",Customers!M464=""),"Missing value","")</f>
        <v/>
      </c>
      <c r="P464" s="4">
        <f t="shared" si="7"/>
        <v>0</v>
      </c>
    </row>
    <row r="465" spans="1:16" x14ac:dyDescent="0.25">
      <c r="A465" s="4" t="str">
        <f>Customers!A465</f>
        <v>CL00459</v>
      </c>
      <c r="B465" s="20">
        <f>IF(Customers!G465="","",(Customers!G465-Statistics!$C$7)/Statistics!$C$9)</f>
        <v>-4.03615812647194E-2</v>
      </c>
      <c r="C465" s="4" t="str">
        <f>IF(Customers!G465="","",IF(OR(Customers!G465&lt;Statistics!$C$15,Customers!G465&gt;Statistics!$C$16),"Outside 1.5·IQR",""))</f>
        <v/>
      </c>
      <c r="D465" s="4" t="str">
        <f>IF(OR(Customers!B465&lt;18,Customers!B465&gt;100),"Implausible age","")</f>
        <v/>
      </c>
      <c r="E465" s="4" t="str">
        <f>IF(Customers!H465&gt;Customers!B465-18,"Tenure &gt; age-18","")</f>
        <v/>
      </c>
      <c r="F465" s="4" t="str">
        <f>IF(Customers!R465&gt;Customers!Q465,"Card spend &gt; limit","")</f>
        <v/>
      </c>
      <c r="G465" s="4" t="str">
        <f>IF(OR(AND(Customers!S465&gt;0,Customers!T465=0),AND(Customers!S465=0,Customers!T465&gt;0)),"Mortgage/payment inconsistent","")</f>
        <v/>
      </c>
      <c r="H465" s="4" t="str">
        <f>IF(AND(Customers!G465&lt;&gt;"",Customers!G465&gt;0,Customers!T465&gt;Customers!G465/12),"Payment &gt; monthly income","")</f>
        <v/>
      </c>
      <c r="I465" s="4" t="str">
        <f>IF(OR(Customers!I465&gt;DATE(2026,9,13),YEAR(Customers!I465)&lt;1980),"Implausible date","")</f>
        <v/>
      </c>
      <c r="J465" s="4" t="str">
        <f>IF(Customers!I465&gt;DATE(2026,9,13),"",IF(ABS(INT((DATE(2026,9,13)-Customers!I465)/365.25)-Customers!H465)&gt;1,"Date/tenure inconsistent",""))</f>
        <v/>
      </c>
      <c r="K465" s="4" t="str">
        <f>IF(COUNTIF(Customers!$A$2:$A$1001,Customers!A465)&gt;1,"Duplicate ID","")</f>
        <v/>
      </c>
      <c r="L465" s="4" t="str">
        <f>IF(COUNTIFS(Customers!$B$2:$B$1001,Customers!B465,Customers!$D$2:$D$1001,Customers!D465,Customers!$G$2:$G$1001,Customers!G465,Customers!$I$2:$I$1001,Customers!I465,Customers!$L$2:$L$1001,Customers!L465)&gt;1,"Duplicate record","")</f>
        <v/>
      </c>
      <c r="M465" s="4" t="str">
        <f>IF(OR(Customers!U465&lt;300,Customers!U465&gt;850),"Score out of range","")</f>
        <v/>
      </c>
      <c r="N465" s="4" t="str">
        <f>IF(AND(Customers!G465&lt;&gt;"",Customers!G465&lt;=0),"Income ≤ 0","")</f>
        <v/>
      </c>
      <c r="O465" s="4" t="str">
        <f>IF(OR(Customers!G465="",Customers!M465=""),"Missing value","")</f>
        <v/>
      </c>
      <c r="P465" s="4">
        <f t="shared" si="7"/>
        <v>0</v>
      </c>
    </row>
    <row r="466" spans="1:16" x14ac:dyDescent="0.25">
      <c r="A466" s="4" t="str">
        <f>Customers!A466</f>
        <v>CL00460</v>
      </c>
      <c r="B466" s="20">
        <f>IF(Customers!G466="","",(Customers!G466-Statistics!$C$7)/Statistics!$C$9)</f>
        <v>-5.0309307659539261E-2</v>
      </c>
      <c r="C466" s="4" t="str">
        <f>IF(Customers!G466="","",IF(OR(Customers!G466&lt;Statistics!$C$15,Customers!G466&gt;Statistics!$C$16),"Outside 1.5·IQR",""))</f>
        <v/>
      </c>
      <c r="D466" s="4" t="str">
        <f>IF(OR(Customers!B466&lt;18,Customers!B466&gt;100),"Implausible age","")</f>
        <v/>
      </c>
      <c r="E466" s="4" t="str">
        <f>IF(Customers!H466&gt;Customers!B466-18,"Tenure &gt; age-18","")</f>
        <v/>
      </c>
      <c r="F466" s="4" t="str">
        <f>IF(Customers!R466&gt;Customers!Q466,"Card spend &gt; limit","")</f>
        <v/>
      </c>
      <c r="G466" s="4" t="str">
        <f>IF(OR(AND(Customers!S466&gt;0,Customers!T466=0),AND(Customers!S466=0,Customers!T466&gt;0)),"Mortgage/payment inconsistent","")</f>
        <v/>
      </c>
      <c r="H466" s="4" t="str">
        <f>IF(AND(Customers!G466&lt;&gt;"",Customers!G466&gt;0,Customers!T466&gt;Customers!G466/12),"Payment &gt; monthly income","")</f>
        <v/>
      </c>
      <c r="I466" s="4" t="str">
        <f>IF(OR(Customers!I466&gt;DATE(2026,9,13),YEAR(Customers!I466)&lt;1980),"Implausible date","")</f>
        <v/>
      </c>
      <c r="J466" s="4" t="str">
        <f>IF(Customers!I466&gt;DATE(2026,9,13),"",IF(ABS(INT((DATE(2026,9,13)-Customers!I466)/365.25)-Customers!H466)&gt;1,"Date/tenure inconsistent",""))</f>
        <v/>
      </c>
      <c r="K466" s="4" t="str">
        <f>IF(COUNTIF(Customers!$A$2:$A$1001,Customers!A466)&gt;1,"Duplicate ID","")</f>
        <v/>
      </c>
      <c r="L466" s="4" t="str">
        <f>IF(COUNTIFS(Customers!$B$2:$B$1001,Customers!B466,Customers!$D$2:$D$1001,Customers!D466,Customers!$G$2:$G$1001,Customers!G466,Customers!$I$2:$I$1001,Customers!I466,Customers!$L$2:$L$1001,Customers!L466)&gt;1,"Duplicate record","")</f>
        <v/>
      </c>
      <c r="M466" s="4" t="str">
        <f>IF(OR(Customers!U466&lt;300,Customers!U466&gt;850),"Score out of range","")</f>
        <v/>
      </c>
      <c r="N466" s="4" t="str">
        <f>IF(AND(Customers!G466&lt;&gt;"",Customers!G466&lt;=0),"Income ≤ 0","")</f>
        <v/>
      </c>
      <c r="O466" s="4" t="str">
        <f>IF(OR(Customers!G466="",Customers!M466=""),"Missing value","")</f>
        <v/>
      </c>
      <c r="P466" s="4">
        <f t="shared" si="7"/>
        <v>0</v>
      </c>
    </row>
    <row r="467" spans="1:16" x14ac:dyDescent="0.25">
      <c r="A467" s="4" t="str">
        <f>Customers!A467</f>
        <v>CL00461</v>
      </c>
      <c r="B467" s="20">
        <f>IF(Customers!G467="","",(Customers!G467-Statistics!$C$7)/Statistics!$C$9)</f>
        <v>-5.336257021636516E-2</v>
      </c>
      <c r="C467" s="4" t="str">
        <f>IF(Customers!G467="","",IF(OR(Customers!G467&lt;Statistics!$C$15,Customers!G467&gt;Statistics!$C$16),"Outside 1.5·IQR",""))</f>
        <v/>
      </c>
      <c r="D467" s="4" t="str">
        <f>IF(OR(Customers!B467&lt;18,Customers!B467&gt;100),"Implausible age","")</f>
        <v/>
      </c>
      <c r="E467" s="4" t="str">
        <f>IF(Customers!H467&gt;Customers!B467-18,"Tenure &gt; age-18","")</f>
        <v/>
      </c>
      <c r="F467" s="4" t="str">
        <f>IF(Customers!R467&gt;Customers!Q467,"Card spend &gt; limit","")</f>
        <v/>
      </c>
      <c r="G467" s="4" t="str">
        <f>IF(OR(AND(Customers!S467&gt;0,Customers!T467=0),AND(Customers!S467=0,Customers!T467&gt;0)),"Mortgage/payment inconsistent","")</f>
        <v/>
      </c>
      <c r="H467" s="4" t="str">
        <f>IF(AND(Customers!G467&lt;&gt;"",Customers!G467&gt;0,Customers!T467&gt;Customers!G467/12),"Payment &gt; monthly income","")</f>
        <v/>
      </c>
      <c r="I467" s="4" t="str">
        <f>IF(OR(Customers!I467&gt;DATE(2026,9,13),YEAR(Customers!I467)&lt;1980),"Implausible date","")</f>
        <v/>
      </c>
      <c r="J467" s="4" t="str">
        <f>IF(Customers!I467&gt;DATE(2026,9,13),"",IF(ABS(INT((DATE(2026,9,13)-Customers!I467)/365.25)-Customers!H467)&gt;1,"Date/tenure inconsistent",""))</f>
        <v/>
      </c>
      <c r="K467" s="4" t="str">
        <f>IF(COUNTIF(Customers!$A$2:$A$1001,Customers!A467)&gt;1,"Duplicate ID","")</f>
        <v/>
      </c>
      <c r="L467" s="4" t="str">
        <f>IF(COUNTIFS(Customers!$B$2:$B$1001,Customers!B467,Customers!$D$2:$D$1001,Customers!D467,Customers!$G$2:$G$1001,Customers!G467,Customers!$I$2:$I$1001,Customers!I467,Customers!$L$2:$L$1001,Customers!L467)&gt;1,"Duplicate record","")</f>
        <v/>
      </c>
      <c r="M467" s="4" t="str">
        <f>IF(OR(Customers!U467&lt;300,Customers!U467&gt;850),"Score out of range","")</f>
        <v/>
      </c>
      <c r="N467" s="4" t="str">
        <f>IF(AND(Customers!G467&lt;&gt;"",Customers!G467&lt;=0),"Income ≤ 0","")</f>
        <v/>
      </c>
      <c r="O467" s="4" t="str">
        <f>IF(OR(Customers!G467="",Customers!M467=""),"Missing value","")</f>
        <v/>
      </c>
      <c r="P467" s="4">
        <f t="shared" si="7"/>
        <v>0</v>
      </c>
    </row>
    <row r="468" spans="1:16" x14ac:dyDescent="0.25">
      <c r="A468" s="4" t="str">
        <f>Customers!A468</f>
        <v>CL00462</v>
      </c>
      <c r="B468" s="20">
        <f>IF(Customers!G468="","",(Customers!G468-Statistics!$C$7)/Statistics!$C$9)</f>
        <v>-1.2783725912743552E-2</v>
      </c>
      <c r="C468" s="4" t="str">
        <f>IF(Customers!G468="","",IF(OR(Customers!G468&lt;Statistics!$C$15,Customers!G468&gt;Statistics!$C$16),"Outside 1.5·IQR",""))</f>
        <v/>
      </c>
      <c r="D468" s="4" t="str">
        <f>IF(OR(Customers!B468&lt;18,Customers!B468&gt;100),"Implausible age","")</f>
        <v/>
      </c>
      <c r="E468" s="4" t="str">
        <f>IF(Customers!H468&gt;Customers!B468-18,"Tenure &gt; age-18","")</f>
        <v/>
      </c>
      <c r="F468" s="4" t="str">
        <f>IF(Customers!R468&gt;Customers!Q468,"Card spend &gt; limit","")</f>
        <v/>
      </c>
      <c r="G468" s="4" t="str">
        <f>IF(OR(AND(Customers!S468&gt;0,Customers!T468=0),AND(Customers!S468=0,Customers!T468&gt;0)),"Mortgage/payment inconsistent","")</f>
        <v/>
      </c>
      <c r="H468" s="4" t="str">
        <f>IF(AND(Customers!G468&lt;&gt;"",Customers!G468&gt;0,Customers!T468&gt;Customers!G468/12),"Payment &gt; monthly income","")</f>
        <v/>
      </c>
      <c r="I468" s="4" t="str">
        <f>IF(OR(Customers!I468&gt;DATE(2026,9,13),YEAR(Customers!I468)&lt;1980),"Implausible date","")</f>
        <v/>
      </c>
      <c r="J468" s="4" t="str">
        <f>IF(Customers!I468&gt;DATE(2026,9,13),"",IF(ABS(INT((DATE(2026,9,13)-Customers!I468)/365.25)-Customers!H468)&gt;1,"Date/tenure inconsistent",""))</f>
        <v/>
      </c>
      <c r="K468" s="4" t="str">
        <f>IF(COUNTIF(Customers!$A$2:$A$1001,Customers!A468)&gt;1,"Duplicate ID","")</f>
        <v/>
      </c>
      <c r="L468" s="4" t="str">
        <f>IF(COUNTIFS(Customers!$B$2:$B$1001,Customers!B468,Customers!$D$2:$D$1001,Customers!D468,Customers!$G$2:$G$1001,Customers!G468,Customers!$I$2:$I$1001,Customers!I468,Customers!$L$2:$L$1001,Customers!L468)&gt;1,"Duplicate record","")</f>
        <v/>
      </c>
      <c r="M468" s="4" t="str">
        <f>IF(OR(Customers!U468&lt;300,Customers!U468&gt;850),"Score out of range","")</f>
        <v/>
      </c>
      <c r="N468" s="4" t="str">
        <f>IF(AND(Customers!G468&lt;&gt;"",Customers!G468&lt;=0),"Income ≤ 0","")</f>
        <v/>
      </c>
      <c r="O468" s="4" t="str">
        <f>IF(OR(Customers!G468="",Customers!M468=""),"Missing value","")</f>
        <v/>
      </c>
      <c r="P468" s="4">
        <f t="shared" si="7"/>
        <v>0</v>
      </c>
    </row>
    <row r="469" spans="1:16" x14ac:dyDescent="0.25">
      <c r="A469" s="4" t="str">
        <f>Customers!A469</f>
        <v>CL00463</v>
      </c>
      <c r="B469" s="20">
        <f>IF(Customers!G469="","",(Customers!G469-Statistics!$C$7)/Statistics!$C$9)</f>
        <v>-4.4005797864801924E-2</v>
      </c>
      <c r="C469" s="4" t="str">
        <f>IF(Customers!G469="","",IF(OR(Customers!G469&lt;Statistics!$C$15,Customers!G469&gt;Statistics!$C$16),"Outside 1.5·IQR",""))</f>
        <v/>
      </c>
      <c r="D469" s="4" t="str">
        <f>IF(OR(Customers!B469&lt;18,Customers!B469&gt;100),"Implausible age","")</f>
        <v/>
      </c>
      <c r="E469" s="4" t="str">
        <f>IF(Customers!H469&gt;Customers!B469-18,"Tenure &gt; age-18","")</f>
        <v/>
      </c>
      <c r="F469" s="4" t="str">
        <f>IF(Customers!R469&gt;Customers!Q469,"Card spend &gt; limit","")</f>
        <v/>
      </c>
      <c r="G469" s="4" t="str">
        <f>IF(OR(AND(Customers!S469&gt;0,Customers!T469=0),AND(Customers!S469=0,Customers!T469&gt;0)),"Mortgage/payment inconsistent","")</f>
        <v/>
      </c>
      <c r="H469" s="4" t="str">
        <f>IF(AND(Customers!G469&lt;&gt;"",Customers!G469&gt;0,Customers!T469&gt;Customers!G469/12),"Payment &gt; monthly income","")</f>
        <v/>
      </c>
      <c r="I469" s="4" t="str">
        <f>IF(OR(Customers!I469&gt;DATE(2026,9,13),YEAR(Customers!I469)&lt;1980),"Implausible date","")</f>
        <v/>
      </c>
      <c r="J469" s="4" t="str">
        <f>IF(Customers!I469&gt;DATE(2026,9,13),"",IF(ABS(INT((DATE(2026,9,13)-Customers!I469)/365.25)-Customers!H469)&gt;1,"Date/tenure inconsistent",""))</f>
        <v/>
      </c>
      <c r="K469" s="4" t="str">
        <f>IF(COUNTIF(Customers!$A$2:$A$1001,Customers!A469)&gt;1,"Duplicate ID","")</f>
        <v/>
      </c>
      <c r="L469" s="4" t="str">
        <f>IF(COUNTIFS(Customers!$B$2:$B$1001,Customers!B469,Customers!$D$2:$D$1001,Customers!D469,Customers!$G$2:$G$1001,Customers!G469,Customers!$I$2:$I$1001,Customers!I469,Customers!$L$2:$L$1001,Customers!L469)&gt;1,"Duplicate record","")</f>
        <v/>
      </c>
      <c r="M469" s="4" t="str">
        <f>IF(OR(Customers!U469&lt;300,Customers!U469&gt;850),"Score out of range","")</f>
        <v/>
      </c>
      <c r="N469" s="4" t="str">
        <f>IF(AND(Customers!G469&lt;&gt;"",Customers!G469&lt;=0),"Income ≤ 0","")</f>
        <v/>
      </c>
      <c r="O469" s="4" t="str">
        <f>IF(OR(Customers!G469="",Customers!M469=""),"Missing value","")</f>
        <v/>
      </c>
      <c r="P469" s="4">
        <f t="shared" si="7"/>
        <v>0</v>
      </c>
    </row>
    <row r="470" spans="1:16" x14ac:dyDescent="0.25">
      <c r="A470" s="4" t="str">
        <f>Customers!A470</f>
        <v>CL00464</v>
      </c>
      <c r="B470" s="20">
        <f>IF(Customers!G470="","",(Customers!G470-Statistics!$C$7)/Statistics!$C$9)</f>
        <v>-6.6068082146382601E-2</v>
      </c>
      <c r="C470" s="4" t="str">
        <f>IF(Customers!G470="","",IF(OR(Customers!G470&lt;Statistics!$C$15,Customers!G470&gt;Statistics!$C$16),"Outside 1.5·IQR",""))</f>
        <v/>
      </c>
      <c r="D470" s="4" t="str">
        <f>IF(OR(Customers!B470&lt;18,Customers!B470&gt;100),"Implausible age","")</f>
        <v/>
      </c>
      <c r="E470" s="4" t="str">
        <f>IF(Customers!H470&gt;Customers!B470-18,"Tenure &gt; age-18","")</f>
        <v/>
      </c>
      <c r="F470" s="4" t="str">
        <f>IF(Customers!R470&gt;Customers!Q470,"Card spend &gt; limit","")</f>
        <v/>
      </c>
      <c r="G470" s="4" t="str">
        <f>IF(OR(AND(Customers!S470&gt;0,Customers!T470=0),AND(Customers!S470=0,Customers!T470&gt;0)),"Mortgage/payment inconsistent","")</f>
        <v/>
      </c>
      <c r="H470" s="4" t="str">
        <f>IF(AND(Customers!G470&lt;&gt;"",Customers!G470&gt;0,Customers!T470&gt;Customers!G470/12),"Payment &gt; monthly income","")</f>
        <v/>
      </c>
      <c r="I470" s="4" t="str">
        <f>IF(OR(Customers!I470&gt;DATE(2026,9,13),YEAR(Customers!I470)&lt;1980),"Implausible date","")</f>
        <v/>
      </c>
      <c r="J470" s="4" t="str">
        <f>IF(Customers!I470&gt;DATE(2026,9,13),"",IF(ABS(INT((DATE(2026,9,13)-Customers!I470)/365.25)-Customers!H470)&gt;1,"Date/tenure inconsistent",""))</f>
        <v/>
      </c>
      <c r="K470" s="4" t="str">
        <f>IF(COUNTIF(Customers!$A$2:$A$1001,Customers!A470)&gt;1,"Duplicate ID","")</f>
        <v/>
      </c>
      <c r="L470" s="4" t="str">
        <f>IF(COUNTIFS(Customers!$B$2:$B$1001,Customers!B470,Customers!$D$2:$D$1001,Customers!D470,Customers!$G$2:$G$1001,Customers!G470,Customers!$I$2:$I$1001,Customers!I470,Customers!$L$2:$L$1001,Customers!L470)&gt;1,"Duplicate record","")</f>
        <v/>
      </c>
      <c r="M470" s="4" t="str">
        <f>IF(OR(Customers!U470&lt;300,Customers!U470&gt;850),"Score out of range","")</f>
        <v/>
      </c>
      <c r="N470" s="4" t="str">
        <f>IF(AND(Customers!G470&lt;&gt;"",Customers!G470&lt;=0),"Income ≤ 0","")</f>
        <v/>
      </c>
      <c r="O470" s="4" t="str">
        <f>IF(OR(Customers!G470="",Customers!M470=""),"Missing value","")</f>
        <v/>
      </c>
      <c r="P470" s="4">
        <f t="shared" si="7"/>
        <v>0</v>
      </c>
    </row>
    <row r="471" spans="1:16" x14ac:dyDescent="0.25">
      <c r="A471" s="4" t="str">
        <f>Customers!A471</f>
        <v>CL00465</v>
      </c>
      <c r="B471" s="20">
        <f>IF(Customers!G471="","",(Customers!G471-Statistics!$C$7)/Statistics!$C$9)</f>
        <v>-4.016459658363386E-2</v>
      </c>
      <c r="C471" s="4" t="str">
        <f>IF(Customers!G471="","",IF(OR(Customers!G471&lt;Statistics!$C$15,Customers!G471&gt;Statistics!$C$16),"Outside 1.5·IQR",""))</f>
        <v/>
      </c>
      <c r="D471" s="4" t="str">
        <f>IF(OR(Customers!B471&lt;18,Customers!B471&gt;100),"Implausible age","")</f>
        <v/>
      </c>
      <c r="E471" s="4" t="str">
        <f>IF(Customers!H471&gt;Customers!B471-18,"Tenure &gt; age-18","")</f>
        <v/>
      </c>
      <c r="F471" s="4" t="str">
        <f>IF(Customers!R471&gt;Customers!Q471,"Card spend &gt; limit","")</f>
        <v/>
      </c>
      <c r="G471" s="4" t="str">
        <f>IF(OR(AND(Customers!S471&gt;0,Customers!T471=0),AND(Customers!S471=0,Customers!T471&gt;0)),"Mortgage/payment inconsistent","")</f>
        <v/>
      </c>
      <c r="H471" s="4" t="str">
        <f>IF(AND(Customers!G471&lt;&gt;"",Customers!G471&gt;0,Customers!T471&gt;Customers!G471/12),"Payment &gt; monthly income","")</f>
        <v/>
      </c>
      <c r="I471" s="4" t="str">
        <f>IF(OR(Customers!I471&gt;DATE(2026,9,13),YEAR(Customers!I471)&lt;1980),"Implausible date","")</f>
        <v/>
      </c>
      <c r="J471" s="4" t="str">
        <f>IF(Customers!I471&gt;DATE(2026,9,13),"",IF(ABS(INT((DATE(2026,9,13)-Customers!I471)/365.25)-Customers!H471)&gt;1,"Date/tenure inconsistent",""))</f>
        <v/>
      </c>
      <c r="K471" s="4" t="str">
        <f>IF(COUNTIF(Customers!$A$2:$A$1001,Customers!A471)&gt;1,"Duplicate ID","")</f>
        <v/>
      </c>
      <c r="L471" s="4" t="str">
        <f>IF(COUNTIFS(Customers!$B$2:$B$1001,Customers!B471,Customers!$D$2:$D$1001,Customers!D471,Customers!$G$2:$G$1001,Customers!G471,Customers!$I$2:$I$1001,Customers!I471,Customers!$L$2:$L$1001,Customers!L471)&gt;1,"Duplicate record","")</f>
        <v/>
      </c>
      <c r="M471" s="4" t="str">
        <f>IF(OR(Customers!U471&lt;300,Customers!U471&gt;850),"Score out of range","")</f>
        <v/>
      </c>
      <c r="N471" s="4" t="str">
        <f>IF(AND(Customers!G471&lt;&gt;"",Customers!G471&lt;=0),"Income ≤ 0","")</f>
        <v/>
      </c>
      <c r="O471" s="4" t="str">
        <f>IF(OR(Customers!G471="",Customers!M471=""),"Missing value","")</f>
        <v/>
      </c>
      <c r="P471" s="4">
        <f t="shared" si="7"/>
        <v>0</v>
      </c>
    </row>
    <row r="472" spans="1:16" x14ac:dyDescent="0.25">
      <c r="A472" s="4" t="str">
        <f>Customers!A472</f>
        <v>CL00466</v>
      </c>
      <c r="B472" s="20">
        <f>IF(Customers!G472="","",(Customers!G472-Statistics!$C$7)/Statistics!$C$9)</f>
        <v>-3.3959579129439296E-2</v>
      </c>
      <c r="C472" s="4" t="str">
        <f>IF(Customers!G472="","",IF(OR(Customers!G472&lt;Statistics!$C$15,Customers!G472&gt;Statistics!$C$16),"Outside 1.5·IQR",""))</f>
        <v/>
      </c>
      <c r="D472" s="4" t="str">
        <f>IF(OR(Customers!B472&lt;18,Customers!B472&gt;100),"Implausible age","")</f>
        <v/>
      </c>
      <c r="E472" s="4" t="str">
        <f>IF(Customers!H472&gt;Customers!B472-18,"Tenure &gt; age-18","")</f>
        <v/>
      </c>
      <c r="F472" s="4" t="str">
        <f>IF(Customers!R472&gt;Customers!Q472,"Card spend &gt; limit","")</f>
        <v/>
      </c>
      <c r="G472" s="4" t="str">
        <f>IF(OR(AND(Customers!S472&gt;0,Customers!T472=0),AND(Customers!S472=0,Customers!T472&gt;0)),"Mortgage/payment inconsistent","")</f>
        <v/>
      </c>
      <c r="H472" s="4" t="str">
        <f>IF(AND(Customers!G472&lt;&gt;"",Customers!G472&gt;0,Customers!T472&gt;Customers!G472/12),"Payment &gt; monthly income","")</f>
        <v/>
      </c>
      <c r="I472" s="4" t="str">
        <f>IF(OR(Customers!I472&gt;DATE(2026,9,13),YEAR(Customers!I472)&lt;1980),"Implausible date","")</f>
        <v/>
      </c>
      <c r="J472" s="4" t="str">
        <f>IF(Customers!I472&gt;DATE(2026,9,13),"",IF(ABS(INT((DATE(2026,9,13)-Customers!I472)/365.25)-Customers!H472)&gt;1,"Date/tenure inconsistent",""))</f>
        <v/>
      </c>
      <c r="K472" s="4" t="str">
        <f>IF(COUNTIF(Customers!$A$2:$A$1001,Customers!A472)&gt;1,"Duplicate ID","")</f>
        <v/>
      </c>
      <c r="L472" s="4" t="str">
        <f>IF(COUNTIFS(Customers!$B$2:$B$1001,Customers!B472,Customers!$D$2:$D$1001,Customers!D472,Customers!$G$2:$G$1001,Customers!G472,Customers!$I$2:$I$1001,Customers!I472,Customers!$L$2:$L$1001,Customers!L472)&gt;1,"Duplicate record","")</f>
        <v/>
      </c>
      <c r="M472" s="4" t="str">
        <f>IF(OR(Customers!U472&lt;300,Customers!U472&gt;850),"Score out of range","")</f>
        <v/>
      </c>
      <c r="N472" s="4" t="str">
        <f>IF(AND(Customers!G472&lt;&gt;"",Customers!G472&lt;=0),"Income ≤ 0","")</f>
        <v/>
      </c>
      <c r="O472" s="4" t="str">
        <f>IF(OR(Customers!G472="",Customers!M472=""),"Missing value","")</f>
        <v/>
      </c>
      <c r="P472" s="4">
        <f t="shared" si="7"/>
        <v>0</v>
      </c>
    </row>
    <row r="473" spans="1:16" x14ac:dyDescent="0.25">
      <c r="A473" s="4" t="str">
        <f>Customers!A473</f>
        <v>CL00467</v>
      </c>
      <c r="B473" s="20">
        <f>IF(Customers!G473="","",(Customers!G473-Statistics!$C$7)/Statistics!$C$9)</f>
        <v>4.5031277985862962E-2</v>
      </c>
      <c r="C473" s="4" t="str">
        <f>IF(Customers!G473="","",IF(OR(Customers!G473&lt;Statistics!$C$15,Customers!G473&gt;Statistics!$C$16),"Outside 1.5·IQR",""))</f>
        <v>Outside 1.5·IQR</v>
      </c>
      <c r="D473" s="4" t="str">
        <f>IF(OR(Customers!B473&lt;18,Customers!B473&gt;100),"Implausible age","")</f>
        <v/>
      </c>
      <c r="E473" s="4" t="str">
        <f>IF(Customers!H473&gt;Customers!B473-18,"Tenure &gt; age-18","")</f>
        <v/>
      </c>
      <c r="F473" s="4" t="str">
        <f>IF(Customers!R473&gt;Customers!Q473,"Card spend &gt; limit","")</f>
        <v/>
      </c>
      <c r="G473" s="4" t="str">
        <f>IF(OR(AND(Customers!S473&gt;0,Customers!T473=0),AND(Customers!S473=0,Customers!T473&gt;0)),"Mortgage/payment inconsistent","")</f>
        <v/>
      </c>
      <c r="H473" s="4" t="str">
        <f>IF(AND(Customers!G473&lt;&gt;"",Customers!G473&gt;0,Customers!T473&gt;Customers!G473/12),"Payment &gt; monthly income","")</f>
        <v/>
      </c>
      <c r="I473" s="4" t="str">
        <f>IF(OR(Customers!I473&gt;DATE(2026,9,13),YEAR(Customers!I473)&lt;1980),"Implausible date","")</f>
        <v/>
      </c>
      <c r="J473" s="4" t="str">
        <f>IF(Customers!I473&gt;DATE(2026,9,13),"",IF(ABS(INT((DATE(2026,9,13)-Customers!I473)/365.25)-Customers!H473)&gt;1,"Date/tenure inconsistent",""))</f>
        <v/>
      </c>
      <c r="K473" s="4" t="str">
        <f>IF(COUNTIF(Customers!$A$2:$A$1001,Customers!A473)&gt;1,"Duplicate ID","")</f>
        <v/>
      </c>
      <c r="L473" s="4" t="str">
        <f>IF(COUNTIFS(Customers!$B$2:$B$1001,Customers!B473,Customers!$D$2:$D$1001,Customers!D473,Customers!$G$2:$G$1001,Customers!G473,Customers!$I$2:$I$1001,Customers!I473,Customers!$L$2:$L$1001,Customers!L473)&gt;1,"Duplicate record","")</f>
        <v/>
      </c>
      <c r="M473" s="4" t="str">
        <f>IF(OR(Customers!U473&lt;300,Customers!U473&gt;850),"Score out of range","")</f>
        <v/>
      </c>
      <c r="N473" s="4" t="str">
        <f>IF(AND(Customers!G473&lt;&gt;"",Customers!G473&lt;=0),"Income ≤ 0","")</f>
        <v/>
      </c>
      <c r="O473" s="4" t="str">
        <f>IF(OR(Customers!G473="",Customers!M473=""),"Missing value","")</f>
        <v/>
      </c>
      <c r="P473" s="4">
        <f t="shared" si="7"/>
        <v>1</v>
      </c>
    </row>
    <row r="474" spans="1:16" x14ac:dyDescent="0.25">
      <c r="A474" s="4" t="str">
        <f>Customers!A474</f>
        <v>CL00468</v>
      </c>
      <c r="B474" s="20">
        <f>IF(Customers!G474="","",(Customers!G474-Statistics!$C$7)/Statistics!$C$9)</f>
        <v>-3.8588719134949524E-2</v>
      </c>
      <c r="C474" s="4" t="str">
        <f>IF(Customers!G474="","",IF(OR(Customers!G474&lt;Statistics!$C$15,Customers!G474&gt;Statistics!$C$16),"Outside 1.5·IQR",""))</f>
        <v/>
      </c>
      <c r="D474" s="4" t="str">
        <f>IF(OR(Customers!B474&lt;18,Customers!B474&gt;100),"Implausible age","")</f>
        <v/>
      </c>
      <c r="E474" s="4" t="str">
        <f>IF(Customers!H474&gt;Customers!B474-18,"Tenure &gt; age-18","")</f>
        <v/>
      </c>
      <c r="F474" s="4" t="str">
        <f>IF(Customers!R474&gt;Customers!Q474,"Card spend &gt; limit","")</f>
        <v/>
      </c>
      <c r="G474" s="4" t="str">
        <f>IF(OR(AND(Customers!S474&gt;0,Customers!T474=0),AND(Customers!S474=0,Customers!T474&gt;0)),"Mortgage/payment inconsistent","")</f>
        <v/>
      </c>
      <c r="H474" s="4" t="str">
        <f>IF(AND(Customers!G474&lt;&gt;"",Customers!G474&gt;0,Customers!T474&gt;Customers!G474/12),"Payment &gt; monthly income","")</f>
        <v/>
      </c>
      <c r="I474" s="4" t="str">
        <f>IF(OR(Customers!I474&gt;DATE(2026,9,13),YEAR(Customers!I474)&lt;1980),"Implausible date","")</f>
        <v/>
      </c>
      <c r="J474" s="4" t="str">
        <f>IF(Customers!I474&gt;DATE(2026,9,13),"",IF(ABS(INT((DATE(2026,9,13)-Customers!I474)/365.25)-Customers!H474)&gt;1,"Date/tenure inconsistent",""))</f>
        <v/>
      </c>
      <c r="K474" s="4" t="str">
        <f>IF(COUNTIF(Customers!$A$2:$A$1001,Customers!A474)&gt;1,"Duplicate ID","")</f>
        <v/>
      </c>
      <c r="L474" s="4" t="str">
        <f>IF(COUNTIFS(Customers!$B$2:$B$1001,Customers!B474,Customers!$D$2:$D$1001,Customers!D474,Customers!$G$2:$G$1001,Customers!G474,Customers!$I$2:$I$1001,Customers!I474,Customers!$L$2:$L$1001,Customers!L474)&gt;1,"Duplicate record","")</f>
        <v/>
      </c>
      <c r="M474" s="4" t="str">
        <f>IF(OR(Customers!U474&lt;300,Customers!U474&gt;850),"Score out of range","")</f>
        <v/>
      </c>
      <c r="N474" s="4" t="str">
        <f>IF(AND(Customers!G474&lt;&gt;"",Customers!G474&lt;=0),"Income ≤ 0","")</f>
        <v/>
      </c>
      <c r="O474" s="4" t="str">
        <f>IF(OR(Customers!G474="",Customers!M474=""),"Missing value","")</f>
        <v/>
      </c>
      <c r="P474" s="4">
        <f t="shared" si="7"/>
        <v>0</v>
      </c>
    </row>
    <row r="475" spans="1:16" x14ac:dyDescent="0.25">
      <c r="A475" s="4" t="str">
        <f>Customers!A475</f>
        <v>CL00469</v>
      </c>
      <c r="B475" s="20">
        <f>IF(Customers!G475="","",(Customers!G475-Statistics!$C$7)/Statistics!$C$9)</f>
        <v>-1.6329450172283305E-2</v>
      </c>
      <c r="C475" s="4" t="str">
        <f>IF(Customers!G475="","",IF(OR(Customers!G475&lt;Statistics!$C$15,Customers!G475&gt;Statistics!$C$16),"Outside 1.5·IQR",""))</f>
        <v/>
      </c>
      <c r="D475" s="4" t="str">
        <f>IF(OR(Customers!B475&lt;18,Customers!B475&gt;100),"Implausible age","")</f>
        <v/>
      </c>
      <c r="E475" s="4" t="str">
        <f>IF(Customers!H475&gt;Customers!B475-18,"Tenure &gt; age-18","")</f>
        <v/>
      </c>
      <c r="F475" s="4" t="str">
        <f>IF(Customers!R475&gt;Customers!Q475,"Card spend &gt; limit","")</f>
        <v/>
      </c>
      <c r="G475" s="4" t="str">
        <f>IF(OR(AND(Customers!S475&gt;0,Customers!T475=0),AND(Customers!S475=0,Customers!T475&gt;0)),"Mortgage/payment inconsistent","")</f>
        <v/>
      </c>
      <c r="H475" s="4" t="str">
        <f>IF(AND(Customers!G475&lt;&gt;"",Customers!G475&gt;0,Customers!T475&gt;Customers!G475/12),"Payment &gt; monthly income","")</f>
        <v/>
      </c>
      <c r="I475" s="4" t="str">
        <f>IF(OR(Customers!I475&gt;DATE(2026,9,13),YEAR(Customers!I475)&lt;1980),"Implausible date","")</f>
        <v/>
      </c>
      <c r="J475" s="4" t="str">
        <f>IF(Customers!I475&gt;DATE(2026,9,13),"",IF(ABS(INT((DATE(2026,9,13)-Customers!I475)/365.25)-Customers!H475)&gt;1,"Date/tenure inconsistent",""))</f>
        <v/>
      </c>
      <c r="K475" s="4" t="str">
        <f>IF(COUNTIF(Customers!$A$2:$A$1001,Customers!A475)&gt;1,"Duplicate ID","")</f>
        <v/>
      </c>
      <c r="L475" s="4" t="str">
        <f>IF(COUNTIFS(Customers!$B$2:$B$1001,Customers!B475,Customers!$D$2:$D$1001,Customers!D475,Customers!$G$2:$G$1001,Customers!G475,Customers!$I$2:$I$1001,Customers!I475,Customers!$L$2:$L$1001,Customers!L475)&gt;1,"Duplicate record","")</f>
        <v/>
      </c>
      <c r="M475" s="4" t="str">
        <f>IF(OR(Customers!U475&lt;300,Customers!U475&gt;850),"Score out of range","")</f>
        <v/>
      </c>
      <c r="N475" s="4" t="str">
        <f>IF(AND(Customers!G475&lt;&gt;"",Customers!G475&lt;=0),"Income ≤ 0","")</f>
        <v/>
      </c>
      <c r="O475" s="4" t="str">
        <f>IF(OR(Customers!G475="",Customers!M475=""),"Missing value","")</f>
        <v/>
      </c>
      <c r="P475" s="4">
        <f t="shared" si="7"/>
        <v>0</v>
      </c>
    </row>
    <row r="476" spans="1:16" x14ac:dyDescent="0.25">
      <c r="A476" s="4" t="str">
        <f>Customers!A476</f>
        <v>CL00470</v>
      </c>
      <c r="B476" s="20">
        <f>IF(Customers!G476="","",(Customers!G476-Statistics!$C$7)/Statistics!$C$9)</f>
        <v>-4.2922382118831447E-2</v>
      </c>
      <c r="C476" s="4" t="str">
        <f>IF(Customers!G476="","",IF(OR(Customers!G476&lt;Statistics!$C$15,Customers!G476&gt;Statistics!$C$16),"Outside 1.5·IQR",""))</f>
        <v/>
      </c>
      <c r="D476" s="4" t="str">
        <f>IF(OR(Customers!B476&lt;18,Customers!B476&gt;100),"Implausible age","")</f>
        <v/>
      </c>
      <c r="E476" s="4" t="str">
        <f>IF(Customers!H476&gt;Customers!B476-18,"Tenure &gt; age-18","")</f>
        <v/>
      </c>
      <c r="F476" s="4" t="str">
        <f>IF(Customers!R476&gt;Customers!Q476,"Card spend &gt; limit","")</f>
        <v/>
      </c>
      <c r="G476" s="4" t="str">
        <f>IF(OR(AND(Customers!S476&gt;0,Customers!T476=0),AND(Customers!S476=0,Customers!T476&gt;0)),"Mortgage/payment inconsistent","")</f>
        <v/>
      </c>
      <c r="H476" s="4" t="str">
        <f>IF(AND(Customers!G476&lt;&gt;"",Customers!G476&gt;0,Customers!T476&gt;Customers!G476/12),"Payment &gt; monthly income","")</f>
        <v/>
      </c>
      <c r="I476" s="4" t="str">
        <f>IF(OR(Customers!I476&gt;DATE(2026,9,13),YEAR(Customers!I476)&lt;1980),"Implausible date","")</f>
        <v/>
      </c>
      <c r="J476" s="4" t="str">
        <f>IF(Customers!I476&gt;DATE(2026,9,13),"",IF(ABS(INT((DATE(2026,9,13)-Customers!I476)/365.25)-Customers!H476)&gt;1,"Date/tenure inconsistent",""))</f>
        <v/>
      </c>
      <c r="K476" s="4" t="str">
        <f>IF(COUNTIF(Customers!$A$2:$A$1001,Customers!A476)&gt;1,"Duplicate ID","")</f>
        <v/>
      </c>
      <c r="L476" s="4" t="str">
        <f>IF(COUNTIFS(Customers!$B$2:$B$1001,Customers!B476,Customers!$D$2:$D$1001,Customers!D476,Customers!$G$2:$G$1001,Customers!G476,Customers!$I$2:$I$1001,Customers!I476,Customers!$L$2:$L$1001,Customers!L476)&gt;1,"Duplicate record","")</f>
        <v/>
      </c>
      <c r="M476" s="4" t="str">
        <f>IF(OR(Customers!U476&lt;300,Customers!U476&gt;850),"Score out of range","")</f>
        <v/>
      </c>
      <c r="N476" s="4" t="str">
        <f>IF(AND(Customers!G476&lt;&gt;"",Customers!G476&lt;=0),"Income ≤ 0","")</f>
        <v/>
      </c>
      <c r="O476" s="4" t="str">
        <f>IF(OR(Customers!G476="",Customers!M476=""),"Missing value","")</f>
        <v/>
      </c>
      <c r="P476" s="4">
        <f t="shared" si="7"/>
        <v>0</v>
      </c>
    </row>
    <row r="477" spans="1:16" x14ac:dyDescent="0.25">
      <c r="A477" s="4" t="str">
        <f>Customers!A477</f>
        <v>CL00471</v>
      </c>
      <c r="B477" s="20">
        <f>IF(Customers!G477="","",(Customers!G477-Statistics!$C$7)/Statistics!$C$9)</f>
        <v>-3.6323395302465797E-2</v>
      </c>
      <c r="C477" s="4" t="str">
        <f>IF(Customers!G477="","",IF(OR(Customers!G477&lt;Statistics!$C$15,Customers!G477&gt;Statistics!$C$16),"Outside 1.5·IQR",""))</f>
        <v/>
      </c>
      <c r="D477" s="4" t="str">
        <f>IF(OR(Customers!B477&lt;18,Customers!B477&gt;100),"Implausible age","")</f>
        <v/>
      </c>
      <c r="E477" s="4" t="str">
        <f>IF(Customers!H477&gt;Customers!B477-18,"Tenure &gt; age-18","")</f>
        <v/>
      </c>
      <c r="F477" s="4" t="str">
        <f>IF(Customers!R477&gt;Customers!Q477,"Card spend &gt; limit","")</f>
        <v/>
      </c>
      <c r="G477" s="4" t="str">
        <f>IF(OR(AND(Customers!S477&gt;0,Customers!T477=0),AND(Customers!S477=0,Customers!T477&gt;0)),"Mortgage/payment inconsistent","")</f>
        <v/>
      </c>
      <c r="H477" s="4" t="str">
        <f>IF(AND(Customers!G477&lt;&gt;"",Customers!G477&gt;0,Customers!T477&gt;Customers!G477/12),"Payment &gt; monthly income","")</f>
        <v/>
      </c>
      <c r="I477" s="4" t="str">
        <f>IF(OR(Customers!I477&gt;DATE(2026,9,13),YEAR(Customers!I477)&lt;1980),"Implausible date","")</f>
        <v/>
      </c>
      <c r="J477" s="4" t="str">
        <f>IF(Customers!I477&gt;DATE(2026,9,13),"",IF(ABS(INT((DATE(2026,9,13)-Customers!I477)/365.25)-Customers!H477)&gt;1,"Date/tenure inconsistent",""))</f>
        <v/>
      </c>
      <c r="K477" s="4" t="str">
        <f>IF(COUNTIF(Customers!$A$2:$A$1001,Customers!A477)&gt;1,"Duplicate ID","")</f>
        <v/>
      </c>
      <c r="L477" s="4" t="str">
        <f>IF(COUNTIFS(Customers!$B$2:$B$1001,Customers!B477,Customers!$D$2:$D$1001,Customers!D477,Customers!$G$2:$G$1001,Customers!G477,Customers!$I$2:$I$1001,Customers!I477,Customers!$L$2:$L$1001,Customers!L477)&gt;1,"Duplicate record","")</f>
        <v/>
      </c>
      <c r="M477" s="4" t="str">
        <f>IF(OR(Customers!U477&lt;300,Customers!U477&gt;850),"Score out of range","")</f>
        <v/>
      </c>
      <c r="N477" s="4" t="str">
        <f>IF(AND(Customers!G477&lt;&gt;"",Customers!G477&lt;=0),"Income ≤ 0","")</f>
        <v/>
      </c>
      <c r="O477" s="4" t="str">
        <f>IF(OR(Customers!G477="",Customers!M477=""),"Missing value","")</f>
        <v/>
      </c>
      <c r="P477" s="4">
        <f t="shared" si="7"/>
        <v>0</v>
      </c>
    </row>
    <row r="478" spans="1:16" x14ac:dyDescent="0.25">
      <c r="A478" s="4" t="str">
        <f>Customers!A478</f>
        <v>CL00472</v>
      </c>
      <c r="B478" s="20">
        <f>IF(Customers!G478="","",(Customers!G478-Statistics!$C$7)/Statistics!$C$9)</f>
        <v>-2.6474161248188705E-2</v>
      </c>
      <c r="C478" s="4" t="str">
        <f>IF(Customers!G478="","",IF(OR(Customers!G478&lt;Statistics!$C$15,Customers!G478&gt;Statistics!$C$16),"Outside 1.5·IQR",""))</f>
        <v/>
      </c>
      <c r="D478" s="4" t="str">
        <f>IF(OR(Customers!B478&lt;18,Customers!B478&gt;100),"Implausible age","")</f>
        <v/>
      </c>
      <c r="E478" s="4" t="str">
        <f>IF(Customers!H478&gt;Customers!B478-18,"Tenure &gt; age-18","")</f>
        <v/>
      </c>
      <c r="F478" s="4" t="str">
        <f>IF(Customers!R478&gt;Customers!Q478,"Card spend &gt; limit","")</f>
        <v/>
      </c>
      <c r="G478" s="4" t="str">
        <f>IF(OR(AND(Customers!S478&gt;0,Customers!T478=0),AND(Customers!S478=0,Customers!T478&gt;0)),"Mortgage/payment inconsistent","")</f>
        <v/>
      </c>
      <c r="H478" s="4" t="str">
        <f>IF(AND(Customers!G478&lt;&gt;"",Customers!G478&gt;0,Customers!T478&gt;Customers!G478/12),"Payment &gt; monthly income","")</f>
        <v/>
      </c>
      <c r="I478" s="4" t="str">
        <f>IF(OR(Customers!I478&gt;DATE(2026,9,13),YEAR(Customers!I478)&lt;1980),"Implausible date","")</f>
        <v/>
      </c>
      <c r="J478" s="4" t="str">
        <f>IF(Customers!I478&gt;DATE(2026,9,13),"",IF(ABS(INT((DATE(2026,9,13)-Customers!I478)/365.25)-Customers!H478)&gt;1,"Date/tenure inconsistent",""))</f>
        <v/>
      </c>
      <c r="K478" s="4" t="str">
        <f>IF(COUNTIF(Customers!$A$2:$A$1001,Customers!A478)&gt;1,"Duplicate ID","")</f>
        <v/>
      </c>
      <c r="L478" s="4" t="str">
        <f>IF(COUNTIFS(Customers!$B$2:$B$1001,Customers!B478,Customers!$D$2:$D$1001,Customers!D478,Customers!$G$2:$G$1001,Customers!G478,Customers!$I$2:$I$1001,Customers!I478,Customers!$L$2:$L$1001,Customers!L478)&gt;1,"Duplicate record","")</f>
        <v/>
      </c>
      <c r="M478" s="4" t="str">
        <f>IF(OR(Customers!U478&lt;300,Customers!U478&gt;850),"Score out of range","")</f>
        <v/>
      </c>
      <c r="N478" s="4" t="str">
        <f>IF(AND(Customers!G478&lt;&gt;"",Customers!G478&lt;=0),"Income ≤ 0","")</f>
        <v/>
      </c>
      <c r="O478" s="4" t="str">
        <f>IF(OR(Customers!G478="",Customers!M478=""),"Missing value","")</f>
        <v/>
      </c>
      <c r="P478" s="4">
        <f t="shared" si="7"/>
        <v>0</v>
      </c>
    </row>
    <row r="479" spans="1:16" x14ac:dyDescent="0.25">
      <c r="A479" s="4" t="str">
        <f>Customers!A479</f>
        <v>CL00473</v>
      </c>
      <c r="B479" s="20">
        <f>IF(Customers!G479="","",(Customers!G479-Statistics!$C$7)/Statistics!$C$9)</f>
        <v>-5.4347493621792871E-2</v>
      </c>
      <c r="C479" s="4" t="str">
        <f>IF(Customers!G479="","",IF(OR(Customers!G479&lt;Statistics!$C$15,Customers!G479&gt;Statistics!$C$16),"Outside 1.5·IQR",""))</f>
        <v/>
      </c>
      <c r="D479" s="4" t="str">
        <f>IF(OR(Customers!B479&lt;18,Customers!B479&gt;100),"Implausible age","")</f>
        <v/>
      </c>
      <c r="E479" s="4" t="str">
        <f>IF(Customers!H479&gt;Customers!B479-18,"Tenure &gt; age-18","")</f>
        <v/>
      </c>
      <c r="F479" s="4" t="str">
        <f>IF(Customers!R479&gt;Customers!Q479,"Card spend &gt; limit","")</f>
        <v/>
      </c>
      <c r="G479" s="4" t="str">
        <f>IF(OR(AND(Customers!S479&gt;0,Customers!T479=0),AND(Customers!S479=0,Customers!T479&gt;0)),"Mortgage/payment inconsistent","")</f>
        <v/>
      </c>
      <c r="H479" s="4" t="str">
        <f>IF(AND(Customers!G479&lt;&gt;"",Customers!G479&gt;0,Customers!T479&gt;Customers!G479/12),"Payment &gt; monthly income","")</f>
        <v/>
      </c>
      <c r="I479" s="4" t="str">
        <f>IF(OR(Customers!I479&gt;DATE(2026,9,13),YEAR(Customers!I479)&lt;1980),"Implausible date","")</f>
        <v/>
      </c>
      <c r="J479" s="4" t="str">
        <f>IF(Customers!I479&gt;DATE(2026,9,13),"",IF(ABS(INT((DATE(2026,9,13)-Customers!I479)/365.25)-Customers!H479)&gt;1,"Date/tenure inconsistent",""))</f>
        <v/>
      </c>
      <c r="K479" s="4" t="str">
        <f>IF(COUNTIF(Customers!$A$2:$A$1001,Customers!A479)&gt;1,"Duplicate ID","")</f>
        <v/>
      </c>
      <c r="L479" s="4" t="str">
        <f>IF(COUNTIFS(Customers!$B$2:$B$1001,Customers!B479,Customers!$D$2:$D$1001,Customers!D479,Customers!$G$2:$G$1001,Customers!G479,Customers!$I$2:$I$1001,Customers!I479,Customers!$L$2:$L$1001,Customers!L479)&gt;1,"Duplicate record","")</f>
        <v/>
      </c>
      <c r="M479" s="4" t="str">
        <f>IF(OR(Customers!U479&lt;300,Customers!U479&gt;850),"Score out of range","")</f>
        <v/>
      </c>
      <c r="N479" s="4" t="str">
        <f>IF(AND(Customers!G479&lt;&gt;"",Customers!G479&lt;=0),"Income ≤ 0","")</f>
        <v/>
      </c>
      <c r="O479" s="4" t="str">
        <f>IF(OR(Customers!G479="",Customers!M479=""),"Missing value","")</f>
        <v/>
      </c>
      <c r="P479" s="4">
        <f t="shared" si="7"/>
        <v>0</v>
      </c>
    </row>
    <row r="480" spans="1:16" x14ac:dyDescent="0.25">
      <c r="A480" s="4" t="str">
        <f>Customers!A480</f>
        <v>CL00474</v>
      </c>
      <c r="B480" s="20">
        <f>IF(Customers!G480="","",(Customers!G480-Statistics!$C$7)/Statistics!$C$9)</f>
        <v>-2.7853054015787498E-2</v>
      </c>
      <c r="C480" s="4" t="str">
        <f>IF(Customers!G480="","",IF(OR(Customers!G480&lt;Statistics!$C$15,Customers!G480&gt;Statistics!$C$16),"Outside 1.5·IQR",""))</f>
        <v/>
      </c>
      <c r="D480" s="4" t="str">
        <f>IF(OR(Customers!B480&lt;18,Customers!B480&gt;100),"Implausible age","")</f>
        <v/>
      </c>
      <c r="E480" s="4" t="str">
        <f>IF(Customers!H480&gt;Customers!B480-18,"Tenure &gt; age-18","")</f>
        <v/>
      </c>
      <c r="F480" s="4" t="str">
        <f>IF(Customers!R480&gt;Customers!Q480,"Card spend &gt; limit","")</f>
        <v/>
      </c>
      <c r="G480" s="4" t="str">
        <f>IF(OR(AND(Customers!S480&gt;0,Customers!T480=0),AND(Customers!S480=0,Customers!T480&gt;0)),"Mortgage/payment inconsistent","")</f>
        <v/>
      </c>
      <c r="H480" s="4" t="str">
        <f>IF(AND(Customers!G480&lt;&gt;"",Customers!G480&gt;0,Customers!T480&gt;Customers!G480/12),"Payment &gt; monthly income","")</f>
        <v/>
      </c>
      <c r="I480" s="4" t="str">
        <f>IF(OR(Customers!I480&gt;DATE(2026,9,13),YEAR(Customers!I480)&lt;1980),"Implausible date","")</f>
        <v/>
      </c>
      <c r="J480" s="4" t="str">
        <f>IF(Customers!I480&gt;DATE(2026,9,13),"",IF(ABS(INT((DATE(2026,9,13)-Customers!I480)/365.25)-Customers!H480)&gt;1,"Date/tenure inconsistent",""))</f>
        <v/>
      </c>
      <c r="K480" s="4" t="str">
        <f>IF(COUNTIF(Customers!$A$2:$A$1001,Customers!A480)&gt;1,"Duplicate ID","")</f>
        <v/>
      </c>
      <c r="L480" s="4" t="str">
        <f>IF(COUNTIFS(Customers!$B$2:$B$1001,Customers!B480,Customers!$D$2:$D$1001,Customers!D480,Customers!$G$2:$G$1001,Customers!G480,Customers!$I$2:$I$1001,Customers!I480,Customers!$L$2:$L$1001,Customers!L480)&gt;1,"Duplicate record","")</f>
        <v/>
      </c>
      <c r="M480" s="4" t="str">
        <f>IF(OR(Customers!U480&lt;300,Customers!U480&gt;850),"Score out of range","")</f>
        <v/>
      </c>
      <c r="N480" s="4" t="str">
        <f>IF(AND(Customers!G480&lt;&gt;"",Customers!G480&lt;=0),"Income ≤ 0","")</f>
        <v/>
      </c>
      <c r="O480" s="4" t="str">
        <f>IF(OR(Customers!G480="",Customers!M480=""),"Missing value","")</f>
        <v/>
      </c>
      <c r="P480" s="4">
        <f t="shared" si="7"/>
        <v>0</v>
      </c>
    </row>
    <row r="481" spans="1:16" x14ac:dyDescent="0.25">
      <c r="A481" s="4" t="str">
        <f>Customers!A481</f>
        <v>CL00475</v>
      </c>
      <c r="B481" s="20">
        <f>IF(Customers!G481="","",(Customers!G481-Statistics!$C$7)/Statistics!$C$9)</f>
        <v>-3.2088224659126648E-2</v>
      </c>
      <c r="C481" s="4" t="str">
        <f>IF(Customers!G481="","",IF(OR(Customers!G481&lt;Statistics!$C$15,Customers!G481&gt;Statistics!$C$16),"Outside 1.5·IQR",""))</f>
        <v/>
      </c>
      <c r="D481" s="4" t="str">
        <f>IF(OR(Customers!B481&lt;18,Customers!B481&gt;100),"Implausible age","")</f>
        <v/>
      </c>
      <c r="E481" s="4" t="str">
        <f>IF(Customers!H481&gt;Customers!B481-18,"Tenure &gt; age-18","")</f>
        <v/>
      </c>
      <c r="F481" s="4" t="str">
        <f>IF(Customers!R481&gt;Customers!Q481,"Card spend &gt; limit","")</f>
        <v/>
      </c>
      <c r="G481" s="4" t="str">
        <f>IF(OR(AND(Customers!S481&gt;0,Customers!T481=0),AND(Customers!S481=0,Customers!T481&gt;0)),"Mortgage/payment inconsistent","")</f>
        <v/>
      </c>
      <c r="H481" s="4" t="str">
        <f>IF(AND(Customers!G481&lt;&gt;"",Customers!G481&gt;0,Customers!T481&gt;Customers!G481/12),"Payment &gt; monthly income","")</f>
        <v/>
      </c>
      <c r="I481" s="4" t="str">
        <f>IF(OR(Customers!I481&gt;DATE(2026,9,13),YEAR(Customers!I481)&lt;1980),"Implausible date","")</f>
        <v/>
      </c>
      <c r="J481" s="4" t="str">
        <f>IF(Customers!I481&gt;DATE(2026,9,13),"",IF(ABS(INT((DATE(2026,9,13)-Customers!I481)/365.25)-Customers!H481)&gt;1,"Date/tenure inconsistent",""))</f>
        <v/>
      </c>
      <c r="K481" s="4" t="str">
        <f>IF(COUNTIF(Customers!$A$2:$A$1001,Customers!A481)&gt;1,"Duplicate ID","")</f>
        <v/>
      </c>
      <c r="L481" s="4" t="str">
        <f>IF(COUNTIFS(Customers!$B$2:$B$1001,Customers!B481,Customers!$D$2:$D$1001,Customers!D481,Customers!$G$2:$G$1001,Customers!G481,Customers!$I$2:$I$1001,Customers!I481,Customers!$L$2:$L$1001,Customers!L481)&gt;1,"Duplicate record","")</f>
        <v/>
      </c>
      <c r="M481" s="4" t="str">
        <f>IF(OR(Customers!U481&lt;300,Customers!U481&gt;850),"Score out of range","")</f>
        <v/>
      </c>
      <c r="N481" s="4" t="str">
        <f>IF(AND(Customers!G481&lt;&gt;"",Customers!G481&lt;=0),"Income ≤ 0","")</f>
        <v/>
      </c>
      <c r="O481" s="4" t="str">
        <f>IF(OR(Customers!G481="",Customers!M481=""),"Missing value","")</f>
        <v/>
      </c>
      <c r="P481" s="4">
        <f t="shared" si="7"/>
        <v>0</v>
      </c>
    </row>
    <row r="482" spans="1:16" x14ac:dyDescent="0.25">
      <c r="A482" s="4" t="str">
        <f>Customers!A482</f>
        <v>CL00476</v>
      </c>
      <c r="B482" s="20">
        <f>IF(Customers!G482="","",(Customers!G482-Statistics!$C$7)/Statistics!$C$9)</f>
        <v>-5.7302263838075997E-2</v>
      </c>
      <c r="C482" s="4" t="str">
        <f>IF(Customers!G482="","",IF(OR(Customers!G482&lt;Statistics!$C$15,Customers!G482&gt;Statistics!$C$16),"Outside 1.5·IQR",""))</f>
        <v/>
      </c>
      <c r="D482" s="4" t="str">
        <f>IF(OR(Customers!B482&lt;18,Customers!B482&gt;100),"Implausible age","")</f>
        <v/>
      </c>
      <c r="E482" s="4" t="str">
        <f>IF(Customers!H482&gt;Customers!B482-18,"Tenure &gt; age-18","")</f>
        <v/>
      </c>
      <c r="F482" s="4" t="str">
        <f>IF(Customers!R482&gt;Customers!Q482,"Card spend &gt; limit","")</f>
        <v/>
      </c>
      <c r="G482" s="4" t="str">
        <f>IF(OR(AND(Customers!S482&gt;0,Customers!T482=0),AND(Customers!S482=0,Customers!T482&gt;0)),"Mortgage/payment inconsistent","")</f>
        <v/>
      </c>
      <c r="H482" s="4" t="str">
        <f>IF(AND(Customers!G482&lt;&gt;"",Customers!G482&gt;0,Customers!T482&gt;Customers!G482/12),"Payment &gt; monthly income","")</f>
        <v/>
      </c>
      <c r="I482" s="4" t="str">
        <f>IF(OR(Customers!I482&gt;DATE(2026,9,13),YEAR(Customers!I482)&lt;1980),"Implausible date","")</f>
        <v/>
      </c>
      <c r="J482" s="4" t="str">
        <f>IF(Customers!I482&gt;DATE(2026,9,13),"",IF(ABS(INT((DATE(2026,9,13)-Customers!I482)/365.25)-Customers!H482)&gt;1,"Date/tenure inconsistent",""))</f>
        <v/>
      </c>
      <c r="K482" s="4" t="str">
        <f>IF(COUNTIF(Customers!$A$2:$A$1001,Customers!A482)&gt;1,"Duplicate ID","")</f>
        <v/>
      </c>
      <c r="L482" s="4" t="str">
        <f>IF(COUNTIFS(Customers!$B$2:$B$1001,Customers!B482,Customers!$D$2:$D$1001,Customers!D482,Customers!$G$2:$G$1001,Customers!G482,Customers!$I$2:$I$1001,Customers!I482,Customers!$L$2:$L$1001,Customers!L482)&gt;1,"Duplicate record","")</f>
        <v/>
      </c>
      <c r="M482" s="4" t="str">
        <f>IF(OR(Customers!U482&lt;300,Customers!U482&gt;850),"Score out of range","")</f>
        <v/>
      </c>
      <c r="N482" s="4" t="str">
        <f>IF(AND(Customers!G482&lt;&gt;"",Customers!G482&lt;=0),"Income ≤ 0","")</f>
        <v/>
      </c>
      <c r="O482" s="4" t="str">
        <f>IF(OR(Customers!G482="",Customers!M482=""),"Missing value","")</f>
        <v/>
      </c>
      <c r="P482" s="4">
        <f t="shared" si="7"/>
        <v>0</v>
      </c>
    </row>
    <row r="483" spans="1:16" x14ac:dyDescent="0.25">
      <c r="A483" s="4" t="str">
        <f>Customers!A483</f>
        <v>CL00477</v>
      </c>
      <c r="B483" s="20">
        <f>IF(Customers!G483="","",(Customers!G483-Statistics!$C$7)/Statistics!$C$9)</f>
        <v>-8.661527070682731E-4</v>
      </c>
      <c r="C483" s="4" t="str">
        <f>IF(Customers!G483="","",IF(OR(Customers!G483&lt;Statistics!$C$15,Customers!G483&gt;Statistics!$C$16),"Outside 1.5·IQR",""))</f>
        <v/>
      </c>
      <c r="D483" s="4" t="str">
        <f>IF(OR(Customers!B483&lt;18,Customers!B483&gt;100),"Implausible age","")</f>
        <v/>
      </c>
      <c r="E483" s="4" t="str">
        <f>IF(Customers!H483&gt;Customers!B483-18,"Tenure &gt; age-18","")</f>
        <v/>
      </c>
      <c r="F483" s="4" t="str">
        <f>IF(Customers!R483&gt;Customers!Q483,"Card spend &gt; limit","")</f>
        <v/>
      </c>
      <c r="G483" s="4" t="str">
        <f>IF(OR(AND(Customers!S483&gt;0,Customers!T483=0),AND(Customers!S483=0,Customers!T483&gt;0)),"Mortgage/payment inconsistent","")</f>
        <v/>
      </c>
      <c r="H483" s="4" t="str">
        <f>IF(AND(Customers!G483&lt;&gt;"",Customers!G483&gt;0,Customers!T483&gt;Customers!G483/12),"Payment &gt; monthly income","")</f>
        <v/>
      </c>
      <c r="I483" s="4" t="str">
        <f>IF(OR(Customers!I483&gt;DATE(2026,9,13),YEAR(Customers!I483)&lt;1980),"Implausible date","")</f>
        <v/>
      </c>
      <c r="J483" s="4" t="str">
        <f>IF(Customers!I483&gt;DATE(2026,9,13),"",IF(ABS(INT((DATE(2026,9,13)-Customers!I483)/365.25)-Customers!H483)&gt;1,"Date/tenure inconsistent",""))</f>
        <v/>
      </c>
      <c r="K483" s="4" t="str">
        <f>IF(COUNTIF(Customers!$A$2:$A$1001,Customers!A483)&gt;1,"Duplicate ID","")</f>
        <v/>
      </c>
      <c r="L483" s="4" t="str">
        <f>IF(COUNTIFS(Customers!$B$2:$B$1001,Customers!B483,Customers!$D$2:$D$1001,Customers!D483,Customers!$G$2:$G$1001,Customers!G483,Customers!$I$2:$I$1001,Customers!I483,Customers!$L$2:$L$1001,Customers!L483)&gt;1,"Duplicate record","")</f>
        <v/>
      </c>
      <c r="M483" s="4" t="str">
        <f>IF(OR(Customers!U483&lt;300,Customers!U483&gt;850),"Score out of range","")</f>
        <v/>
      </c>
      <c r="N483" s="4" t="str">
        <f>IF(AND(Customers!G483&lt;&gt;"",Customers!G483&lt;=0),"Income ≤ 0","")</f>
        <v/>
      </c>
      <c r="O483" s="4" t="str">
        <f>IF(OR(Customers!G483="",Customers!M483=""),"Missing value","")</f>
        <v/>
      </c>
      <c r="P483" s="4">
        <f t="shared" si="7"/>
        <v>0</v>
      </c>
    </row>
    <row r="484" spans="1:16" x14ac:dyDescent="0.25">
      <c r="A484" s="4" t="str">
        <f>Customers!A484</f>
        <v>CL00478</v>
      </c>
      <c r="B484" s="20">
        <f>IF(Customers!G484="","",(Customers!G484-Statistics!$C$7)/Statistics!$C$9)</f>
        <v>3.1143857969332268E-2</v>
      </c>
      <c r="C484" s="4" t="str">
        <f>IF(Customers!G484="","",IF(OR(Customers!G484&lt;Statistics!$C$15,Customers!G484&gt;Statistics!$C$16),"Outside 1.5·IQR",""))</f>
        <v>Outside 1.5·IQR</v>
      </c>
      <c r="D484" s="4" t="str">
        <f>IF(OR(Customers!B484&lt;18,Customers!B484&gt;100),"Implausible age","")</f>
        <v/>
      </c>
      <c r="E484" s="4" t="str">
        <f>IF(Customers!H484&gt;Customers!B484-18,"Tenure &gt; age-18","")</f>
        <v/>
      </c>
      <c r="F484" s="4" t="str">
        <f>IF(Customers!R484&gt;Customers!Q484,"Card spend &gt; limit","")</f>
        <v/>
      </c>
      <c r="G484" s="4" t="str">
        <f>IF(OR(AND(Customers!S484&gt;0,Customers!T484=0),AND(Customers!S484=0,Customers!T484&gt;0)),"Mortgage/payment inconsistent","")</f>
        <v/>
      </c>
      <c r="H484" s="4" t="str">
        <f>IF(AND(Customers!G484&lt;&gt;"",Customers!G484&gt;0,Customers!T484&gt;Customers!G484/12),"Payment &gt; monthly income","")</f>
        <v/>
      </c>
      <c r="I484" s="4" t="str">
        <f>IF(OR(Customers!I484&gt;DATE(2026,9,13),YEAR(Customers!I484)&lt;1980),"Implausible date","")</f>
        <v/>
      </c>
      <c r="J484" s="4" t="str">
        <f>IF(Customers!I484&gt;DATE(2026,9,13),"",IF(ABS(INT((DATE(2026,9,13)-Customers!I484)/365.25)-Customers!H484)&gt;1,"Date/tenure inconsistent",""))</f>
        <v/>
      </c>
      <c r="K484" s="4" t="str">
        <f>IF(COUNTIF(Customers!$A$2:$A$1001,Customers!A484)&gt;1,"Duplicate ID","")</f>
        <v/>
      </c>
      <c r="L484" s="4" t="str">
        <f>IF(COUNTIFS(Customers!$B$2:$B$1001,Customers!B484,Customers!$D$2:$D$1001,Customers!D484,Customers!$G$2:$G$1001,Customers!G484,Customers!$I$2:$I$1001,Customers!I484,Customers!$L$2:$L$1001,Customers!L484)&gt;1,"Duplicate record","")</f>
        <v/>
      </c>
      <c r="M484" s="4" t="str">
        <f>IF(OR(Customers!U484&lt;300,Customers!U484&gt;850),"Score out of range","")</f>
        <v/>
      </c>
      <c r="N484" s="4" t="str">
        <f>IF(AND(Customers!G484&lt;&gt;"",Customers!G484&lt;=0),"Income ≤ 0","")</f>
        <v/>
      </c>
      <c r="O484" s="4" t="str">
        <f>IF(OR(Customers!G484="",Customers!M484=""),"Missing value","")</f>
        <v/>
      </c>
      <c r="P484" s="4">
        <f t="shared" si="7"/>
        <v>1</v>
      </c>
    </row>
    <row r="485" spans="1:16" x14ac:dyDescent="0.25">
      <c r="A485" s="4" t="str">
        <f>Customers!A485</f>
        <v>CL00479</v>
      </c>
      <c r="B485" s="20">
        <f>IF(Customers!G485="","",(Customers!G485-Statistics!$C$7)/Statistics!$C$9)</f>
        <v>-6.2423865546300084E-2</v>
      </c>
      <c r="C485" s="4" t="str">
        <f>IF(Customers!G485="","",IF(OR(Customers!G485&lt;Statistics!$C$15,Customers!G485&gt;Statistics!$C$16),"Outside 1.5·IQR",""))</f>
        <v/>
      </c>
      <c r="D485" s="4" t="str">
        <f>IF(OR(Customers!B485&lt;18,Customers!B485&gt;100),"Implausible age","")</f>
        <v/>
      </c>
      <c r="E485" s="4" t="str">
        <f>IF(Customers!H485&gt;Customers!B485-18,"Tenure &gt; age-18","")</f>
        <v/>
      </c>
      <c r="F485" s="4" t="str">
        <f>IF(Customers!R485&gt;Customers!Q485,"Card spend &gt; limit","")</f>
        <v/>
      </c>
      <c r="G485" s="4" t="str">
        <f>IF(OR(AND(Customers!S485&gt;0,Customers!T485=0),AND(Customers!S485=0,Customers!T485&gt;0)),"Mortgage/payment inconsistent","")</f>
        <v/>
      </c>
      <c r="H485" s="4" t="str">
        <f>IF(AND(Customers!G485&lt;&gt;"",Customers!G485&gt;0,Customers!T485&gt;Customers!G485/12),"Payment &gt; monthly income","")</f>
        <v/>
      </c>
      <c r="I485" s="4" t="str">
        <f>IF(OR(Customers!I485&gt;DATE(2026,9,13),YEAR(Customers!I485)&lt;1980),"Implausible date","")</f>
        <v/>
      </c>
      <c r="J485" s="4" t="str">
        <f>IF(Customers!I485&gt;DATE(2026,9,13),"",IF(ABS(INT((DATE(2026,9,13)-Customers!I485)/365.25)-Customers!H485)&gt;1,"Date/tenure inconsistent",""))</f>
        <v/>
      </c>
      <c r="K485" s="4" t="str">
        <f>IF(COUNTIF(Customers!$A$2:$A$1001,Customers!A485)&gt;1,"Duplicate ID","")</f>
        <v/>
      </c>
      <c r="L485" s="4" t="str">
        <f>IF(COUNTIFS(Customers!$B$2:$B$1001,Customers!B485,Customers!$D$2:$D$1001,Customers!D485,Customers!$G$2:$G$1001,Customers!G485,Customers!$I$2:$I$1001,Customers!I485,Customers!$L$2:$L$1001,Customers!L485)&gt;1,"Duplicate record","")</f>
        <v/>
      </c>
      <c r="M485" s="4" t="str">
        <f>IF(OR(Customers!U485&lt;300,Customers!U485&gt;850),"Score out of range","")</f>
        <v/>
      </c>
      <c r="N485" s="4" t="str">
        <f>IF(AND(Customers!G485&lt;&gt;"",Customers!G485&lt;=0),"Income ≤ 0","")</f>
        <v/>
      </c>
      <c r="O485" s="4" t="str">
        <f>IF(OR(Customers!G485="",Customers!M485=""),"Missing value","")</f>
        <v/>
      </c>
      <c r="P485" s="4">
        <f t="shared" si="7"/>
        <v>0</v>
      </c>
    </row>
    <row r="486" spans="1:16" x14ac:dyDescent="0.25">
      <c r="A486" s="4" t="str">
        <f>Customers!A486</f>
        <v>CL00480</v>
      </c>
      <c r="B486" s="20">
        <f>IF(Customers!G486="","",(Customers!G486-Statistics!$C$7)/Statistics!$C$9)</f>
        <v>-6.2423865546300084E-2</v>
      </c>
      <c r="C486" s="4" t="str">
        <f>IF(Customers!G486="","",IF(OR(Customers!G486&lt;Statistics!$C$15,Customers!G486&gt;Statistics!$C$16),"Outside 1.5·IQR",""))</f>
        <v/>
      </c>
      <c r="D486" s="4" t="str">
        <f>IF(OR(Customers!B486&lt;18,Customers!B486&gt;100),"Implausible age","")</f>
        <v/>
      </c>
      <c r="E486" s="4" t="str">
        <f>IF(Customers!H486&gt;Customers!B486-18,"Tenure &gt; age-18","")</f>
        <v/>
      </c>
      <c r="F486" s="4" t="str">
        <f>IF(Customers!R486&gt;Customers!Q486,"Card spend &gt; limit","")</f>
        <v/>
      </c>
      <c r="G486" s="4" t="str">
        <f>IF(OR(AND(Customers!S486&gt;0,Customers!T486=0),AND(Customers!S486=0,Customers!T486&gt;0)),"Mortgage/payment inconsistent","")</f>
        <v/>
      </c>
      <c r="H486" s="4" t="str">
        <f>IF(AND(Customers!G486&lt;&gt;"",Customers!G486&gt;0,Customers!T486&gt;Customers!G486/12),"Payment &gt; monthly income","")</f>
        <v/>
      </c>
      <c r="I486" s="4" t="str">
        <f>IF(OR(Customers!I486&gt;DATE(2026,9,13),YEAR(Customers!I486)&lt;1980),"Implausible date","")</f>
        <v/>
      </c>
      <c r="J486" s="4" t="str">
        <f>IF(Customers!I486&gt;DATE(2026,9,13),"",IF(ABS(INT((DATE(2026,9,13)-Customers!I486)/365.25)-Customers!H486)&gt;1,"Date/tenure inconsistent",""))</f>
        <v/>
      </c>
      <c r="K486" s="4" t="str">
        <f>IF(COUNTIF(Customers!$A$2:$A$1001,Customers!A486)&gt;1,"Duplicate ID","")</f>
        <v/>
      </c>
      <c r="L486" s="4" t="str">
        <f>IF(COUNTIFS(Customers!$B$2:$B$1001,Customers!B486,Customers!$D$2:$D$1001,Customers!D486,Customers!$G$2:$G$1001,Customers!G486,Customers!$I$2:$I$1001,Customers!I486,Customers!$L$2:$L$1001,Customers!L486)&gt;1,"Duplicate record","")</f>
        <v/>
      </c>
      <c r="M486" s="4" t="str">
        <f>IF(OR(Customers!U486&lt;300,Customers!U486&gt;850),"Score out of range","")</f>
        <v/>
      </c>
      <c r="N486" s="4" t="str">
        <f>IF(AND(Customers!G486&lt;&gt;"",Customers!G486&lt;=0),"Income ≤ 0","")</f>
        <v/>
      </c>
      <c r="O486" s="4" t="str">
        <f>IF(OR(Customers!G486="",Customers!M486=""),"Missing value","")</f>
        <v/>
      </c>
      <c r="P486" s="4">
        <f t="shared" si="7"/>
        <v>0</v>
      </c>
    </row>
    <row r="487" spans="1:16" x14ac:dyDescent="0.25">
      <c r="A487" s="4" t="str">
        <f>Customers!A487</f>
        <v>CL00481</v>
      </c>
      <c r="B487" s="20">
        <f>IF(Customers!G487="","",(Customers!G487-Statistics!$C$7)/Statistics!$C$9)</f>
        <v>-5.1589708086595285E-2</v>
      </c>
      <c r="C487" s="4" t="str">
        <f>IF(Customers!G487="","",IF(OR(Customers!G487&lt;Statistics!$C$15,Customers!G487&gt;Statistics!$C$16),"Outside 1.5·IQR",""))</f>
        <v/>
      </c>
      <c r="D487" s="4" t="str">
        <f>IF(OR(Customers!B487&lt;18,Customers!B487&gt;100),"Implausible age","")</f>
        <v/>
      </c>
      <c r="E487" s="4" t="str">
        <f>IF(Customers!H487&gt;Customers!B487-18,"Tenure &gt; age-18","")</f>
        <v/>
      </c>
      <c r="F487" s="4" t="str">
        <f>IF(Customers!R487&gt;Customers!Q487,"Card spend &gt; limit","")</f>
        <v/>
      </c>
      <c r="G487" s="4" t="str">
        <f>IF(OR(AND(Customers!S487&gt;0,Customers!T487=0),AND(Customers!S487=0,Customers!T487&gt;0)),"Mortgage/payment inconsistent","")</f>
        <v/>
      </c>
      <c r="H487" s="4" t="str">
        <f>IF(AND(Customers!G487&lt;&gt;"",Customers!G487&gt;0,Customers!T487&gt;Customers!G487/12),"Payment &gt; monthly income","")</f>
        <v/>
      </c>
      <c r="I487" s="4" t="str">
        <f>IF(OR(Customers!I487&gt;DATE(2026,9,13),YEAR(Customers!I487)&lt;1980),"Implausible date","")</f>
        <v/>
      </c>
      <c r="J487" s="4" t="str">
        <f>IF(Customers!I487&gt;DATE(2026,9,13),"",IF(ABS(INT((DATE(2026,9,13)-Customers!I487)/365.25)-Customers!H487)&gt;1,"Date/tenure inconsistent",""))</f>
        <v/>
      </c>
      <c r="K487" s="4" t="str">
        <f>IF(COUNTIF(Customers!$A$2:$A$1001,Customers!A487)&gt;1,"Duplicate ID","")</f>
        <v/>
      </c>
      <c r="L487" s="4" t="str">
        <f>IF(COUNTIFS(Customers!$B$2:$B$1001,Customers!B487,Customers!$D$2:$D$1001,Customers!D487,Customers!$G$2:$G$1001,Customers!G487,Customers!$I$2:$I$1001,Customers!I487,Customers!$L$2:$L$1001,Customers!L487)&gt;1,"Duplicate record","")</f>
        <v/>
      </c>
      <c r="M487" s="4" t="str">
        <f>IF(OR(Customers!U487&lt;300,Customers!U487&gt;850),"Score out of range","")</f>
        <v/>
      </c>
      <c r="N487" s="4" t="str">
        <f>IF(AND(Customers!G487&lt;&gt;"",Customers!G487&lt;=0),"Income ≤ 0","")</f>
        <v/>
      </c>
      <c r="O487" s="4" t="str">
        <f>IF(OR(Customers!G487="",Customers!M487=""),"Missing value","")</f>
        <v/>
      </c>
      <c r="P487" s="4">
        <f t="shared" si="7"/>
        <v>0</v>
      </c>
    </row>
    <row r="488" spans="1:16" x14ac:dyDescent="0.25">
      <c r="A488" s="4" t="str">
        <f>Customers!A488</f>
        <v>CL00482</v>
      </c>
      <c r="B488" s="20">
        <f>IF(Customers!G488="","",(Customers!G488-Statistics!$C$7)/Statistics!$C$9)</f>
        <v>-6.7939436616695256E-2</v>
      </c>
      <c r="C488" s="4" t="str">
        <f>IF(Customers!G488="","",IF(OR(Customers!G488&lt;Statistics!$C$15,Customers!G488&gt;Statistics!$C$16),"Outside 1.5·IQR",""))</f>
        <v/>
      </c>
      <c r="D488" s="4" t="str">
        <f>IF(OR(Customers!B488&lt;18,Customers!B488&gt;100),"Implausible age","")</f>
        <v/>
      </c>
      <c r="E488" s="4" t="str">
        <f>IF(Customers!H488&gt;Customers!B488-18,"Tenure &gt; age-18","")</f>
        <v/>
      </c>
      <c r="F488" s="4" t="str">
        <f>IF(Customers!R488&gt;Customers!Q488,"Card spend &gt; limit","")</f>
        <v/>
      </c>
      <c r="G488" s="4" t="str">
        <f>IF(OR(AND(Customers!S488&gt;0,Customers!T488=0),AND(Customers!S488=0,Customers!T488&gt;0)),"Mortgage/payment inconsistent","")</f>
        <v/>
      </c>
      <c r="H488" s="4" t="str">
        <f>IF(AND(Customers!G488&lt;&gt;"",Customers!G488&gt;0,Customers!T488&gt;Customers!G488/12),"Payment &gt; monthly income","")</f>
        <v/>
      </c>
      <c r="I488" s="4" t="str">
        <f>IF(OR(Customers!I488&gt;DATE(2026,9,13),YEAR(Customers!I488)&lt;1980),"Implausible date","")</f>
        <v/>
      </c>
      <c r="J488" s="4" t="str">
        <f>IF(Customers!I488&gt;DATE(2026,9,13),"",IF(ABS(INT((DATE(2026,9,13)-Customers!I488)/365.25)-Customers!H488)&gt;1,"Date/tenure inconsistent",""))</f>
        <v/>
      </c>
      <c r="K488" s="4" t="str">
        <f>IF(COUNTIF(Customers!$A$2:$A$1001,Customers!A488)&gt;1,"Duplicate ID","")</f>
        <v/>
      </c>
      <c r="L488" s="4" t="str">
        <f>IF(COUNTIFS(Customers!$B$2:$B$1001,Customers!B488,Customers!$D$2:$D$1001,Customers!D488,Customers!$G$2:$G$1001,Customers!G488,Customers!$I$2:$I$1001,Customers!I488,Customers!$L$2:$L$1001,Customers!L488)&gt;1,"Duplicate record","")</f>
        <v/>
      </c>
      <c r="M488" s="4" t="str">
        <f>IF(OR(Customers!U488&lt;300,Customers!U488&gt;850),"Score out of range","")</f>
        <v/>
      </c>
      <c r="N488" s="4" t="str">
        <f>IF(AND(Customers!G488&lt;&gt;"",Customers!G488&lt;=0),"Income ≤ 0","")</f>
        <v/>
      </c>
      <c r="O488" s="4" t="str">
        <f>IF(OR(Customers!G488="",Customers!M488=""),"Missing value","")</f>
        <v/>
      </c>
      <c r="P488" s="4">
        <f t="shared" si="7"/>
        <v>0</v>
      </c>
    </row>
    <row r="489" spans="1:16" x14ac:dyDescent="0.25">
      <c r="A489" s="4" t="str">
        <f>Customers!A489</f>
        <v>CL00483</v>
      </c>
      <c r="B489" s="20">
        <f>IF(Customers!G489="","",(Customers!G489-Statistics!$C$7)/Statistics!$C$9)</f>
        <v>-2.8444008059044124E-2</v>
      </c>
      <c r="C489" s="4" t="str">
        <f>IF(Customers!G489="","",IF(OR(Customers!G489&lt;Statistics!$C$15,Customers!G489&gt;Statistics!$C$16),"Outside 1.5·IQR",""))</f>
        <v/>
      </c>
      <c r="D489" s="4" t="str">
        <f>IF(OR(Customers!B489&lt;18,Customers!B489&gt;100),"Implausible age","")</f>
        <v/>
      </c>
      <c r="E489" s="4" t="str">
        <f>IF(Customers!H489&gt;Customers!B489-18,"Tenure &gt; age-18","")</f>
        <v/>
      </c>
      <c r="F489" s="4" t="str">
        <f>IF(Customers!R489&gt;Customers!Q489,"Card spend &gt; limit","")</f>
        <v/>
      </c>
      <c r="G489" s="4" t="str">
        <f>IF(OR(AND(Customers!S489&gt;0,Customers!T489=0),AND(Customers!S489=0,Customers!T489&gt;0)),"Mortgage/payment inconsistent","")</f>
        <v/>
      </c>
      <c r="H489" s="4" t="str">
        <f>IF(AND(Customers!G489&lt;&gt;"",Customers!G489&gt;0,Customers!T489&gt;Customers!G489/12),"Payment &gt; monthly income","")</f>
        <v/>
      </c>
      <c r="I489" s="4" t="str">
        <f>IF(OR(Customers!I489&gt;DATE(2026,9,13),YEAR(Customers!I489)&lt;1980),"Implausible date","")</f>
        <v/>
      </c>
      <c r="J489" s="4" t="str">
        <f>IF(Customers!I489&gt;DATE(2026,9,13),"",IF(ABS(INT((DATE(2026,9,13)-Customers!I489)/365.25)-Customers!H489)&gt;1,"Date/tenure inconsistent",""))</f>
        <v/>
      </c>
      <c r="K489" s="4" t="str">
        <f>IF(COUNTIF(Customers!$A$2:$A$1001,Customers!A489)&gt;1,"Duplicate ID","")</f>
        <v/>
      </c>
      <c r="L489" s="4" t="str">
        <f>IF(COUNTIFS(Customers!$B$2:$B$1001,Customers!B489,Customers!$D$2:$D$1001,Customers!D489,Customers!$G$2:$G$1001,Customers!G489,Customers!$I$2:$I$1001,Customers!I489,Customers!$L$2:$L$1001,Customers!L489)&gt;1,"Duplicate record","")</f>
        <v/>
      </c>
      <c r="M489" s="4" t="str">
        <f>IF(OR(Customers!U489&lt;300,Customers!U489&gt;850),"Score out of range","")</f>
        <v/>
      </c>
      <c r="N489" s="4" t="str">
        <f>IF(AND(Customers!G489&lt;&gt;"",Customers!G489&lt;=0),"Income ≤ 0","")</f>
        <v/>
      </c>
      <c r="O489" s="4" t="str">
        <f>IF(OR(Customers!G489="",Customers!M489=""),"Missing value","")</f>
        <v/>
      </c>
      <c r="P489" s="4">
        <f t="shared" si="7"/>
        <v>0</v>
      </c>
    </row>
    <row r="490" spans="1:16" x14ac:dyDescent="0.25">
      <c r="A490" s="4" t="str">
        <f>Customers!A490</f>
        <v>CL00484</v>
      </c>
      <c r="B490" s="20">
        <f>IF(Customers!G490="","",(Customers!G490-Statistics!$C$7)/Statistics!$C$9)</f>
        <v>-2.6671145929274248E-2</v>
      </c>
      <c r="C490" s="4" t="str">
        <f>IF(Customers!G490="","",IF(OR(Customers!G490&lt;Statistics!$C$15,Customers!G490&gt;Statistics!$C$16),"Outside 1.5·IQR",""))</f>
        <v/>
      </c>
      <c r="D490" s="4" t="str">
        <f>IF(OR(Customers!B490&lt;18,Customers!B490&gt;100),"Implausible age","")</f>
        <v/>
      </c>
      <c r="E490" s="4" t="str">
        <f>IF(Customers!H490&gt;Customers!B490-18,"Tenure &gt; age-18","")</f>
        <v/>
      </c>
      <c r="F490" s="4" t="str">
        <f>IF(Customers!R490&gt;Customers!Q490,"Card spend &gt; limit","")</f>
        <v/>
      </c>
      <c r="G490" s="4" t="str">
        <f>IF(OR(AND(Customers!S490&gt;0,Customers!T490=0),AND(Customers!S490=0,Customers!T490&gt;0)),"Mortgage/payment inconsistent","")</f>
        <v/>
      </c>
      <c r="H490" s="4" t="str">
        <f>IF(AND(Customers!G490&lt;&gt;"",Customers!G490&gt;0,Customers!T490&gt;Customers!G490/12),"Payment &gt; monthly income","")</f>
        <v/>
      </c>
      <c r="I490" s="4" t="str">
        <f>IF(OR(Customers!I490&gt;DATE(2026,9,13),YEAR(Customers!I490)&lt;1980),"Implausible date","")</f>
        <v/>
      </c>
      <c r="J490" s="4" t="str">
        <f>IF(Customers!I490&gt;DATE(2026,9,13),"",IF(ABS(INT((DATE(2026,9,13)-Customers!I490)/365.25)-Customers!H490)&gt;1,"Date/tenure inconsistent",""))</f>
        <v/>
      </c>
      <c r="K490" s="4" t="str">
        <f>IF(COUNTIF(Customers!$A$2:$A$1001,Customers!A490)&gt;1,"Duplicate ID","")</f>
        <v/>
      </c>
      <c r="L490" s="4" t="str">
        <f>IF(COUNTIFS(Customers!$B$2:$B$1001,Customers!B490,Customers!$D$2:$D$1001,Customers!D490,Customers!$G$2:$G$1001,Customers!G490,Customers!$I$2:$I$1001,Customers!I490,Customers!$L$2:$L$1001,Customers!L490)&gt;1,"Duplicate record","")</f>
        <v/>
      </c>
      <c r="M490" s="4" t="str">
        <f>IF(OR(Customers!U490&lt;300,Customers!U490&gt;850),"Score out of range","")</f>
        <v/>
      </c>
      <c r="N490" s="4" t="str">
        <f>IF(AND(Customers!G490&lt;&gt;"",Customers!G490&lt;=0),"Income ≤ 0","")</f>
        <v/>
      </c>
      <c r="O490" s="4" t="str">
        <f>IF(OR(Customers!G490="",Customers!M490=""),"Missing value","")</f>
        <v/>
      </c>
      <c r="P490" s="4">
        <f t="shared" si="7"/>
        <v>0</v>
      </c>
    </row>
    <row r="491" spans="1:16" x14ac:dyDescent="0.25">
      <c r="A491" s="4" t="str">
        <f>Customers!A491</f>
        <v>CL00485</v>
      </c>
      <c r="B491" s="20">
        <f>IF(Customers!G491="","",(Customers!G491-Statistics!$C$7)/Statistics!$C$9)</f>
        <v>-4.8930414891940471E-2</v>
      </c>
      <c r="C491" s="4" t="str">
        <f>IF(Customers!G491="","",IF(OR(Customers!G491&lt;Statistics!$C$15,Customers!G491&gt;Statistics!$C$16),"Outside 1.5·IQR",""))</f>
        <v/>
      </c>
      <c r="D491" s="4" t="str">
        <f>IF(OR(Customers!B491&lt;18,Customers!B491&gt;100),"Implausible age","")</f>
        <v/>
      </c>
      <c r="E491" s="4" t="str">
        <f>IF(Customers!H491&gt;Customers!B491-18,"Tenure &gt; age-18","")</f>
        <v/>
      </c>
      <c r="F491" s="4" t="str">
        <f>IF(Customers!R491&gt;Customers!Q491,"Card spend &gt; limit","")</f>
        <v/>
      </c>
      <c r="G491" s="4" t="str">
        <f>IF(OR(AND(Customers!S491&gt;0,Customers!T491=0),AND(Customers!S491=0,Customers!T491&gt;0)),"Mortgage/payment inconsistent","")</f>
        <v/>
      </c>
      <c r="H491" s="4" t="str">
        <f>IF(AND(Customers!G491&lt;&gt;"",Customers!G491&gt;0,Customers!T491&gt;Customers!G491/12),"Payment &gt; monthly income","")</f>
        <v/>
      </c>
      <c r="I491" s="4" t="str">
        <f>IF(OR(Customers!I491&gt;DATE(2026,9,13),YEAR(Customers!I491)&lt;1980),"Implausible date","")</f>
        <v/>
      </c>
      <c r="J491" s="4" t="str">
        <f>IF(Customers!I491&gt;DATE(2026,9,13),"",IF(ABS(INT((DATE(2026,9,13)-Customers!I491)/365.25)-Customers!H491)&gt;1,"Date/tenure inconsistent",""))</f>
        <v/>
      </c>
      <c r="K491" s="4" t="str">
        <f>IF(COUNTIF(Customers!$A$2:$A$1001,Customers!A491)&gt;1,"Duplicate ID","")</f>
        <v/>
      </c>
      <c r="L491" s="4" t="str">
        <f>IF(COUNTIFS(Customers!$B$2:$B$1001,Customers!B491,Customers!$D$2:$D$1001,Customers!D491,Customers!$G$2:$G$1001,Customers!G491,Customers!$I$2:$I$1001,Customers!I491,Customers!$L$2:$L$1001,Customers!L491)&gt;1,"Duplicate record","")</f>
        <v/>
      </c>
      <c r="M491" s="4" t="str">
        <f>IF(OR(Customers!U491&lt;300,Customers!U491&gt;850),"Score out of range","")</f>
        <v/>
      </c>
      <c r="N491" s="4" t="str">
        <f>IF(AND(Customers!G491&lt;&gt;"",Customers!G491&lt;=0),"Income ≤ 0","")</f>
        <v/>
      </c>
      <c r="O491" s="4" t="str">
        <f>IF(OR(Customers!G491="",Customers!M491=""),"Missing value","")</f>
        <v/>
      </c>
      <c r="P491" s="4">
        <f t="shared" si="7"/>
        <v>0</v>
      </c>
    </row>
    <row r="492" spans="1:16" x14ac:dyDescent="0.25">
      <c r="A492" s="4" t="str">
        <f>Customers!A492</f>
        <v>CL00486</v>
      </c>
      <c r="B492" s="20">
        <f>IF(Customers!G492="","",(Customers!G492-Statistics!$C$7)/Statistics!$C$9)</f>
        <v>8.649655335436951E-2</v>
      </c>
      <c r="C492" s="4" t="str">
        <f>IF(Customers!G492="","",IF(OR(Customers!G492&lt;Statistics!$C$15,Customers!G492&gt;Statistics!$C$16),"Outside 1.5·IQR",""))</f>
        <v>Outside 1.5·IQR</v>
      </c>
      <c r="D492" s="4" t="str">
        <f>IF(OR(Customers!B492&lt;18,Customers!B492&gt;100),"Implausible age","")</f>
        <v/>
      </c>
      <c r="E492" s="4" t="str">
        <f>IF(Customers!H492&gt;Customers!B492-18,"Tenure &gt; age-18","")</f>
        <v/>
      </c>
      <c r="F492" s="4" t="str">
        <f>IF(Customers!R492&gt;Customers!Q492,"Card spend &gt; limit","")</f>
        <v/>
      </c>
      <c r="G492" s="4" t="str">
        <f>IF(OR(AND(Customers!S492&gt;0,Customers!T492=0),AND(Customers!S492=0,Customers!T492&gt;0)),"Mortgage/payment inconsistent","")</f>
        <v/>
      </c>
      <c r="H492" s="4" t="str">
        <f>IF(AND(Customers!G492&lt;&gt;"",Customers!G492&gt;0,Customers!T492&gt;Customers!G492/12),"Payment &gt; monthly income","")</f>
        <v/>
      </c>
      <c r="I492" s="4" t="str">
        <f>IF(OR(Customers!I492&gt;DATE(2026,9,13),YEAR(Customers!I492)&lt;1980),"Implausible date","")</f>
        <v/>
      </c>
      <c r="J492" s="4" t="str">
        <f>IF(Customers!I492&gt;DATE(2026,9,13),"",IF(ABS(INT((DATE(2026,9,13)-Customers!I492)/365.25)-Customers!H492)&gt;1,"Date/tenure inconsistent",""))</f>
        <v/>
      </c>
      <c r="K492" s="4" t="str">
        <f>IF(COUNTIF(Customers!$A$2:$A$1001,Customers!A492)&gt;1,"Duplicate ID","")</f>
        <v/>
      </c>
      <c r="L492" s="4" t="str">
        <f>IF(COUNTIFS(Customers!$B$2:$B$1001,Customers!B492,Customers!$D$2:$D$1001,Customers!D492,Customers!$G$2:$G$1001,Customers!G492,Customers!$I$2:$I$1001,Customers!I492,Customers!$L$2:$L$1001,Customers!L492)&gt;1,"Duplicate record","")</f>
        <v/>
      </c>
      <c r="M492" s="4" t="str">
        <f>IF(OR(Customers!U492&lt;300,Customers!U492&gt;850),"Score out of range","")</f>
        <v/>
      </c>
      <c r="N492" s="4" t="str">
        <f>IF(AND(Customers!G492&lt;&gt;"",Customers!G492&lt;=0),"Income ≤ 0","")</f>
        <v/>
      </c>
      <c r="O492" s="4" t="str">
        <f>IF(OR(Customers!G492="",Customers!M492=""),"Missing value","")</f>
        <v/>
      </c>
      <c r="P492" s="4">
        <f t="shared" si="7"/>
        <v>1</v>
      </c>
    </row>
    <row r="493" spans="1:16" x14ac:dyDescent="0.25">
      <c r="A493" s="4" t="str">
        <f>Customers!A493</f>
        <v>CL00487</v>
      </c>
      <c r="B493" s="20">
        <f>IF(Customers!G493="","",(Customers!G493-Statistics!$C$7)/Statistics!$C$9)</f>
        <v>-3.4452040832153148E-2</v>
      </c>
      <c r="C493" s="4" t="str">
        <f>IF(Customers!G493="","",IF(OR(Customers!G493&lt;Statistics!$C$15,Customers!G493&gt;Statistics!$C$16),"Outside 1.5·IQR",""))</f>
        <v/>
      </c>
      <c r="D493" s="4" t="str">
        <f>IF(OR(Customers!B493&lt;18,Customers!B493&gt;100),"Implausible age","")</f>
        <v/>
      </c>
      <c r="E493" s="4" t="str">
        <f>IF(Customers!H493&gt;Customers!B493-18,"Tenure &gt; age-18","")</f>
        <v/>
      </c>
      <c r="F493" s="4" t="str">
        <f>IF(Customers!R493&gt;Customers!Q493,"Card spend &gt; limit","")</f>
        <v/>
      </c>
      <c r="G493" s="4" t="str">
        <f>IF(OR(AND(Customers!S493&gt;0,Customers!T493=0),AND(Customers!S493=0,Customers!T493&gt;0)),"Mortgage/payment inconsistent","")</f>
        <v/>
      </c>
      <c r="H493" s="4" t="str">
        <f>IF(AND(Customers!G493&lt;&gt;"",Customers!G493&gt;0,Customers!T493&gt;Customers!G493/12),"Payment &gt; monthly income","")</f>
        <v/>
      </c>
      <c r="I493" s="4" t="str">
        <f>IF(OR(Customers!I493&gt;DATE(2026,9,13),YEAR(Customers!I493)&lt;1980),"Implausible date","")</f>
        <v/>
      </c>
      <c r="J493" s="4" t="str">
        <f>IF(Customers!I493&gt;DATE(2026,9,13),"",IF(ABS(INT((DATE(2026,9,13)-Customers!I493)/365.25)-Customers!H493)&gt;1,"Date/tenure inconsistent",""))</f>
        <v/>
      </c>
      <c r="K493" s="4" t="str">
        <f>IF(COUNTIF(Customers!$A$2:$A$1001,Customers!A493)&gt;1,"Duplicate ID","")</f>
        <v/>
      </c>
      <c r="L493" s="4" t="str">
        <f>IF(COUNTIFS(Customers!$B$2:$B$1001,Customers!B493,Customers!$D$2:$D$1001,Customers!D493,Customers!$G$2:$G$1001,Customers!G493,Customers!$I$2:$I$1001,Customers!I493,Customers!$L$2:$L$1001,Customers!L493)&gt;1,"Duplicate record","")</f>
        <v/>
      </c>
      <c r="M493" s="4" t="str">
        <f>IF(OR(Customers!U493&lt;300,Customers!U493&gt;850),"Score out of range","")</f>
        <v/>
      </c>
      <c r="N493" s="4" t="str">
        <f>IF(AND(Customers!G493&lt;&gt;"",Customers!G493&lt;=0),"Income ≤ 0","")</f>
        <v/>
      </c>
      <c r="O493" s="4" t="str">
        <f>IF(OR(Customers!G493="",Customers!M493=""),"Missing value","")</f>
        <v/>
      </c>
      <c r="P493" s="4">
        <f t="shared" si="7"/>
        <v>0</v>
      </c>
    </row>
    <row r="494" spans="1:16" x14ac:dyDescent="0.25">
      <c r="A494" s="4" t="str">
        <f>Customers!A494</f>
        <v>CL00488</v>
      </c>
      <c r="B494" s="20">
        <f>IF(Customers!G494="","",(Customers!G494-Statistics!$C$7)/Statistics!$C$9)</f>
        <v>-4.4005797864801924E-2</v>
      </c>
      <c r="C494" s="4" t="str">
        <f>IF(Customers!G494="","",IF(OR(Customers!G494&lt;Statistics!$C$15,Customers!G494&gt;Statistics!$C$16),"Outside 1.5·IQR",""))</f>
        <v/>
      </c>
      <c r="D494" s="4" t="str">
        <f>IF(OR(Customers!B494&lt;18,Customers!B494&gt;100),"Implausible age","")</f>
        <v/>
      </c>
      <c r="E494" s="4" t="str">
        <f>IF(Customers!H494&gt;Customers!B494-18,"Tenure &gt; age-18","")</f>
        <v/>
      </c>
      <c r="F494" s="4" t="str">
        <f>IF(Customers!R494&gt;Customers!Q494,"Card spend &gt; limit","")</f>
        <v/>
      </c>
      <c r="G494" s="4" t="str">
        <f>IF(OR(AND(Customers!S494&gt;0,Customers!T494=0),AND(Customers!S494=0,Customers!T494&gt;0)),"Mortgage/payment inconsistent","")</f>
        <v/>
      </c>
      <c r="H494" s="4" t="str">
        <f>IF(AND(Customers!G494&lt;&gt;"",Customers!G494&gt;0,Customers!T494&gt;Customers!G494/12),"Payment &gt; monthly income","")</f>
        <v/>
      </c>
      <c r="I494" s="4" t="str">
        <f>IF(OR(Customers!I494&gt;DATE(2026,9,13),YEAR(Customers!I494)&lt;1980),"Implausible date","")</f>
        <v/>
      </c>
      <c r="J494" s="4" t="str">
        <f>IF(Customers!I494&gt;DATE(2026,9,13),"",IF(ABS(INT((DATE(2026,9,13)-Customers!I494)/365.25)-Customers!H494)&gt;1,"Date/tenure inconsistent",""))</f>
        <v/>
      </c>
      <c r="K494" s="4" t="str">
        <f>IF(COUNTIF(Customers!$A$2:$A$1001,Customers!A494)&gt;1,"Duplicate ID","")</f>
        <v/>
      </c>
      <c r="L494" s="4" t="str">
        <f>IF(COUNTIFS(Customers!$B$2:$B$1001,Customers!B494,Customers!$D$2:$D$1001,Customers!D494,Customers!$G$2:$G$1001,Customers!G494,Customers!$I$2:$I$1001,Customers!I494,Customers!$L$2:$L$1001,Customers!L494)&gt;1,"Duplicate record","")</f>
        <v/>
      </c>
      <c r="M494" s="4" t="str">
        <f>IF(OR(Customers!U494&lt;300,Customers!U494&gt;850),"Score out of range","")</f>
        <v/>
      </c>
      <c r="N494" s="4" t="str">
        <f>IF(AND(Customers!G494&lt;&gt;"",Customers!G494&lt;=0),"Income ≤ 0","")</f>
        <v/>
      </c>
      <c r="O494" s="4" t="str">
        <f>IF(OR(Customers!G494="",Customers!M494=""),"Missing value","")</f>
        <v/>
      </c>
      <c r="P494" s="4">
        <f t="shared" si="7"/>
        <v>0</v>
      </c>
    </row>
    <row r="495" spans="1:16" x14ac:dyDescent="0.25">
      <c r="A495" s="4" t="str">
        <f>Customers!A495</f>
        <v>CL00489</v>
      </c>
      <c r="B495" s="20">
        <f>IF(Customers!G495="","",(Customers!G495-Statistics!$C$7)/Statistics!$C$9)</f>
        <v>-5.0112322978453722E-2</v>
      </c>
      <c r="C495" s="4" t="str">
        <f>IF(Customers!G495="","",IF(OR(Customers!G495&lt;Statistics!$C$15,Customers!G495&gt;Statistics!$C$16),"Outside 1.5·IQR",""))</f>
        <v/>
      </c>
      <c r="D495" s="4" t="str">
        <f>IF(OR(Customers!B495&lt;18,Customers!B495&gt;100),"Implausible age","")</f>
        <v/>
      </c>
      <c r="E495" s="4" t="str">
        <f>IF(Customers!H495&gt;Customers!B495-18,"Tenure &gt; age-18","")</f>
        <v/>
      </c>
      <c r="F495" s="4" t="str">
        <f>IF(Customers!R495&gt;Customers!Q495,"Card spend &gt; limit","")</f>
        <v/>
      </c>
      <c r="G495" s="4" t="str">
        <f>IF(OR(AND(Customers!S495&gt;0,Customers!T495=0),AND(Customers!S495=0,Customers!T495&gt;0)),"Mortgage/payment inconsistent","")</f>
        <v/>
      </c>
      <c r="H495" s="4" t="str">
        <f>IF(AND(Customers!G495&lt;&gt;"",Customers!G495&gt;0,Customers!T495&gt;Customers!G495/12),"Payment &gt; monthly income","")</f>
        <v/>
      </c>
      <c r="I495" s="4" t="str">
        <f>IF(OR(Customers!I495&gt;DATE(2026,9,13),YEAR(Customers!I495)&lt;1980),"Implausible date","")</f>
        <v/>
      </c>
      <c r="J495" s="4" t="str">
        <f>IF(Customers!I495&gt;DATE(2026,9,13),"",IF(ABS(INT((DATE(2026,9,13)-Customers!I495)/365.25)-Customers!H495)&gt;1,"Date/tenure inconsistent",""))</f>
        <v/>
      </c>
      <c r="K495" s="4" t="str">
        <f>IF(COUNTIF(Customers!$A$2:$A$1001,Customers!A495)&gt;1,"Duplicate ID","")</f>
        <v/>
      </c>
      <c r="L495" s="4" t="str">
        <f>IF(COUNTIFS(Customers!$B$2:$B$1001,Customers!B495,Customers!$D$2:$D$1001,Customers!D495,Customers!$G$2:$G$1001,Customers!G495,Customers!$I$2:$I$1001,Customers!I495,Customers!$L$2:$L$1001,Customers!L495)&gt;1,"Duplicate record","")</f>
        <v/>
      </c>
      <c r="M495" s="4" t="str">
        <f>IF(OR(Customers!U495&lt;300,Customers!U495&gt;850),"Score out of range","")</f>
        <v/>
      </c>
      <c r="N495" s="4" t="str">
        <f>IF(AND(Customers!G495&lt;&gt;"",Customers!G495&lt;=0),"Income ≤ 0","")</f>
        <v/>
      </c>
      <c r="O495" s="4" t="str">
        <f>IF(OR(Customers!G495="",Customers!M495=""),"Missing value","")</f>
        <v/>
      </c>
      <c r="P495" s="4">
        <f t="shared" si="7"/>
        <v>0</v>
      </c>
    </row>
    <row r="496" spans="1:16" x14ac:dyDescent="0.25">
      <c r="A496" s="4" t="str">
        <f>Customers!A496</f>
        <v>CL00490</v>
      </c>
      <c r="B496" s="20">
        <f>IF(Customers!G496="","",(Customers!G496-Statistics!$C$7)/Statistics!$C$9)</f>
        <v>-2.6080191886017623E-2</v>
      </c>
      <c r="C496" s="4" t="str">
        <f>IF(Customers!G496="","",IF(OR(Customers!G496&lt;Statistics!$C$15,Customers!G496&gt;Statistics!$C$16),"Outside 1.5·IQR",""))</f>
        <v/>
      </c>
      <c r="D496" s="4" t="str">
        <f>IF(OR(Customers!B496&lt;18,Customers!B496&gt;100),"Implausible age","")</f>
        <v/>
      </c>
      <c r="E496" s="4" t="str">
        <f>IF(Customers!H496&gt;Customers!B496-18,"Tenure &gt; age-18","")</f>
        <v/>
      </c>
      <c r="F496" s="4" t="str">
        <f>IF(Customers!R496&gt;Customers!Q496,"Card spend &gt; limit","")</f>
        <v/>
      </c>
      <c r="G496" s="4" t="str">
        <f>IF(OR(AND(Customers!S496&gt;0,Customers!T496=0),AND(Customers!S496=0,Customers!T496&gt;0)),"Mortgage/payment inconsistent","")</f>
        <v/>
      </c>
      <c r="H496" s="4" t="str">
        <f>IF(AND(Customers!G496&lt;&gt;"",Customers!G496&gt;0,Customers!T496&gt;Customers!G496/12),"Payment &gt; monthly income","")</f>
        <v/>
      </c>
      <c r="I496" s="4" t="str">
        <f>IF(OR(Customers!I496&gt;DATE(2026,9,13),YEAR(Customers!I496)&lt;1980),"Implausible date","")</f>
        <v/>
      </c>
      <c r="J496" s="4" t="str">
        <f>IF(Customers!I496&gt;DATE(2026,9,13),"",IF(ABS(INT((DATE(2026,9,13)-Customers!I496)/365.25)-Customers!H496)&gt;1,"Date/tenure inconsistent",""))</f>
        <v/>
      </c>
      <c r="K496" s="4" t="str">
        <f>IF(COUNTIF(Customers!$A$2:$A$1001,Customers!A496)&gt;1,"Duplicate ID","")</f>
        <v/>
      </c>
      <c r="L496" s="4" t="str">
        <f>IF(COUNTIFS(Customers!$B$2:$B$1001,Customers!B496,Customers!$D$2:$D$1001,Customers!D496,Customers!$G$2:$G$1001,Customers!G496,Customers!$I$2:$I$1001,Customers!I496,Customers!$L$2:$L$1001,Customers!L496)&gt;1,"Duplicate record","")</f>
        <v/>
      </c>
      <c r="M496" s="4" t="str">
        <f>IF(OR(Customers!U496&lt;300,Customers!U496&gt;850),"Score out of range","")</f>
        <v/>
      </c>
      <c r="N496" s="4" t="str">
        <f>IF(AND(Customers!G496&lt;&gt;"",Customers!G496&lt;=0),"Income ≤ 0","")</f>
        <v/>
      </c>
      <c r="O496" s="4" t="str">
        <f>IF(OR(Customers!G496="",Customers!M496=""),"Missing value","")</f>
        <v/>
      </c>
      <c r="P496" s="4">
        <f t="shared" si="7"/>
        <v>0</v>
      </c>
    </row>
    <row r="497" spans="1:16" x14ac:dyDescent="0.25">
      <c r="A497" s="4" t="str">
        <f>Customers!A497</f>
        <v>CL00491</v>
      </c>
      <c r="B497" s="20">
        <f>IF(Customers!G497="","",(Customers!G497-Statistics!$C$7)/Statistics!$C$9)</f>
        <v>-6.380275831389888E-2</v>
      </c>
      <c r="C497" s="4" t="str">
        <f>IF(Customers!G497="","",IF(OR(Customers!G497&lt;Statistics!$C$15,Customers!G497&gt;Statistics!$C$16),"Outside 1.5·IQR",""))</f>
        <v/>
      </c>
      <c r="D497" s="4" t="str">
        <f>IF(OR(Customers!B497&lt;18,Customers!B497&gt;100),"Implausible age","")</f>
        <v/>
      </c>
      <c r="E497" s="4" t="str">
        <f>IF(Customers!H497&gt;Customers!B497-18,"Tenure &gt; age-18","")</f>
        <v/>
      </c>
      <c r="F497" s="4" t="str">
        <f>IF(Customers!R497&gt;Customers!Q497,"Card spend &gt; limit","")</f>
        <v/>
      </c>
      <c r="G497" s="4" t="str">
        <f>IF(OR(AND(Customers!S497&gt;0,Customers!T497=0),AND(Customers!S497=0,Customers!T497&gt;0)),"Mortgage/payment inconsistent","")</f>
        <v/>
      </c>
      <c r="H497" s="4" t="str">
        <f>IF(AND(Customers!G497&lt;&gt;"",Customers!G497&gt;0,Customers!T497&gt;Customers!G497/12),"Payment &gt; monthly income","")</f>
        <v/>
      </c>
      <c r="I497" s="4" t="str">
        <f>IF(OR(Customers!I497&gt;DATE(2026,9,13),YEAR(Customers!I497)&lt;1980),"Implausible date","")</f>
        <v/>
      </c>
      <c r="J497" s="4" t="str">
        <f>IF(Customers!I497&gt;DATE(2026,9,13),"",IF(ABS(INT((DATE(2026,9,13)-Customers!I497)/365.25)-Customers!H497)&gt;1,"Date/tenure inconsistent",""))</f>
        <v/>
      </c>
      <c r="K497" s="4" t="str">
        <f>IF(COUNTIF(Customers!$A$2:$A$1001,Customers!A497)&gt;1,"Duplicate ID","")</f>
        <v/>
      </c>
      <c r="L497" s="4" t="str">
        <f>IF(COUNTIFS(Customers!$B$2:$B$1001,Customers!B497,Customers!$D$2:$D$1001,Customers!D497,Customers!$G$2:$G$1001,Customers!G497,Customers!$I$2:$I$1001,Customers!I497,Customers!$L$2:$L$1001,Customers!L497)&gt;1,"Duplicate record","")</f>
        <v/>
      </c>
      <c r="M497" s="4" t="str">
        <f>IF(OR(Customers!U497&lt;300,Customers!U497&gt;850),"Score out of range","")</f>
        <v/>
      </c>
      <c r="N497" s="4" t="str">
        <f>IF(AND(Customers!G497&lt;&gt;"",Customers!G497&lt;=0),"Income ≤ 0","")</f>
        <v/>
      </c>
      <c r="O497" s="4" t="str">
        <f>IF(OR(Customers!G497="",Customers!M497=""),"Missing value","")</f>
        <v/>
      </c>
      <c r="P497" s="4">
        <f t="shared" si="7"/>
        <v>0</v>
      </c>
    </row>
    <row r="498" spans="1:16" x14ac:dyDescent="0.25">
      <c r="A498" s="4" t="str">
        <f>Customers!A498</f>
        <v>CL00492</v>
      </c>
      <c r="B498" s="20">
        <f>IF(Customers!G498="","",(Customers!G498-Statistics!$C$7)/Statistics!$C$9)</f>
        <v>-3.3664102107810984E-2</v>
      </c>
      <c r="C498" s="4" t="str">
        <f>IF(Customers!G498="","",IF(OR(Customers!G498&lt;Statistics!$C$15,Customers!G498&gt;Statistics!$C$16),"Outside 1.5·IQR",""))</f>
        <v/>
      </c>
      <c r="D498" s="4" t="str">
        <f>IF(OR(Customers!B498&lt;18,Customers!B498&gt;100),"Implausible age","")</f>
        <v/>
      </c>
      <c r="E498" s="4" t="str">
        <f>IF(Customers!H498&gt;Customers!B498-18,"Tenure &gt; age-18","")</f>
        <v/>
      </c>
      <c r="F498" s="4" t="str">
        <f>IF(Customers!R498&gt;Customers!Q498,"Card spend &gt; limit","")</f>
        <v/>
      </c>
      <c r="G498" s="4" t="str">
        <f>IF(OR(AND(Customers!S498&gt;0,Customers!T498=0),AND(Customers!S498=0,Customers!T498&gt;0)),"Mortgage/payment inconsistent","")</f>
        <v/>
      </c>
      <c r="H498" s="4" t="str">
        <f>IF(AND(Customers!G498&lt;&gt;"",Customers!G498&gt;0,Customers!T498&gt;Customers!G498/12),"Payment &gt; monthly income","")</f>
        <v/>
      </c>
      <c r="I498" s="4" t="str">
        <f>IF(OR(Customers!I498&gt;DATE(2026,9,13),YEAR(Customers!I498)&lt;1980),"Implausible date","")</f>
        <v/>
      </c>
      <c r="J498" s="4" t="str">
        <f>IF(Customers!I498&gt;DATE(2026,9,13),"",IF(ABS(INT((DATE(2026,9,13)-Customers!I498)/365.25)-Customers!H498)&gt;1,"Date/tenure inconsistent",""))</f>
        <v/>
      </c>
      <c r="K498" s="4" t="str">
        <f>IF(COUNTIF(Customers!$A$2:$A$1001,Customers!A498)&gt;1,"Duplicate ID","")</f>
        <v/>
      </c>
      <c r="L498" s="4" t="str">
        <f>IF(COUNTIFS(Customers!$B$2:$B$1001,Customers!B498,Customers!$D$2:$D$1001,Customers!D498,Customers!$G$2:$G$1001,Customers!G498,Customers!$I$2:$I$1001,Customers!I498,Customers!$L$2:$L$1001,Customers!L498)&gt;1,"Duplicate record","")</f>
        <v/>
      </c>
      <c r="M498" s="4" t="str">
        <f>IF(OR(Customers!U498&lt;300,Customers!U498&gt;850),"Score out of range","")</f>
        <v/>
      </c>
      <c r="N498" s="4" t="str">
        <f>IF(AND(Customers!G498&lt;&gt;"",Customers!G498&lt;=0),"Income ≤ 0","")</f>
        <v/>
      </c>
      <c r="O498" s="4" t="str">
        <f>IF(OR(Customers!G498="",Customers!M498=""),"Missing value","")</f>
        <v/>
      </c>
      <c r="P498" s="4">
        <f t="shared" si="7"/>
        <v>0</v>
      </c>
    </row>
    <row r="499" spans="1:16" x14ac:dyDescent="0.25">
      <c r="A499" s="4" t="str">
        <f>Customers!A499</f>
        <v>CL00493</v>
      </c>
      <c r="B499" s="20">
        <f>IF(Customers!G499="","",(Customers!G499-Statistics!$C$7)/Statistics!$C$9)</f>
        <v>-5.4938447665049496E-2</v>
      </c>
      <c r="C499" s="4" t="str">
        <f>IF(Customers!G499="","",IF(OR(Customers!G499&lt;Statistics!$C$15,Customers!G499&gt;Statistics!$C$16),"Outside 1.5·IQR",""))</f>
        <v/>
      </c>
      <c r="D499" s="4" t="str">
        <f>IF(OR(Customers!B499&lt;18,Customers!B499&gt;100),"Implausible age","")</f>
        <v/>
      </c>
      <c r="E499" s="4" t="str">
        <f>IF(Customers!H499&gt;Customers!B499-18,"Tenure &gt; age-18","")</f>
        <v/>
      </c>
      <c r="F499" s="4" t="str">
        <f>IF(Customers!R499&gt;Customers!Q499,"Card spend &gt; limit","")</f>
        <v/>
      </c>
      <c r="G499" s="4" t="str">
        <f>IF(OR(AND(Customers!S499&gt;0,Customers!T499=0),AND(Customers!S499=0,Customers!T499&gt;0)),"Mortgage/payment inconsistent","")</f>
        <v/>
      </c>
      <c r="H499" s="4" t="str">
        <f>IF(AND(Customers!G499&lt;&gt;"",Customers!G499&gt;0,Customers!T499&gt;Customers!G499/12),"Payment &gt; monthly income","")</f>
        <v/>
      </c>
      <c r="I499" s="4" t="str">
        <f>IF(OR(Customers!I499&gt;DATE(2026,9,13),YEAR(Customers!I499)&lt;1980),"Implausible date","")</f>
        <v/>
      </c>
      <c r="J499" s="4" t="str">
        <f>IF(Customers!I499&gt;DATE(2026,9,13),"",IF(ABS(INT((DATE(2026,9,13)-Customers!I499)/365.25)-Customers!H499)&gt;1,"Date/tenure inconsistent",""))</f>
        <v/>
      </c>
      <c r="K499" s="4" t="str">
        <f>IF(COUNTIF(Customers!$A$2:$A$1001,Customers!A499)&gt;1,"Duplicate ID","")</f>
        <v/>
      </c>
      <c r="L499" s="4" t="str">
        <f>IF(COUNTIFS(Customers!$B$2:$B$1001,Customers!B499,Customers!$D$2:$D$1001,Customers!D499,Customers!$G$2:$G$1001,Customers!G499,Customers!$I$2:$I$1001,Customers!I499,Customers!$L$2:$L$1001,Customers!L499)&gt;1,"Duplicate record","")</f>
        <v/>
      </c>
      <c r="M499" s="4" t="str">
        <f>IF(OR(Customers!U499&lt;300,Customers!U499&gt;850),"Score out of range","")</f>
        <v/>
      </c>
      <c r="N499" s="4" t="str">
        <f>IF(AND(Customers!G499&lt;&gt;"",Customers!G499&lt;=0),"Income ≤ 0","")</f>
        <v/>
      </c>
      <c r="O499" s="4" t="str">
        <f>IF(OR(Customers!G499="",Customers!M499=""),"Missing value","")</f>
        <v/>
      </c>
      <c r="P499" s="4">
        <f t="shared" si="7"/>
        <v>0</v>
      </c>
    </row>
    <row r="500" spans="1:16" x14ac:dyDescent="0.25">
      <c r="A500" s="4" t="str">
        <f>Customers!A500</f>
        <v>CL00494</v>
      </c>
      <c r="B500" s="20">
        <f>IF(Customers!G500="","",(Customers!G500-Statistics!$C$7)/Statistics!$C$9)</f>
        <v>-2.5587730183303768E-2</v>
      </c>
      <c r="C500" s="4" t="str">
        <f>IF(Customers!G500="","",IF(OR(Customers!G500&lt;Statistics!$C$15,Customers!G500&gt;Statistics!$C$16),"Outside 1.5·IQR",""))</f>
        <v/>
      </c>
      <c r="D500" s="4" t="str">
        <f>IF(OR(Customers!B500&lt;18,Customers!B500&gt;100),"Implausible age","")</f>
        <v/>
      </c>
      <c r="E500" s="4" t="str">
        <f>IF(Customers!H500&gt;Customers!B500-18,"Tenure &gt; age-18","")</f>
        <v/>
      </c>
      <c r="F500" s="4" t="str">
        <f>IF(Customers!R500&gt;Customers!Q500,"Card spend &gt; limit","")</f>
        <v/>
      </c>
      <c r="G500" s="4" t="str">
        <f>IF(OR(AND(Customers!S500&gt;0,Customers!T500=0),AND(Customers!S500=0,Customers!T500&gt;0)),"Mortgage/payment inconsistent","")</f>
        <v/>
      </c>
      <c r="H500" s="4" t="str">
        <f>IF(AND(Customers!G500&lt;&gt;"",Customers!G500&gt;0,Customers!T500&gt;Customers!G500/12),"Payment &gt; monthly income","")</f>
        <v/>
      </c>
      <c r="I500" s="4" t="str">
        <f>IF(OR(Customers!I500&gt;DATE(2026,9,13),YEAR(Customers!I500)&lt;1980),"Implausible date","")</f>
        <v/>
      </c>
      <c r="J500" s="4" t="str">
        <f>IF(Customers!I500&gt;DATE(2026,9,13),"",IF(ABS(INT((DATE(2026,9,13)-Customers!I500)/365.25)-Customers!H500)&gt;1,"Date/tenure inconsistent",""))</f>
        <v/>
      </c>
      <c r="K500" s="4" t="str">
        <f>IF(COUNTIF(Customers!$A$2:$A$1001,Customers!A500)&gt;1,"Duplicate ID","")</f>
        <v/>
      </c>
      <c r="L500" s="4" t="str">
        <f>IF(COUNTIFS(Customers!$B$2:$B$1001,Customers!B500,Customers!$D$2:$D$1001,Customers!D500,Customers!$G$2:$G$1001,Customers!G500,Customers!$I$2:$I$1001,Customers!I500,Customers!$L$2:$L$1001,Customers!L500)&gt;1,"Duplicate record","")</f>
        <v/>
      </c>
      <c r="M500" s="4" t="str">
        <f>IF(OR(Customers!U500&lt;300,Customers!U500&gt;850),"Score out of range","")</f>
        <v/>
      </c>
      <c r="N500" s="4" t="str">
        <f>IF(AND(Customers!G500&lt;&gt;"",Customers!G500&lt;=0),"Income ≤ 0","")</f>
        <v/>
      </c>
      <c r="O500" s="4" t="str">
        <f>IF(OR(Customers!G500="",Customers!M500=""),"Missing value","")</f>
        <v/>
      </c>
      <c r="P500" s="4">
        <f t="shared" si="7"/>
        <v>0</v>
      </c>
    </row>
    <row r="501" spans="1:16" x14ac:dyDescent="0.25">
      <c r="A501" s="4" t="str">
        <f>Customers!A501</f>
        <v>CL00495</v>
      </c>
      <c r="B501" s="20">
        <f>IF(Customers!G501="","",(Customers!G501-Statistics!$C$7)/Statistics!$C$9)</f>
        <v>-4.0952535307976025E-2</v>
      </c>
      <c r="C501" s="4" t="str">
        <f>IF(Customers!G501="","",IF(OR(Customers!G501&lt;Statistics!$C$15,Customers!G501&gt;Statistics!$C$16),"Outside 1.5·IQR",""))</f>
        <v/>
      </c>
      <c r="D501" s="4" t="str">
        <f>IF(OR(Customers!B501&lt;18,Customers!B501&gt;100),"Implausible age","")</f>
        <v/>
      </c>
      <c r="E501" s="4" t="str">
        <f>IF(Customers!H501&gt;Customers!B501-18,"Tenure &gt; age-18","")</f>
        <v/>
      </c>
      <c r="F501" s="4" t="str">
        <f>IF(Customers!R501&gt;Customers!Q501,"Card spend &gt; limit","")</f>
        <v/>
      </c>
      <c r="G501" s="4" t="str">
        <f>IF(OR(AND(Customers!S501&gt;0,Customers!T501=0),AND(Customers!S501=0,Customers!T501&gt;0)),"Mortgage/payment inconsistent","")</f>
        <v/>
      </c>
      <c r="H501" s="4" t="str">
        <f>IF(AND(Customers!G501&lt;&gt;"",Customers!G501&gt;0,Customers!T501&gt;Customers!G501/12),"Payment &gt; monthly income","")</f>
        <v/>
      </c>
      <c r="I501" s="4" t="str">
        <f>IF(OR(Customers!I501&gt;DATE(2026,9,13),YEAR(Customers!I501)&lt;1980),"Implausible date","")</f>
        <v/>
      </c>
      <c r="J501" s="4" t="str">
        <f>IF(Customers!I501&gt;DATE(2026,9,13),"",IF(ABS(INT((DATE(2026,9,13)-Customers!I501)/365.25)-Customers!H501)&gt;1,"Date/tenure inconsistent",""))</f>
        <v/>
      </c>
      <c r="K501" s="4" t="str">
        <f>IF(COUNTIF(Customers!$A$2:$A$1001,Customers!A501)&gt;1,"Duplicate ID","")</f>
        <v/>
      </c>
      <c r="L501" s="4" t="str">
        <f>IF(COUNTIFS(Customers!$B$2:$B$1001,Customers!B501,Customers!$D$2:$D$1001,Customers!D501,Customers!$G$2:$G$1001,Customers!G501,Customers!$I$2:$I$1001,Customers!I501,Customers!$L$2:$L$1001,Customers!L501)&gt;1,"Duplicate record","")</f>
        <v/>
      </c>
      <c r="M501" s="4" t="str">
        <f>IF(OR(Customers!U501&lt;300,Customers!U501&gt;850),"Score out of range","")</f>
        <v/>
      </c>
      <c r="N501" s="4" t="str">
        <f>IF(AND(Customers!G501&lt;&gt;"",Customers!G501&lt;=0),"Income ≤ 0","")</f>
        <v/>
      </c>
      <c r="O501" s="4" t="str">
        <f>IF(OR(Customers!G501="",Customers!M501=""),"Missing value","")</f>
        <v/>
      </c>
      <c r="P501" s="4">
        <f t="shared" si="7"/>
        <v>0</v>
      </c>
    </row>
    <row r="502" spans="1:16" x14ac:dyDescent="0.25">
      <c r="A502" s="4" t="str">
        <f>Customers!A502</f>
        <v>CL00496</v>
      </c>
      <c r="B502" s="20">
        <f>IF(Customers!G502="","",(Customers!G502-Statistics!$C$7)/Statistics!$C$9)</f>
        <v>3.1575537944497769E-4</v>
      </c>
      <c r="C502" s="4" t="str">
        <f>IF(Customers!G502="","",IF(OR(Customers!G502&lt;Statistics!$C$15,Customers!G502&gt;Statistics!$C$16),"Outside 1.5·IQR",""))</f>
        <v/>
      </c>
      <c r="D502" s="4" t="str">
        <f>IF(OR(Customers!B502&lt;18,Customers!B502&gt;100),"Implausible age","")</f>
        <v/>
      </c>
      <c r="E502" s="4" t="str">
        <f>IF(Customers!H502&gt;Customers!B502-18,"Tenure &gt; age-18","")</f>
        <v/>
      </c>
      <c r="F502" s="4" t="str">
        <f>IF(Customers!R502&gt;Customers!Q502,"Card spend &gt; limit","")</f>
        <v/>
      </c>
      <c r="G502" s="4" t="str">
        <f>IF(OR(AND(Customers!S502&gt;0,Customers!T502=0),AND(Customers!S502=0,Customers!T502&gt;0)),"Mortgage/payment inconsistent","")</f>
        <v/>
      </c>
      <c r="H502" s="4" t="str">
        <f>IF(AND(Customers!G502&lt;&gt;"",Customers!G502&gt;0,Customers!T502&gt;Customers!G502/12),"Payment &gt; monthly income","")</f>
        <v/>
      </c>
      <c r="I502" s="4" t="str">
        <f>IF(OR(Customers!I502&gt;DATE(2026,9,13),YEAR(Customers!I502)&lt;1980),"Implausible date","")</f>
        <v/>
      </c>
      <c r="J502" s="4" t="str">
        <f>IF(Customers!I502&gt;DATE(2026,9,13),"",IF(ABS(INT((DATE(2026,9,13)-Customers!I502)/365.25)-Customers!H502)&gt;1,"Date/tenure inconsistent",""))</f>
        <v/>
      </c>
      <c r="K502" s="4" t="str">
        <f>IF(COUNTIF(Customers!$A$2:$A$1001,Customers!A502)&gt;1,"Duplicate ID","")</f>
        <v/>
      </c>
      <c r="L502" s="4" t="str">
        <f>IF(COUNTIFS(Customers!$B$2:$B$1001,Customers!B502,Customers!$D$2:$D$1001,Customers!D502,Customers!$G$2:$G$1001,Customers!G502,Customers!$I$2:$I$1001,Customers!I502,Customers!$L$2:$L$1001,Customers!L502)&gt;1,"Duplicate record","")</f>
        <v/>
      </c>
      <c r="M502" s="4" t="str">
        <f>IF(OR(Customers!U502&lt;300,Customers!U502&gt;850),"Score out of range","")</f>
        <v/>
      </c>
      <c r="N502" s="4" t="str">
        <f>IF(AND(Customers!G502&lt;&gt;"",Customers!G502&lt;=0),"Income ≤ 0","")</f>
        <v/>
      </c>
      <c r="O502" s="4" t="str">
        <f>IF(OR(Customers!G502="",Customers!M502=""),"Missing value","")</f>
        <v/>
      </c>
      <c r="P502" s="4">
        <f t="shared" si="7"/>
        <v>0</v>
      </c>
    </row>
    <row r="503" spans="1:16" x14ac:dyDescent="0.25">
      <c r="A503" s="4" t="str">
        <f>Customers!A503</f>
        <v>CL00497</v>
      </c>
      <c r="B503" s="20">
        <f>IF(Customers!G503="","",(Customers!G503-Statistics!$C$7)/Statistics!$C$9)</f>
        <v>-5.4150508940707331E-2</v>
      </c>
      <c r="C503" s="4" t="str">
        <f>IF(Customers!G503="","",IF(OR(Customers!G503&lt;Statistics!$C$15,Customers!G503&gt;Statistics!$C$16),"Outside 1.5·IQR",""))</f>
        <v/>
      </c>
      <c r="D503" s="4" t="str">
        <f>IF(OR(Customers!B503&lt;18,Customers!B503&gt;100),"Implausible age","")</f>
        <v/>
      </c>
      <c r="E503" s="4" t="str">
        <f>IF(Customers!H503&gt;Customers!B503-18,"Tenure &gt; age-18","")</f>
        <v/>
      </c>
      <c r="F503" s="4" t="str">
        <f>IF(Customers!R503&gt;Customers!Q503,"Card spend &gt; limit","")</f>
        <v/>
      </c>
      <c r="G503" s="4" t="str">
        <f>IF(OR(AND(Customers!S503&gt;0,Customers!T503=0),AND(Customers!S503=0,Customers!T503&gt;0)),"Mortgage/payment inconsistent","")</f>
        <v/>
      </c>
      <c r="H503" s="4" t="str">
        <f>IF(AND(Customers!G503&lt;&gt;"",Customers!G503&gt;0,Customers!T503&gt;Customers!G503/12),"Payment &gt; monthly income","")</f>
        <v/>
      </c>
      <c r="I503" s="4" t="str">
        <f>IF(OR(Customers!I503&gt;DATE(2026,9,13),YEAR(Customers!I503)&lt;1980),"Implausible date","")</f>
        <v/>
      </c>
      <c r="J503" s="4" t="str">
        <f>IF(Customers!I503&gt;DATE(2026,9,13),"",IF(ABS(INT((DATE(2026,9,13)-Customers!I503)/365.25)-Customers!H503)&gt;1,"Date/tenure inconsistent",""))</f>
        <v/>
      </c>
      <c r="K503" s="4" t="str">
        <f>IF(COUNTIF(Customers!$A$2:$A$1001,Customers!A503)&gt;1,"Duplicate ID","")</f>
        <v/>
      </c>
      <c r="L503" s="4" t="str">
        <f>IF(COUNTIFS(Customers!$B$2:$B$1001,Customers!B503,Customers!$D$2:$D$1001,Customers!D503,Customers!$G$2:$G$1001,Customers!G503,Customers!$I$2:$I$1001,Customers!I503,Customers!$L$2:$L$1001,Customers!L503)&gt;1,"Duplicate record","")</f>
        <v/>
      </c>
      <c r="M503" s="4" t="str">
        <f>IF(OR(Customers!U503&lt;300,Customers!U503&gt;850),"Score out of range","")</f>
        <v/>
      </c>
      <c r="N503" s="4" t="str">
        <f>IF(AND(Customers!G503&lt;&gt;"",Customers!G503&lt;=0),"Income ≤ 0","")</f>
        <v/>
      </c>
      <c r="O503" s="4" t="str">
        <f>IF(OR(Customers!G503="",Customers!M503=""),"Missing value","")</f>
        <v/>
      </c>
      <c r="P503" s="4">
        <f t="shared" si="7"/>
        <v>0</v>
      </c>
    </row>
    <row r="504" spans="1:16" x14ac:dyDescent="0.25">
      <c r="A504" s="4" t="str">
        <f>Customers!A504</f>
        <v>CL00498</v>
      </c>
      <c r="B504" s="20">
        <f>IF(Customers!G504="","",(Customers!G504-Statistics!$C$7)/Statistics!$C$9)</f>
        <v>-4.03615812647194E-2</v>
      </c>
      <c r="C504" s="4" t="str">
        <f>IF(Customers!G504="","",IF(OR(Customers!G504&lt;Statistics!$C$15,Customers!G504&gt;Statistics!$C$16),"Outside 1.5·IQR",""))</f>
        <v/>
      </c>
      <c r="D504" s="4" t="str">
        <f>IF(OR(Customers!B504&lt;18,Customers!B504&gt;100),"Implausible age","")</f>
        <v/>
      </c>
      <c r="E504" s="4" t="str">
        <f>IF(Customers!H504&gt;Customers!B504-18,"Tenure &gt; age-18","")</f>
        <v/>
      </c>
      <c r="F504" s="4" t="str">
        <f>IF(Customers!R504&gt;Customers!Q504,"Card spend &gt; limit","")</f>
        <v/>
      </c>
      <c r="G504" s="4" t="str">
        <f>IF(OR(AND(Customers!S504&gt;0,Customers!T504=0),AND(Customers!S504=0,Customers!T504&gt;0)),"Mortgage/payment inconsistent","")</f>
        <v/>
      </c>
      <c r="H504" s="4" t="str">
        <f>IF(AND(Customers!G504&lt;&gt;"",Customers!G504&gt;0,Customers!T504&gt;Customers!G504/12),"Payment &gt; monthly income","")</f>
        <v/>
      </c>
      <c r="I504" s="4" t="str">
        <f>IF(OR(Customers!I504&gt;DATE(2026,9,13),YEAR(Customers!I504)&lt;1980),"Implausible date","")</f>
        <v/>
      </c>
      <c r="J504" s="4" t="str">
        <f>IF(Customers!I504&gt;DATE(2026,9,13),"",IF(ABS(INT((DATE(2026,9,13)-Customers!I504)/365.25)-Customers!H504)&gt;1,"Date/tenure inconsistent",""))</f>
        <v/>
      </c>
      <c r="K504" s="4" t="str">
        <f>IF(COUNTIF(Customers!$A$2:$A$1001,Customers!A504)&gt;1,"Duplicate ID","")</f>
        <v/>
      </c>
      <c r="L504" s="4" t="str">
        <f>IF(COUNTIFS(Customers!$B$2:$B$1001,Customers!B504,Customers!$D$2:$D$1001,Customers!D504,Customers!$G$2:$G$1001,Customers!G504,Customers!$I$2:$I$1001,Customers!I504,Customers!$L$2:$L$1001,Customers!L504)&gt;1,"Duplicate record","")</f>
        <v/>
      </c>
      <c r="M504" s="4" t="str">
        <f>IF(OR(Customers!U504&lt;300,Customers!U504&gt;850),"Score out of range","")</f>
        <v/>
      </c>
      <c r="N504" s="4" t="str">
        <f>IF(AND(Customers!G504&lt;&gt;"",Customers!G504&lt;=0),"Income ≤ 0","")</f>
        <v/>
      </c>
      <c r="O504" s="4" t="str">
        <f>IF(OR(Customers!G504="",Customers!M504=""),"Missing value","")</f>
        <v/>
      </c>
      <c r="P504" s="4">
        <f t="shared" si="7"/>
        <v>0</v>
      </c>
    </row>
    <row r="505" spans="1:16" x14ac:dyDescent="0.25">
      <c r="A505" s="4" t="str">
        <f>Customers!A505</f>
        <v>CL00499</v>
      </c>
      <c r="B505" s="20">
        <f>IF(Customers!G505="","",(Customers!G505-Statistics!$C$7)/Statistics!$C$9)</f>
        <v>-3.3664102107810984E-2</v>
      </c>
      <c r="C505" s="4" t="str">
        <f>IF(Customers!G505="","",IF(OR(Customers!G505&lt;Statistics!$C$15,Customers!G505&gt;Statistics!$C$16),"Outside 1.5·IQR",""))</f>
        <v/>
      </c>
      <c r="D505" s="4" t="str">
        <f>IF(OR(Customers!B505&lt;18,Customers!B505&gt;100),"Implausible age","")</f>
        <v/>
      </c>
      <c r="E505" s="4" t="str">
        <f>IF(Customers!H505&gt;Customers!B505-18,"Tenure &gt; age-18","")</f>
        <v/>
      </c>
      <c r="F505" s="4" t="str">
        <f>IF(Customers!R505&gt;Customers!Q505,"Card spend &gt; limit","")</f>
        <v/>
      </c>
      <c r="G505" s="4" t="str">
        <f>IF(OR(AND(Customers!S505&gt;0,Customers!T505=0),AND(Customers!S505=0,Customers!T505&gt;0)),"Mortgage/payment inconsistent","")</f>
        <v/>
      </c>
      <c r="H505" s="4" t="str">
        <f>IF(AND(Customers!G505&lt;&gt;"",Customers!G505&gt;0,Customers!T505&gt;Customers!G505/12),"Payment &gt; monthly income","")</f>
        <v/>
      </c>
      <c r="I505" s="4" t="str">
        <f>IF(OR(Customers!I505&gt;DATE(2026,9,13),YEAR(Customers!I505)&lt;1980),"Implausible date","")</f>
        <v/>
      </c>
      <c r="J505" s="4" t="str">
        <f>IF(Customers!I505&gt;DATE(2026,9,13),"",IF(ABS(INT((DATE(2026,9,13)-Customers!I505)/365.25)-Customers!H505)&gt;1,"Date/tenure inconsistent",""))</f>
        <v/>
      </c>
      <c r="K505" s="4" t="str">
        <f>IF(COUNTIF(Customers!$A$2:$A$1001,Customers!A505)&gt;1,"Duplicate ID","")</f>
        <v/>
      </c>
      <c r="L505" s="4" t="str">
        <f>IF(COUNTIFS(Customers!$B$2:$B$1001,Customers!B505,Customers!$D$2:$D$1001,Customers!D505,Customers!$G$2:$G$1001,Customers!G505,Customers!$I$2:$I$1001,Customers!I505,Customers!$L$2:$L$1001,Customers!L505)&gt;1,"Duplicate record","")</f>
        <v/>
      </c>
      <c r="M505" s="4" t="str">
        <f>IF(OR(Customers!U505&lt;300,Customers!U505&gt;850),"Score out of range","")</f>
        <v/>
      </c>
      <c r="N505" s="4" t="str">
        <f>IF(AND(Customers!G505&lt;&gt;"",Customers!G505&lt;=0),"Income ≤ 0","")</f>
        <v/>
      </c>
      <c r="O505" s="4" t="str">
        <f>IF(OR(Customers!G505="",Customers!M505=""),"Missing value","")</f>
        <v/>
      </c>
      <c r="P505" s="4">
        <f t="shared" si="7"/>
        <v>0</v>
      </c>
    </row>
    <row r="506" spans="1:16" x14ac:dyDescent="0.25">
      <c r="A506" s="4" t="str">
        <f>Customers!A506</f>
        <v>CL00500</v>
      </c>
      <c r="B506" s="20">
        <f>IF(Customers!G506="","",(Customers!G506-Statistics!$C$7)/Statistics!$C$9)</f>
        <v>-4.9718353616282636E-2</v>
      </c>
      <c r="C506" s="4" t="str">
        <f>IF(Customers!G506="","",IF(OR(Customers!G506&lt;Statistics!$C$15,Customers!G506&gt;Statistics!$C$16),"Outside 1.5·IQR",""))</f>
        <v/>
      </c>
      <c r="D506" s="4" t="str">
        <f>IF(OR(Customers!B506&lt;18,Customers!B506&gt;100),"Implausible age","")</f>
        <v/>
      </c>
      <c r="E506" s="4" t="str">
        <f>IF(Customers!H506&gt;Customers!B506-18,"Tenure &gt; age-18","")</f>
        <v/>
      </c>
      <c r="F506" s="4" t="str">
        <f>IF(Customers!R506&gt;Customers!Q506,"Card spend &gt; limit","")</f>
        <v/>
      </c>
      <c r="G506" s="4" t="str">
        <f>IF(OR(AND(Customers!S506&gt;0,Customers!T506=0),AND(Customers!S506=0,Customers!T506&gt;0)),"Mortgage/payment inconsistent","")</f>
        <v/>
      </c>
      <c r="H506" s="4" t="str">
        <f>IF(AND(Customers!G506&lt;&gt;"",Customers!G506&gt;0,Customers!T506&gt;Customers!G506/12),"Payment &gt; monthly income","")</f>
        <v/>
      </c>
      <c r="I506" s="4" t="str">
        <f>IF(OR(Customers!I506&gt;DATE(2026,9,13),YEAR(Customers!I506)&lt;1980),"Implausible date","")</f>
        <v/>
      </c>
      <c r="J506" s="4" t="str">
        <f>IF(Customers!I506&gt;DATE(2026,9,13),"",IF(ABS(INT((DATE(2026,9,13)-Customers!I506)/365.25)-Customers!H506)&gt;1,"Date/tenure inconsistent",""))</f>
        <v/>
      </c>
      <c r="K506" s="4" t="str">
        <f>IF(COUNTIF(Customers!$A$2:$A$1001,Customers!A506)&gt;1,"Duplicate ID","")</f>
        <v/>
      </c>
      <c r="L506" s="4" t="str">
        <f>IF(COUNTIFS(Customers!$B$2:$B$1001,Customers!B506,Customers!$D$2:$D$1001,Customers!D506,Customers!$G$2:$G$1001,Customers!G506,Customers!$I$2:$I$1001,Customers!I506,Customers!$L$2:$L$1001,Customers!L506)&gt;1,"Duplicate record","")</f>
        <v/>
      </c>
      <c r="M506" s="4" t="str">
        <f>IF(OR(Customers!U506&lt;300,Customers!U506&gt;850),"Score out of range","")</f>
        <v/>
      </c>
      <c r="N506" s="4" t="str">
        <f>IF(AND(Customers!G506&lt;&gt;"",Customers!G506&lt;=0),"Income ≤ 0","")</f>
        <v/>
      </c>
      <c r="O506" s="4" t="str">
        <f>IF(OR(Customers!G506="",Customers!M506=""),"Missing value","")</f>
        <v/>
      </c>
      <c r="P506" s="4">
        <f t="shared" si="7"/>
        <v>0</v>
      </c>
    </row>
    <row r="507" spans="1:16" x14ac:dyDescent="0.25">
      <c r="A507" s="4" t="str">
        <f>Customers!A507</f>
        <v>CL00501</v>
      </c>
      <c r="B507" s="20">
        <f>IF(Customers!G507="","",(Customers!G507-Statistics!$C$7)/Statistics!$C$9)</f>
        <v>-3.8194749772778445E-2</v>
      </c>
      <c r="C507" s="4" t="str">
        <f>IF(Customers!G507="","",IF(OR(Customers!G507&lt;Statistics!$C$15,Customers!G507&gt;Statistics!$C$16),"Outside 1.5·IQR",""))</f>
        <v/>
      </c>
      <c r="D507" s="4" t="str">
        <f>IF(OR(Customers!B507&lt;18,Customers!B507&gt;100),"Implausible age","")</f>
        <v/>
      </c>
      <c r="E507" s="4" t="str">
        <f>IF(Customers!H507&gt;Customers!B507-18,"Tenure &gt; age-18","")</f>
        <v/>
      </c>
      <c r="F507" s="4" t="str">
        <f>IF(Customers!R507&gt;Customers!Q507,"Card spend &gt; limit","")</f>
        <v/>
      </c>
      <c r="G507" s="4" t="str">
        <f>IF(OR(AND(Customers!S507&gt;0,Customers!T507=0),AND(Customers!S507=0,Customers!T507&gt;0)),"Mortgage/payment inconsistent","")</f>
        <v/>
      </c>
      <c r="H507" s="4" t="str">
        <f>IF(AND(Customers!G507&lt;&gt;"",Customers!G507&gt;0,Customers!T507&gt;Customers!G507/12),"Payment &gt; monthly income","")</f>
        <v/>
      </c>
      <c r="I507" s="4" t="str">
        <f>IF(OR(Customers!I507&gt;DATE(2026,9,13),YEAR(Customers!I507)&lt;1980),"Implausible date","")</f>
        <v/>
      </c>
      <c r="J507" s="4" t="str">
        <f>IF(Customers!I507&gt;DATE(2026,9,13),"",IF(ABS(INT((DATE(2026,9,13)-Customers!I507)/365.25)-Customers!H507)&gt;1,"Date/tenure inconsistent",""))</f>
        <v/>
      </c>
      <c r="K507" s="4" t="str">
        <f>IF(COUNTIF(Customers!$A$2:$A$1001,Customers!A507)&gt;1,"Duplicate ID","")</f>
        <v/>
      </c>
      <c r="L507" s="4" t="str">
        <f>IF(COUNTIFS(Customers!$B$2:$B$1001,Customers!B507,Customers!$D$2:$D$1001,Customers!D507,Customers!$G$2:$G$1001,Customers!G507,Customers!$I$2:$I$1001,Customers!I507,Customers!$L$2:$L$1001,Customers!L507)&gt;1,"Duplicate record","")</f>
        <v/>
      </c>
      <c r="M507" s="4" t="str">
        <f>IF(OR(Customers!U507&lt;300,Customers!U507&gt;850),"Score out of range","")</f>
        <v/>
      </c>
      <c r="N507" s="4" t="str">
        <f>IF(AND(Customers!G507&lt;&gt;"",Customers!G507&lt;=0),"Income ≤ 0","")</f>
        <v/>
      </c>
      <c r="O507" s="4" t="str">
        <f>IF(OR(Customers!G507="",Customers!M507=""),"Missing value","")</f>
        <v/>
      </c>
      <c r="P507" s="4">
        <f t="shared" si="7"/>
        <v>0</v>
      </c>
    </row>
    <row r="508" spans="1:16" x14ac:dyDescent="0.25">
      <c r="A508" s="4" t="str">
        <f>Customers!A508</f>
        <v>CL00502</v>
      </c>
      <c r="B508" s="20">
        <f>IF(Customers!G508="","",(Customers!G508-Statistics!$C$7)/Statistics!$C$9)</f>
        <v>-4.3710320843173611E-2</v>
      </c>
      <c r="C508" s="4" t="str">
        <f>IF(Customers!G508="","",IF(OR(Customers!G508&lt;Statistics!$C$15,Customers!G508&gt;Statistics!$C$16),"Outside 1.5·IQR",""))</f>
        <v/>
      </c>
      <c r="D508" s="4" t="str">
        <f>IF(OR(Customers!B508&lt;18,Customers!B508&gt;100),"Implausible age","")</f>
        <v/>
      </c>
      <c r="E508" s="4" t="str">
        <f>IF(Customers!H508&gt;Customers!B508-18,"Tenure &gt; age-18","")</f>
        <v/>
      </c>
      <c r="F508" s="4" t="str">
        <f>IF(Customers!R508&gt;Customers!Q508,"Card spend &gt; limit","")</f>
        <v/>
      </c>
      <c r="G508" s="4" t="str">
        <f>IF(OR(AND(Customers!S508&gt;0,Customers!T508=0),AND(Customers!S508=0,Customers!T508&gt;0)),"Mortgage/payment inconsistent","")</f>
        <v/>
      </c>
      <c r="H508" s="4" t="str">
        <f>IF(AND(Customers!G508&lt;&gt;"",Customers!G508&gt;0,Customers!T508&gt;Customers!G508/12),"Payment &gt; monthly income","")</f>
        <v/>
      </c>
      <c r="I508" s="4" t="str">
        <f>IF(OR(Customers!I508&gt;DATE(2026,9,13),YEAR(Customers!I508)&lt;1980),"Implausible date","")</f>
        <v/>
      </c>
      <c r="J508" s="4" t="str">
        <f>IF(Customers!I508&gt;DATE(2026,9,13),"",IF(ABS(INT((DATE(2026,9,13)-Customers!I508)/365.25)-Customers!H508)&gt;1,"Date/tenure inconsistent",""))</f>
        <v/>
      </c>
      <c r="K508" s="4" t="str">
        <f>IF(COUNTIF(Customers!$A$2:$A$1001,Customers!A508)&gt;1,"Duplicate ID","")</f>
        <v/>
      </c>
      <c r="L508" s="4" t="str">
        <f>IF(COUNTIFS(Customers!$B$2:$B$1001,Customers!B508,Customers!$D$2:$D$1001,Customers!D508,Customers!$G$2:$G$1001,Customers!G508,Customers!$I$2:$I$1001,Customers!I508,Customers!$L$2:$L$1001,Customers!L508)&gt;1,"Duplicate record","")</f>
        <v/>
      </c>
      <c r="M508" s="4" t="str">
        <f>IF(OR(Customers!U508&lt;300,Customers!U508&gt;850),"Score out of range","")</f>
        <v/>
      </c>
      <c r="N508" s="4" t="str">
        <f>IF(AND(Customers!G508&lt;&gt;"",Customers!G508&lt;=0),"Income ≤ 0","")</f>
        <v/>
      </c>
      <c r="O508" s="4" t="str">
        <f>IF(OR(Customers!G508="",Customers!M508=""),"Missing value","")</f>
        <v/>
      </c>
      <c r="P508" s="4">
        <f t="shared" si="7"/>
        <v>0</v>
      </c>
    </row>
    <row r="509" spans="1:16" x14ac:dyDescent="0.25">
      <c r="A509" s="4" t="str">
        <f>Customers!A509</f>
        <v>CL00503</v>
      </c>
      <c r="B509" s="20">
        <f>IF(Customers!G509="","",(Customers!G509-Statistics!$C$7)/Statistics!$C$9)</f>
        <v>-6.5575620443668756E-2</v>
      </c>
      <c r="C509" s="4" t="str">
        <f>IF(Customers!G509="","",IF(OR(Customers!G509&lt;Statistics!$C$15,Customers!G509&gt;Statistics!$C$16),"Outside 1.5·IQR",""))</f>
        <v/>
      </c>
      <c r="D509" s="4" t="str">
        <f>IF(OR(Customers!B509&lt;18,Customers!B509&gt;100),"Implausible age","")</f>
        <v/>
      </c>
      <c r="E509" s="4" t="str">
        <f>IF(Customers!H509&gt;Customers!B509-18,"Tenure &gt; age-18","")</f>
        <v/>
      </c>
      <c r="F509" s="4" t="str">
        <f>IF(Customers!R509&gt;Customers!Q509,"Card spend &gt; limit","")</f>
        <v/>
      </c>
      <c r="G509" s="4" t="str">
        <f>IF(OR(AND(Customers!S509&gt;0,Customers!T509=0),AND(Customers!S509=0,Customers!T509&gt;0)),"Mortgage/payment inconsistent","")</f>
        <v/>
      </c>
      <c r="H509" s="4" t="str">
        <f>IF(AND(Customers!G509&lt;&gt;"",Customers!G509&gt;0,Customers!T509&gt;Customers!G509/12),"Payment &gt; monthly income","")</f>
        <v/>
      </c>
      <c r="I509" s="4" t="str">
        <f>IF(OR(Customers!I509&gt;DATE(2026,9,13),YEAR(Customers!I509)&lt;1980),"Implausible date","")</f>
        <v/>
      </c>
      <c r="J509" s="4" t="str">
        <f>IF(Customers!I509&gt;DATE(2026,9,13),"",IF(ABS(INT((DATE(2026,9,13)-Customers!I509)/365.25)-Customers!H509)&gt;1,"Date/tenure inconsistent",""))</f>
        <v/>
      </c>
      <c r="K509" s="4" t="str">
        <f>IF(COUNTIF(Customers!$A$2:$A$1001,Customers!A509)&gt;1,"Duplicate ID","")</f>
        <v/>
      </c>
      <c r="L509" s="4" t="str">
        <f>IF(COUNTIFS(Customers!$B$2:$B$1001,Customers!B509,Customers!$D$2:$D$1001,Customers!D509,Customers!$G$2:$G$1001,Customers!G509,Customers!$I$2:$I$1001,Customers!I509,Customers!$L$2:$L$1001,Customers!L509)&gt;1,"Duplicate record","")</f>
        <v/>
      </c>
      <c r="M509" s="4" t="str">
        <f>IF(OR(Customers!U509&lt;300,Customers!U509&gt;850),"Score out of range","")</f>
        <v/>
      </c>
      <c r="N509" s="4" t="str">
        <f>IF(AND(Customers!G509&lt;&gt;"",Customers!G509&lt;=0),"Income ≤ 0","")</f>
        <v/>
      </c>
      <c r="O509" s="4" t="str">
        <f>IF(OR(Customers!G509="",Customers!M509=""),"Missing value","")</f>
        <v/>
      </c>
      <c r="P509" s="4">
        <f t="shared" si="7"/>
        <v>0</v>
      </c>
    </row>
    <row r="510" spans="1:16" x14ac:dyDescent="0.25">
      <c r="A510" s="4" t="str">
        <f>Customers!A510</f>
        <v>CL00504</v>
      </c>
      <c r="B510" s="20">
        <f>IF(Customers!G510="","",(Customers!G510-Statistics!$C$7)/Statistics!$C$9)</f>
        <v>-4.2331428075574822E-2</v>
      </c>
      <c r="C510" s="4" t="str">
        <f>IF(Customers!G510="","",IF(OR(Customers!G510&lt;Statistics!$C$15,Customers!G510&gt;Statistics!$C$16),"Outside 1.5·IQR",""))</f>
        <v/>
      </c>
      <c r="D510" s="4" t="str">
        <f>IF(OR(Customers!B510&lt;18,Customers!B510&gt;100),"Implausible age","")</f>
        <v/>
      </c>
      <c r="E510" s="4" t="str">
        <f>IF(Customers!H510&gt;Customers!B510-18,"Tenure &gt; age-18","")</f>
        <v/>
      </c>
      <c r="F510" s="4" t="str">
        <f>IF(Customers!R510&gt;Customers!Q510,"Card spend &gt; limit","")</f>
        <v/>
      </c>
      <c r="G510" s="4" t="str">
        <f>IF(OR(AND(Customers!S510&gt;0,Customers!T510=0),AND(Customers!S510=0,Customers!T510&gt;0)),"Mortgage/payment inconsistent","")</f>
        <v/>
      </c>
      <c r="H510" s="4" t="str">
        <f>IF(AND(Customers!G510&lt;&gt;"",Customers!G510&gt;0,Customers!T510&gt;Customers!G510/12),"Payment &gt; monthly income","")</f>
        <v/>
      </c>
      <c r="I510" s="4" t="str">
        <f>IF(OR(Customers!I510&gt;DATE(2026,9,13),YEAR(Customers!I510)&lt;1980),"Implausible date","")</f>
        <v/>
      </c>
      <c r="J510" s="4" t="str">
        <f>IF(Customers!I510&gt;DATE(2026,9,13),"",IF(ABS(INT((DATE(2026,9,13)-Customers!I510)/365.25)-Customers!H510)&gt;1,"Date/tenure inconsistent",""))</f>
        <v/>
      </c>
      <c r="K510" s="4" t="str">
        <f>IF(COUNTIF(Customers!$A$2:$A$1001,Customers!A510)&gt;1,"Duplicate ID","")</f>
        <v/>
      </c>
      <c r="L510" s="4" t="str">
        <f>IF(COUNTIFS(Customers!$B$2:$B$1001,Customers!B510,Customers!$D$2:$D$1001,Customers!D510,Customers!$G$2:$G$1001,Customers!G510,Customers!$I$2:$I$1001,Customers!I510,Customers!$L$2:$L$1001,Customers!L510)&gt;1,"Duplicate record","")</f>
        <v/>
      </c>
      <c r="M510" s="4" t="str">
        <f>IF(OR(Customers!U510&lt;300,Customers!U510&gt;850),"Score out of range","")</f>
        <v/>
      </c>
      <c r="N510" s="4" t="str">
        <f>IF(AND(Customers!G510&lt;&gt;"",Customers!G510&lt;=0),"Income ≤ 0","")</f>
        <v/>
      </c>
      <c r="O510" s="4" t="str">
        <f>IF(OR(Customers!G510="",Customers!M510=""),"Missing value","")</f>
        <v/>
      </c>
      <c r="P510" s="4">
        <f t="shared" si="7"/>
        <v>0</v>
      </c>
    </row>
    <row r="511" spans="1:16" x14ac:dyDescent="0.25">
      <c r="A511" s="4" t="str">
        <f>Customers!A511</f>
        <v>CL00505</v>
      </c>
      <c r="B511" s="20">
        <f>IF(Customers!G511="","",(Customers!G511-Statistics!$C$7)/Statistics!$C$9)</f>
        <v>-4.4596751908058549E-2</v>
      </c>
      <c r="C511" s="4" t="str">
        <f>IF(Customers!G511="","",IF(OR(Customers!G511&lt;Statistics!$C$15,Customers!G511&gt;Statistics!$C$16),"Outside 1.5·IQR",""))</f>
        <v/>
      </c>
      <c r="D511" s="4" t="str">
        <f>IF(OR(Customers!B511&lt;18,Customers!B511&gt;100),"Implausible age","")</f>
        <v/>
      </c>
      <c r="E511" s="4" t="str">
        <f>IF(Customers!H511&gt;Customers!B511-18,"Tenure &gt; age-18","")</f>
        <v/>
      </c>
      <c r="F511" s="4" t="str">
        <f>IF(Customers!R511&gt;Customers!Q511,"Card spend &gt; limit","")</f>
        <v/>
      </c>
      <c r="G511" s="4" t="str">
        <f>IF(OR(AND(Customers!S511&gt;0,Customers!T511=0),AND(Customers!S511=0,Customers!T511&gt;0)),"Mortgage/payment inconsistent","")</f>
        <v/>
      </c>
      <c r="H511" s="4" t="str">
        <f>IF(AND(Customers!G511&lt;&gt;"",Customers!G511&gt;0,Customers!T511&gt;Customers!G511/12),"Payment &gt; monthly income","")</f>
        <v/>
      </c>
      <c r="I511" s="4" t="str">
        <f>IF(OR(Customers!I511&gt;DATE(2026,9,13),YEAR(Customers!I511)&lt;1980),"Implausible date","")</f>
        <v/>
      </c>
      <c r="J511" s="4" t="str">
        <f>IF(Customers!I511&gt;DATE(2026,9,13),"",IF(ABS(INT((DATE(2026,9,13)-Customers!I511)/365.25)-Customers!H511)&gt;1,"Date/tenure inconsistent",""))</f>
        <v/>
      </c>
      <c r="K511" s="4" t="str">
        <f>IF(COUNTIF(Customers!$A$2:$A$1001,Customers!A511)&gt;1,"Duplicate ID","")</f>
        <v/>
      </c>
      <c r="L511" s="4" t="str">
        <f>IF(COUNTIFS(Customers!$B$2:$B$1001,Customers!B511,Customers!$D$2:$D$1001,Customers!D511,Customers!$G$2:$G$1001,Customers!G511,Customers!$I$2:$I$1001,Customers!I511,Customers!$L$2:$L$1001,Customers!L511)&gt;1,"Duplicate record","")</f>
        <v/>
      </c>
      <c r="M511" s="4" t="str">
        <f>IF(OR(Customers!U511&lt;300,Customers!U511&gt;850),"Score out of range","")</f>
        <v/>
      </c>
      <c r="N511" s="4" t="str">
        <f>IF(AND(Customers!G511&lt;&gt;"",Customers!G511&lt;=0),"Income ≤ 0","")</f>
        <v/>
      </c>
      <c r="O511" s="4" t="str">
        <f>IF(OR(Customers!G511="",Customers!M511=""),"Missing value","")</f>
        <v/>
      </c>
      <c r="P511" s="4">
        <f t="shared" si="7"/>
        <v>0</v>
      </c>
    </row>
    <row r="512" spans="1:16" x14ac:dyDescent="0.25">
      <c r="A512" s="4" t="str">
        <f>Customers!A512</f>
        <v>CL00506</v>
      </c>
      <c r="B512" s="20">
        <f>IF(Customers!G512="","",(Customers!G512-Statistics!$C$7)/Statistics!$C$9)</f>
        <v>1.6074529866288323E-2</v>
      </c>
      <c r="C512" s="4" t="str">
        <f>IF(Customers!G512="","",IF(OR(Customers!G512&lt;Statistics!$C$15,Customers!G512&gt;Statistics!$C$16),"Outside 1.5·IQR",""))</f>
        <v>Outside 1.5·IQR</v>
      </c>
      <c r="D512" s="4" t="str">
        <f>IF(OR(Customers!B512&lt;18,Customers!B512&gt;100),"Implausible age","")</f>
        <v/>
      </c>
      <c r="E512" s="4" t="str">
        <f>IF(Customers!H512&gt;Customers!B512-18,"Tenure &gt; age-18","")</f>
        <v/>
      </c>
      <c r="F512" s="4" t="str">
        <f>IF(Customers!R512&gt;Customers!Q512,"Card spend &gt; limit","")</f>
        <v/>
      </c>
      <c r="G512" s="4" t="str">
        <f>IF(OR(AND(Customers!S512&gt;0,Customers!T512=0),AND(Customers!S512=0,Customers!T512&gt;0)),"Mortgage/payment inconsistent","")</f>
        <v/>
      </c>
      <c r="H512" s="4" t="str">
        <f>IF(AND(Customers!G512&lt;&gt;"",Customers!G512&gt;0,Customers!T512&gt;Customers!G512/12),"Payment &gt; monthly income","")</f>
        <v/>
      </c>
      <c r="I512" s="4" t="str">
        <f>IF(OR(Customers!I512&gt;DATE(2026,9,13),YEAR(Customers!I512)&lt;1980),"Implausible date","")</f>
        <v/>
      </c>
      <c r="J512" s="4" t="str">
        <f>IF(Customers!I512&gt;DATE(2026,9,13),"",IF(ABS(INT((DATE(2026,9,13)-Customers!I512)/365.25)-Customers!H512)&gt;1,"Date/tenure inconsistent",""))</f>
        <v/>
      </c>
      <c r="K512" s="4" t="str">
        <f>IF(COUNTIF(Customers!$A$2:$A$1001,Customers!A512)&gt;1,"Duplicate ID","")</f>
        <v/>
      </c>
      <c r="L512" s="4" t="str">
        <f>IF(COUNTIFS(Customers!$B$2:$B$1001,Customers!B512,Customers!$D$2:$D$1001,Customers!D512,Customers!$G$2:$G$1001,Customers!G512,Customers!$I$2:$I$1001,Customers!I512,Customers!$L$2:$L$1001,Customers!L512)&gt;1,"Duplicate record","")</f>
        <v/>
      </c>
      <c r="M512" s="4" t="str">
        <f>IF(OR(Customers!U512&lt;300,Customers!U512&gt;850),"Score out of range","")</f>
        <v/>
      </c>
      <c r="N512" s="4" t="str">
        <f>IF(AND(Customers!G512&lt;&gt;"",Customers!G512&lt;=0),"Income ≤ 0","")</f>
        <v/>
      </c>
      <c r="O512" s="4" t="str">
        <f>IF(OR(Customers!G512="",Customers!M512=""),"Missing value","")</f>
        <v>Missing value</v>
      </c>
      <c r="P512" s="4">
        <f t="shared" si="7"/>
        <v>2</v>
      </c>
    </row>
    <row r="513" spans="1:16" x14ac:dyDescent="0.25">
      <c r="A513" s="4" t="str">
        <f>Customers!A513</f>
        <v>CL00507</v>
      </c>
      <c r="B513" s="20">
        <f>IF(Customers!G513="","",(Customers!G513-Statistics!$C$7)/Statistics!$C$9)</f>
        <v>-6.6757528530182006E-2</v>
      </c>
      <c r="C513" s="4" t="str">
        <f>IF(Customers!G513="","",IF(OR(Customers!G513&lt;Statistics!$C$15,Customers!G513&gt;Statistics!$C$16),"Outside 1.5·IQR",""))</f>
        <v/>
      </c>
      <c r="D513" s="4" t="str">
        <f>IF(OR(Customers!B513&lt;18,Customers!B513&gt;100),"Implausible age","")</f>
        <v/>
      </c>
      <c r="E513" s="4" t="str">
        <f>IF(Customers!H513&gt;Customers!B513-18,"Tenure &gt; age-18","")</f>
        <v/>
      </c>
      <c r="F513" s="4" t="str">
        <f>IF(Customers!R513&gt;Customers!Q513,"Card spend &gt; limit","")</f>
        <v/>
      </c>
      <c r="G513" s="4" t="str">
        <f>IF(OR(AND(Customers!S513&gt;0,Customers!T513=0),AND(Customers!S513=0,Customers!T513&gt;0)),"Mortgage/payment inconsistent","")</f>
        <v/>
      </c>
      <c r="H513" s="4" t="str">
        <f>IF(AND(Customers!G513&lt;&gt;"",Customers!G513&gt;0,Customers!T513&gt;Customers!G513/12),"Payment &gt; monthly income","")</f>
        <v/>
      </c>
      <c r="I513" s="4" t="str">
        <f>IF(OR(Customers!I513&gt;DATE(2026,9,13),YEAR(Customers!I513)&lt;1980),"Implausible date","")</f>
        <v/>
      </c>
      <c r="J513" s="4" t="str">
        <f>IF(Customers!I513&gt;DATE(2026,9,13),"",IF(ABS(INT((DATE(2026,9,13)-Customers!I513)/365.25)-Customers!H513)&gt;1,"Date/tenure inconsistent",""))</f>
        <v/>
      </c>
      <c r="K513" s="4" t="str">
        <f>IF(COUNTIF(Customers!$A$2:$A$1001,Customers!A513)&gt;1,"Duplicate ID","")</f>
        <v/>
      </c>
      <c r="L513" s="4" t="str">
        <f>IF(COUNTIFS(Customers!$B$2:$B$1001,Customers!B513,Customers!$D$2:$D$1001,Customers!D513,Customers!$G$2:$G$1001,Customers!G513,Customers!$I$2:$I$1001,Customers!I513,Customers!$L$2:$L$1001,Customers!L513)&gt;1,"Duplicate record","")</f>
        <v/>
      </c>
      <c r="M513" s="4" t="str">
        <f>IF(OR(Customers!U513&lt;300,Customers!U513&gt;850),"Score out of range","")</f>
        <v/>
      </c>
      <c r="N513" s="4" t="str">
        <f>IF(AND(Customers!G513&lt;&gt;"",Customers!G513&lt;=0),"Income ≤ 0","")</f>
        <v/>
      </c>
      <c r="O513" s="4" t="str">
        <f>IF(OR(Customers!G513="",Customers!M513=""),"Missing value","")</f>
        <v/>
      </c>
      <c r="P513" s="4">
        <f t="shared" si="7"/>
        <v>0</v>
      </c>
    </row>
    <row r="514" spans="1:16" x14ac:dyDescent="0.25">
      <c r="A514" s="4" t="str">
        <f>Customers!A514</f>
        <v>CL00508</v>
      </c>
      <c r="B514" s="20">
        <f>IF(Customers!G514="","",(Customers!G514-Statistics!$C$7)/Statistics!$C$9)</f>
        <v>-4.2134443394489282E-2</v>
      </c>
      <c r="C514" s="4" t="str">
        <f>IF(Customers!G514="","",IF(OR(Customers!G514&lt;Statistics!$C$15,Customers!G514&gt;Statistics!$C$16),"Outside 1.5·IQR",""))</f>
        <v/>
      </c>
      <c r="D514" s="4" t="str">
        <f>IF(OR(Customers!B514&lt;18,Customers!B514&gt;100),"Implausible age","")</f>
        <v/>
      </c>
      <c r="E514" s="4" t="str">
        <f>IF(Customers!H514&gt;Customers!B514-18,"Tenure &gt; age-18","")</f>
        <v/>
      </c>
      <c r="F514" s="4" t="str">
        <f>IF(Customers!R514&gt;Customers!Q514,"Card spend &gt; limit","")</f>
        <v/>
      </c>
      <c r="G514" s="4" t="str">
        <f>IF(OR(AND(Customers!S514&gt;0,Customers!T514=0),AND(Customers!S514=0,Customers!T514&gt;0)),"Mortgage/payment inconsistent","")</f>
        <v/>
      </c>
      <c r="H514" s="4" t="str">
        <f>IF(AND(Customers!G514&lt;&gt;"",Customers!G514&gt;0,Customers!T514&gt;Customers!G514/12),"Payment &gt; monthly income","")</f>
        <v/>
      </c>
      <c r="I514" s="4" t="str">
        <f>IF(OR(Customers!I514&gt;DATE(2026,9,13),YEAR(Customers!I514)&lt;1980),"Implausible date","")</f>
        <v/>
      </c>
      <c r="J514" s="4" t="str">
        <f>IF(Customers!I514&gt;DATE(2026,9,13),"",IF(ABS(INT((DATE(2026,9,13)-Customers!I514)/365.25)-Customers!H514)&gt;1,"Date/tenure inconsistent",""))</f>
        <v/>
      </c>
      <c r="K514" s="4" t="str">
        <f>IF(COUNTIF(Customers!$A$2:$A$1001,Customers!A514)&gt;1,"Duplicate ID","")</f>
        <v/>
      </c>
      <c r="L514" s="4" t="str">
        <f>IF(COUNTIFS(Customers!$B$2:$B$1001,Customers!B514,Customers!$D$2:$D$1001,Customers!D514,Customers!$G$2:$G$1001,Customers!G514,Customers!$I$2:$I$1001,Customers!I514,Customers!$L$2:$L$1001,Customers!L514)&gt;1,"Duplicate record","")</f>
        <v/>
      </c>
      <c r="M514" s="4" t="str">
        <f>IF(OR(Customers!U514&lt;300,Customers!U514&gt;850),"Score out of range","")</f>
        <v/>
      </c>
      <c r="N514" s="4" t="str">
        <f>IF(AND(Customers!G514&lt;&gt;"",Customers!G514&lt;=0),"Income ≤ 0","")</f>
        <v/>
      </c>
      <c r="O514" s="4" t="str">
        <f>IF(OR(Customers!G514="",Customers!M514=""),"Missing value","")</f>
        <v/>
      </c>
      <c r="P514" s="4">
        <f t="shared" ref="P514:P577" si="8">SUMPRODUCT(--(C514:O514&lt;&gt;""))</f>
        <v>0</v>
      </c>
    </row>
    <row r="515" spans="1:16" x14ac:dyDescent="0.25">
      <c r="A515" s="4" t="str">
        <f>Customers!A515</f>
        <v>CL00509</v>
      </c>
      <c r="B515" s="20">
        <f>IF(Customers!G515="","",(Customers!G515-Statistics!$C$7)/Statistics!$C$9)</f>
        <v>-4.0066104243091087E-2</v>
      </c>
      <c r="C515" s="4" t="str">
        <f>IF(Customers!G515="","",IF(OR(Customers!G515&lt;Statistics!$C$15,Customers!G515&gt;Statistics!$C$16),"Outside 1.5·IQR",""))</f>
        <v/>
      </c>
      <c r="D515" s="4" t="str">
        <f>IF(OR(Customers!B515&lt;18,Customers!B515&gt;100),"Implausible age","")</f>
        <v/>
      </c>
      <c r="E515" s="4" t="str">
        <f>IF(Customers!H515&gt;Customers!B515-18,"Tenure &gt; age-18","")</f>
        <v/>
      </c>
      <c r="F515" s="4" t="str">
        <f>IF(Customers!R515&gt;Customers!Q515,"Card spend &gt; limit","")</f>
        <v/>
      </c>
      <c r="G515" s="4" t="str">
        <f>IF(OR(AND(Customers!S515&gt;0,Customers!T515=0),AND(Customers!S515=0,Customers!T515&gt;0)),"Mortgage/payment inconsistent","")</f>
        <v/>
      </c>
      <c r="H515" s="4" t="str">
        <f>IF(AND(Customers!G515&lt;&gt;"",Customers!G515&gt;0,Customers!T515&gt;Customers!G515/12),"Payment &gt; monthly income","")</f>
        <v/>
      </c>
      <c r="I515" s="4" t="str">
        <f>IF(OR(Customers!I515&gt;DATE(2026,9,13),YEAR(Customers!I515)&lt;1980),"Implausible date","")</f>
        <v/>
      </c>
      <c r="J515" s="4" t="str">
        <f>IF(Customers!I515&gt;DATE(2026,9,13),"",IF(ABS(INT((DATE(2026,9,13)-Customers!I515)/365.25)-Customers!H515)&gt;1,"Date/tenure inconsistent",""))</f>
        <v/>
      </c>
      <c r="K515" s="4" t="str">
        <f>IF(COUNTIF(Customers!$A$2:$A$1001,Customers!A515)&gt;1,"Duplicate ID","")</f>
        <v/>
      </c>
      <c r="L515" s="4" t="str">
        <f>IF(COUNTIFS(Customers!$B$2:$B$1001,Customers!B515,Customers!$D$2:$D$1001,Customers!D515,Customers!$G$2:$G$1001,Customers!G515,Customers!$I$2:$I$1001,Customers!I515,Customers!$L$2:$L$1001,Customers!L515)&gt;1,"Duplicate record","")</f>
        <v/>
      </c>
      <c r="M515" s="4" t="str">
        <f>IF(OR(Customers!U515&lt;300,Customers!U515&gt;850),"Score out of range","")</f>
        <v/>
      </c>
      <c r="N515" s="4" t="str">
        <f>IF(AND(Customers!G515&lt;&gt;"",Customers!G515&lt;=0),"Income ≤ 0","")</f>
        <v/>
      </c>
      <c r="O515" s="4" t="str">
        <f>IF(OR(Customers!G515="",Customers!M515=""),"Missing value","")</f>
        <v/>
      </c>
      <c r="P515" s="4">
        <f t="shared" si="8"/>
        <v>0</v>
      </c>
    </row>
    <row r="516" spans="1:16" x14ac:dyDescent="0.25">
      <c r="A516" s="4" t="str">
        <f>Customers!A516</f>
        <v>CL00510</v>
      </c>
      <c r="B516" s="20">
        <f>IF(Customers!G516="","",(Customers!G516-Statistics!$C$7)/Statistics!$C$9)</f>
        <v>-4.3119366799916986E-2</v>
      </c>
      <c r="C516" s="4" t="str">
        <f>IF(Customers!G516="","",IF(OR(Customers!G516&lt;Statistics!$C$15,Customers!G516&gt;Statistics!$C$16),"Outside 1.5·IQR",""))</f>
        <v/>
      </c>
      <c r="D516" s="4" t="str">
        <f>IF(OR(Customers!B516&lt;18,Customers!B516&gt;100),"Implausible age","")</f>
        <v/>
      </c>
      <c r="E516" s="4" t="str">
        <f>IF(Customers!H516&gt;Customers!B516-18,"Tenure &gt; age-18","")</f>
        <v/>
      </c>
      <c r="F516" s="4" t="str">
        <f>IF(Customers!R516&gt;Customers!Q516,"Card spend &gt; limit","")</f>
        <v/>
      </c>
      <c r="G516" s="4" t="str">
        <f>IF(OR(AND(Customers!S516&gt;0,Customers!T516=0),AND(Customers!S516=0,Customers!T516&gt;0)),"Mortgage/payment inconsistent","")</f>
        <v/>
      </c>
      <c r="H516" s="4" t="str">
        <f>IF(AND(Customers!G516&lt;&gt;"",Customers!G516&gt;0,Customers!T516&gt;Customers!G516/12),"Payment &gt; monthly income","")</f>
        <v/>
      </c>
      <c r="I516" s="4" t="str">
        <f>IF(OR(Customers!I516&gt;DATE(2026,9,13),YEAR(Customers!I516)&lt;1980),"Implausible date","")</f>
        <v/>
      </c>
      <c r="J516" s="4" t="str">
        <f>IF(Customers!I516&gt;DATE(2026,9,13),"",IF(ABS(INT((DATE(2026,9,13)-Customers!I516)/365.25)-Customers!H516)&gt;1,"Date/tenure inconsistent",""))</f>
        <v/>
      </c>
      <c r="K516" s="4" t="str">
        <f>IF(COUNTIF(Customers!$A$2:$A$1001,Customers!A516)&gt;1,"Duplicate ID","")</f>
        <v/>
      </c>
      <c r="L516" s="4" t="str">
        <f>IF(COUNTIFS(Customers!$B$2:$B$1001,Customers!B516,Customers!$D$2:$D$1001,Customers!D516,Customers!$G$2:$G$1001,Customers!G516,Customers!$I$2:$I$1001,Customers!I516,Customers!$L$2:$L$1001,Customers!L516)&gt;1,"Duplicate record","")</f>
        <v/>
      </c>
      <c r="M516" s="4" t="str">
        <f>IF(OR(Customers!U516&lt;300,Customers!U516&gt;850),"Score out of range","")</f>
        <v/>
      </c>
      <c r="N516" s="4" t="str">
        <f>IF(AND(Customers!G516&lt;&gt;"",Customers!G516&lt;=0),"Income ≤ 0","")</f>
        <v/>
      </c>
      <c r="O516" s="4" t="str">
        <f>IF(OR(Customers!G516="",Customers!M516=""),"Missing value","")</f>
        <v/>
      </c>
      <c r="P516" s="4">
        <f t="shared" si="8"/>
        <v>0</v>
      </c>
    </row>
    <row r="517" spans="1:16" x14ac:dyDescent="0.25">
      <c r="A517" s="4" t="str">
        <f>Customers!A517</f>
        <v>CL00511</v>
      </c>
      <c r="B517" s="20">
        <f>IF(Customers!G517="","",(Customers!G517-Statistics!$C$7)/Statistics!$C$9)</f>
        <v>-5.2082169789309136E-2</v>
      </c>
      <c r="C517" s="4" t="str">
        <f>IF(Customers!G517="","",IF(OR(Customers!G517&lt;Statistics!$C$15,Customers!G517&gt;Statistics!$C$16),"Outside 1.5·IQR",""))</f>
        <v/>
      </c>
      <c r="D517" s="4" t="str">
        <f>IF(OR(Customers!B517&lt;18,Customers!B517&gt;100),"Implausible age","")</f>
        <v/>
      </c>
      <c r="E517" s="4" t="str">
        <f>IF(Customers!H517&gt;Customers!B517-18,"Tenure &gt; age-18","")</f>
        <v/>
      </c>
      <c r="F517" s="4" t="str">
        <f>IF(Customers!R517&gt;Customers!Q517,"Card spend &gt; limit","")</f>
        <v/>
      </c>
      <c r="G517" s="4" t="str">
        <f>IF(OR(AND(Customers!S517&gt;0,Customers!T517=0),AND(Customers!S517=0,Customers!T517&gt;0)),"Mortgage/payment inconsistent","")</f>
        <v/>
      </c>
      <c r="H517" s="4" t="str">
        <f>IF(AND(Customers!G517&lt;&gt;"",Customers!G517&gt;0,Customers!T517&gt;Customers!G517/12),"Payment &gt; monthly income","")</f>
        <v/>
      </c>
      <c r="I517" s="4" t="str">
        <f>IF(OR(Customers!I517&gt;DATE(2026,9,13),YEAR(Customers!I517)&lt;1980),"Implausible date","")</f>
        <v/>
      </c>
      <c r="J517" s="4" t="str">
        <f>IF(Customers!I517&gt;DATE(2026,9,13),"",IF(ABS(INT((DATE(2026,9,13)-Customers!I517)/365.25)-Customers!H517)&gt;1,"Date/tenure inconsistent",""))</f>
        <v/>
      </c>
      <c r="K517" s="4" t="str">
        <f>IF(COUNTIF(Customers!$A$2:$A$1001,Customers!A517)&gt;1,"Duplicate ID","")</f>
        <v/>
      </c>
      <c r="L517" s="4" t="str">
        <f>IF(COUNTIFS(Customers!$B$2:$B$1001,Customers!B517,Customers!$D$2:$D$1001,Customers!D517,Customers!$G$2:$G$1001,Customers!G517,Customers!$I$2:$I$1001,Customers!I517,Customers!$L$2:$L$1001,Customers!L517)&gt;1,"Duplicate record","")</f>
        <v/>
      </c>
      <c r="M517" s="4" t="str">
        <f>IF(OR(Customers!U517&lt;300,Customers!U517&gt;850),"Score out of range","")</f>
        <v/>
      </c>
      <c r="N517" s="4" t="str">
        <f>IF(AND(Customers!G517&lt;&gt;"",Customers!G517&lt;=0),"Income ≤ 0","")</f>
        <v/>
      </c>
      <c r="O517" s="4" t="str">
        <f>IF(OR(Customers!G517="",Customers!M517=""),"Missing value","")</f>
        <v/>
      </c>
      <c r="P517" s="4">
        <f t="shared" si="8"/>
        <v>0</v>
      </c>
    </row>
    <row r="518" spans="1:16" x14ac:dyDescent="0.25">
      <c r="A518" s="4" t="str">
        <f>Customers!A518</f>
        <v>CL00512</v>
      </c>
      <c r="B518" s="20">
        <f>IF(Customers!G518="","",(Customers!G518-Statistics!$C$7)/Statistics!$C$9)</f>
        <v>-3.8391734453863985E-2</v>
      </c>
      <c r="C518" s="4" t="str">
        <f>IF(Customers!G518="","",IF(OR(Customers!G518&lt;Statistics!$C$15,Customers!G518&gt;Statistics!$C$16),"Outside 1.5·IQR",""))</f>
        <v/>
      </c>
      <c r="D518" s="4" t="str">
        <f>IF(OR(Customers!B518&lt;18,Customers!B518&gt;100),"Implausible age","")</f>
        <v/>
      </c>
      <c r="E518" s="4" t="str">
        <f>IF(Customers!H518&gt;Customers!B518-18,"Tenure &gt; age-18","")</f>
        <v/>
      </c>
      <c r="F518" s="4" t="str">
        <f>IF(Customers!R518&gt;Customers!Q518,"Card spend &gt; limit","")</f>
        <v/>
      </c>
      <c r="G518" s="4" t="str">
        <f>IF(OR(AND(Customers!S518&gt;0,Customers!T518=0),AND(Customers!S518=0,Customers!T518&gt;0)),"Mortgage/payment inconsistent","")</f>
        <v/>
      </c>
      <c r="H518" s="4" t="str">
        <f>IF(AND(Customers!G518&lt;&gt;"",Customers!G518&gt;0,Customers!T518&gt;Customers!G518/12),"Payment &gt; monthly income","")</f>
        <v/>
      </c>
      <c r="I518" s="4" t="str">
        <f>IF(OR(Customers!I518&gt;DATE(2026,9,13),YEAR(Customers!I518)&lt;1980),"Implausible date","")</f>
        <v/>
      </c>
      <c r="J518" s="4" t="str">
        <f>IF(Customers!I518&gt;DATE(2026,9,13),"",IF(ABS(INT((DATE(2026,9,13)-Customers!I518)/365.25)-Customers!H518)&gt;1,"Date/tenure inconsistent",""))</f>
        <v/>
      </c>
      <c r="K518" s="4" t="str">
        <f>IF(COUNTIF(Customers!$A$2:$A$1001,Customers!A518)&gt;1,"Duplicate ID","")</f>
        <v/>
      </c>
      <c r="L518" s="4" t="str">
        <f>IF(COUNTIFS(Customers!$B$2:$B$1001,Customers!B518,Customers!$D$2:$D$1001,Customers!D518,Customers!$G$2:$G$1001,Customers!G518,Customers!$I$2:$I$1001,Customers!I518,Customers!$L$2:$L$1001,Customers!L518)&gt;1,"Duplicate record","")</f>
        <v/>
      </c>
      <c r="M518" s="4" t="str">
        <f>IF(OR(Customers!U518&lt;300,Customers!U518&gt;850),"Score out of range","")</f>
        <v/>
      </c>
      <c r="N518" s="4" t="str">
        <f>IF(AND(Customers!G518&lt;&gt;"",Customers!G518&lt;=0),"Income ≤ 0","")</f>
        <v/>
      </c>
      <c r="O518" s="4" t="str">
        <f>IF(OR(Customers!G518="",Customers!M518=""),"Missing value","")</f>
        <v/>
      </c>
      <c r="P518" s="4">
        <f t="shared" si="8"/>
        <v>0</v>
      </c>
    </row>
    <row r="519" spans="1:16" x14ac:dyDescent="0.25">
      <c r="A519" s="4" t="str">
        <f>Customers!A519</f>
        <v>CL00513</v>
      </c>
      <c r="B519" s="20">
        <f>IF(Customers!G519="","",(Customers!G519-Statistics!$C$7)/Statistics!$C$9)</f>
        <v>-4.6566598718913971E-2</v>
      </c>
      <c r="C519" s="4" t="str">
        <f>IF(Customers!G519="","",IF(OR(Customers!G519&lt;Statistics!$C$15,Customers!G519&gt;Statistics!$C$16),"Outside 1.5·IQR",""))</f>
        <v/>
      </c>
      <c r="D519" s="4" t="str">
        <f>IF(OR(Customers!B519&lt;18,Customers!B519&gt;100),"Implausible age","")</f>
        <v/>
      </c>
      <c r="E519" s="4" t="str">
        <f>IF(Customers!H519&gt;Customers!B519-18,"Tenure &gt; age-18","")</f>
        <v/>
      </c>
      <c r="F519" s="4" t="str">
        <f>IF(Customers!R519&gt;Customers!Q519,"Card spend &gt; limit","")</f>
        <v/>
      </c>
      <c r="G519" s="4" t="str">
        <f>IF(OR(AND(Customers!S519&gt;0,Customers!T519=0),AND(Customers!S519=0,Customers!T519&gt;0)),"Mortgage/payment inconsistent","")</f>
        <v/>
      </c>
      <c r="H519" s="4" t="str">
        <f>IF(AND(Customers!G519&lt;&gt;"",Customers!G519&gt;0,Customers!T519&gt;Customers!G519/12),"Payment &gt; monthly income","")</f>
        <v/>
      </c>
      <c r="I519" s="4" t="str">
        <f>IF(OR(Customers!I519&gt;DATE(2026,9,13),YEAR(Customers!I519)&lt;1980),"Implausible date","")</f>
        <v/>
      </c>
      <c r="J519" s="4" t="str">
        <f>IF(Customers!I519&gt;DATE(2026,9,13),"",IF(ABS(INT((DATE(2026,9,13)-Customers!I519)/365.25)-Customers!H519)&gt;1,"Date/tenure inconsistent",""))</f>
        <v/>
      </c>
      <c r="K519" s="4" t="str">
        <f>IF(COUNTIF(Customers!$A$2:$A$1001,Customers!A519)&gt;1,"Duplicate ID","")</f>
        <v/>
      </c>
      <c r="L519" s="4" t="str">
        <f>IF(COUNTIFS(Customers!$B$2:$B$1001,Customers!B519,Customers!$D$2:$D$1001,Customers!D519,Customers!$G$2:$G$1001,Customers!G519,Customers!$I$2:$I$1001,Customers!I519,Customers!$L$2:$L$1001,Customers!L519)&gt;1,"Duplicate record","")</f>
        <v/>
      </c>
      <c r="M519" s="4" t="str">
        <f>IF(OR(Customers!U519&lt;300,Customers!U519&gt;850),"Score out of range","")</f>
        <v/>
      </c>
      <c r="N519" s="4" t="str">
        <f>IF(AND(Customers!G519&lt;&gt;"",Customers!G519&lt;=0),"Income ≤ 0","")</f>
        <v/>
      </c>
      <c r="O519" s="4" t="str">
        <f>IF(OR(Customers!G519="",Customers!M519=""),"Missing value","")</f>
        <v/>
      </c>
      <c r="P519" s="4">
        <f t="shared" si="8"/>
        <v>0</v>
      </c>
    </row>
    <row r="520" spans="1:16" x14ac:dyDescent="0.25">
      <c r="A520" s="4" t="str">
        <f>Customers!A520</f>
        <v>CL00514</v>
      </c>
      <c r="B520" s="20">
        <f>IF(Customers!G520="","",(Customers!G520-Statistics!$C$7)/Statistics!$C$9)</f>
        <v>-5.198367744876637E-2</v>
      </c>
      <c r="C520" s="4" t="str">
        <f>IF(Customers!G520="","",IF(OR(Customers!G520&lt;Statistics!$C$15,Customers!G520&gt;Statistics!$C$16),"Outside 1.5·IQR",""))</f>
        <v/>
      </c>
      <c r="D520" s="4" t="str">
        <f>IF(OR(Customers!B520&lt;18,Customers!B520&gt;100),"Implausible age","")</f>
        <v/>
      </c>
      <c r="E520" s="4" t="str">
        <f>IF(Customers!H520&gt;Customers!B520-18,"Tenure &gt; age-18","")</f>
        <v/>
      </c>
      <c r="F520" s="4" t="str">
        <f>IF(Customers!R520&gt;Customers!Q520,"Card spend &gt; limit","")</f>
        <v/>
      </c>
      <c r="G520" s="4" t="str">
        <f>IF(OR(AND(Customers!S520&gt;0,Customers!T520=0),AND(Customers!S520=0,Customers!T520&gt;0)),"Mortgage/payment inconsistent","")</f>
        <v/>
      </c>
      <c r="H520" s="4" t="str">
        <f>IF(AND(Customers!G520&lt;&gt;"",Customers!G520&gt;0,Customers!T520&gt;Customers!G520/12),"Payment &gt; monthly income","")</f>
        <v/>
      </c>
      <c r="I520" s="4" t="str">
        <f>IF(OR(Customers!I520&gt;DATE(2026,9,13),YEAR(Customers!I520)&lt;1980),"Implausible date","")</f>
        <v/>
      </c>
      <c r="J520" s="4" t="str">
        <f>IF(Customers!I520&gt;DATE(2026,9,13),"",IF(ABS(INT((DATE(2026,9,13)-Customers!I520)/365.25)-Customers!H520)&gt;1,"Date/tenure inconsistent",""))</f>
        <v/>
      </c>
      <c r="K520" s="4" t="str">
        <f>IF(COUNTIF(Customers!$A$2:$A$1001,Customers!A520)&gt;1,"Duplicate ID","")</f>
        <v/>
      </c>
      <c r="L520" s="4" t="str">
        <f>IF(COUNTIFS(Customers!$B$2:$B$1001,Customers!B520,Customers!$D$2:$D$1001,Customers!D520,Customers!$G$2:$G$1001,Customers!G520,Customers!$I$2:$I$1001,Customers!I520,Customers!$L$2:$L$1001,Customers!L520)&gt;1,"Duplicate record","")</f>
        <v/>
      </c>
      <c r="M520" s="4" t="str">
        <f>IF(OR(Customers!U520&lt;300,Customers!U520&gt;850),"Score out of range","")</f>
        <v>Score out of range</v>
      </c>
      <c r="N520" s="4" t="str">
        <f>IF(AND(Customers!G520&lt;&gt;"",Customers!G520&lt;=0),"Income ≤ 0","")</f>
        <v/>
      </c>
      <c r="O520" s="4" t="str">
        <f>IF(OR(Customers!G520="",Customers!M520=""),"Missing value","")</f>
        <v/>
      </c>
      <c r="P520" s="4">
        <f t="shared" si="8"/>
        <v>1</v>
      </c>
    </row>
    <row r="521" spans="1:16" x14ac:dyDescent="0.25">
      <c r="A521" s="4" t="str">
        <f>Customers!A521</f>
        <v>CL00515</v>
      </c>
      <c r="B521" s="20">
        <f>IF(Customers!G521="","",(Customers!G521-Statistics!$C$7)/Statistics!$C$9)</f>
        <v>-5.4938447665049496E-2</v>
      </c>
      <c r="C521" s="4" t="str">
        <f>IF(Customers!G521="","",IF(OR(Customers!G521&lt;Statistics!$C$15,Customers!G521&gt;Statistics!$C$16),"Outside 1.5·IQR",""))</f>
        <v/>
      </c>
      <c r="D521" s="4" t="str">
        <f>IF(OR(Customers!B521&lt;18,Customers!B521&gt;100),"Implausible age","")</f>
        <v/>
      </c>
      <c r="E521" s="4" t="str">
        <f>IF(Customers!H521&gt;Customers!B521-18,"Tenure &gt; age-18","")</f>
        <v/>
      </c>
      <c r="F521" s="4" t="str">
        <f>IF(Customers!R521&gt;Customers!Q521,"Card spend &gt; limit","")</f>
        <v/>
      </c>
      <c r="G521" s="4" t="str">
        <f>IF(OR(AND(Customers!S521&gt;0,Customers!T521=0),AND(Customers!S521=0,Customers!T521&gt;0)),"Mortgage/payment inconsistent","")</f>
        <v/>
      </c>
      <c r="H521" s="4" t="str">
        <f>IF(AND(Customers!G521&lt;&gt;"",Customers!G521&gt;0,Customers!T521&gt;Customers!G521/12),"Payment &gt; monthly income","")</f>
        <v/>
      </c>
      <c r="I521" s="4" t="str">
        <f>IF(OR(Customers!I521&gt;DATE(2026,9,13),YEAR(Customers!I521)&lt;1980),"Implausible date","")</f>
        <v/>
      </c>
      <c r="J521" s="4" t="str">
        <f>IF(Customers!I521&gt;DATE(2026,9,13),"",IF(ABS(INT((DATE(2026,9,13)-Customers!I521)/365.25)-Customers!H521)&gt;1,"Date/tenure inconsistent",""))</f>
        <v/>
      </c>
      <c r="K521" s="4" t="str">
        <f>IF(COUNTIF(Customers!$A$2:$A$1001,Customers!A521)&gt;1,"Duplicate ID","")</f>
        <v/>
      </c>
      <c r="L521" s="4" t="str">
        <f>IF(COUNTIFS(Customers!$B$2:$B$1001,Customers!B521,Customers!$D$2:$D$1001,Customers!D521,Customers!$G$2:$G$1001,Customers!G521,Customers!$I$2:$I$1001,Customers!I521,Customers!$L$2:$L$1001,Customers!L521)&gt;1,"Duplicate record","")</f>
        <v/>
      </c>
      <c r="M521" s="4" t="str">
        <f>IF(OR(Customers!U521&lt;300,Customers!U521&gt;850),"Score out of range","")</f>
        <v/>
      </c>
      <c r="N521" s="4" t="str">
        <f>IF(AND(Customers!G521&lt;&gt;"",Customers!G521&lt;=0),"Income ≤ 0","")</f>
        <v/>
      </c>
      <c r="O521" s="4" t="str">
        <f>IF(OR(Customers!G521="",Customers!M521=""),"Missing value","")</f>
        <v/>
      </c>
      <c r="P521" s="4">
        <f t="shared" si="8"/>
        <v>0</v>
      </c>
    </row>
    <row r="522" spans="1:16" x14ac:dyDescent="0.25">
      <c r="A522" s="4" t="str">
        <f>Customers!A522</f>
        <v>CL00516</v>
      </c>
      <c r="B522" s="20">
        <f>IF(Customers!G522="","",(Customers!G522-Statistics!$C$7)/Statistics!$C$9)</f>
        <v>-4.5778659994571799E-2</v>
      </c>
      <c r="C522" s="4" t="str">
        <f>IF(Customers!G522="","",IF(OR(Customers!G522&lt;Statistics!$C$15,Customers!G522&gt;Statistics!$C$16),"Outside 1.5·IQR",""))</f>
        <v/>
      </c>
      <c r="D522" s="4" t="str">
        <f>IF(OR(Customers!B522&lt;18,Customers!B522&gt;100),"Implausible age","")</f>
        <v/>
      </c>
      <c r="E522" s="4" t="str">
        <f>IF(Customers!H522&gt;Customers!B522-18,"Tenure &gt; age-18","")</f>
        <v/>
      </c>
      <c r="F522" s="4" t="str">
        <f>IF(Customers!R522&gt;Customers!Q522,"Card spend &gt; limit","")</f>
        <v/>
      </c>
      <c r="G522" s="4" t="str">
        <f>IF(OR(AND(Customers!S522&gt;0,Customers!T522=0),AND(Customers!S522=0,Customers!T522&gt;0)),"Mortgage/payment inconsistent","")</f>
        <v/>
      </c>
      <c r="H522" s="4" t="str">
        <f>IF(AND(Customers!G522&lt;&gt;"",Customers!G522&gt;0,Customers!T522&gt;Customers!G522/12),"Payment &gt; monthly income","")</f>
        <v/>
      </c>
      <c r="I522" s="4" t="str">
        <f>IF(OR(Customers!I522&gt;DATE(2026,9,13),YEAR(Customers!I522)&lt;1980),"Implausible date","")</f>
        <v/>
      </c>
      <c r="J522" s="4" t="str">
        <f>IF(Customers!I522&gt;DATE(2026,9,13),"",IF(ABS(INT((DATE(2026,9,13)-Customers!I522)/365.25)-Customers!H522)&gt;1,"Date/tenure inconsistent",""))</f>
        <v/>
      </c>
      <c r="K522" s="4" t="str">
        <f>IF(COUNTIF(Customers!$A$2:$A$1001,Customers!A522)&gt;1,"Duplicate ID","")</f>
        <v/>
      </c>
      <c r="L522" s="4" t="str">
        <f>IF(COUNTIFS(Customers!$B$2:$B$1001,Customers!B522,Customers!$D$2:$D$1001,Customers!D522,Customers!$G$2:$G$1001,Customers!G522,Customers!$I$2:$I$1001,Customers!I522,Customers!$L$2:$L$1001,Customers!L522)&gt;1,"Duplicate record","")</f>
        <v/>
      </c>
      <c r="M522" s="4" t="str">
        <f>IF(OR(Customers!U522&lt;300,Customers!U522&gt;850),"Score out of range","")</f>
        <v/>
      </c>
      <c r="N522" s="4" t="str">
        <f>IF(AND(Customers!G522&lt;&gt;"",Customers!G522&lt;=0),"Income ≤ 0","")</f>
        <v/>
      </c>
      <c r="O522" s="4" t="str">
        <f>IF(OR(Customers!G522="",Customers!M522=""),"Missing value","")</f>
        <v/>
      </c>
      <c r="P522" s="4">
        <f t="shared" si="8"/>
        <v>0</v>
      </c>
    </row>
    <row r="523" spans="1:16" x14ac:dyDescent="0.25">
      <c r="A523" s="4" t="str">
        <f>Customers!A523</f>
        <v>CL00517</v>
      </c>
      <c r="B523" s="20">
        <f>IF(Customers!G523="","",(Customers!G523-Statistics!$C$7)/Statistics!$C$9)</f>
        <v>-3.3284612206375456E-3</v>
      </c>
      <c r="C523" s="4" t="str">
        <f>IF(Customers!G523="","",IF(OR(Customers!G523&lt;Statistics!$C$15,Customers!G523&gt;Statistics!$C$16),"Outside 1.5·IQR",""))</f>
        <v/>
      </c>
      <c r="D523" s="4" t="str">
        <f>IF(OR(Customers!B523&lt;18,Customers!B523&gt;100),"Implausible age","")</f>
        <v/>
      </c>
      <c r="E523" s="4" t="str">
        <f>IF(Customers!H523&gt;Customers!B523-18,"Tenure &gt; age-18","")</f>
        <v/>
      </c>
      <c r="F523" s="4" t="str">
        <f>IF(Customers!R523&gt;Customers!Q523,"Card spend &gt; limit","")</f>
        <v/>
      </c>
      <c r="G523" s="4" t="str">
        <f>IF(OR(AND(Customers!S523&gt;0,Customers!T523=0),AND(Customers!S523=0,Customers!T523&gt;0)),"Mortgage/payment inconsistent","")</f>
        <v/>
      </c>
      <c r="H523" s="4" t="str">
        <f>IF(AND(Customers!G523&lt;&gt;"",Customers!G523&gt;0,Customers!T523&gt;Customers!G523/12),"Payment &gt; monthly income","")</f>
        <v/>
      </c>
      <c r="I523" s="4" t="str">
        <f>IF(OR(Customers!I523&gt;DATE(2026,9,13),YEAR(Customers!I523)&lt;1980),"Implausible date","")</f>
        <v/>
      </c>
      <c r="J523" s="4" t="str">
        <f>IF(Customers!I523&gt;DATE(2026,9,13),"",IF(ABS(INT((DATE(2026,9,13)-Customers!I523)/365.25)-Customers!H523)&gt;1,"Date/tenure inconsistent",""))</f>
        <v/>
      </c>
      <c r="K523" s="4" t="str">
        <f>IF(COUNTIF(Customers!$A$2:$A$1001,Customers!A523)&gt;1,"Duplicate ID","")</f>
        <v/>
      </c>
      <c r="L523" s="4" t="str">
        <f>IF(COUNTIFS(Customers!$B$2:$B$1001,Customers!B523,Customers!$D$2:$D$1001,Customers!D523,Customers!$G$2:$G$1001,Customers!G523,Customers!$I$2:$I$1001,Customers!I523,Customers!$L$2:$L$1001,Customers!L523)&gt;1,"Duplicate record","")</f>
        <v/>
      </c>
      <c r="M523" s="4" t="str">
        <f>IF(OR(Customers!U523&lt;300,Customers!U523&gt;850),"Score out of range","")</f>
        <v/>
      </c>
      <c r="N523" s="4" t="str">
        <f>IF(AND(Customers!G523&lt;&gt;"",Customers!G523&lt;=0),"Income ≤ 0","")</f>
        <v/>
      </c>
      <c r="O523" s="4" t="str">
        <f>IF(OR(Customers!G523="",Customers!M523=""),"Missing value","")</f>
        <v/>
      </c>
      <c r="P523" s="4">
        <f t="shared" si="8"/>
        <v>0</v>
      </c>
    </row>
    <row r="524" spans="1:16" x14ac:dyDescent="0.25">
      <c r="A524" s="4" t="str">
        <f>Customers!A524</f>
        <v>CL00518</v>
      </c>
      <c r="B524" s="20">
        <f>IF(Customers!G524="","",(Customers!G524-Statistics!$C$7)/Statistics!$C$9)</f>
        <v>-5.5036940005592269E-2</v>
      </c>
      <c r="C524" s="4" t="str">
        <f>IF(Customers!G524="","",IF(OR(Customers!G524&lt;Statistics!$C$15,Customers!G524&gt;Statistics!$C$16),"Outside 1.5·IQR",""))</f>
        <v/>
      </c>
      <c r="D524" s="4" t="str">
        <f>IF(OR(Customers!B524&lt;18,Customers!B524&gt;100),"Implausible age","")</f>
        <v/>
      </c>
      <c r="E524" s="4" t="str">
        <f>IF(Customers!H524&gt;Customers!B524-18,"Tenure &gt; age-18","")</f>
        <v/>
      </c>
      <c r="F524" s="4" t="str">
        <f>IF(Customers!R524&gt;Customers!Q524,"Card spend &gt; limit","")</f>
        <v/>
      </c>
      <c r="G524" s="4" t="str">
        <f>IF(OR(AND(Customers!S524&gt;0,Customers!T524=0),AND(Customers!S524=0,Customers!T524&gt;0)),"Mortgage/payment inconsistent","")</f>
        <v/>
      </c>
      <c r="H524" s="4" t="str">
        <f>IF(AND(Customers!G524&lt;&gt;"",Customers!G524&gt;0,Customers!T524&gt;Customers!G524/12),"Payment &gt; monthly income","")</f>
        <v/>
      </c>
      <c r="I524" s="4" t="str">
        <f>IF(OR(Customers!I524&gt;DATE(2026,9,13),YEAR(Customers!I524)&lt;1980),"Implausible date","")</f>
        <v/>
      </c>
      <c r="J524" s="4" t="str">
        <f>IF(Customers!I524&gt;DATE(2026,9,13),"",IF(ABS(INT((DATE(2026,9,13)-Customers!I524)/365.25)-Customers!H524)&gt;1,"Date/tenure inconsistent",""))</f>
        <v/>
      </c>
      <c r="K524" s="4" t="str">
        <f>IF(COUNTIF(Customers!$A$2:$A$1001,Customers!A524)&gt;1,"Duplicate ID","")</f>
        <v/>
      </c>
      <c r="L524" s="4" t="str">
        <f>IF(COUNTIFS(Customers!$B$2:$B$1001,Customers!B524,Customers!$D$2:$D$1001,Customers!D524,Customers!$G$2:$G$1001,Customers!G524,Customers!$I$2:$I$1001,Customers!I524,Customers!$L$2:$L$1001,Customers!L524)&gt;1,"Duplicate record","")</f>
        <v/>
      </c>
      <c r="M524" s="4" t="str">
        <f>IF(OR(Customers!U524&lt;300,Customers!U524&gt;850),"Score out of range","")</f>
        <v/>
      </c>
      <c r="N524" s="4" t="str">
        <f>IF(AND(Customers!G524&lt;&gt;"",Customers!G524&lt;=0),"Income ≤ 0","")</f>
        <v/>
      </c>
      <c r="O524" s="4" t="str">
        <f>IF(OR(Customers!G524="",Customers!M524=""),"Missing value","")</f>
        <v/>
      </c>
      <c r="P524" s="4">
        <f t="shared" si="8"/>
        <v>0</v>
      </c>
    </row>
    <row r="525" spans="1:16" x14ac:dyDescent="0.25">
      <c r="A525" s="4" t="str">
        <f>Customers!A525</f>
        <v>CL00519</v>
      </c>
      <c r="B525" s="20">
        <f>IF(Customers!G525="","",(Customers!G525-Statistics!$C$7)/Statistics!$C$9)</f>
        <v>-4.0952535307976025E-2</v>
      </c>
      <c r="C525" s="4" t="str">
        <f>IF(Customers!G525="","",IF(OR(Customers!G525&lt;Statistics!$C$15,Customers!G525&gt;Statistics!$C$16),"Outside 1.5·IQR",""))</f>
        <v/>
      </c>
      <c r="D525" s="4" t="str">
        <f>IF(OR(Customers!B525&lt;18,Customers!B525&gt;100),"Implausible age","")</f>
        <v/>
      </c>
      <c r="E525" s="4" t="str">
        <f>IF(Customers!H525&gt;Customers!B525-18,"Tenure &gt; age-18","")</f>
        <v/>
      </c>
      <c r="F525" s="4" t="str">
        <f>IF(Customers!R525&gt;Customers!Q525,"Card spend &gt; limit","")</f>
        <v/>
      </c>
      <c r="G525" s="4" t="str">
        <f>IF(OR(AND(Customers!S525&gt;0,Customers!T525=0),AND(Customers!S525=0,Customers!T525&gt;0)),"Mortgage/payment inconsistent","")</f>
        <v/>
      </c>
      <c r="H525" s="4" t="str">
        <f>IF(AND(Customers!G525&lt;&gt;"",Customers!G525&gt;0,Customers!T525&gt;Customers!G525/12),"Payment &gt; monthly income","")</f>
        <v/>
      </c>
      <c r="I525" s="4" t="str">
        <f>IF(OR(Customers!I525&gt;DATE(2026,9,13),YEAR(Customers!I525)&lt;1980),"Implausible date","")</f>
        <v/>
      </c>
      <c r="J525" s="4" t="str">
        <f>IF(Customers!I525&gt;DATE(2026,9,13),"",IF(ABS(INT((DATE(2026,9,13)-Customers!I525)/365.25)-Customers!H525)&gt;1,"Date/tenure inconsistent",""))</f>
        <v/>
      </c>
      <c r="K525" s="4" t="str">
        <f>IF(COUNTIF(Customers!$A$2:$A$1001,Customers!A525)&gt;1,"Duplicate ID","")</f>
        <v/>
      </c>
      <c r="L525" s="4" t="str">
        <f>IF(COUNTIFS(Customers!$B$2:$B$1001,Customers!B525,Customers!$D$2:$D$1001,Customers!D525,Customers!$G$2:$G$1001,Customers!G525,Customers!$I$2:$I$1001,Customers!I525,Customers!$L$2:$L$1001,Customers!L525)&gt;1,"Duplicate record","")</f>
        <v/>
      </c>
      <c r="M525" s="4" t="str">
        <f>IF(OR(Customers!U525&lt;300,Customers!U525&gt;850),"Score out of range","")</f>
        <v/>
      </c>
      <c r="N525" s="4" t="str">
        <f>IF(AND(Customers!G525&lt;&gt;"",Customers!G525&lt;=0),"Income ≤ 0","")</f>
        <v/>
      </c>
      <c r="O525" s="4" t="str">
        <f>IF(OR(Customers!G525="",Customers!M525=""),"Missing value","")</f>
        <v/>
      </c>
      <c r="P525" s="4">
        <f t="shared" si="8"/>
        <v>0</v>
      </c>
    </row>
    <row r="526" spans="1:16" x14ac:dyDescent="0.25">
      <c r="A526" s="4" t="str">
        <f>Customers!A526</f>
        <v>CL00520</v>
      </c>
      <c r="B526" s="20">
        <f>IF(Customers!G526="","",(Customers!G526-Statistics!$C$7)/Statistics!$C$9)</f>
        <v>-5.3067093194736847E-2</v>
      </c>
      <c r="C526" s="4" t="str">
        <f>IF(Customers!G526="","",IF(OR(Customers!G526&lt;Statistics!$C$15,Customers!G526&gt;Statistics!$C$16),"Outside 1.5·IQR",""))</f>
        <v/>
      </c>
      <c r="D526" s="4" t="str">
        <f>IF(OR(Customers!B526&lt;18,Customers!B526&gt;100),"Implausible age","")</f>
        <v/>
      </c>
      <c r="E526" s="4" t="str">
        <f>IF(Customers!H526&gt;Customers!B526-18,"Tenure &gt; age-18","")</f>
        <v/>
      </c>
      <c r="F526" s="4" t="str">
        <f>IF(Customers!R526&gt;Customers!Q526,"Card spend &gt; limit","")</f>
        <v/>
      </c>
      <c r="G526" s="4" t="str">
        <f>IF(OR(AND(Customers!S526&gt;0,Customers!T526=0),AND(Customers!S526=0,Customers!T526&gt;0)),"Mortgage/payment inconsistent","")</f>
        <v/>
      </c>
      <c r="H526" s="4" t="str">
        <f>IF(AND(Customers!G526&lt;&gt;"",Customers!G526&gt;0,Customers!T526&gt;Customers!G526/12),"Payment &gt; monthly income","")</f>
        <v/>
      </c>
      <c r="I526" s="4" t="str">
        <f>IF(OR(Customers!I526&gt;DATE(2026,9,13),YEAR(Customers!I526)&lt;1980),"Implausible date","")</f>
        <v/>
      </c>
      <c r="J526" s="4" t="str">
        <f>IF(Customers!I526&gt;DATE(2026,9,13),"",IF(ABS(INT((DATE(2026,9,13)-Customers!I526)/365.25)-Customers!H526)&gt;1,"Date/tenure inconsistent",""))</f>
        <v/>
      </c>
      <c r="K526" s="4" t="str">
        <f>IF(COUNTIF(Customers!$A$2:$A$1001,Customers!A526)&gt;1,"Duplicate ID","")</f>
        <v/>
      </c>
      <c r="L526" s="4" t="str">
        <f>IF(COUNTIFS(Customers!$B$2:$B$1001,Customers!B526,Customers!$D$2:$D$1001,Customers!D526,Customers!$G$2:$G$1001,Customers!G526,Customers!$I$2:$I$1001,Customers!I526,Customers!$L$2:$L$1001,Customers!L526)&gt;1,"Duplicate record","")</f>
        <v/>
      </c>
      <c r="M526" s="4" t="str">
        <f>IF(OR(Customers!U526&lt;300,Customers!U526&gt;850),"Score out of range","")</f>
        <v/>
      </c>
      <c r="N526" s="4" t="str">
        <f>IF(AND(Customers!G526&lt;&gt;"",Customers!G526&lt;=0),"Income ≤ 0","")</f>
        <v/>
      </c>
      <c r="O526" s="4" t="str">
        <f>IF(OR(Customers!G526="",Customers!M526=""),"Missing value","")</f>
        <v/>
      </c>
      <c r="P526" s="4">
        <f t="shared" si="8"/>
        <v>0</v>
      </c>
    </row>
    <row r="527" spans="1:16" x14ac:dyDescent="0.25">
      <c r="A527" s="4" t="str">
        <f>Customers!A527</f>
        <v>CL00521</v>
      </c>
      <c r="B527" s="20">
        <f>IF(Customers!G527="","",(Customers!G527-Statistics!$C$7)/Statistics!$C$9)</f>
        <v>-2.1155574858879079E-2</v>
      </c>
      <c r="C527" s="4" t="str">
        <f>IF(Customers!G527="","",IF(OR(Customers!G527&lt;Statistics!$C$15,Customers!G527&gt;Statistics!$C$16),"Outside 1.5·IQR",""))</f>
        <v/>
      </c>
      <c r="D527" s="4" t="str">
        <f>IF(OR(Customers!B527&lt;18,Customers!B527&gt;100),"Implausible age","")</f>
        <v/>
      </c>
      <c r="E527" s="4" t="str">
        <f>IF(Customers!H527&gt;Customers!B527-18,"Tenure &gt; age-18","")</f>
        <v/>
      </c>
      <c r="F527" s="4" t="str">
        <f>IF(Customers!R527&gt;Customers!Q527,"Card spend &gt; limit","")</f>
        <v/>
      </c>
      <c r="G527" s="4" t="str">
        <f>IF(OR(AND(Customers!S527&gt;0,Customers!T527=0),AND(Customers!S527=0,Customers!T527&gt;0)),"Mortgage/payment inconsistent","")</f>
        <v/>
      </c>
      <c r="H527" s="4" t="str">
        <f>IF(AND(Customers!G527&lt;&gt;"",Customers!G527&gt;0,Customers!T527&gt;Customers!G527/12),"Payment &gt; monthly income","")</f>
        <v/>
      </c>
      <c r="I527" s="4" t="str">
        <f>IF(OR(Customers!I527&gt;DATE(2026,9,13),YEAR(Customers!I527)&lt;1980),"Implausible date","")</f>
        <v/>
      </c>
      <c r="J527" s="4" t="str">
        <f>IF(Customers!I527&gt;DATE(2026,9,13),"",IF(ABS(INT((DATE(2026,9,13)-Customers!I527)/365.25)-Customers!H527)&gt;1,"Date/tenure inconsistent",""))</f>
        <v/>
      </c>
      <c r="K527" s="4" t="str">
        <f>IF(COUNTIF(Customers!$A$2:$A$1001,Customers!A527)&gt;1,"Duplicate ID","")</f>
        <v/>
      </c>
      <c r="L527" s="4" t="str">
        <f>IF(COUNTIFS(Customers!$B$2:$B$1001,Customers!B527,Customers!$D$2:$D$1001,Customers!D527,Customers!$G$2:$G$1001,Customers!G527,Customers!$I$2:$I$1001,Customers!I527,Customers!$L$2:$L$1001,Customers!L527)&gt;1,"Duplicate record","")</f>
        <v/>
      </c>
      <c r="M527" s="4" t="str">
        <f>IF(OR(Customers!U527&lt;300,Customers!U527&gt;850),"Score out of range","")</f>
        <v/>
      </c>
      <c r="N527" s="4" t="str">
        <f>IF(AND(Customers!G527&lt;&gt;"",Customers!G527&lt;=0),"Income ≤ 0","")</f>
        <v/>
      </c>
      <c r="O527" s="4" t="str">
        <f>IF(OR(Customers!G527="",Customers!M527=""),"Missing value","")</f>
        <v/>
      </c>
      <c r="P527" s="4">
        <f t="shared" si="8"/>
        <v>0</v>
      </c>
    </row>
    <row r="528" spans="1:16" x14ac:dyDescent="0.25">
      <c r="A528" s="4" t="str">
        <f>Customers!A528</f>
        <v>CL00522</v>
      </c>
      <c r="B528" s="20">
        <f>IF(Customers!G528="","",(Customers!G528-Statistics!$C$7)/Statistics!$C$9)</f>
        <v>-5.5332417027220582E-2</v>
      </c>
      <c r="C528" s="4" t="str">
        <f>IF(Customers!G528="","",IF(OR(Customers!G528&lt;Statistics!$C$15,Customers!G528&gt;Statistics!$C$16),"Outside 1.5·IQR",""))</f>
        <v/>
      </c>
      <c r="D528" s="4" t="str">
        <f>IF(OR(Customers!B528&lt;18,Customers!B528&gt;100),"Implausible age","")</f>
        <v/>
      </c>
      <c r="E528" s="4" t="str">
        <f>IF(Customers!H528&gt;Customers!B528-18,"Tenure &gt; age-18","")</f>
        <v/>
      </c>
      <c r="F528" s="4" t="str">
        <f>IF(Customers!R528&gt;Customers!Q528,"Card spend &gt; limit","")</f>
        <v/>
      </c>
      <c r="G528" s="4" t="str">
        <f>IF(OR(AND(Customers!S528&gt;0,Customers!T528=0),AND(Customers!S528=0,Customers!T528&gt;0)),"Mortgage/payment inconsistent","")</f>
        <v/>
      </c>
      <c r="H528" s="4" t="str">
        <f>IF(AND(Customers!G528&lt;&gt;"",Customers!G528&gt;0,Customers!T528&gt;Customers!G528/12),"Payment &gt; monthly income","")</f>
        <v/>
      </c>
      <c r="I528" s="4" t="str">
        <f>IF(OR(Customers!I528&gt;DATE(2026,9,13),YEAR(Customers!I528)&lt;1980),"Implausible date","")</f>
        <v/>
      </c>
      <c r="J528" s="4" t="str">
        <f>IF(Customers!I528&gt;DATE(2026,9,13),"",IF(ABS(INT((DATE(2026,9,13)-Customers!I528)/365.25)-Customers!H528)&gt;1,"Date/tenure inconsistent",""))</f>
        <v/>
      </c>
      <c r="K528" s="4" t="str">
        <f>IF(COUNTIF(Customers!$A$2:$A$1001,Customers!A528)&gt;1,"Duplicate ID","")</f>
        <v/>
      </c>
      <c r="L528" s="4" t="str">
        <f>IF(COUNTIFS(Customers!$B$2:$B$1001,Customers!B528,Customers!$D$2:$D$1001,Customers!D528,Customers!$G$2:$G$1001,Customers!G528,Customers!$I$2:$I$1001,Customers!I528,Customers!$L$2:$L$1001,Customers!L528)&gt;1,"Duplicate record","")</f>
        <v/>
      </c>
      <c r="M528" s="4" t="str">
        <f>IF(OR(Customers!U528&lt;300,Customers!U528&gt;850),"Score out of range","")</f>
        <v/>
      </c>
      <c r="N528" s="4" t="str">
        <f>IF(AND(Customers!G528&lt;&gt;"",Customers!G528&lt;=0),"Income ≤ 0","")</f>
        <v/>
      </c>
      <c r="O528" s="4" t="str">
        <f>IF(OR(Customers!G528="",Customers!M528=""),"Missing value","")</f>
        <v/>
      </c>
      <c r="P528" s="4">
        <f t="shared" si="8"/>
        <v>0</v>
      </c>
    </row>
    <row r="529" spans="1:16" x14ac:dyDescent="0.25">
      <c r="A529" s="4" t="str">
        <f>Customers!A529</f>
        <v>CL00523</v>
      </c>
      <c r="B529" s="20">
        <f>IF(Customers!G529="","",(Customers!G529-Statistics!$C$7)/Statistics!$C$9)</f>
        <v>-4.8733430210854932E-2</v>
      </c>
      <c r="C529" s="4" t="str">
        <f>IF(Customers!G529="","",IF(OR(Customers!G529&lt;Statistics!$C$15,Customers!G529&gt;Statistics!$C$16),"Outside 1.5·IQR",""))</f>
        <v/>
      </c>
      <c r="D529" s="4" t="str">
        <f>IF(OR(Customers!B529&lt;18,Customers!B529&gt;100),"Implausible age","")</f>
        <v/>
      </c>
      <c r="E529" s="4" t="str">
        <f>IF(Customers!H529&gt;Customers!B529-18,"Tenure &gt; age-18","")</f>
        <v/>
      </c>
      <c r="F529" s="4" t="str">
        <f>IF(Customers!R529&gt;Customers!Q529,"Card spend &gt; limit","")</f>
        <v/>
      </c>
      <c r="G529" s="4" t="str">
        <f>IF(OR(AND(Customers!S529&gt;0,Customers!T529=0),AND(Customers!S529=0,Customers!T529&gt;0)),"Mortgage/payment inconsistent","")</f>
        <v/>
      </c>
      <c r="H529" s="4" t="str">
        <f>IF(AND(Customers!G529&lt;&gt;"",Customers!G529&gt;0,Customers!T529&gt;Customers!G529/12),"Payment &gt; monthly income","")</f>
        <v/>
      </c>
      <c r="I529" s="4" t="str">
        <f>IF(OR(Customers!I529&gt;DATE(2026,9,13),YEAR(Customers!I529)&lt;1980),"Implausible date","")</f>
        <v/>
      </c>
      <c r="J529" s="4" t="str">
        <f>IF(Customers!I529&gt;DATE(2026,9,13),"",IF(ABS(INT((DATE(2026,9,13)-Customers!I529)/365.25)-Customers!H529)&gt;1,"Date/tenure inconsistent",""))</f>
        <v/>
      </c>
      <c r="K529" s="4" t="str">
        <f>IF(COUNTIF(Customers!$A$2:$A$1001,Customers!A529)&gt;1,"Duplicate ID","")</f>
        <v/>
      </c>
      <c r="L529" s="4" t="str">
        <f>IF(COUNTIFS(Customers!$B$2:$B$1001,Customers!B529,Customers!$D$2:$D$1001,Customers!D529,Customers!$G$2:$G$1001,Customers!G529,Customers!$I$2:$I$1001,Customers!I529,Customers!$L$2:$L$1001,Customers!L529)&gt;1,"Duplicate record","")</f>
        <v/>
      </c>
      <c r="M529" s="4" t="str">
        <f>IF(OR(Customers!U529&lt;300,Customers!U529&gt;850),"Score out of range","")</f>
        <v/>
      </c>
      <c r="N529" s="4" t="str">
        <f>IF(AND(Customers!G529&lt;&gt;"",Customers!G529&lt;=0),"Income ≤ 0","")</f>
        <v/>
      </c>
      <c r="O529" s="4" t="str">
        <f>IF(OR(Customers!G529="",Customers!M529=""),"Missing value","")</f>
        <v/>
      </c>
      <c r="P529" s="4">
        <f t="shared" si="8"/>
        <v>0</v>
      </c>
    </row>
    <row r="530" spans="1:16" x14ac:dyDescent="0.25">
      <c r="A530" s="4" t="str">
        <f>Customers!A530</f>
        <v>CL00524</v>
      </c>
      <c r="B530" s="20">
        <f>IF(Customers!G530="","",(Customers!G530-Statistics!$C$7)/Statistics!$C$9)</f>
        <v>-3.6914349345722422E-2</v>
      </c>
      <c r="C530" s="4" t="str">
        <f>IF(Customers!G530="","",IF(OR(Customers!G530&lt;Statistics!$C$15,Customers!G530&gt;Statistics!$C$16),"Outside 1.5·IQR",""))</f>
        <v/>
      </c>
      <c r="D530" s="4" t="str">
        <f>IF(OR(Customers!B530&lt;18,Customers!B530&gt;100),"Implausible age","")</f>
        <v/>
      </c>
      <c r="E530" s="4" t="str">
        <f>IF(Customers!H530&gt;Customers!B530-18,"Tenure &gt; age-18","")</f>
        <v/>
      </c>
      <c r="F530" s="4" t="str">
        <f>IF(Customers!R530&gt;Customers!Q530,"Card spend &gt; limit","")</f>
        <v/>
      </c>
      <c r="G530" s="4" t="str">
        <f>IF(OR(AND(Customers!S530&gt;0,Customers!T530=0),AND(Customers!S530=0,Customers!T530&gt;0)),"Mortgage/payment inconsistent","")</f>
        <v/>
      </c>
      <c r="H530" s="4" t="str">
        <f>IF(AND(Customers!G530&lt;&gt;"",Customers!G530&gt;0,Customers!T530&gt;Customers!G530/12),"Payment &gt; monthly income","")</f>
        <v/>
      </c>
      <c r="I530" s="4" t="str">
        <f>IF(OR(Customers!I530&gt;DATE(2026,9,13),YEAR(Customers!I530)&lt;1980),"Implausible date","")</f>
        <v/>
      </c>
      <c r="J530" s="4" t="str">
        <f>IF(Customers!I530&gt;DATE(2026,9,13),"",IF(ABS(INT((DATE(2026,9,13)-Customers!I530)/365.25)-Customers!H530)&gt;1,"Date/tenure inconsistent",""))</f>
        <v/>
      </c>
      <c r="K530" s="4" t="str">
        <f>IF(COUNTIF(Customers!$A$2:$A$1001,Customers!A530)&gt;1,"Duplicate ID","")</f>
        <v/>
      </c>
      <c r="L530" s="4" t="str">
        <f>IF(COUNTIFS(Customers!$B$2:$B$1001,Customers!B530,Customers!$D$2:$D$1001,Customers!D530,Customers!$G$2:$G$1001,Customers!G530,Customers!$I$2:$I$1001,Customers!I530,Customers!$L$2:$L$1001,Customers!L530)&gt;1,"Duplicate record","")</f>
        <v/>
      </c>
      <c r="M530" s="4" t="str">
        <f>IF(OR(Customers!U530&lt;300,Customers!U530&gt;850),"Score out of range","")</f>
        <v/>
      </c>
      <c r="N530" s="4" t="str">
        <f>IF(AND(Customers!G530&lt;&gt;"",Customers!G530&lt;=0),"Income ≤ 0","")</f>
        <v/>
      </c>
      <c r="O530" s="4" t="str">
        <f>IF(OR(Customers!G530="",Customers!M530=""),"Missing value","")</f>
        <v/>
      </c>
      <c r="P530" s="4">
        <f t="shared" si="8"/>
        <v>0</v>
      </c>
    </row>
    <row r="531" spans="1:16" x14ac:dyDescent="0.25">
      <c r="A531" s="4" t="str">
        <f>Customers!A531</f>
        <v>CL00525</v>
      </c>
      <c r="B531" s="20">
        <f>IF(Customers!G531="","",(Customers!G531-Statistics!$C$7)/Statistics!$C$9)</f>
        <v>-1.5246034426312824E-2</v>
      </c>
      <c r="C531" s="4" t="str">
        <f>IF(Customers!G531="","",IF(OR(Customers!G531&lt;Statistics!$C$15,Customers!G531&gt;Statistics!$C$16),"Outside 1.5·IQR",""))</f>
        <v/>
      </c>
      <c r="D531" s="4" t="str">
        <f>IF(OR(Customers!B531&lt;18,Customers!B531&gt;100),"Implausible age","")</f>
        <v/>
      </c>
      <c r="E531" s="4" t="str">
        <f>IF(Customers!H531&gt;Customers!B531-18,"Tenure &gt; age-18","")</f>
        <v/>
      </c>
      <c r="F531" s="4" t="str">
        <f>IF(Customers!R531&gt;Customers!Q531,"Card spend &gt; limit","")</f>
        <v/>
      </c>
      <c r="G531" s="4" t="str">
        <f>IF(OR(AND(Customers!S531&gt;0,Customers!T531=0),AND(Customers!S531=0,Customers!T531&gt;0)),"Mortgage/payment inconsistent","")</f>
        <v/>
      </c>
      <c r="H531" s="4" t="str">
        <f>IF(AND(Customers!G531&lt;&gt;"",Customers!G531&gt;0,Customers!T531&gt;Customers!G531/12),"Payment &gt; monthly income","")</f>
        <v/>
      </c>
      <c r="I531" s="4" t="str">
        <f>IF(OR(Customers!I531&gt;DATE(2026,9,13),YEAR(Customers!I531)&lt;1980),"Implausible date","")</f>
        <v/>
      </c>
      <c r="J531" s="4" t="str">
        <f>IF(Customers!I531&gt;DATE(2026,9,13),"",IF(ABS(INT((DATE(2026,9,13)-Customers!I531)/365.25)-Customers!H531)&gt;1,"Date/tenure inconsistent",""))</f>
        <v/>
      </c>
      <c r="K531" s="4" t="str">
        <f>IF(COUNTIF(Customers!$A$2:$A$1001,Customers!A531)&gt;1,"Duplicate ID","")</f>
        <v/>
      </c>
      <c r="L531" s="4" t="str">
        <f>IF(COUNTIFS(Customers!$B$2:$B$1001,Customers!B531,Customers!$D$2:$D$1001,Customers!D531,Customers!$G$2:$G$1001,Customers!G531,Customers!$I$2:$I$1001,Customers!I531,Customers!$L$2:$L$1001,Customers!L531)&gt;1,"Duplicate record","")</f>
        <v/>
      </c>
      <c r="M531" s="4" t="str">
        <f>IF(OR(Customers!U531&lt;300,Customers!U531&gt;850),"Score out of range","")</f>
        <v/>
      </c>
      <c r="N531" s="4" t="str">
        <f>IF(AND(Customers!G531&lt;&gt;"",Customers!G531&lt;=0),"Income ≤ 0","")</f>
        <v/>
      </c>
      <c r="O531" s="4" t="str">
        <f>IF(OR(Customers!G531="",Customers!M531=""),"Missing value","")</f>
        <v/>
      </c>
      <c r="P531" s="4">
        <f t="shared" si="8"/>
        <v>0</v>
      </c>
    </row>
    <row r="532" spans="1:16" x14ac:dyDescent="0.25">
      <c r="A532" s="4" t="str">
        <f>Customers!A532</f>
        <v>CL00526</v>
      </c>
      <c r="B532" s="20">
        <f>IF(Customers!G532="","",(Customers!G532-Statistics!$C$7)/Statistics!$C$9)</f>
        <v>-3.3861086788896523E-2</v>
      </c>
      <c r="C532" s="4" t="str">
        <f>IF(Customers!G532="","",IF(OR(Customers!G532&lt;Statistics!$C$15,Customers!G532&gt;Statistics!$C$16),"Outside 1.5·IQR",""))</f>
        <v/>
      </c>
      <c r="D532" s="4" t="str">
        <f>IF(OR(Customers!B532&lt;18,Customers!B532&gt;100),"Implausible age","")</f>
        <v/>
      </c>
      <c r="E532" s="4" t="str">
        <f>IF(Customers!H532&gt;Customers!B532-18,"Tenure &gt; age-18","")</f>
        <v/>
      </c>
      <c r="F532" s="4" t="str">
        <f>IF(Customers!R532&gt;Customers!Q532,"Card spend &gt; limit","")</f>
        <v/>
      </c>
      <c r="G532" s="4" t="str">
        <f>IF(OR(AND(Customers!S532&gt;0,Customers!T532=0),AND(Customers!S532=0,Customers!T532&gt;0)),"Mortgage/payment inconsistent","")</f>
        <v/>
      </c>
      <c r="H532" s="4" t="str">
        <f>IF(AND(Customers!G532&lt;&gt;"",Customers!G532&gt;0,Customers!T532&gt;Customers!G532/12),"Payment &gt; monthly income","")</f>
        <v/>
      </c>
      <c r="I532" s="4" t="str">
        <f>IF(OR(Customers!I532&gt;DATE(2026,9,13),YEAR(Customers!I532)&lt;1980),"Implausible date","")</f>
        <v/>
      </c>
      <c r="J532" s="4" t="str">
        <f>IF(Customers!I532&gt;DATE(2026,9,13),"",IF(ABS(INT((DATE(2026,9,13)-Customers!I532)/365.25)-Customers!H532)&gt;1,"Date/tenure inconsistent",""))</f>
        <v/>
      </c>
      <c r="K532" s="4" t="str">
        <f>IF(COUNTIF(Customers!$A$2:$A$1001,Customers!A532)&gt;1,"Duplicate ID","")</f>
        <v/>
      </c>
      <c r="L532" s="4" t="str">
        <f>IF(COUNTIFS(Customers!$B$2:$B$1001,Customers!B532,Customers!$D$2:$D$1001,Customers!D532,Customers!$G$2:$G$1001,Customers!G532,Customers!$I$2:$I$1001,Customers!I532,Customers!$L$2:$L$1001,Customers!L532)&gt;1,"Duplicate record","")</f>
        <v/>
      </c>
      <c r="M532" s="4" t="str">
        <f>IF(OR(Customers!U532&lt;300,Customers!U532&gt;850),"Score out of range","")</f>
        <v/>
      </c>
      <c r="N532" s="4" t="str">
        <f>IF(AND(Customers!G532&lt;&gt;"",Customers!G532&lt;=0),"Income ≤ 0","")</f>
        <v/>
      </c>
      <c r="O532" s="4" t="str">
        <f>IF(OR(Customers!G532="",Customers!M532=""),"Missing value","")</f>
        <v/>
      </c>
      <c r="P532" s="4">
        <f t="shared" si="8"/>
        <v>0</v>
      </c>
    </row>
    <row r="533" spans="1:16" x14ac:dyDescent="0.25">
      <c r="A533" s="4" t="str">
        <f>Customers!A533</f>
        <v>CL00527</v>
      </c>
      <c r="B533" s="20">
        <f>IF(Customers!G533="","",(Customers!G533-Statistics!$C$7)/Statistics!$C$9)</f>
        <v>-3.4846010194324234E-2</v>
      </c>
      <c r="C533" s="4" t="str">
        <f>IF(Customers!G533="","",IF(OR(Customers!G533&lt;Statistics!$C$15,Customers!G533&gt;Statistics!$C$16),"Outside 1.5·IQR",""))</f>
        <v/>
      </c>
      <c r="D533" s="4" t="str">
        <f>IF(OR(Customers!B533&lt;18,Customers!B533&gt;100),"Implausible age","")</f>
        <v/>
      </c>
      <c r="E533" s="4" t="str">
        <f>IF(Customers!H533&gt;Customers!B533-18,"Tenure &gt; age-18","")</f>
        <v/>
      </c>
      <c r="F533" s="4" t="str">
        <f>IF(Customers!R533&gt;Customers!Q533,"Card spend &gt; limit","")</f>
        <v/>
      </c>
      <c r="G533" s="4" t="str">
        <f>IF(OR(AND(Customers!S533&gt;0,Customers!T533=0),AND(Customers!S533=0,Customers!T533&gt;0)),"Mortgage/payment inconsistent","")</f>
        <v/>
      </c>
      <c r="H533" s="4" t="str">
        <f>IF(AND(Customers!G533&lt;&gt;"",Customers!G533&gt;0,Customers!T533&gt;Customers!G533/12),"Payment &gt; monthly income","")</f>
        <v/>
      </c>
      <c r="I533" s="4" t="str">
        <f>IF(OR(Customers!I533&gt;DATE(2026,9,13),YEAR(Customers!I533)&lt;1980),"Implausible date","")</f>
        <v>Implausible date</v>
      </c>
      <c r="J533" s="4" t="str">
        <f>IF(Customers!I533&gt;DATE(2026,9,13),"",IF(ABS(INT((DATE(2026,9,13)-Customers!I533)/365.25)-Customers!H533)&gt;1,"Date/tenure inconsistent",""))</f>
        <v>Date/tenure inconsistent</v>
      </c>
      <c r="K533" s="4" t="str">
        <f>IF(COUNTIF(Customers!$A$2:$A$1001,Customers!A533)&gt;1,"Duplicate ID","")</f>
        <v/>
      </c>
      <c r="L533" s="4" t="str">
        <f>IF(COUNTIFS(Customers!$B$2:$B$1001,Customers!B533,Customers!$D$2:$D$1001,Customers!D533,Customers!$G$2:$G$1001,Customers!G533,Customers!$I$2:$I$1001,Customers!I533,Customers!$L$2:$L$1001,Customers!L533)&gt;1,"Duplicate record","")</f>
        <v/>
      </c>
      <c r="M533" s="4" t="str">
        <f>IF(OR(Customers!U533&lt;300,Customers!U533&gt;850),"Score out of range","")</f>
        <v/>
      </c>
      <c r="N533" s="4" t="str">
        <f>IF(AND(Customers!G533&lt;&gt;"",Customers!G533&lt;=0),"Income ≤ 0","")</f>
        <v/>
      </c>
      <c r="O533" s="4" t="str">
        <f>IF(OR(Customers!G533="",Customers!M533=""),"Missing value","")</f>
        <v/>
      </c>
      <c r="P533" s="4">
        <f t="shared" si="8"/>
        <v>2</v>
      </c>
    </row>
    <row r="534" spans="1:16" x14ac:dyDescent="0.25">
      <c r="A534" s="4" t="str">
        <f>Customers!A534</f>
        <v>CL00528</v>
      </c>
      <c r="B534" s="20">
        <f>IF(Customers!G534="","",(Customers!G534-Statistics!$C$7)/Statistics!$C$9)</f>
        <v>-5.3165585535279621E-2</v>
      </c>
      <c r="C534" s="4" t="str">
        <f>IF(Customers!G534="","",IF(OR(Customers!G534&lt;Statistics!$C$15,Customers!G534&gt;Statistics!$C$16),"Outside 1.5·IQR",""))</f>
        <v/>
      </c>
      <c r="D534" s="4" t="str">
        <f>IF(OR(Customers!B534&lt;18,Customers!B534&gt;100),"Implausible age","")</f>
        <v/>
      </c>
      <c r="E534" s="4" t="str">
        <f>IF(Customers!H534&gt;Customers!B534-18,"Tenure &gt; age-18","")</f>
        <v/>
      </c>
      <c r="F534" s="4" t="str">
        <f>IF(Customers!R534&gt;Customers!Q534,"Card spend &gt; limit","")</f>
        <v/>
      </c>
      <c r="G534" s="4" t="str">
        <f>IF(OR(AND(Customers!S534&gt;0,Customers!T534=0),AND(Customers!S534=0,Customers!T534&gt;0)),"Mortgage/payment inconsistent","")</f>
        <v/>
      </c>
      <c r="H534" s="4" t="str">
        <f>IF(AND(Customers!G534&lt;&gt;"",Customers!G534&gt;0,Customers!T534&gt;Customers!G534/12),"Payment &gt; monthly income","")</f>
        <v/>
      </c>
      <c r="I534" s="4" t="str">
        <f>IF(OR(Customers!I534&gt;DATE(2026,9,13),YEAR(Customers!I534)&lt;1980),"Implausible date","")</f>
        <v/>
      </c>
      <c r="J534" s="4" t="str">
        <f>IF(Customers!I534&gt;DATE(2026,9,13),"",IF(ABS(INT((DATE(2026,9,13)-Customers!I534)/365.25)-Customers!H534)&gt;1,"Date/tenure inconsistent",""))</f>
        <v/>
      </c>
      <c r="K534" s="4" t="str">
        <f>IF(COUNTIF(Customers!$A$2:$A$1001,Customers!A534)&gt;1,"Duplicate ID","")</f>
        <v/>
      </c>
      <c r="L534" s="4" t="str">
        <f>IF(COUNTIFS(Customers!$B$2:$B$1001,Customers!B534,Customers!$D$2:$D$1001,Customers!D534,Customers!$G$2:$G$1001,Customers!G534,Customers!$I$2:$I$1001,Customers!I534,Customers!$L$2:$L$1001,Customers!L534)&gt;1,"Duplicate record","")</f>
        <v/>
      </c>
      <c r="M534" s="4" t="str">
        <f>IF(OR(Customers!U534&lt;300,Customers!U534&gt;850),"Score out of range","")</f>
        <v/>
      </c>
      <c r="N534" s="4" t="str">
        <f>IF(AND(Customers!G534&lt;&gt;"",Customers!G534&lt;=0),"Income ≤ 0","")</f>
        <v/>
      </c>
      <c r="O534" s="4" t="str">
        <f>IF(OR(Customers!G534="",Customers!M534=""),"Missing value","")</f>
        <v/>
      </c>
      <c r="P534" s="4">
        <f t="shared" si="8"/>
        <v>0</v>
      </c>
    </row>
    <row r="535" spans="1:16" x14ac:dyDescent="0.25">
      <c r="A535" s="4" t="str">
        <f>Customers!A535</f>
        <v>CL00529</v>
      </c>
      <c r="B535" s="20">
        <f>IF(Customers!G535="","",(Customers!G535-Statistics!$C$7)/Statistics!$C$9)</f>
        <v>-4.1346504670147111E-2</v>
      </c>
      <c r="C535" s="4" t="str">
        <f>IF(Customers!G535="","",IF(OR(Customers!G535&lt;Statistics!$C$15,Customers!G535&gt;Statistics!$C$16),"Outside 1.5·IQR",""))</f>
        <v/>
      </c>
      <c r="D535" s="4" t="str">
        <f>IF(OR(Customers!B535&lt;18,Customers!B535&gt;100),"Implausible age","")</f>
        <v/>
      </c>
      <c r="E535" s="4" t="str">
        <f>IF(Customers!H535&gt;Customers!B535-18,"Tenure &gt; age-18","")</f>
        <v/>
      </c>
      <c r="F535" s="4" t="str">
        <f>IF(Customers!R535&gt;Customers!Q535,"Card spend &gt; limit","")</f>
        <v/>
      </c>
      <c r="G535" s="4" t="str">
        <f>IF(OR(AND(Customers!S535&gt;0,Customers!T535=0),AND(Customers!S535=0,Customers!T535&gt;0)),"Mortgage/payment inconsistent","")</f>
        <v/>
      </c>
      <c r="H535" s="4" t="str">
        <f>IF(AND(Customers!G535&lt;&gt;"",Customers!G535&gt;0,Customers!T535&gt;Customers!G535/12),"Payment &gt; monthly income","")</f>
        <v/>
      </c>
      <c r="I535" s="4" t="str">
        <f>IF(OR(Customers!I535&gt;DATE(2026,9,13),YEAR(Customers!I535)&lt;1980),"Implausible date","")</f>
        <v/>
      </c>
      <c r="J535" s="4" t="str">
        <f>IF(Customers!I535&gt;DATE(2026,9,13),"",IF(ABS(INT((DATE(2026,9,13)-Customers!I535)/365.25)-Customers!H535)&gt;1,"Date/tenure inconsistent",""))</f>
        <v/>
      </c>
      <c r="K535" s="4" t="str">
        <f>IF(COUNTIF(Customers!$A$2:$A$1001,Customers!A535)&gt;1,"Duplicate ID","")</f>
        <v/>
      </c>
      <c r="L535" s="4" t="str">
        <f>IF(COUNTIFS(Customers!$B$2:$B$1001,Customers!B535,Customers!$D$2:$D$1001,Customers!D535,Customers!$G$2:$G$1001,Customers!G535,Customers!$I$2:$I$1001,Customers!I535,Customers!$L$2:$L$1001,Customers!L535)&gt;1,"Duplicate record","")</f>
        <v/>
      </c>
      <c r="M535" s="4" t="str">
        <f>IF(OR(Customers!U535&lt;300,Customers!U535&gt;850),"Score out of range","")</f>
        <v/>
      </c>
      <c r="N535" s="4" t="str">
        <f>IF(AND(Customers!G535&lt;&gt;"",Customers!G535&lt;=0),"Income ≤ 0","")</f>
        <v/>
      </c>
      <c r="O535" s="4" t="str">
        <f>IF(OR(Customers!G535="",Customers!M535=""),"Missing value","")</f>
        <v/>
      </c>
      <c r="P535" s="4">
        <f t="shared" si="8"/>
        <v>0</v>
      </c>
    </row>
    <row r="536" spans="1:16" x14ac:dyDescent="0.25">
      <c r="A536" s="4" t="str">
        <f>Customers!A536</f>
        <v>CL00530</v>
      </c>
      <c r="B536" s="20">
        <f>IF(Customers!G536="","",(Customers!G536-Statistics!$C$7)/Statistics!$C$9)</f>
        <v>-3.6027918280837484E-2</v>
      </c>
      <c r="C536" s="4" t="str">
        <f>IF(Customers!G536="","",IF(OR(Customers!G536&lt;Statistics!$C$15,Customers!G536&gt;Statistics!$C$16),"Outside 1.5·IQR",""))</f>
        <v/>
      </c>
      <c r="D536" s="4" t="str">
        <f>IF(OR(Customers!B536&lt;18,Customers!B536&gt;100),"Implausible age","")</f>
        <v/>
      </c>
      <c r="E536" s="4" t="str">
        <f>IF(Customers!H536&gt;Customers!B536-18,"Tenure &gt; age-18","")</f>
        <v/>
      </c>
      <c r="F536" s="4" t="str">
        <f>IF(Customers!R536&gt;Customers!Q536,"Card spend &gt; limit","")</f>
        <v/>
      </c>
      <c r="G536" s="4" t="str">
        <f>IF(OR(AND(Customers!S536&gt;0,Customers!T536=0),AND(Customers!S536=0,Customers!T536&gt;0)),"Mortgage/payment inconsistent","")</f>
        <v/>
      </c>
      <c r="H536" s="4" t="str">
        <f>IF(AND(Customers!G536&lt;&gt;"",Customers!G536&gt;0,Customers!T536&gt;Customers!G536/12),"Payment &gt; monthly income","")</f>
        <v/>
      </c>
      <c r="I536" s="4" t="str">
        <f>IF(OR(Customers!I536&gt;DATE(2026,9,13),YEAR(Customers!I536)&lt;1980),"Implausible date","")</f>
        <v/>
      </c>
      <c r="J536" s="4" t="str">
        <f>IF(Customers!I536&gt;DATE(2026,9,13),"",IF(ABS(INT((DATE(2026,9,13)-Customers!I536)/365.25)-Customers!H536)&gt;1,"Date/tenure inconsistent",""))</f>
        <v/>
      </c>
      <c r="K536" s="4" t="str">
        <f>IF(COUNTIF(Customers!$A$2:$A$1001,Customers!A536)&gt;1,"Duplicate ID","")</f>
        <v/>
      </c>
      <c r="L536" s="4" t="str">
        <f>IF(COUNTIFS(Customers!$B$2:$B$1001,Customers!B536,Customers!$D$2:$D$1001,Customers!D536,Customers!$G$2:$G$1001,Customers!G536,Customers!$I$2:$I$1001,Customers!I536,Customers!$L$2:$L$1001,Customers!L536)&gt;1,"Duplicate record","")</f>
        <v/>
      </c>
      <c r="M536" s="4" t="str">
        <f>IF(OR(Customers!U536&lt;300,Customers!U536&gt;850),"Score out of range","")</f>
        <v/>
      </c>
      <c r="N536" s="4" t="str">
        <f>IF(AND(Customers!G536&lt;&gt;"",Customers!G536&lt;=0),"Income ≤ 0","")</f>
        <v/>
      </c>
      <c r="O536" s="4" t="str">
        <f>IF(OR(Customers!G536="",Customers!M536=""),"Missing value","")</f>
        <v/>
      </c>
      <c r="P536" s="4">
        <f t="shared" si="8"/>
        <v>0</v>
      </c>
    </row>
    <row r="537" spans="1:16" x14ac:dyDescent="0.25">
      <c r="A537" s="4" t="str">
        <f>Customers!A537</f>
        <v>CL00531</v>
      </c>
      <c r="B537" s="20">
        <f>IF(Customers!G537="","",(Customers!G537-Statistics!$C$7)/Statistics!$C$9)</f>
        <v>-6.774245193560971E-2</v>
      </c>
      <c r="C537" s="4" t="str">
        <f>IF(Customers!G537="","",IF(OR(Customers!G537&lt;Statistics!$C$15,Customers!G537&gt;Statistics!$C$16),"Outside 1.5·IQR",""))</f>
        <v/>
      </c>
      <c r="D537" s="4" t="str">
        <f>IF(OR(Customers!B537&lt;18,Customers!B537&gt;100),"Implausible age","")</f>
        <v/>
      </c>
      <c r="E537" s="4" t="str">
        <f>IF(Customers!H537&gt;Customers!B537-18,"Tenure &gt; age-18","")</f>
        <v/>
      </c>
      <c r="F537" s="4" t="str">
        <f>IF(Customers!R537&gt;Customers!Q537,"Card spend &gt; limit","")</f>
        <v/>
      </c>
      <c r="G537" s="4" t="str">
        <f>IF(OR(AND(Customers!S537&gt;0,Customers!T537=0),AND(Customers!S537=0,Customers!T537&gt;0)),"Mortgage/payment inconsistent","")</f>
        <v/>
      </c>
      <c r="H537" s="4" t="str">
        <f>IF(AND(Customers!G537&lt;&gt;"",Customers!G537&gt;0,Customers!T537&gt;Customers!G537/12),"Payment &gt; monthly income","")</f>
        <v/>
      </c>
      <c r="I537" s="4" t="str">
        <f>IF(OR(Customers!I537&gt;DATE(2026,9,13),YEAR(Customers!I537)&lt;1980),"Implausible date","")</f>
        <v/>
      </c>
      <c r="J537" s="4" t="str">
        <f>IF(Customers!I537&gt;DATE(2026,9,13),"",IF(ABS(INT((DATE(2026,9,13)-Customers!I537)/365.25)-Customers!H537)&gt;1,"Date/tenure inconsistent",""))</f>
        <v/>
      </c>
      <c r="K537" s="4" t="str">
        <f>IF(COUNTIF(Customers!$A$2:$A$1001,Customers!A537)&gt;1,"Duplicate ID","")</f>
        <v/>
      </c>
      <c r="L537" s="4" t="str">
        <f>IF(COUNTIFS(Customers!$B$2:$B$1001,Customers!B537,Customers!$D$2:$D$1001,Customers!D537,Customers!$G$2:$G$1001,Customers!G537,Customers!$I$2:$I$1001,Customers!I537,Customers!$L$2:$L$1001,Customers!L537)&gt;1,"Duplicate record","")</f>
        <v/>
      </c>
      <c r="M537" s="4" t="str">
        <f>IF(OR(Customers!U537&lt;300,Customers!U537&gt;850),"Score out of range","")</f>
        <v/>
      </c>
      <c r="N537" s="4" t="str">
        <f>IF(AND(Customers!G537&lt;&gt;"",Customers!G537&lt;=0),"Income ≤ 0","")</f>
        <v/>
      </c>
      <c r="O537" s="4" t="str">
        <f>IF(OR(Customers!G537="",Customers!M537=""),"Missing value","")</f>
        <v/>
      </c>
      <c r="P537" s="4">
        <f t="shared" si="8"/>
        <v>0</v>
      </c>
    </row>
    <row r="538" spans="1:16" x14ac:dyDescent="0.25">
      <c r="A538" s="4" t="str">
        <f>Customers!A538</f>
        <v>CL00532</v>
      </c>
      <c r="B538" s="20">
        <f>IF(Customers!G538="","",(Customers!G538-Statistics!$C$7)/Statistics!$C$9)</f>
        <v>-5.1688200427138058E-2</v>
      </c>
      <c r="C538" s="4" t="str">
        <f>IF(Customers!G538="","",IF(OR(Customers!G538&lt;Statistics!$C$15,Customers!G538&gt;Statistics!$C$16),"Outside 1.5·IQR",""))</f>
        <v/>
      </c>
      <c r="D538" s="4" t="str">
        <f>IF(OR(Customers!B538&lt;18,Customers!B538&gt;100),"Implausible age","")</f>
        <v/>
      </c>
      <c r="E538" s="4" t="str">
        <f>IF(Customers!H538&gt;Customers!B538-18,"Tenure &gt; age-18","")</f>
        <v/>
      </c>
      <c r="F538" s="4" t="str">
        <f>IF(Customers!R538&gt;Customers!Q538,"Card spend &gt; limit","")</f>
        <v/>
      </c>
      <c r="G538" s="4" t="str">
        <f>IF(OR(AND(Customers!S538&gt;0,Customers!T538=0),AND(Customers!S538=0,Customers!T538&gt;0)),"Mortgage/payment inconsistent","")</f>
        <v/>
      </c>
      <c r="H538" s="4" t="str">
        <f>IF(AND(Customers!G538&lt;&gt;"",Customers!G538&gt;0,Customers!T538&gt;Customers!G538/12),"Payment &gt; monthly income","")</f>
        <v/>
      </c>
      <c r="I538" s="4" t="str">
        <f>IF(OR(Customers!I538&gt;DATE(2026,9,13),YEAR(Customers!I538)&lt;1980),"Implausible date","")</f>
        <v/>
      </c>
      <c r="J538" s="4" t="str">
        <f>IF(Customers!I538&gt;DATE(2026,9,13),"",IF(ABS(INT((DATE(2026,9,13)-Customers!I538)/365.25)-Customers!H538)&gt;1,"Date/tenure inconsistent",""))</f>
        <v/>
      </c>
      <c r="K538" s="4" t="str">
        <f>IF(COUNTIF(Customers!$A$2:$A$1001,Customers!A538)&gt;1,"Duplicate ID","")</f>
        <v/>
      </c>
      <c r="L538" s="4" t="str">
        <f>IF(COUNTIFS(Customers!$B$2:$B$1001,Customers!B538,Customers!$D$2:$D$1001,Customers!D538,Customers!$G$2:$G$1001,Customers!G538,Customers!$I$2:$I$1001,Customers!I538,Customers!$L$2:$L$1001,Customers!L538)&gt;1,"Duplicate record","")</f>
        <v/>
      </c>
      <c r="M538" s="4" t="str">
        <f>IF(OR(Customers!U538&lt;300,Customers!U538&gt;850),"Score out of range","")</f>
        <v/>
      </c>
      <c r="N538" s="4" t="str">
        <f>IF(AND(Customers!G538&lt;&gt;"",Customers!G538&lt;=0),"Income ≤ 0","")</f>
        <v/>
      </c>
      <c r="O538" s="4" t="str">
        <f>IF(OR(Customers!G538="",Customers!M538=""),"Missing value","")</f>
        <v/>
      </c>
      <c r="P538" s="4">
        <f t="shared" si="8"/>
        <v>0</v>
      </c>
    </row>
    <row r="539" spans="1:16" x14ac:dyDescent="0.25">
      <c r="A539" s="4" t="str">
        <f>Customers!A539</f>
        <v>CL00533</v>
      </c>
      <c r="B539" s="20">
        <f>IF(Customers!G539="","",(Customers!G539-Statistics!$C$7)/Statistics!$C$9)</f>
        <v>4.7592078839975009E-2</v>
      </c>
      <c r="C539" s="4" t="str">
        <f>IF(Customers!G539="","",IF(OR(Customers!G539&lt;Statistics!$C$15,Customers!G539&gt;Statistics!$C$16),"Outside 1.5·IQR",""))</f>
        <v>Outside 1.5·IQR</v>
      </c>
      <c r="D539" s="4" t="str">
        <f>IF(OR(Customers!B539&lt;18,Customers!B539&gt;100),"Implausible age","")</f>
        <v/>
      </c>
      <c r="E539" s="4" t="str">
        <f>IF(Customers!H539&gt;Customers!B539-18,"Tenure &gt; age-18","")</f>
        <v/>
      </c>
      <c r="F539" s="4" t="str">
        <f>IF(Customers!R539&gt;Customers!Q539,"Card spend &gt; limit","")</f>
        <v/>
      </c>
      <c r="G539" s="4" t="str">
        <f>IF(OR(AND(Customers!S539&gt;0,Customers!T539=0),AND(Customers!S539=0,Customers!T539&gt;0)),"Mortgage/payment inconsistent","")</f>
        <v/>
      </c>
      <c r="H539" s="4" t="str">
        <f>IF(AND(Customers!G539&lt;&gt;"",Customers!G539&gt;0,Customers!T539&gt;Customers!G539/12),"Payment &gt; monthly income","")</f>
        <v/>
      </c>
      <c r="I539" s="4" t="str">
        <f>IF(OR(Customers!I539&gt;DATE(2026,9,13),YEAR(Customers!I539)&lt;1980),"Implausible date","")</f>
        <v/>
      </c>
      <c r="J539" s="4" t="str">
        <f>IF(Customers!I539&gt;DATE(2026,9,13),"",IF(ABS(INT((DATE(2026,9,13)-Customers!I539)/365.25)-Customers!H539)&gt;1,"Date/tenure inconsistent",""))</f>
        <v/>
      </c>
      <c r="K539" s="4" t="str">
        <f>IF(COUNTIF(Customers!$A$2:$A$1001,Customers!A539)&gt;1,"Duplicate ID","")</f>
        <v/>
      </c>
      <c r="L539" s="4" t="str">
        <f>IF(COUNTIFS(Customers!$B$2:$B$1001,Customers!B539,Customers!$D$2:$D$1001,Customers!D539,Customers!$G$2:$G$1001,Customers!G539,Customers!$I$2:$I$1001,Customers!I539,Customers!$L$2:$L$1001,Customers!L539)&gt;1,"Duplicate record","")</f>
        <v/>
      </c>
      <c r="M539" s="4" t="str">
        <f>IF(OR(Customers!U539&lt;300,Customers!U539&gt;850),"Score out of range","")</f>
        <v/>
      </c>
      <c r="N539" s="4" t="str">
        <f>IF(AND(Customers!G539&lt;&gt;"",Customers!G539&lt;=0),"Income ≤ 0","")</f>
        <v/>
      </c>
      <c r="O539" s="4" t="str">
        <f>IF(OR(Customers!G539="",Customers!M539=""),"Missing value","")</f>
        <v/>
      </c>
      <c r="P539" s="4">
        <f t="shared" si="8"/>
        <v>1</v>
      </c>
    </row>
    <row r="540" spans="1:16" x14ac:dyDescent="0.25">
      <c r="A540" s="4" t="str">
        <f>Customers!A540</f>
        <v>CL00534</v>
      </c>
      <c r="B540" s="20">
        <f>IF(Customers!G540="","",(Customers!G540-Statistics!$C$7)/Statistics!$C$9)</f>
        <v>-5.4938447665049496E-2</v>
      </c>
      <c r="C540" s="4" t="str">
        <f>IF(Customers!G540="","",IF(OR(Customers!G540&lt;Statistics!$C$15,Customers!G540&gt;Statistics!$C$16),"Outside 1.5·IQR",""))</f>
        <v/>
      </c>
      <c r="D540" s="4" t="str">
        <f>IF(OR(Customers!B540&lt;18,Customers!B540&gt;100),"Implausible age","")</f>
        <v/>
      </c>
      <c r="E540" s="4" t="str">
        <f>IF(Customers!H540&gt;Customers!B540-18,"Tenure &gt; age-18","")</f>
        <v/>
      </c>
      <c r="F540" s="4" t="str">
        <f>IF(Customers!R540&gt;Customers!Q540,"Card spend &gt; limit","")</f>
        <v/>
      </c>
      <c r="G540" s="4" t="str">
        <f>IF(OR(AND(Customers!S540&gt;0,Customers!T540=0),AND(Customers!S540=0,Customers!T540&gt;0)),"Mortgage/payment inconsistent","")</f>
        <v/>
      </c>
      <c r="H540" s="4" t="str">
        <f>IF(AND(Customers!G540&lt;&gt;"",Customers!G540&gt;0,Customers!T540&gt;Customers!G540/12),"Payment &gt; monthly income","")</f>
        <v/>
      </c>
      <c r="I540" s="4" t="str">
        <f>IF(OR(Customers!I540&gt;DATE(2026,9,13),YEAR(Customers!I540)&lt;1980),"Implausible date","")</f>
        <v/>
      </c>
      <c r="J540" s="4" t="str">
        <f>IF(Customers!I540&gt;DATE(2026,9,13),"",IF(ABS(INT((DATE(2026,9,13)-Customers!I540)/365.25)-Customers!H540)&gt;1,"Date/tenure inconsistent",""))</f>
        <v/>
      </c>
      <c r="K540" s="4" t="str">
        <f>IF(COUNTIF(Customers!$A$2:$A$1001,Customers!A540)&gt;1,"Duplicate ID","")</f>
        <v/>
      </c>
      <c r="L540" s="4" t="str">
        <f>IF(COUNTIFS(Customers!$B$2:$B$1001,Customers!B540,Customers!$D$2:$D$1001,Customers!D540,Customers!$G$2:$G$1001,Customers!G540,Customers!$I$2:$I$1001,Customers!I540,Customers!$L$2:$L$1001,Customers!L540)&gt;1,"Duplicate record","")</f>
        <v/>
      </c>
      <c r="M540" s="4" t="str">
        <f>IF(OR(Customers!U540&lt;300,Customers!U540&gt;850),"Score out of range","")</f>
        <v/>
      </c>
      <c r="N540" s="4" t="str">
        <f>IF(AND(Customers!G540&lt;&gt;"",Customers!G540&lt;=0),"Income ≤ 0","")</f>
        <v/>
      </c>
      <c r="O540" s="4" t="str">
        <f>IF(OR(Customers!G540="",Customers!M540=""),"Missing value","")</f>
        <v/>
      </c>
      <c r="P540" s="4">
        <f t="shared" si="8"/>
        <v>0</v>
      </c>
    </row>
    <row r="541" spans="1:16" x14ac:dyDescent="0.25">
      <c r="A541" s="4" t="str">
        <f>Customers!A541</f>
        <v>CL00535</v>
      </c>
      <c r="B541" s="20">
        <f>IF(Customers!G541="","",(Customers!G541-Statistics!$C$7)/Statistics!$C$9)</f>
        <v>-6.8234913638323569E-2</v>
      </c>
      <c r="C541" s="4" t="str">
        <f>IF(Customers!G541="","",IF(OR(Customers!G541&lt;Statistics!$C$15,Customers!G541&gt;Statistics!$C$16),"Outside 1.5·IQR",""))</f>
        <v/>
      </c>
      <c r="D541" s="4" t="str">
        <f>IF(OR(Customers!B541&lt;18,Customers!B541&gt;100),"Implausible age","")</f>
        <v/>
      </c>
      <c r="E541" s="4" t="str">
        <f>IF(Customers!H541&gt;Customers!B541-18,"Tenure &gt; age-18","")</f>
        <v/>
      </c>
      <c r="F541" s="4" t="str">
        <f>IF(Customers!R541&gt;Customers!Q541,"Card spend &gt; limit","")</f>
        <v/>
      </c>
      <c r="G541" s="4" t="str">
        <f>IF(OR(AND(Customers!S541&gt;0,Customers!T541=0),AND(Customers!S541=0,Customers!T541&gt;0)),"Mortgage/payment inconsistent","")</f>
        <v/>
      </c>
      <c r="H541" s="4" t="str">
        <f>IF(AND(Customers!G541&lt;&gt;"",Customers!G541&gt;0,Customers!T541&gt;Customers!G541/12),"Payment &gt; monthly income","")</f>
        <v/>
      </c>
      <c r="I541" s="4" t="str">
        <f>IF(OR(Customers!I541&gt;DATE(2026,9,13),YEAR(Customers!I541)&lt;1980),"Implausible date","")</f>
        <v/>
      </c>
      <c r="J541" s="4" t="str">
        <f>IF(Customers!I541&gt;DATE(2026,9,13),"",IF(ABS(INT((DATE(2026,9,13)-Customers!I541)/365.25)-Customers!H541)&gt;1,"Date/tenure inconsistent",""))</f>
        <v/>
      </c>
      <c r="K541" s="4" t="str">
        <f>IF(COUNTIF(Customers!$A$2:$A$1001,Customers!A541)&gt;1,"Duplicate ID","")</f>
        <v/>
      </c>
      <c r="L541" s="4" t="str">
        <f>IF(COUNTIFS(Customers!$B$2:$B$1001,Customers!B541,Customers!$D$2:$D$1001,Customers!D541,Customers!$G$2:$G$1001,Customers!G541,Customers!$I$2:$I$1001,Customers!I541,Customers!$L$2:$L$1001,Customers!L541)&gt;1,"Duplicate record","")</f>
        <v/>
      </c>
      <c r="M541" s="4" t="str">
        <f>IF(OR(Customers!U541&lt;300,Customers!U541&gt;850),"Score out of range","")</f>
        <v/>
      </c>
      <c r="N541" s="4" t="str">
        <f>IF(AND(Customers!G541&lt;&gt;"",Customers!G541&lt;=0),"Income ≤ 0","")</f>
        <v/>
      </c>
      <c r="O541" s="4" t="str">
        <f>IF(OR(Customers!G541="",Customers!M541=""),"Missing value","")</f>
        <v/>
      </c>
      <c r="P541" s="4">
        <f t="shared" si="8"/>
        <v>0</v>
      </c>
    </row>
    <row r="542" spans="1:16" x14ac:dyDescent="0.25">
      <c r="A542" s="4" t="str">
        <f>Customers!A542</f>
        <v>CL00536</v>
      </c>
      <c r="B542" s="20">
        <f>IF(Customers!G542="","",(Customers!G542-Statistics!$C$7)/Statistics!$C$9)</f>
        <v>-6.892436002212296E-2</v>
      </c>
      <c r="C542" s="4" t="str">
        <f>IF(Customers!G542="","",IF(OR(Customers!G542&lt;Statistics!$C$15,Customers!G542&gt;Statistics!$C$16),"Outside 1.5·IQR",""))</f>
        <v/>
      </c>
      <c r="D542" s="4" t="str">
        <f>IF(OR(Customers!B542&lt;18,Customers!B542&gt;100),"Implausible age","")</f>
        <v/>
      </c>
      <c r="E542" s="4" t="str">
        <f>IF(Customers!H542&gt;Customers!B542-18,"Tenure &gt; age-18","")</f>
        <v/>
      </c>
      <c r="F542" s="4" t="str">
        <f>IF(Customers!R542&gt;Customers!Q542,"Card spend &gt; limit","")</f>
        <v/>
      </c>
      <c r="G542" s="4" t="str">
        <f>IF(OR(AND(Customers!S542&gt;0,Customers!T542=0),AND(Customers!S542=0,Customers!T542&gt;0)),"Mortgage/payment inconsistent","")</f>
        <v/>
      </c>
      <c r="H542" s="4" t="str">
        <f>IF(AND(Customers!G542&lt;&gt;"",Customers!G542&gt;0,Customers!T542&gt;Customers!G542/12),"Payment &gt; monthly income","")</f>
        <v/>
      </c>
      <c r="I542" s="4" t="str">
        <f>IF(OR(Customers!I542&gt;DATE(2026,9,13),YEAR(Customers!I542)&lt;1980),"Implausible date","")</f>
        <v/>
      </c>
      <c r="J542" s="4" t="str">
        <f>IF(Customers!I542&gt;DATE(2026,9,13),"",IF(ABS(INT((DATE(2026,9,13)-Customers!I542)/365.25)-Customers!H542)&gt;1,"Date/tenure inconsistent",""))</f>
        <v/>
      </c>
      <c r="K542" s="4" t="str">
        <f>IF(COUNTIF(Customers!$A$2:$A$1001,Customers!A542)&gt;1,"Duplicate ID","")</f>
        <v/>
      </c>
      <c r="L542" s="4" t="str">
        <f>IF(COUNTIFS(Customers!$B$2:$B$1001,Customers!B542,Customers!$D$2:$D$1001,Customers!D542,Customers!$G$2:$G$1001,Customers!G542,Customers!$I$2:$I$1001,Customers!I542,Customers!$L$2:$L$1001,Customers!L542)&gt;1,"Duplicate record","")</f>
        <v/>
      </c>
      <c r="M542" s="4" t="str">
        <f>IF(OR(Customers!U542&lt;300,Customers!U542&gt;850),"Score out of range","")</f>
        <v/>
      </c>
      <c r="N542" s="4" t="str">
        <f>IF(AND(Customers!G542&lt;&gt;"",Customers!G542&lt;=0),"Income ≤ 0","")</f>
        <v/>
      </c>
      <c r="O542" s="4" t="str">
        <f>IF(OR(Customers!G542="",Customers!M542=""),"Missing value","")</f>
        <v/>
      </c>
      <c r="P542" s="4">
        <f t="shared" si="8"/>
        <v>0</v>
      </c>
    </row>
    <row r="543" spans="1:16" x14ac:dyDescent="0.25">
      <c r="A543" s="4" t="str">
        <f>Customers!A543</f>
        <v>CL00537</v>
      </c>
      <c r="B543" s="20">
        <f>IF(Customers!G543="","",(Customers!G543-Statistics!$C$7)/Statistics!$C$9)</f>
        <v>-4.8043983827055534E-2</v>
      </c>
      <c r="C543" s="4" t="str">
        <f>IF(Customers!G543="","",IF(OR(Customers!G543&lt;Statistics!$C$15,Customers!G543&gt;Statistics!$C$16),"Outside 1.5·IQR",""))</f>
        <v/>
      </c>
      <c r="D543" s="4" t="str">
        <f>IF(OR(Customers!B543&lt;18,Customers!B543&gt;100),"Implausible age","")</f>
        <v/>
      </c>
      <c r="E543" s="4" t="str">
        <f>IF(Customers!H543&gt;Customers!B543-18,"Tenure &gt; age-18","")</f>
        <v/>
      </c>
      <c r="F543" s="4" t="str">
        <f>IF(Customers!R543&gt;Customers!Q543,"Card spend &gt; limit","")</f>
        <v/>
      </c>
      <c r="G543" s="4" t="str">
        <f>IF(OR(AND(Customers!S543&gt;0,Customers!T543=0),AND(Customers!S543=0,Customers!T543&gt;0)),"Mortgage/payment inconsistent","")</f>
        <v/>
      </c>
      <c r="H543" s="4" t="str">
        <f>IF(AND(Customers!G543&lt;&gt;"",Customers!G543&gt;0,Customers!T543&gt;Customers!G543/12),"Payment &gt; monthly income","")</f>
        <v/>
      </c>
      <c r="I543" s="4" t="str">
        <f>IF(OR(Customers!I543&gt;DATE(2026,9,13),YEAR(Customers!I543)&lt;1980),"Implausible date","")</f>
        <v/>
      </c>
      <c r="J543" s="4" t="str">
        <f>IF(Customers!I543&gt;DATE(2026,9,13),"",IF(ABS(INT((DATE(2026,9,13)-Customers!I543)/365.25)-Customers!H543)&gt;1,"Date/tenure inconsistent",""))</f>
        <v/>
      </c>
      <c r="K543" s="4" t="str">
        <f>IF(COUNTIF(Customers!$A$2:$A$1001,Customers!A543)&gt;1,"Duplicate ID","")</f>
        <v/>
      </c>
      <c r="L543" s="4" t="str">
        <f>IF(COUNTIFS(Customers!$B$2:$B$1001,Customers!B543,Customers!$D$2:$D$1001,Customers!D543,Customers!$G$2:$G$1001,Customers!G543,Customers!$I$2:$I$1001,Customers!I543,Customers!$L$2:$L$1001,Customers!L543)&gt;1,"Duplicate record","")</f>
        <v/>
      </c>
      <c r="M543" s="4" t="str">
        <f>IF(OR(Customers!U543&lt;300,Customers!U543&gt;850),"Score out of range","")</f>
        <v/>
      </c>
      <c r="N543" s="4" t="str">
        <f>IF(AND(Customers!G543&lt;&gt;"",Customers!G543&lt;=0),"Income ≤ 0","")</f>
        <v/>
      </c>
      <c r="O543" s="4" t="str">
        <f>IF(OR(Customers!G543="",Customers!M543=""),"Missing value","")</f>
        <v/>
      </c>
      <c r="P543" s="4">
        <f t="shared" si="8"/>
        <v>0</v>
      </c>
    </row>
    <row r="544" spans="1:16" x14ac:dyDescent="0.25">
      <c r="A544" s="4" t="str">
        <f>Customers!A544</f>
        <v>CL00538</v>
      </c>
      <c r="B544" s="20">
        <f>IF(Customers!G544="","",(Customers!G544-Statistics!$C$7)/Statistics!$C$9)</f>
        <v>-1.2980710593829093E-2</v>
      </c>
      <c r="C544" s="4" t="str">
        <f>IF(Customers!G544="","",IF(OR(Customers!G544&lt;Statistics!$C$15,Customers!G544&gt;Statistics!$C$16),"Outside 1.5·IQR",""))</f>
        <v/>
      </c>
      <c r="D544" s="4" t="str">
        <f>IF(OR(Customers!B544&lt;18,Customers!B544&gt;100),"Implausible age","")</f>
        <v/>
      </c>
      <c r="E544" s="4" t="str">
        <f>IF(Customers!H544&gt;Customers!B544-18,"Tenure &gt; age-18","")</f>
        <v/>
      </c>
      <c r="F544" s="4" t="str">
        <f>IF(Customers!R544&gt;Customers!Q544,"Card spend &gt; limit","")</f>
        <v/>
      </c>
      <c r="G544" s="4" t="str">
        <f>IF(OR(AND(Customers!S544&gt;0,Customers!T544=0),AND(Customers!S544=0,Customers!T544&gt;0)),"Mortgage/payment inconsistent","")</f>
        <v/>
      </c>
      <c r="H544" s="4" t="str">
        <f>IF(AND(Customers!G544&lt;&gt;"",Customers!G544&gt;0,Customers!T544&gt;Customers!G544/12),"Payment &gt; monthly income","")</f>
        <v/>
      </c>
      <c r="I544" s="4" t="str">
        <f>IF(OR(Customers!I544&gt;DATE(2026,9,13),YEAR(Customers!I544)&lt;1980),"Implausible date","")</f>
        <v/>
      </c>
      <c r="J544" s="4" t="str">
        <f>IF(Customers!I544&gt;DATE(2026,9,13),"",IF(ABS(INT((DATE(2026,9,13)-Customers!I544)/365.25)-Customers!H544)&gt;1,"Date/tenure inconsistent",""))</f>
        <v/>
      </c>
      <c r="K544" s="4" t="str">
        <f>IF(COUNTIF(Customers!$A$2:$A$1001,Customers!A544)&gt;1,"Duplicate ID","")</f>
        <v/>
      </c>
      <c r="L544" s="4" t="str">
        <f>IF(COUNTIFS(Customers!$B$2:$B$1001,Customers!B544,Customers!$D$2:$D$1001,Customers!D544,Customers!$G$2:$G$1001,Customers!G544,Customers!$I$2:$I$1001,Customers!I544,Customers!$L$2:$L$1001,Customers!L544)&gt;1,"Duplicate record","")</f>
        <v/>
      </c>
      <c r="M544" s="4" t="str">
        <f>IF(OR(Customers!U544&lt;300,Customers!U544&gt;850),"Score out of range","")</f>
        <v/>
      </c>
      <c r="N544" s="4" t="str">
        <f>IF(AND(Customers!G544&lt;&gt;"",Customers!G544&lt;=0),"Income ≤ 0","")</f>
        <v/>
      </c>
      <c r="O544" s="4" t="str">
        <f>IF(OR(Customers!G544="",Customers!M544=""),"Missing value","")</f>
        <v/>
      </c>
      <c r="P544" s="4">
        <f t="shared" si="8"/>
        <v>0</v>
      </c>
    </row>
    <row r="545" spans="1:16" x14ac:dyDescent="0.25">
      <c r="A545" s="4" t="str">
        <f>Customers!A545</f>
        <v>CL00539</v>
      </c>
      <c r="B545" s="20">
        <f>IF(Customers!G545="","",(Customers!G545-Statistics!$C$7)/Statistics!$C$9)</f>
        <v>-5.740075617861877E-2</v>
      </c>
      <c r="C545" s="4" t="str">
        <f>IF(Customers!G545="","",IF(OR(Customers!G545&lt;Statistics!$C$15,Customers!G545&gt;Statistics!$C$16),"Outside 1.5·IQR",""))</f>
        <v/>
      </c>
      <c r="D545" s="4" t="str">
        <f>IF(OR(Customers!B545&lt;18,Customers!B545&gt;100),"Implausible age","")</f>
        <v/>
      </c>
      <c r="E545" s="4" t="str">
        <f>IF(Customers!H545&gt;Customers!B545-18,"Tenure &gt; age-18","")</f>
        <v/>
      </c>
      <c r="F545" s="4" t="str">
        <f>IF(Customers!R545&gt;Customers!Q545,"Card spend &gt; limit","")</f>
        <v/>
      </c>
      <c r="G545" s="4" t="str">
        <f>IF(OR(AND(Customers!S545&gt;0,Customers!T545=0),AND(Customers!S545=0,Customers!T545&gt;0)),"Mortgage/payment inconsistent","")</f>
        <v/>
      </c>
      <c r="H545" s="4" t="str">
        <f>IF(AND(Customers!G545&lt;&gt;"",Customers!G545&gt;0,Customers!T545&gt;Customers!G545/12),"Payment &gt; monthly income","")</f>
        <v/>
      </c>
      <c r="I545" s="4" t="str">
        <f>IF(OR(Customers!I545&gt;DATE(2026,9,13),YEAR(Customers!I545)&lt;1980),"Implausible date","")</f>
        <v/>
      </c>
      <c r="J545" s="4" t="str">
        <f>IF(Customers!I545&gt;DATE(2026,9,13),"",IF(ABS(INT((DATE(2026,9,13)-Customers!I545)/365.25)-Customers!H545)&gt;1,"Date/tenure inconsistent",""))</f>
        <v/>
      </c>
      <c r="K545" s="4" t="str">
        <f>IF(COUNTIF(Customers!$A$2:$A$1001,Customers!A545)&gt;1,"Duplicate ID","")</f>
        <v/>
      </c>
      <c r="L545" s="4" t="str">
        <f>IF(COUNTIFS(Customers!$B$2:$B$1001,Customers!B545,Customers!$D$2:$D$1001,Customers!D545,Customers!$G$2:$G$1001,Customers!G545,Customers!$I$2:$I$1001,Customers!I545,Customers!$L$2:$L$1001,Customers!L545)&gt;1,"Duplicate record","")</f>
        <v/>
      </c>
      <c r="M545" s="4" t="str">
        <f>IF(OR(Customers!U545&lt;300,Customers!U545&gt;850),"Score out of range","")</f>
        <v/>
      </c>
      <c r="N545" s="4" t="str">
        <f>IF(AND(Customers!G545&lt;&gt;"",Customers!G545&lt;=0),"Income ≤ 0","")</f>
        <v/>
      </c>
      <c r="O545" s="4" t="str">
        <f>IF(OR(Customers!G545="",Customers!M545=""),"Missing value","")</f>
        <v/>
      </c>
      <c r="P545" s="4">
        <f t="shared" si="8"/>
        <v>0</v>
      </c>
    </row>
    <row r="546" spans="1:16" x14ac:dyDescent="0.25">
      <c r="A546" s="4" t="str">
        <f>Customers!A546</f>
        <v>CL00540</v>
      </c>
      <c r="B546" s="20">
        <f>IF(Customers!G546="","",(Customers!G546-Statistics!$C$7)/Statistics!$C$9)</f>
        <v>-3.8588719134949524E-2</v>
      </c>
      <c r="C546" s="4" t="str">
        <f>IF(Customers!G546="","",IF(OR(Customers!G546&lt;Statistics!$C$15,Customers!G546&gt;Statistics!$C$16),"Outside 1.5·IQR",""))</f>
        <v/>
      </c>
      <c r="D546" s="4" t="str">
        <f>IF(OR(Customers!B546&lt;18,Customers!B546&gt;100),"Implausible age","")</f>
        <v/>
      </c>
      <c r="E546" s="4" t="str">
        <f>IF(Customers!H546&gt;Customers!B546-18,"Tenure &gt; age-18","")</f>
        <v/>
      </c>
      <c r="F546" s="4" t="str">
        <f>IF(Customers!R546&gt;Customers!Q546,"Card spend &gt; limit","")</f>
        <v/>
      </c>
      <c r="G546" s="4" t="str">
        <f>IF(OR(AND(Customers!S546&gt;0,Customers!T546=0),AND(Customers!S546=0,Customers!T546&gt;0)),"Mortgage/payment inconsistent","")</f>
        <v/>
      </c>
      <c r="H546" s="4" t="str">
        <f>IF(AND(Customers!G546&lt;&gt;"",Customers!G546&gt;0,Customers!T546&gt;Customers!G546/12),"Payment &gt; monthly income","")</f>
        <v/>
      </c>
      <c r="I546" s="4" t="str">
        <f>IF(OR(Customers!I546&gt;DATE(2026,9,13),YEAR(Customers!I546)&lt;1980),"Implausible date","")</f>
        <v/>
      </c>
      <c r="J546" s="4" t="str">
        <f>IF(Customers!I546&gt;DATE(2026,9,13),"",IF(ABS(INT((DATE(2026,9,13)-Customers!I546)/365.25)-Customers!H546)&gt;1,"Date/tenure inconsistent",""))</f>
        <v/>
      </c>
      <c r="K546" s="4" t="str">
        <f>IF(COUNTIF(Customers!$A$2:$A$1001,Customers!A546)&gt;1,"Duplicate ID","")</f>
        <v/>
      </c>
      <c r="L546" s="4" t="str">
        <f>IF(COUNTIFS(Customers!$B$2:$B$1001,Customers!B546,Customers!$D$2:$D$1001,Customers!D546,Customers!$G$2:$G$1001,Customers!G546,Customers!$I$2:$I$1001,Customers!I546,Customers!$L$2:$L$1001,Customers!L546)&gt;1,"Duplicate record","")</f>
        <v/>
      </c>
      <c r="M546" s="4" t="str">
        <f>IF(OR(Customers!U546&lt;300,Customers!U546&gt;850),"Score out of range","")</f>
        <v/>
      </c>
      <c r="N546" s="4" t="str">
        <f>IF(AND(Customers!G546&lt;&gt;"",Customers!G546&lt;=0),"Income ≤ 0","")</f>
        <v/>
      </c>
      <c r="O546" s="4" t="str">
        <f>IF(OR(Customers!G546="",Customers!M546=""),"Missing value","")</f>
        <v/>
      </c>
      <c r="P546" s="4">
        <f t="shared" si="8"/>
        <v>0</v>
      </c>
    </row>
    <row r="547" spans="1:16" x14ac:dyDescent="0.25">
      <c r="A547" s="4" t="str">
        <f>Customers!A547</f>
        <v>CL00541</v>
      </c>
      <c r="B547" s="20">
        <f>IF(Customers!G547="","",(Customers!G547-Statistics!$C$7)/Statistics!$C$9)</f>
        <v>-1.3079202934371864E-2</v>
      </c>
      <c r="C547" s="4" t="str">
        <f>IF(Customers!G547="","",IF(OR(Customers!G547&lt;Statistics!$C$15,Customers!G547&gt;Statistics!$C$16),"Outside 1.5·IQR",""))</f>
        <v/>
      </c>
      <c r="D547" s="4" t="str">
        <f>IF(OR(Customers!B547&lt;18,Customers!B547&gt;100),"Implausible age","")</f>
        <v/>
      </c>
      <c r="E547" s="4" t="str">
        <f>IF(Customers!H547&gt;Customers!B547-18,"Tenure &gt; age-18","")</f>
        <v/>
      </c>
      <c r="F547" s="4" t="str">
        <f>IF(Customers!R547&gt;Customers!Q547,"Card spend &gt; limit","")</f>
        <v/>
      </c>
      <c r="G547" s="4" t="str">
        <f>IF(OR(AND(Customers!S547&gt;0,Customers!T547=0),AND(Customers!S547=0,Customers!T547&gt;0)),"Mortgage/payment inconsistent","")</f>
        <v/>
      </c>
      <c r="H547" s="4" t="str">
        <f>IF(AND(Customers!G547&lt;&gt;"",Customers!G547&gt;0,Customers!T547&gt;Customers!G547/12),"Payment &gt; monthly income","")</f>
        <v/>
      </c>
      <c r="I547" s="4" t="str">
        <f>IF(OR(Customers!I547&gt;DATE(2026,9,13),YEAR(Customers!I547)&lt;1980),"Implausible date","")</f>
        <v/>
      </c>
      <c r="J547" s="4" t="str">
        <f>IF(Customers!I547&gt;DATE(2026,9,13),"",IF(ABS(INT((DATE(2026,9,13)-Customers!I547)/365.25)-Customers!H547)&gt;1,"Date/tenure inconsistent",""))</f>
        <v/>
      </c>
      <c r="K547" s="4" t="str">
        <f>IF(COUNTIF(Customers!$A$2:$A$1001,Customers!A547)&gt;1,"Duplicate ID","")</f>
        <v/>
      </c>
      <c r="L547" s="4" t="str">
        <f>IF(COUNTIFS(Customers!$B$2:$B$1001,Customers!B547,Customers!$D$2:$D$1001,Customers!D547,Customers!$G$2:$G$1001,Customers!G547,Customers!$I$2:$I$1001,Customers!I547,Customers!$L$2:$L$1001,Customers!L547)&gt;1,"Duplicate record","")</f>
        <v/>
      </c>
      <c r="M547" s="4" t="str">
        <f>IF(OR(Customers!U547&lt;300,Customers!U547&gt;850),"Score out of range","")</f>
        <v/>
      </c>
      <c r="N547" s="4" t="str">
        <f>IF(AND(Customers!G547&lt;&gt;"",Customers!G547&lt;=0),"Income ≤ 0","")</f>
        <v/>
      </c>
      <c r="O547" s="4" t="str">
        <f>IF(OR(Customers!G547="",Customers!M547=""),"Missing value","")</f>
        <v/>
      </c>
      <c r="P547" s="4">
        <f t="shared" si="8"/>
        <v>0</v>
      </c>
    </row>
    <row r="548" spans="1:16" x14ac:dyDescent="0.25">
      <c r="A548" s="4" t="str">
        <f>Customers!A548</f>
        <v>CL00542</v>
      </c>
      <c r="B548" s="20">
        <f>IF(Customers!G548="","",(Customers!G548-Statistics!$C$7)/Statistics!$C$9)</f>
        <v>1.5385083482488925E-2</v>
      </c>
      <c r="C548" s="4" t="str">
        <f>IF(Customers!G548="","",IF(OR(Customers!G548&lt;Statistics!$C$15,Customers!G548&gt;Statistics!$C$16),"Outside 1.5·IQR",""))</f>
        <v>Outside 1.5·IQR</v>
      </c>
      <c r="D548" s="4" t="str">
        <f>IF(OR(Customers!B548&lt;18,Customers!B548&gt;100),"Implausible age","")</f>
        <v/>
      </c>
      <c r="E548" s="4" t="str">
        <f>IF(Customers!H548&gt;Customers!B548-18,"Tenure &gt; age-18","")</f>
        <v/>
      </c>
      <c r="F548" s="4" t="str">
        <f>IF(Customers!R548&gt;Customers!Q548,"Card spend &gt; limit","")</f>
        <v/>
      </c>
      <c r="G548" s="4" t="str">
        <f>IF(OR(AND(Customers!S548&gt;0,Customers!T548=0),AND(Customers!S548=0,Customers!T548&gt;0)),"Mortgage/payment inconsistent","")</f>
        <v/>
      </c>
      <c r="H548" s="4" t="str">
        <f>IF(AND(Customers!G548&lt;&gt;"",Customers!G548&gt;0,Customers!T548&gt;Customers!G548/12),"Payment &gt; monthly income","")</f>
        <v/>
      </c>
      <c r="I548" s="4" t="str">
        <f>IF(OR(Customers!I548&gt;DATE(2026,9,13),YEAR(Customers!I548)&lt;1980),"Implausible date","")</f>
        <v/>
      </c>
      <c r="J548" s="4" t="str">
        <f>IF(Customers!I548&gt;DATE(2026,9,13),"",IF(ABS(INT((DATE(2026,9,13)-Customers!I548)/365.25)-Customers!H548)&gt;1,"Date/tenure inconsistent",""))</f>
        <v/>
      </c>
      <c r="K548" s="4" t="str">
        <f>IF(COUNTIF(Customers!$A$2:$A$1001,Customers!A548)&gt;1,"Duplicate ID","")</f>
        <v/>
      </c>
      <c r="L548" s="4" t="str">
        <f>IF(COUNTIFS(Customers!$B$2:$B$1001,Customers!B548,Customers!$D$2:$D$1001,Customers!D548,Customers!$G$2:$G$1001,Customers!G548,Customers!$I$2:$I$1001,Customers!I548,Customers!$L$2:$L$1001,Customers!L548)&gt;1,"Duplicate record","")</f>
        <v/>
      </c>
      <c r="M548" s="4" t="str">
        <f>IF(OR(Customers!U548&lt;300,Customers!U548&gt;850),"Score out of range","")</f>
        <v/>
      </c>
      <c r="N548" s="4" t="str">
        <f>IF(AND(Customers!G548&lt;&gt;"",Customers!G548&lt;=0),"Income ≤ 0","")</f>
        <v/>
      </c>
      <c r="O548" s="4" t="str">
        <f>IF(OR(Customers!G548="",Customers!M548=""),"Missing value","")</f>
        <v/>
      </c>
      <c r="P548" s="4">
        <f t="shared" si="8"/>
        <v>1</v>
      </c>
    </row>
    <row r="549" spans="1:16" x14ac:dyDescent="0.25">
      <c r="A549" s="4" t="str">
        <f>Customers!A549</f>
        <v>CL00543</v>
      </c>
      <c r="B549" s="20">
        <f>IF(Customers!G549="","",(Customers!G549-Statistics!$C$7)/Statistics!$C$9)</f>
        <v>1.0361974114807609E-2</v>
      </c>
      <c r="C549" s="4" t="str">
        <f>IF(Customers!G549="","",IF(OR(Customers!G549&lt;Statistics!$C$15,Customers!G549&gt;Statistics!$C$16),"Outside 1.5·IQR",""))</f>
        <v>Outside 1.5·IQR</v>
      </c>
      <c r="D549" s="4" t="str">
        <f>IF(OR(Customers!B549&lt;18,Customers!B549&gt;100),"Implausible age","")</f>
        <v/>
      </c>
      <c r="E549" s="4" t="str">
        <f>IF(Customers!H549&gt;Customers!B549-18,"Tenure &gt; age-18","")</f>
        <v/>
      </c>
      <c r="F549" s="4" t="str">
        <f>IF(Customers!R549&gt;Customers!Q549,"Card spend &gt; limit","")</f>
        <v/>
      </c>
      <c r="G549" s="4" t="str">
        <f>IF(OR(AND(Customers!S549&gt;0,Customers!T549=0),AND(Customers!S549=0,Customers!T549&gt;0)),"Mortgage/payment inconsistent","")</f>
        <v/>
      </c>
      <c r="H549" s="4" t="str">
        <f>IF(AND(Customers!G549&lt;&gt;"",Customers!G549&gt;0,Customers!T549&gt;Customers!G549/12),"Payment &gt; monthly income","")</f>
        <v/>
      </c>
      <c r="I549" s="4" t="str">
        <f>IF(OR(Customers!I549&gt;DATE(2026,9,13),YEAR(Customers!I549)&lt;1980),"Implausible date","")</f>
        <v/>
      </c>
      <c r="J549" s="4" t="str">
        <f>IF(Customers!I549&gt;DATE(2026,9,13),"",IF(ABS(INT((DATE(2026,9,13)-Customers!I549)/365.25)-Customers!H549)&gt;1,"Date/tenure inconsistent",""))</f>
        <v/>
      </c>
      <c r="K549" s="4" t="str">
        <f>IF(COUNTIF(Customers!$A$2:$A$1001,Customers!A549)&gt;1,"Duplicate ID","")</f>
        <v/>
      </c>
      <c r="L549" s="4" t="str">
        <f>IF(COUNTIFS(Customers!$B$2:$B$1001,Customers!B549,Customers!$D$2:$D$1001,Customers!D549,Customers!$G$2:$G$1001,Customers!G549,Customers!$I$2:$I$1001,Customers!I549,Customers!$L$2:$L$1001,Customers!L549)&gt;1,"Duplicate record","")</f>
        <v/>
      </c>
      <c r="M549" s="4" t="str">
        <f>IF(OR(Customers!U549&lt;300,Customers!U549&gt;850),"Score out of range","")</f>
        <v/>
      </c>
      <c r="N549" s="4" t="str">
        <f>IF(AND(Customers!G549&lt;&gt;"",Customers!G549&lt;=0),"Income ≤ 0","")</f>
        <v/>
      </c>
      <c r="O549" s="4" t="str">
        <f>IF(OR(Customers!G549="",Customers!M549=""),"Missing value","")</f>
        <v/>
      </c>
      <c r="P549" s="4">
        <f t="shared" si="8"/>
        <v>1</v>
      </c>
    </row>
    <row r="550" spans="1:16" x14ac:dyDescent="0.25">
      <c r="A550" s="4" t="str">
        <f>Customers!A550</f>
        <v>CL00544</v>
      </c>
      <c r="B550" s="20">
        <f>IF(Customers!G550="","",(Customers!G550-Statistics!$C$7)/Statistics!$C$9)</f>
        <v>-2.0072159112908598E-2</v>
      </c>
      <c r="C550" s="4" t="str">
        <f>IF(Customers!G550="","",IF(OR(Customers!G550&lt;Statistics!$C$15,Customers!G550&gt;Statistics!$C$16),"Outside 1.5·IQR",""))</f>
        <v/>
      </c>
      <c r="D550" s="4" t="str">
        <f>IF(OR(Customers!B550&lt;18,Customers!B550&gt;100),"Implausible age","")</f>
        <v/>
      </c>
      <c r="E550" s="4" t="str">
        <f>IF(Customers!H550&gt;Customers!B550-18,"Tenure &gt; age-18","")</f>
        <v/>
      </c>
      <c r="F550" s="4" t="str">
        <f>IF(Customers!R550&gt;Customers!Q550,"Card spend &gt; limit","")</f>
        <v/>
      </c>
      <c r="G550" s="4" t="str">
        <f>IF(OR(AND(Customers!S550&gt;0,Customers!T550=0),AND(Customers!S550=0,Customers!T550&gt;0)),"Mortgage/payment inconsistent","")</f>
        <v/>
      </c>
      <c r="H550" s="4" t="str">
        <f>IF(AND(Customers!G550&lt;&gt;"",Customers!G550&gt;0,Customers!T550&gt;Customers!G550/12),"Payment &gt; monthly income","")</f>
        <v/>
      </c>
      <c r="I550" s="4" t="str">
        <f>IF(OR(Customers!I550&gt;DATE(2026,9,13),YEAR(Customers!I550)&lt;1980),"Implausible date","")</f>
        <v/>
      </c>
      <c r="J550" s="4" t="str">
        <f>IF(Customers!I550&gt;DATE(2026,9,13),"",IF(ABS(INT((DATE(2026,9,13)-Customers!I550)/365.25)-Customers!H550)&gt;1,"Date/tenure inconsistent",""))</f>
        <v/>
      </c>
      <c r="K550" s="4" t="str">
        <f>IF(COUNTIF(Customers!$A$2:$A$1001,Customers!A550)&gt;1,"Duplicate ID","")</f>
        <v/>
      </c>
      <c r="L550" s="4" t="str">
        <f>IF(COUNTIFS(Customers!$B$2:$B$1001,Customers!B550,Customers!$D$2:$D$1001,Customers!D550,Customers!$G$2:$G$1001,Customers!G550,Customers!$I$2:$I$1001,Customers!I550,Customers!$L$2:$L$1001,Customers!L550)&gt;1,"Duplicate record","")</f>
        <v/>
      </c>
      <c r="M550" s="4" t="str">
        <f>IF(OR(Customers!U550&lt;300,Customers!U550&gt;850),"Score out of range","")</f>
        <v/>
      </c>
      <c r="N550" s="4" t="str">
        <f>IF(AND(Customers!G550&lt;&gt;"",Customers!G550&lt;=0),"Income ≤ 0","")</f>
        <v/>
      </c>
      <c r="O550" s="4" t="str">
        <f>IF(OR(Customers!G550="",Customers!M550=""),"Missing value","")</f>
        <v/>
      </c>
      <c r="P550" s="4">
        <f t="shared" si="8"/>
        <v>0</v>
      </c>
    </row>
    <row r="551" spans="1:16" x14ac:dyDescent="0.25">
      <c r="A551" s="4" t="str">
        <f>Customers!A551</f>
        <v>CL00545</v>
      </c>
      <c r="B551" s="20">
        <f>IF(Customers!G551="","",(Customers!G551-Statistics!$C$7)/Statistics!$C$9)</f>
        <v>-2.5686222523846541E-2</v>
      </c>
      <c r="C551" s="4" t="str">
        <f>IF(Customers!G551="","",IF(OR(Customers!G551&lt;Statistics!$C$15,Customers!G551&gt;Statistics!$C$16),"Outside 1.5·IQR",""))</f>
        <v/>
      </c>
      <c r="D551" s="4" t="str">
        <f>IF(OR(Customers!B551&lt;18,Customers!B551&gt;100),"Implausible age","")</f>
        <v/>
      </c>
      <c r="E551" s="4" t="str">
        <f>IF(Customers!H551&gt;Customers!B551-18,"Tenure &gt; age-18","")</f>
        <v/>
      </c>
      <c r="F551" s="4" t="str">
        <f>IF(Customers!R551&gt;Customers!Q551,"Card spend &gt; limit","")</f>
        <v/>
      </c>
      <c r="G551" s="4" t="str">
        <f>IF(OR(AND(Customers!S551&gt;0,Customers!T551=0),AND(Customers!S551=0,Customers!T551&gt;0)),"Mortgage/payment inconsistent","")</f>
        <v/>
      </c>
      <c r="H551" s="4" t="str">
        <f>IF(AND(Customers!G551&lt;&gt;"",Customers!G551&gt;0,Customers!T551&gt;Customers!G551/12),"Payment &gt; monthly income","")</f>
        <v/>
      </c>
      <c r="I551" s="4" t="str">
        <f>IF(OR(Customers!I551&gt;DATE(2026,9,13),YEAR(Customers!I551)&lt;1980),"Implausible date","")</f>
        <v/>
      </c>
      <c r="J551" s="4" t="str">
        <f>IF(Customers!I551&gt;DATE(2026,9,13),"",IF(ABS(INT((DATE(2026,9,13)-Customers!I551)/365.25)-Customers!H551)&gt;1,"Date/tenure inconsistent",""))</f>
        <v/>
      </c>
      <c r="K551" s="4" t="str">
        <f>IF(COUNTIF(Customers!$A$2:$A$1001,Customers!A551)&gt;1,"Duplicate ID","")</f>
        <v/>
      </c>
      <c r="L551" s="4" t="str">
        <f>IF(COUNTIFS(Customers!$B$2:$B$1001,Customers!B551,Customers!$D$2:$D$1001,Customers!D551,Customers!$G$2:$G$1001,Customers!G551,Customers!$I$2:$I$1001,Customers!I551,Customers!$L$2:$L$1001,Customers!L551)&gt;1,"Duplicate record","")</f>
        <v/>
      </c>
      <c r="M551" s="4" t="str">
        <f>IF(OR(Customers!U551&lt;300,Customers!U551&gt;850),"Score out of range","")</f>
        <v/>
      </c>
      <c r="N551" s="4" t="str">
        <f>IF(AND(Customers!G551&lt;&gt;"",Customers!G551&lt;=0),"Income ≤ 0","")</f>
        <v/>
      </c>
      <c r="O551" s="4" t="str">
        <f>IF(OR(Customers!G551="",Customers!M551=""),"Missing value","")</f>
        <v/>
      </c>
      <c r="P551" s="4">
        <f t="shared" si="8"/>
        <v>0</v>
      </c>
    </row>
    <row r="552" spans="1:16" x14ac:dyDescent="0.25">
      <c r="A552" s="4" t="str">
        <f>Customers!A552</f>
        <v>CL00546</v>
      </c>
      <c r="B552" s="20">
        <f>IF(Customers!G552="","",(Customers!G552-Statistics!$C$7)/Statistics!$C$9)</f>
        <v>-5.4839955324506723E-2</v>
      </c>
      <c r="C552" s="4" t="str">
        <f>IF(Customers!G552="","",IF(OR(Customers!G552&lt;Statistics!$C$15,Customers!G552&gt;Statistics!$C$16),"Outside 1.5·IQR",""))</f>
        <v/>
      </c>
      <c r="D552" s="4" t="str">
        <f>IF(OR(Customers!B552&lt;18,Customers!B552&gt;100),"Implausible age","")</f>
        <v/>
      </c>
      <c r="E552" s="4" t="str">
        <f>IF(Customers!H552&gt;Customers!B552-18,"Tenure &gt; age-18","")</f>
        <v/>
      </c>
      <c r="F552" s="4" t="str">
        <f>IF(Customers!R552&gt;Customers!Q552,"Card spend &gt; limit","")</f>
        <v/>
      </c>
      <c r="G552" s="4" t="str">
        <f>IF(OR(AND(Customers!S552&gt;0,Customers!T552=0),AND(Customers!S552=0,Customers!T552&gt;0)),"Mortgage/payment inconsistent","")</f>
        <v/>
      </c>
      <c r="H552" s="4" t="str">
        <f>IF(AND(Customers!G552&lt;&gt;"",Customers!G552&gt;0,Customers!T552&gt;Customers!G552/12),"Payment &gt; monthly income","")</f>
        <v/>
      </c>
      <c r="I552" s="4" t="str">
        <f>IF(OR(Customers!I552&gt;DATE(2026,9,13),YEAR(Customers!I552)&lt;1980),"Implausible date","")</f>
        <v/>
      </c>
      <c r="J552" s="4" t="str">
        <f>IF(Customers!I552&gt;DATE(2026,9,13),"",IF(ABS(INT((DATE(2026,9,13)-Customers!I552)/365.25)-Customers!H552)&gt;1,"Date/tenure inconsistent",""))</f>
        <v/>
      </c>
      <c r="K552" s="4" t="str">
        <f>IF(COUNTIF(Customers!$A$2:$A$1001,Customers!A552)&gt;1,"Duplicate ID","")</f>
        <v/>
      </c>
      <c r="L552" s="4" t="str">
        <f>IF(COUNTIFS(Customers!$B$2:$B$1001,Customers!B552,Customers!$D$2:$D$1001,Customers!D552,Customers!$G$2:$G$1001,Customers!G552,Customers!$I$2:$I$1001,Customers!I552,Customers!$L$2:$L$1001,Customers!L552)&gt;1,"Duplicate record","")</f>
        <v/>
      </c>
      <c r="M552" s="4" t="str">
        <f>IF(OR(Customers!U552&lt;300,Customers!U552&gt;850),"Score out of range","")</f>
        <v/>
      </c>
      <c r="N552" s="4" t="str">
        <f>IF(AND(Customers!G552&lt;&gt;"",Customers!G552&lt;=0),"Income ≤ 0","")</f>
        <v/>
      </c>
      <c r="O552" s="4" t="str">
        <f>IF(OR(Customers!G552="",Customers!M552=""),"Missing value","")</f>
        <v/>
      </c>
      <c r="P552" s="4">
        <f t="shared" si="8"/>
        <v>0</v>
      </c>
    </row>
    <row r="553" spans="1:16" x14ac:dyDescent="0.25">
      <c r="A553" s="4" t="str">
        <f>Customers!A553</f>
        <v>CL00547</v>
      </c>
      <c r="B553" s="20">
        <f>IF(Customers!G553="","",(Customers!G553-Statistics!$C$7)/Statistics!$C$9)</f>
        <v>-4.2232935735032048E-2</v>
      </c>
      <c r="C553" s="4" t="str">
        <f>IF(Customers!G553="","",IF(OR(Customers!G553&lt;Statistics!$C$15,Customers!G553&gt;Statistics!$C$16),"Outside 1.5·IQR",""))</f>
        <v/>
      </c>
      <c r="D553" s="4" t="str">
        <f>IF(OR(Customers!B553&lt;18,Customers!B553&gt;100),"Implausible age","")</f>
        <v/>
      </c>
      <c r="E553" s="4" t="str">
        <f>IF(Customers!H553&gt;Customers!B553-18,"Tenure &gt; age-18","")</f>
        <v/>
      </c>
      <c r="F553" s="4" t="str">
        <f>IF(Customers!R553&gt;Customers!Q553,"Card spend &gt; limit","")</f>
        <v/>
      </c>
      <c r="G553" s="4" t="str">
        <f>IF(OR(AND(Customers!S553&gt;0,Customers!T553=0),AND(Customers!S553=0,Customers!T553&gt;0)),"Mortgage/payment inconsistent","")</f>
        <v/>
      </c>
      <c r="H553" s="4" t="str">
        <f>IF(AND(Customers!G553&lt;&gt;"",Customers!G553&gt;0,Customers!T553&gt;Customers!G553/12),"Payment &gt; monthly income","")</f>
        <v/>
      </c>
      <c r="I553" s="4" t="str">
        <f>IF(OR(Customers!I553&gt;DATE(2026,9,13),YEAR(Customers!I553)&lt;1980),"Implausible date","")</f>
        <v/>
      </c>
      <c r="J553" s="4" t="str">
        <f>IF(Customers!I553&gt;DATE(2026,9,13),"",IF(ABS(INT((DATE(2026,9,13)-Customers!I553)/365.25)-Customers!H553)&gt;1,"Date/tenure inconsistent",""))</f>
        <v/>
      </c>
      <c r="K553" s="4" t="str">
        <f>IF(COUNTIF(Customers!$A$2:$A$1001,Customers!A553)&gt;1,"Duplicate ID","")</f>
        <v/>
      </c>
      <c r="L553" s="4" t="str">
        <f>IF(COUNTIFS(Customers!$B$2:$B$1001,Customers!B553,Customers!$D$2:$D$1001,Customers!D553,Customers!$G$2:$G$1001,Customers!G553,Customers!$I$2:$I$1001,Customers!I553,Customers!$L$2:$L$1001,Customers!L553)&gt;1,"Duplicate record","")</f>
        <v/>
      </c>
      <c r="M553" s="4" t="str">
        <f>IF(OR(Customers!U553&lt;300,Customers!U553&gt;850),"Score out of range","")</f>
        <v/>
      </c>
      <c r="N553" s="4" t="str">
        <f>IF(AND(Customers!G553&lt;&gt;"",Customers!G553&lt;=0),"Income ≤ 0","")</f>
        <v/>
      </c>
      <c r="O553" s="4" t="str">
        <f>IF(OR(Customers!G553="",Customers!M553=""),"Missing value","")</f>
        <v/>
      </c>
      <c r="P553" s="4">
        <f t="shared" si="8"/>
        <v>0</v>
      </c>
    </row>
    <row r="554" spans="1:16" x14ac:dyDescent="0.25">
      <c r="A554" s="4" t="str">
        <f>Customers!A554</f>
        <v>CL00548</v>
      </c>
      <c r="B554" s="20">
        <f>IF(Customers!G554="","",(Customers!G554-Statistics!$C$7)/Statistics!$C$9)</f>
        <v>-3.3270132745639898E-2</v>
      </c>
      <c r="C554" s="4" t="str">
        <f>IF(Customers!G554="","",IF(OR(Customers!G554&lt;Statistics!$C$15,Customers!G554&gt;Statistics!$C$16),"Outside 1.5·IQR",""))</f>
        <v/>
      </c>
      <c r="D554" s="4" t="str">
        <f>IF(OR(Customers!B554&lt;18,Customers!B554&gt;100),"Implausible age","")</f>
        <v/>
      </c>
      <c r="E554" s="4" t="str">
        <f>IF(Customers!H554&gt;Customers!B554-18,"Tenure &gt; age-18","")</f>
        <v/>
      </c>
      <c r="F554" s="4" t="str">
        <f>IF(Customers!R554&gt;Customers!Q554,"Card spend &gt; limit","")</f>
        <v/>
      </c>
      <c r="G554" s="4" t="str">
        <f>IF(OR(AND(Customers!S554&gt;0,Customers!T554=0),AND(Customers!S554=0,Customers!T554&gt;0)),"Mortgage/payment inconsistent","")</f>
        <v/>
      </c>
      <c r="H554" s="4" t="str">
        <f>IF(AND(Customers!G554&lt;&gt;"",Customers!G554&gt;0,Customers!T554&gt;Customers!G554/12),"Payment &gt; monthly income","")</f>
        <v/>
      </c>
      <c r="I554" s="4" t="str">
        <f>IF(OR(Customers!I554&gt;DATE(2026,9,13),YEAR(Customers!I554)&lt;1980),"Implausible date","")</f>
        <v/>
      </c>
      <c r="J554" s="4" t="str">
        <f>IF(Customers!I554&gt;DATE(2026,9,13),"",IF(ABS(INT((DATE(2026,9,13)-Customers!I554)/365.25)-Customers!H554)&gt;1,"Date/tenure inconsistent",""))</f>
        <v/>
      </c>
      <c r="K554" s="4" t="str">
        <f>IF(COUNTIF(Customers!$A$2:$A$1001,Customers!A554)&gt;1,"Duplicate ID","")</f>
        <v/>
      </c>
      <c r="L554" s="4" t="str">
        <f>IF(COUNTIFS(Customers!$B$2:$B$1001,Customers!B554,Customers!$D$2:$D$1001,Customers!D554,Customers!$G$2:$G$1001,Customers!G554,Customers!$I$2:$I$1001,Customers!I554,Customers!$L$2:$L$1001,Customers!L554)&gt;1,"Duplicate record","")</f>
        <v/>
      </c>
      <c r="M554" s="4" t="str">
        <f>IF(OR(Customers!U554&lt;300,Customers!U554&gt;850),"Score out of range","")</f>
        <v/>
      </c>
      <c r="N554" s="4" t="str">
        <f>IF(AND(Customers!G554&lt;&gt;"",Customers!G554&lt;=0),"Income ≤ 0","")</f>
        <v/>
      </c>
      <c r="O554" s="4" t="str">
        <f>IF(OR(Customers!G554="",Customers!M554=""),"Missing value","")</f>
        <v/>
      </c>
      <c r="P554" s="4">
        <f t="shared" si="8"/>
        <v>0</v>
      </c>
    </row>
    <row r="555" spans="1:16" x14ac:dyDescent="0.25">
      <c r="A555" s="4" t="str">
        <f>Customers!A555</f>
        <v>CL00549</v>
      </c>
      <c r="B555" s="20">
        <f>IF(Customers!G555="","",(Customers!G555-Statistics!$C$7)/Statistics!$C$9)</f>
        <v>-4.3316351481002532E-2</v>
      </c>
      <c r="C555" s="4" t="str">
        <f>IF(Customers!G555="","",IF(OR(Customers!G555&lt;Statistics!$C$15,Customers!G555&gt;Statistics!$C$16),"Outside 1.5·IQR",""))</f>
        <v/>
      </c>
      <c r="D555" s="4" t="str">
        <f>IF(OR(Customers!B555&lt;18,Customers!B555&gt;100),"Implausible age","")</f>
        <v/>
      </c>
      <c r="E555" s="4" t="str">
        <f>IF(Customers!H555&gt;Customers!B555-18,"Tenure &gt; age-18","")</f>
        <v/>
      </c>
      <c r="F555" s="4" t="str">
        <f>IF(Customers!R555&gt;Customers!Q555,"Card spend &gt; limit","")</f>
        <v/>
      </c>
      <c r="G555" s="4" t="str">
        <f>IF(OR(AND(Customers!S555&gt;0,Customers!T555=0),AND(Customers!S555=0,Customers!T555&gt;0)),"Mortgage/payment inconsistent","")</f>
        <v/>
      </c>
      <c r="H555" s="4" t="str">
        <f>IF(AND(Customers!G555&lt;&gt;"",Customers!G555&gt;0,Customers!T555&gt;Customers!G555/12),"Payment &gt; monthly income","")</f>
        <v/>
      </c>
      <c r="I555" s="4" t="str">
        <f>IF(OR(Customers!I555&gt;DATE(2026,9,13),YEAR(Customers!I555)&lt;1980),"Implausible date","")</f>
        <v/>
      </c>
      <c r="J555" s="4" t="str">
        <f>IF(Customers!I555&gt;DATE(2026,9,13),"",IF(ABS(INT((DATE(2026,9,13)-Customers!I555)/365.25)-Customers!H555)&gt;1,"Date/tenure inconsistent",""))</f>
        <v/>
      </c>
      <c r="K555" s="4" t="str">
        <f>IF(COUNTIF(Customers!$A$2:$A$1001,Customers!A555)&gt;1,"Duplicate ID","")</f>
        <v/>
      </c>
      <c r="L555" s="4" t="str">
        <f>IF(COUNTIFS(Customers!$B$2:$B$1001,Customers!B555,Customers!$D$2:$D$1001,Customers!D555,Customers!$G$2:$G$1001,Customers!G555,Customers!$I$2:$I$1001,Customers!I555,Customers!$L$2:$L$1001,Customers!L555)&gt;1,"Duplicate record","")</f>
        <v/>
      </c>
      <c r="M555" s="4" t="str">
        <f>IF(OR(Customers!U555&lt;300,Customers!U555&gt;850),"Score out of range","")</f>
        <v/>
      </c>
      <c r="N555" s="4" t="str">
        <f>IF(AND(Customers!G555&lt;&gt;"",Customers!G555&lt;=0),"Income ≤ 0","")</f>
        <v/>
      </c>
      <c r="O555" s="4" t="str">
        <f>IF(OR(Customers!G555="",Customers!M555=""),"Missing value","")</f>
        <v/>
      </c>
      <c r="P555" s="4">
        <f t="shared" si="8"/>
        <v>0</v>
      </c>
    </row>
    <row r="556" spans="1:16" x14ac:dyDescent="0.25">
      <c r="A556" s="4" t="str">
        <f>Customers!A556</f>
        <v>CL00550</v>
      </c>
      <c r="B556" s="20">
        <f>IF(Customers!G556="","",(Customers!G556-Statistics!$C$7)/Statistics!$C$9)</f>
        <v>-2.9034962102300749E-2</v>
      </c>
      <c r="C556" s="4" t="str">
        <f>IF(Customers!G556="","",IF(OR(Customers!G556&lt;Statistics!$C$15,Customers!G556&gt;Statistics!$C$16),"Outside 1.5·IQR",""))</f>
        <v/>
      </c>
      <c r="D556" s="4" t="str">
        <f>IF(OR(Customers!B556&lt;18,Customers!B556&gt;100),"Implausible age","")</f>
        <v/>
      </c>
      <c r="E556" s="4" t="str">
        <f>IF(Customers!H556&gt;Customers!B556-18,"Tenure &gt; age-18","")</f>
        <v/>
      </c>
      <c r="F556" s="4" t="str">
        <f>IF(Customers!R556&gt;Customers!Q556,"Card spend &gt; limit","")</f>
        <v/>
      </c>
      <c r="G556" s="4" t="str">
        <f>IF(OR(AND(Customers!S556&gt;0,Customers!T556=0),AND(Customers!S556=0,Customers!T556&gt;0)),"Mortgage/payment inconsistent","")</f>
        <v/>
      </c>
      <c r="H556" s="4" t="str">
        <f>IF(AND(Customers!G556&lt;&gt;"",Customers!G556&gt;0,Customers!T556&gt;Customers!G556/12),"Payment &gt; monthly income","")</f>
        <v/>
      </c>
      <c r="I556" s="4" t="str">
        <f>IF(OR(Customers!I556&gt;DATE(2026,9,13),YEAR(Customers!I556)&lt;1980),"Implausible date","")</f>
        <v/>
      </c>
      <c r="J556" s="4" t="str">
        <f>IF(Customers!I556&gt;DATE(2026,9,13),"",IF(ABS(INT((DATE(2026,9,13)-Customers!I556)/365.25)-Customers!H556)&gt;1,"Date/tenure inconsistent",""))</f>
        <v/>
      </c>
      <c r="K556" s="4" t="str">
        <f>IF(COUNTIF(Customers!$A$2:$A$1001,Customers!A556)&gt;1,"Duplicate ID","")</f>
        <v/>
      </c>
      <c r="L556" s="4" t="str">
        <f>IF(COUNTIFS(Customers!$B$2:$B$1001,Customers!B556,Customers!$D$2:$D$1001,Customers!D556,Customers!$G$2:$G$1001,Customers!G556,Customers!$I$2:$I$1001,Customers!I556,Customers!$L$2:$L$1001,Customers!L556)&gt;1,"Duplicate record","")</f>
        <v/>
      </c>
      <c r="M556" s="4" t="str">
        <f>IF(OR(Customers!U556&lt;300,Customers!U556&gt;850),"Score out of range","")</f>
        <v/>
      </c>
      <c r="N556" s="4" t="str">
        <f>IF(AND(Customers!G556&lt;&gt;"",Customers!G556&lt;=0),"Income ≤ 0","")</f>
        <v/>
      </c>
      <c r="O556" s="4" t="str">
        <f>IF(OR(Customers!G556="",Customers!M556=""),"Missing value","")</f>
        <v/>
      </c>
      <c r="P556" s="4">
        <f t="shared" si="8"/>
        <v>0</v>
      </c>
    </row>
    <row r="557" spans="1:16" x14ac:dyDescent="0.25">
      <c r="A557" s="4" t="str">
        <f>Customers!A557</f>
        <v>CL00551</v>
      </c>
      <c r="B557" s="20">
        <f>IF(Customers!G557="","",(Customers!G557-Statistics!$C$7)/Statistics!$C$9)</f>
        <v>-5.0998754043338659E-2</v>
      </c>
      <c r="C557" s="4" t="str">
        <f>IF(Customers!G557="","",IF(OR(Customers!G557&lt;Statistics!$C$15,Customers!G557&gt;Statistics!$C$16),"Outside 1.5·IQR",""))</f>
        <v/>
      </c>
      <c r="D557" s="4" t="str">
        <f>IF(OR(Customers!B557&lt;18,Customers!B557&gt;100),"Implausible age","")</f>
        <v/>
      </c>
      <c r="E557" s="4" t="str">
        <f>IF(Customers!H557&gt;Customers!B557-18,"Tenure &gt; age-18","")</f>
        <v/>
      </c>
      <c r="F557" s="4" t="str">
        <f>IF(Customers!R557&gt;Customers!Q557,"Card spend &gt; limit","")</f>
        <v/>
      </c>
      <c r="G557" s="4" t="str">
        <f>IF(OR(AND(Customers!S557&gt;0,Customers!T557=0),AND(Customers!S557=0,Customers!T557&gt;0)),"Mortgage/payment inconsistent","")</f>
        <v/>
      </c>
      <c r="H557" s="4" t="str">
        <f>IF(AND(Customers!G557&lt;&gt;"",Customers!G557&gt;0,Customers!T557&gt;Customers!G557/12),"Payment &gt; monthly income","")</f>
        <v/>
      </c>
      <c r="I557" s="4" t="str">
        <f>IF(OR(Customers!I557&gt;DATE(2026,9,13),YEAR(Customers!I557)&lt;1980),"Implausible date","")</f>
        <v/>
      </c>
      <c r="J557" s="4" t="str">
        <f>IF(Customers!I557&gt;DATE(2026,9,13),"",IF(ABS(INT((DATE(2026,9,13)-Customers!I557)/365.25)-Customers!H557)&gt;1,"Date/tenure inconsistent",""))</f>
        <v/>
      </c>
      <c r="K557" s="4" t="str">
        <f>IF(COUNTIF(Customers!$A$2:$A$1001,Customers!A557)&gt;1,"Duplicate ID","")</f>
        <v/>
      </c>
      <c r="L557" s="4" t="str">
        <f>IF(COUNTIFS(Customers!$B$2:$B$1001,Customers!B557,Customers!$D$2:$D$1001,Customers!D557,Customers!$G$2:$G$1001,Customers!G557,Customers!$I$2:$I$1001,Customers!I557,Customers!$L$2:$L$1001,Customers!L557)&gt;1,"Duplicate record","")</f>
        <v/>
      </c>
      <c r="M557" s="4" t="str">
        <f>IF(OR(Customers!U557&lt;300,Customers!U557&gt;850),"Score out of range","")</f>
        <v/>
      </c>
      <c r="N557" s="4" t="str">
        <f>IF(AND(Customers!G557&lt;&gt;"",Customers!G557&lt;=0),"Income ≤ 0","")</f>
        <v/>
      </c>
      <c r="O557" s="4" t="str">
        <f>IF(OR(Customers!G557="",Customers!M557=""),"Missing value","")</f>
        <v/>
      </c>
      <c r="P557" s="4">
        <f t="shared" si="8"/>
        <v>0</v>
      </c>
    </row>
    <row r="558" spans="1:16" x14ac:dyDescent="0.25">
      <c r="A558" s="4" t="str">
        <f>Customers!A558</f>
        <v>CL00552</v>
      </c>
      <c r="B558" s="20">
        <f>IF(Customers!G558="","",(Customers!G558-Statistics!$C$7)/Statistics!$C$9)</f>
        <v>-6.5575620443668756E-2</v>
      </c>
      <c r="C558" s="4" t="str">
        <f>IF(Customers!G558="","",IF(OR(Customers!G558&lt;Statistics!$C$15,Customers!G558&gt;Statistics!$C$16),"Outside 1.5·IQR",""))</f>
        <v/>
      </c>
      <c r="D558" s="4" t="str">
        <f>IF(OR(Customers!B558&lt;18,Customers!B558&gt;100),"Implausible age","")</f>
        <v/>
      </c>
      <c r="E558" s="4" t="str">
        <f>IF(Customers!H558&gt;Customers!B558-18,"Tenure &gt; age-18","")</f>
        <v/>
      </c>
      <c r="F558" s="4" t="str">
        <f>IF(Customers!R558&gt;Customers!Q558,"Card spend &gt; limit","")</f>
        <v/>
      </c>
      <c r="G558" s="4" t="str">
        <f>IF(OR(AND(Customers!S558&gt;0,Customers!T558=0),AND(Customers!S558=0,Customers!T558&gt;0)),"Mortgage/payment inconsistent","")</f>
        <v/>
      </c>
      <c r="H558" s="4" t="str">
        <f>IF(AND(Customers!G558&lt;&gt;"",Customers!G558&gt;0,Customers!T558&gt;Customers!G558/12),"Payment &gt; monthly income","")</f>
        <v/>
      </c>
      <c r="I558" s="4" t="str">
        <f>IF(OR(Customers!I558&gt;DATE(2026,9,13),YEAR(Customers!I558)&lt;1980),"Implausible date","")</f>
        <v/>
      </c>
      <c r="J558" s="4" t="str">
        <f>IF(Customers!I558&gt;DATE(2026,9,13),"",IF(ABS(INT((DATE(2026,9,13)-Customers!I558)/365.25)-Customers!H558)&gt;1,"Date/tenure inconsistent",""))</f>
        <v/>
      </c>
      <c r="K558" s="4" t="str">
        <f>IF(COUNTIF(Customers!$A$2:$A$1001,Customers!A558)&gt;1,"Duplicate ID","")</f>
        <v/>
      </c>
      <c r="L558" s="4" t="str">
        <f>IF(COUNTIFS(Customers!$B$2:$B$1001,Customers!B558,Customers!$D$2:$D$1001,Customers!D558,Customers!$G$2:$G$1001,Customers!G558,Customers!$I$2:$I$1001,Customers!I558,Customers!$L$2:$L$1001,Customers!L558)&gt;1,"Duplicate record","")</f>
        <v/>
      </c>
      <c r="M558" s="4" t="str">
        <f>IF(OR(Customers!U558&lt;300,Customers!U558&gt;850),"Score out of range","")</f>
        <v/>
      </c>
      <c r="N558" s="4" t="str">
        <f>IF(AND(Customers!G558&lt;&gt;"",Customers!G558&lt;=0),"Income ≤ 0","")</f>
        <v/>
      </c>
      <c r="O558" s="4" t="str">
        <f>IF(OR(Customers!G558="",Customers!M558=""),"Missing value","")</f>
        <v/>
      </c>
      <c r="P558" s="4">
        <f t="shared" si="8"/>
        <v>0</v>
      </c>
    </row>
    <row r="559" spans="1:16" x14ac:dyDescent="0.25">
      <c r="A559" s="4" t="str">
        <f>Customers!A559</f>
        <v>CL00553</v>
      </c>
      <c r="B559" s="20">
        <f>IF(Customers!G559="","",(Customers!G559-Statistics!$C$7)/Statistics!$C$9)</f>
        <v>-5.6809802135362145E-2</v>
      </c>
      <c r="C559" s="4" t="str">
        <f>IF(Customers!G559="","",IF(OR(Customers!G559&lt;Statistics!$C$15,Customers!G559&gt;Statistics!$C$16),"Outside 1.5·IQR",""))</f>
        <v/>
      </c>
      <c r="D559" s="4" t="str">
        <f>IF(OR(Customers!B559&lt;18,Customers!B559&gt;100),"Implausible age","")</f>
        <v/>
      </c>
      <c r="E559" s="4" t="str">
        <f>IF(Customers!H559&gt;Customers!B559-18,"Tenure &gt; age-18","")</f>
        <v/>
      </c>
      <c r="F559" s="4" t="str">
        <f>IF(Customers!R559&gt;Customers!Q559,"Card spend &gt; limit","")</f>
        <v/>
      </c>
      <c r="G559" s="4" t="str">
        <f>IF(OR(AND(Customers!S559&gt;0,Customers!T559=0),AND(Customers!S559=0,Customers!T559&gt;0)),"Mortgage/payment inconsistent","")</f>
        <v/>
      </c>
      <c r="H559" s="4" t="str">
        <f>IF(AND(Customers!G559&lt;&gt;"",Customers!G559&gt;0,Customers!T559&gt;Customers!G559/12),"Payment &gt; monthly income","")</f>
        <v/>
      </c>
      <c r="I559" s="4" t="str">
        <f>IF(OR(Customers!I559&gt;DATE(2026,9,13),YEAR(Customers!I559)&lt;1980),"Implausible date","")</f>
        <v/>
      </c>
      <c r="J559" s="4" t="str">
        <f>IF(Customers!I559&gt;DATE(2026,9,13),"",IF(ABS(INT((DATE(2026,9,13)-Customers!I559)/365.25)-Customers!H559)&gt;1,"Date/tenure inconsistent",""))</f>
        <v/>
      </c>
      <c r="K559" s="4" t="str">
        <f>IF(COUNTIF(Customers!$A$2:$A$1001,Customers!A559)&gt;1,"Duplicate ID","")</f>
        <v/>
      </c>
      <c r="L559" s="4" t="str">
        <f>IF(COUNTIFS(Customers!$B$2:$B$1001,Customers!B559,Customers!$D$2:$D$1001,Customers!D559,Customers!$G$2:$G$1001,Customers!G559,Customers!$I$2:$I$1001,Customers!I559,Customers!$L$2:$L$1001,Customers!L559)&gt;1,"Duplicate record","")</f>
        <v/>
      </c>
      <c r="M559" s="4" t="str">
        <f>IF(OR(Customers!U559&lt;300,Customers!U559&gt;850),"Score out of range","")</f>
        <v/>
      </c>
      <c r="N559" s="4" t="str">
        <f>IF(AND(Customers!G559&lt;&gt;"",Customers!G559&lt;=0),"Income ≤ 0","")</f>
        <v/>
      </c>
      <c r="O559" s="4" t="str">
        <f>IF(OR(Customers!G559="",Customers!M559=""),"Missing value","")</f>
        <v/>
      </c>
      <c r="P559" s="4">
        <f t="shared" si="8"/>
        <v>0</v>
      </c>
    </row>
    <row r="560" spans="1:16" x14ac:dyDescent="0.25">
      <c r="A560" s="4" t="str">
        <f>Customers!A560</f>
        <v>CL00554</v>
      </c>
      <c r="B560" s="20">
        <f>IF(Customers!G560="","",(Customers!G560-Statistics!$C$7)/Statistics!$C$9)</f>
        <v>-5.3953524259621785E-2</v>
      </c>
      <c r="C560" s="4" t="str">
        <f>IF(Customers!G560="","",IF(OR(Customers!G560&lt;Statistics!$C$15,Customers!G560&gt;Statistics!$C$16),"Outside 1.5·IQR",""))</f>
        <v/>
      </c>
      <c r="D560" s="4" t="str">
        <f>IF(OR(Customers!B560&lt;18,Customers!B560&gt;100),"Implausible age","")</f>
        <v/>
      </c>
      <c r="E560" s="4" t="str">
        <f>IF(Customers!H560&gt;Customers!B560-18,"Tenure &gt; age-18","")</f>
        <v/>
      </c>
      <c r="F560" s="4" t="str">
        <f>IF(Customers!R560&gt;Customers!Q560,"Card spend &gt; limit","")</f>
        <v/>
      </c>
      <c r="G560" s="4" t="str">
        <f>IF(OR(AND(Customers!S560&gt;0,Customers!T560=0),AND(Customers!S560=0,Customers!T560&gt;0)),"Mortgage/payment inconsistent","")</f>
        <v/>
      </c>
      <c r="H560" s="4" t="str">
        <f>IF(AND(Customers!G560&lt;&gt;"",Customers!G560&gt;0,Customers!T560&gt;Customers!G560/12),"Payment &gt; monthly income","")</f>
        <v/>
      </c>
      <c r="I560" s="4" t="str">
        <f>IF(OR(Customers!I560&gt;DATE(2026,9,13),YEAR(Customers!I560)&lt;1980),"Implausible date","")</f>
        <v/>
      </c>
      <c r="J560" s="4" t="str">
        <f>IF(Customers!I560&gt;DATE(2026,9,13),"",IF(ABS(INT((DATE(2026,9,13)-Customers!I560)/365.25)-Customers!H560)&gt;1,"Date/tenure inconsistent",""))</f>
        <v/>
      </c>
      <c r="K560" s="4" t="str">
        <f>IF(COUNTIF(Customers!$A$2:$A$1001,Customers!A560)&gt;1,"Duplicate ID","")</f>
        <v/>
      </c>
      <c r="L560" s="4" t="str">
        <f>IF(COUNTIFS(Customers!$B$2:$B$1001,Customers!B560,Customers!$D$2:$D$1001,Customers!D560,Customers!$G$2:$G$1001,Customers!G560,Customers!$I$2:$I$1001,Customers!I560,Customers!$L$2:$L$1001,Customers!L560)&gt;1,"Duplicate record","")</f>
        <v/>
      </c>
      <c r="M560" s="4" t="str">
        <f>IF(OR(Customers!U560&lt;300,Customers!U560&gt;850),"Score out of range","")</f>
        <v/>
      </c>
      <c r="N560" s="4" t="str">
        <f>IF(AND(Customers!G560&lt;&gt;"",Customers!G560&lt;=0),"Income ≤ 0","")</f>
        <v/>
      </c>
      <c r="O560" s="4" t="str">
        <f>IF(OR(Customers!G560="",Customers!M560=""),"Missing value","")</f>
        <v/>
      </c>
      <c r="P560" s="4">
        <f t="shared" si="8"/>
        <v>0</v>
      </c>
    </row>
    <row r="561" spans="1:16" x14ac:dyDescent="0.25">
      <c r="A561" s="4" t="str">
        <f>Customers!A561</f>
        <v>CL00555</v>
      </c>
      <c r="B561" s="20">
        <f>IF(Customers!G561="","",(Customers!G561-Statistics!$C$7)/Statistics!$C$9)</f>
        <v>-3.0709331891527854E-2</v>
      </c>
      <c r="C561" s="4" t="str">
        <f>IF(Customers!G561="","",IF(OR(Customers!G561&lt;Statistics!$C$15,Customers!G561&gt;Statistics!$C$16),"Outside 1.5·IQR",""))</f>
        <v/>
      </c>
      <c r="D561" s="4" t="str">
        <f>IF(OR(Customers!B561&lt;18,Customers!B561&gt;100),"Implausible age","")</f>
        <v/>
      </c>
      <c r="E561" s="4" t="str">
        <f>IF(Customers!H561&gt;Customers!B561-18,"Tenure &gt; age-18","")</f>
        <v/>
      </c>
      <c r="F561" s="4" t="str">
        <f>IF(Customers!R561&gt;Customers!Q561,"Card spend &gt; limit","")</f>
        <v/>
      </c>
      <c r="G561" s="4" t="str">
        <f>IF(OR(AND(Customers!S561&gt;0,Customers!T561=0),AND(Customers!S561=0,Customers!T561&gt;0)),"Mortgage/payment inconsistent","")</f>
        <v/>
      </c>
      <c r="H561" s="4" t="str">
        <f>IF(AND(Customers!G561&lt;&gt;"",Customers!G561&gt;0,Customers!T561&gt;Customers!G561/12),"Payment &gt; monthly income","")</f>
        <v/>
      </c>
      <c r="I561" s="4" t="str">
        <f>IF(OR(Customers!I561&gt;DATE(2026,9,13),YEAR(Customers!I561)&lt;1980),"Implausible date","")</f>
        <v/>
      </c>
      <c r="J561" s="4" t="str">
        <f>IF(Customers!I561&gt;DATE(2026,9,13),"",IF(ABS(INT((DATE(2026,9,13)-Customers!I561)/365.25)-Customers!H561)&gt;1,"Date/tenure inconsistent",""))</f>
        <v/>
      </c>
      <c r="K561" s="4" t="str">
        <f>IF(COUNTIF(Customers!$A$2:$A$1001,Customers!A561)&gt;1,"Duplicate ID","")</f>
        <v/>
      </c>
      <c r="L561" s="4" t="str">
        <f>IF(COUNTIFS(Customers!$B$2:$B$1001,Customers!B561,Customers!$D$2:$D$1001,Customers!D561,Customers!$G$2:$G$1001,Customers!G561,Customers!$I$2:$I$1001,Customers!I561,Customers!$L$2:$L$1001,Customers!L561)&gt;1,"Duplicate record","")</f>
        <v/>
      </c>
      <c r="M561" s="4" t="str">
        <f>IF(OR(Customers!U561&lt;300,Customers!U561&gt;850),"Score out of range","")</f>
        <v/>
      </c>
      <c r="N561" s="4" t="str">
        <f>IF(AND(Customers!G561&lt;&gt;"",Customers!G561&lt;=0),"Income ≤ 0","")</f>
        <v/>
      </c>
      <c r="O561" s="4" t="str">
        <f>IF(OR(Customers!G561="",Customers!M561=""),"Missing value","")</f>
        <v/>
      </c>
      <c r="P561" s="4">
        <f t="shared" si="8"/>
        <v>0</v>
      </c>
    </row>
    <row r="562" spans="1:16" x14ac:dyDescent="0.25">
      <c r="A562" s="4" t="str">
        <f>Customers!A562</f>
        <v>CL00556</v>
      </c>
      <c r="B562" s="20">
        <f>IF(Customers!G562="","",(Customers!G562-Statistics!$C$7)/Statistics!$C$9)</f>
        <v>-4.0558565945804946E-2</v>
      </c>
      <c r="C562" s="4" t="str">
        <f>IF(Customers!G562="","",IF(OR(Customers!G562&lt;Statistics!$C$15,Customers!G562&gt;Statistics!$C$16),"Outside 1.5·IQR",""))</f>
        <v/>
      </c>
      <c r="D562" s="4" t="str">
        <f>IF(OR(Customers!B562&lt;18,Customers!B562&gt;100),"Implausible age","")</f>
        <v/>
      </c>
      <c r="E562" s="4" t="str">
        <f>IF(Customers!H562&gt;Customers!B562-18,"Tenure &gt; age-18","")</f>
        <v/>
      </c>
      <c r="F562" s="4" t="str">
        <f>IF(Customers!R562&gt;Customers!Q562,"Card spend &gt; limit","")</f>
        <v/>
      </c>
      <c r="G562" s="4" t="str">
        <f>IF(OR(AND(Customers!S562&gt;0,Customers!T562=0),AND(Customers!S562=0,Customers!T562&gt;0)),"Mortgage/payment inconsistent","")</f>
        <v/>
      </c>
      <c r="H562" s="4" t="str">
        <f>IF(AND(Customers!G562&lt;&gt;"",Customers!G562&gt;0,Customers!T562&gt;Customers!G562/12),"Payment &gt; monthly income","")</f>
        <v/>
      </c>
      <c r="I562" s="4" t="str">
        <f>IF(OR(Customers!I562&gt;DATE(2026,9,13),YEAR(Customers!I562)&lt;1980),"Implausible date","")</f>
        <v/>
      </c>
      <c r="J562" s="4" t="str">
        <f>IF(Customers!I562&gt;DATE(2026,9,13),"",IF(ABS(INT((DATE(2026,9,13)-Customers!I562)/365.25)-Customers!H562)&gt;1,"Date/tenure inconsistent",""))</f>
        <v/>
      </c>
      <c r="K562" s="4" t="str">
        <f>IF(COUNTIF(Customers!$A$2:$A$1001,Customers!A562)&gt;1,"Duplicate ID","")</f>
        <v/>
      </c>
      <c r="L562" s="4" t="str">
        <f>IF(COUNTIFS(Customers!$B$2:$B$1001,Customers!B562,Customers!$D$2:$D$1001,Customers!D562,Customers!$G$2:$G$1001,Customers!G562,Customers!$I$2:$I$1001,Customers!I562,Customers!$L$2:$L$1001,Customers!L562)&gt;1,"Duplicate record","")</f>
        <v/>
      </c>
      <c r="M562" s="4" t="str">
        <f>IF(OR(Customers!U562&lt;300,Customers!U562&gt;850),"Score out of range","")</f>
        <v/>
      </c>
      <c r="N562" s="4" t="str">
        <f>IF(AND(Customers!G562&lt;&gt;"",Customers!G562&lt;=0),"Income ≤ 0","")</f>
        <v/>
      </c>
      <c r="O562" s="4" t="str">
        <f>IF(OR(Customers!G562="",Customers!M562=""),"Missing value","")</f>
        <v/>
      </c>
      <c r="P562" s="4">
        <f t="shared" si="8"/>
        <v>0</v>
      </c>
    </row>
    <row r="563" spans="1:16" x14ac:dyDescent="0.25">
      <c r="A563" s="4" t="str">
        <f>Customers!A563</f>
        <v>CL00557</v>
      </c>
      <c r="B563" s="20">
        <f>IF(Customers!G563="","",(Customers!G563-Statistics!$C$7)/Statistics!$C$9)</f>
        <v>-6.2128388524671771E-2</v>
      </c>
      <c r="C563" s="4" t="str">
        <f>IF(Customers!G563="","",IF(OR(Customers!G563&lt;Statistics!$C$15,Customers!G563&gt;Statistics!$C$16),"Outside 1.5·IQR",""))</f>
        <v/>
      </c>
      <c r="D563" s="4" t="str">
        <f>IF(OR(Customers!B563&lt;18,Customers!B563&gt;100),"Implausible age","")</f>
        <v/>
      </c>
      <c r="E563" s="4" t="str">
        <f>IF(Customers!H563&gt;Customers!B563-18,"Tenure &gt; age-18","")</f>
        <v/>
      </c>
      <c r="F563" s="4" t="str">
        <f>IF(Customers!R563&gt;Customers!Q563,"Card spend &gt; limit","")</f>
        <v/>
      </c>
      <c r="G563" s="4" t="str">
        <f>IF(OR(AND(Customers!S563&gt;0,Customers!T563=0),AND(Customers!S563=0,Customers!T563&gt;0)),"Mortgage/payment inconsistent","")</f>
        <v/>
      </c>
      <c r="H563" s="4" t="str">
        <f>IF(AND(Customers!G563&lt;&gt;"",Customers!G563&gt;0,Customers!T563&gt;Customers!G563/12),"Payment &gt; monthly income","")</f>
        <v/>
      </c>
      <c r="I563" s="4" t="str">
        <f>IF(OR(Customers!I563&gt;DATE(2026,9,13),YEAR(Customers!I563)&lt;1980),"Implausible date","")</f>
        <v/>
      </c>
      <c r="J563" s="4" t="str">
        <f>IF(Customers!I563&gt;DATE(2026,9,13),"",IF(ABS(INT((DATE(2026,9,13)-Customers!I563)/365.25)-Customers!H563)&gt;1,"Date/tenure inconsistent",""))</f>
        <v/>
      </c>
      <c r="K563" s="4" t="str">
        <f>IF(COUNTIF(Customers!$A$2:$A$1001,Customers!A563)&gt;1,"Duplicate ID","")</f>
        <v/>
      </c>
      <c r="L563" s="4" t="str">
        <f>IF(COUNTIFS(Customers!$B$2:$B$1001,Customers!B563,Customers!$D$2:$D$1001,Customers!D563,Customers!$G$2:$G$1001,Customers!G563,Customers!$I$2:$I$1001,Customers!I563,Customers!$L$2:$L$1001,Customers!L563)&gt;1,"Duplicate record","")</f>
        <v/>
      </c>
      <c r="M563" s="4" t="str">
        <f>IF(OR(Customers!U563&lt;300,Customers!U563&gt;850),"Score out of range","")</f>
        <v/>
      </c>
      <c r="N563" s="4" t="str">
        <f>IF(AND(Customers!G563&lt;&gt;"",Customers!G563&lt;=0),"Income ≤ 0","")</f>
        <v/>
      </c>
      <c r="O563" s="4" t="str">
        <f>IF(OR(Customers!G563="",Customers!M563=""),"Missing value","")</f>
        <v/>
      </c>
      <c r="P563" s="4">
        <f t="shared" si="8"/>
        <v>0</v>
      </c>
    </row>
    <row r="564" spans="1:16" x14ac:dyDescent="0.25">
      <c r="A564" s="4" t="str">
        <f>Customers!A564</f>
        <v>CL00558</v>
      </c>
      <c r="B564" s="20">
        <f>IF(Customers!G564="","",(Customers!G564-Statistics!$C$7)/Statistics!$C$9)</f>
        <v>-6.1847390963779012E-3</v>
      </c>
      <c r="C564" s="4" t="str">
        <f>IF(Customers!G564="","",IF(OR(Customers!G564&lt;Statistics!$C$15,Customers!G564&gt;Statistics!$C$16),"Outside 1.5·IQR",""))</f>
        <v/>
      </c>
      <c r="D564" s="4" t="str">
        <f>IF(OR(Customers!B564&lt;18,Customers!B564&gt;100),"Implausible age","")</f>
        <v/>
      </c>
      <c r="E564" s="4" t="str">
        <f>IF(Customers!H564&gt;Customers!B564-18,"Tenure &gt; age-18","")</f>
        <v/>
      </c>
      <c r="F564" s="4" t="str">
        <f>IF(Customers!R564&gt;Customers!Q564,"Card spend &gt; limit","")</f>
        <v/>
      </c>
      <c r="G564" s="4" t="str">
        <f>IF(OR(AND(Customers!S564&gt;0,Customers!T564=0),AND(Customers!S564=0,Customers!T564&gt;0)),"Mortgage/payment inconsistent","")</f>
        <v/>
      </c>
      <c r="H564" s="4" t="str">
        <f>IF(AND(Customers!G564&lt;&gt;"",Customers!G564&gt;0,Customers!T564&gt;Customers!G564/12),"Payment &gt; monthly income","")</f>
        <v/>
      </c>
      <c r="I564" s="4" t="str">
        <f>IF(OR(Customers!I564&gt;DATE(2026,9,13),YEAR(Customers!I564)&lt;1980),"Implausible date","")</f>
        <v/>
      </c>
      <c r="J564" s="4" t="str">
        <f>IF(Customers!I564&gt;DATE(2026,9,13),"",IF(ABS(INT((DATE(2026,9,13)-Customers!I564)/365.25)-Customers!H564)&gt;1,"Date/tenure inconsistent",""))</f>
        <v/>
      </c>
      <c r="K564" s="4" t="str">
        <f>IF(COUNTIF(Customers!$A$2:$A$1001,Customers!A564)&gt;1,"Duplicate ID","")</f>
        <v/>
      </c>
      <c r="L564" s="4" t="str">
        <f>IF(COUNTIFS(Customers!$B$2:$B$1001,Customers!B564,Customers!$D$2:$D$1001,Customers!D564,Customers!$G$2:$G$1001,Customers!G564,Customers!$I$2:$I$1001,Customers!I564,Customers!$L$2:$L$1001,Customers!L564)&gt;1,"Duplicate record","")</f>
        <v/>
      </c>
      <c r="M564" s="4" t="str">
        <f>IF(OR(Customers!U564&lt;300,Customers!U564&gt;850),"Score out of range","")</f>
        <v/>
      </c>
      <c r="N564" s="4" t="str">
        <f>IF(AND(Customers!G564&lt;&gt;"",Customers!G564&lt;=0),"Income ≤ 0","")</f>
        <v/>
      </c>
      <c r="O564" s="4" t="str">
        <f>IF(OR(Customers!G564="",Customers!M564=""),"Missing value","")</f>
        <v/>
      </c>
      <c r="P564" s="4">
        <f t="shared" si="8"/>
        <v>0</v>
      </c>
    </row>
    <row r="565" spans="1:16" x14ac:dyDescent="0.25">
      <c r="A565" s="4" t="str">
        <f>Customers!A565</f>
        <v>CL00559</v>
      </c>
      <c r="B565" s="20">
        <f>IF(Customers!G565="","",(Customers!G565-Statistics!$C$7)/Statistics!$C$9)</f>
        <v>-5.0013830637910948E-2</v>
      </c>
      <c r="C565" s="4" t="str">
        <f>IF(Customers!G565="","",IF(OR(Customers!G565&lt;Statistics!$C$15,Customers!G565&gt;Statistics!$C$16),"Outside 1.5·IQR",""))</f>
        <v/>
      </c>
      <c r="D565" s="4" t="str">
        <f>IF(OR(Customers!B565&lt;18,Customers!B565&gt;100),"Implausible age","")</f>
        <v/>
      </c>
      <c r="E565" s="4" t="str">
        <f>IF(Customers!H565&gt;Customers!B565-18,"Tenure &gt; age-18","")</f>
        <v/>
      </c>
      <c r="F565" s="4" t="str">
        <f>IF(Customers!R565&gt;Customers!Q565,"Card spend &gt; limit","")</f>
        <v/>
      </c>
      <c r="G565" s="4" t="str">
        <f>IF(OR(AND(Customers!S565&gt;0,Customers!T565=0),AND(Customers!S565=0,Customers!T565&gt;0)),"Mortgage/payment inconsistent","")</f>
        <v/>
      </c>
      <c r="H565" s="4" t="str">
        <f>IF(AND(Customers!G565&lt;&gt;"",Customers!G565&gt;0,Customers!T565&gt;Customers!G565/12),"Payment &gt; monthly income","")</f>
        <v/>
      </c>
      <c r="I565" s="4" t="str">
        <f>IF(OR(Customers!I565&gt;DATE(2026,9,13),YEAR(Customers!I565)&lt;1980),"Implausible date","")</f>
        <v/>
      </c>
      <c r="J565" s="4" t="str">
        <f>IF(Customers!I565&gt;DATE(2026,9,13),"",IF(ABS(INT((DATE(2026,9,13)-Customers!I565)/365.25)-Customers!H565)&gt;1,"Date/tenure inconsistent",""))</f>
        <v/>
      </c>
      <c r="K565" s="4" t="str">
        <f>IF(COUNTIF(Customers!$A$2:$A$1001,Customers!A565)&gt;1,"Duplicate ID","")</f>
        <v/>
      </c>
      <c r="L565" s="4" t="str">
        <f>IF(COUNTIFS(Customers!$B$2:$B$1001,Customers!B565,Customers!$D$2:$D$1001,Customers!D565,Customers!$G$2:$G$1001,Customers!G565,Customers!$I$2:$I$1001,Customers!I565,Customers!$L$2:$L$1001,Customers!L565)&gt;1,"Duplicate record","")</f>
        <v/>
      </c>
      <c r="M565" s="4" t="str">
        <f>IF(OR(Customers!U565&lt;300,Customers!U565&gt;850),"Score out of range","")</f>
        <v/>
      </c>
      <c r="N565" s="4" t="str">
        <f>IF(AND(Customers!G565&lt;&gt;"",Customers!G565&lt;=0),"Income ≤ 0","")</f>
        <v/>
      </c>
      <c r="O565" s="4" t="str">
        <f>IF(OR(Customers!G565="",Customers!M565=""),"Missing value","")</f>
        <v/>
      </c>
      <c r="P565" s="4">
        <f t="shared" si="8"/>
        <v>0</v>
      </c>
    </row>
    <row r="566" spans="1:16" x14ac:dyDescent="0.25">
      <c r="A566" s="4" t="str">
        <f>Customers!A566</f>
        <v>CL00560</v>
      </c>
      <c r="B566" s="20">
        <f>IF(Customers!G566="","",(Customers!G566-Statistics!$C$7)/Statistics!$C$9)</f>
        <v>-4.3907305524259158E-2</v>
      </c>
      <c r="C566" s="4" t="str">
        <f>IF(Customers!G566="","",IF(OR(Customers!G566&lt;Statistics!$C$15,Customers!G566&gt;Statistics!$C$16),"Outside 1.5·IQR",""))</f>
        <v/>
      </c>
      <c r="D566" s="4" t="str">
        <f>IF(OR(Customers!B566&lt;18,Customers!B566&gt;100),"Implausible age","")</f>
        <v/>
      </c>
      <c r="E566" s="4" t="str">
        <f>IF(Customers!H566&gt;Customers!B566-18,"Tenure &gt; age-18","")</f>
        <v/>
      </c>
      <c r="F566" s="4" t="str">
        <f>IF(Customers!R566&gt;Customers!Q566,"Card spend &gt; limit","")</f>
        <v/>
      </c>
      <c r="G566" s="4" t="str">
        <f>IF(OR(AND(Customers!S566&gt;0,Customers!T566=0),AND(Customers!S566=0,Customers!T566&gt;0)),"Mortgage/payment inconsistent","")</f>
        <v/>
      </c>
      <c r="H566" s="4" t="str">
        <f>IF(AND(Customers!G566&lt;&gt;"",Customers!G566&gt;0,Customers!T566&gt;Customers!G566/12),"Payment &gt; monthly income","")</f>
        <v/>
      </c>
      <c r="I566" s="4" t="str">
        <f>IF(OR(Customers!I566&gt;DATE(2026,9,13),YEAR(Customers!I566)&lt;1980),"Implausible date","")</f>
        <v/>
      </c>
      <c r="J566" s="4" t="str">
        <f>IF(Customers!I566&gt;DATE(2026,9,13),"",IF(ABS(INT((DATE(2026,9,13)-Customers!I566)/365.25)-Customers!H566)&gt;1,"Date/tenure inconsistent",""))</f>
        <v/>
      </c>
      <c r="K566" s="4" t="str">
        <f>IF(COUNTIF(Customers!$A$2:$A$1001,Customers!A566)&gt;1,"Duplicate ID","")</f>
        <v/>
      </c>
      <c r="L566" s="4" t="str">
        <f>IF(COUNTIFS(Customers!$B$2:$B$1001,Customers!B566,Customers!$D$2:$D$1001,Customers!D566,Customers!$G$2:$G$1001,Customers!G566,Customers!$I$2:$I$1001,Customers!I566,Customers!$L$2:$L$1001,Customers!L566)&gt;1,"Duplicate record","")</f>
        <v/>
      </c>
      <c r="M566" s="4" t="str">
        <f>IF(OR(Customers!U566&lt;300,Customers!U566&gt;850),"Score out of range","")</f>
        <v>Score out of range</v>
      </c>
      <c r="N566" s="4" t="str">
        <f>IF(AND(Customers!G566&lt;&gt;"",Customers!G566&lt;=0),"Income ≤ 0","")</f>
        <v/>
      </c>
      <c r="O566" s="4" t="str">
        <f>IF(OR(Customers!G566="",Customers!M566=""),"Missing value","")</f>
        <v/>
      </c>
      <c r="P566" s="4">
        <f t="shared" si="8"/>
        <v>1</v>
      </c>
    </row>
    <row r="567" spans="1:16" x14ac:dyDescent="0.25">
      <c r="A567" s="4" t="str">
        <f>Customers!A567</f>
        <v>CL00561</v>
      </c>
      <c r="B567" s="20">
        <f>IF(Customers!G567="","",(Customers!G567-Statistics!$C$7)/Statistics!$C$9)</f>
        <v>-6.1044972778701294E-2</v>
      </c>
      <c r="C567" s="4" t="str">
        <f>IF(Customers!G567="","",IF(OR(Customers!G567&lt;Statistics!$C$15,Customers!G567&gt;Statistics!$C$16),"Outside 1.5·IQR",""))</f>
        <v/>
      </c>
      <c r="D567" s="4" t="str">
        <f>IF(OR(Customers!B567&lt;18,Customers!B567&gt;100),"Implausible age","")</f>
        <v/>
      </c>
      <c r="E567" s="4" t="str">
        <f>IF(Customers!H567&gt;Customers!B567-18,"Tenure &gt; age-18","")</f>
        <v/>
      </c>
      <c r="F567" s="4" t="str">
        <f>IF(Customers!R567&gt;Customers!Q567,"Card spend &gt; limit","")</f>
        <v/>
      </c>
      <c r="G567" s="4" t="str">
        <f>IF(OR(AND(Customers!S567&gt;0,Customers!T567=0),AND(Customers!S567=0,Customers!T567&gt;0)),"Mortgage/payment inconsistent","")</f>
        <v/>
      </c>
      <c r="H567" s="4" t="str">
        <f>IF(AND(Customers!G567&lt;&gt;"",Customers!G567&gt;0,Customers!T567&gt;Customers!G567/12),"Payment &gt; monthly income","")</f>
        <v/>
      </c>
      <c r="I567" s="4" t="str">
        <f>IF(OR(Customers!I567&gt;DATE(2026,9,13),YEAR(Customers!I567)&lt;1980),"Implausible date","")</f>
        <v/>
      </c>
      <c r="J567" s="4" t="str">
        <f>IF(Customers!I567&gt;DATE(2026,9,13),"",IF(ABS(INT((DATE(2026,9,13)-Customers!I567)/365.25)-Customers!H567)&gt;1,"Date/tenure inconsistent",""))</f>
        <v/>
      </c>
      <c r="K567" s="4" t="str">
        <f>IF(COUNTIF(Customers!$A$2:$A$1001,Customers!A567)&gt;1,"Duplicate ID","")</f>
        <v/>
      </c>
      <c r="L567" s="4" t="str">
        <f>IF(COUNTIFS(Customers!$B$2:$B$1001,Customers!B567,Customers!$D$2:$D$1001,Customers!D567,Customers!$G$2:$G$1001,Customers!G567,Customers!$I$2:$I$1001,Customers!I567,Customers!$L$2:$L$1001,Customers!L567)&gt;1,"Duplicate record","")</f>
        <v/>
      </c>
      <c r="M567" s="4" t="str">
        <f>IF(OR(Customers!U567&lt;300,Customers!U567&gt;850),"Score out of range","")</f>
        <v/>
      </c>
      <c r="N567" s="4" t="str">
        <f>IF(AND(Customers!G567&lt;&gt;"",Customers!G567&lt;=0),"Income ≤ 0","")</f>
        <v/>
      </c>
      <c r="O567" s="4" t="str">
        <f>IF(OR(Customers!G567="",Customers!M567=""),"Missing value","")</f>
        <v/>
      </c>
      <c r="P567" s="4">
        <f t="shared" si="8"/>
        <v>0</v>
      </c>
    </row>
    <row r="568" spans="1:16" x14ac:dyDescent="0.25">
      <c r="A568" s="4" t="str">
        <f>Customers!A568</f>
        <v>CL00562</v>
      </c>
      <c r="B568" s="20">
        <f>IF(Customers!G568="","",(Customers!G568-Statistics!$C$7)/Statistics!$C$9)</f>
        <v>-6.37042659733561E-2</v>
      </c>
      <c r="C568" s="4" t="str">
        <f>IF(Customers!G568="","",IF(OR(Customers!G568&lt;Statistics!$C$15,Customers!G568&gt;Statistics!$C$16),"Outside 1.5·IQR",""))</f>
        <v/>
      </c>
      <c r="D568" s="4" t="str">
        <f>IF(OR(Customers!B568&lt;18,Customers!B568&gt;100),"Implausible age","")</f>
        <v/>
      </c>
      <c r="E568" s="4" t="str">
        <f>IF(Customers!H568&gt;Customers!B568-18,"Tenure &gt; age-18","")</f>
        <v/>
      </c>
      <c r="F568" s="4" t="str">
        <f>IF(Customers!R568&gt;Customers!Q568,"Card spend &gt; limit","")</f>
        <v/>
      </c>
      <c r="G568" s="4" t="str">
        <f>IF(OR(AND(Customers!S568&gt;0,Customers!T568=0),AND(Customers!S568=0,Customers!T568&gt;0)),"Mortgage/payment inconsistent","")</f>
        <v/>
      </c>
      <c r="H568" s="4" t="str">
        <f>IF(AND(Customers!G568&lt;&gt;"",Customers!G568&gt;0,Customers!T568&gt;Customers!G568/12),"Payment &gt; monthly income","")</f>
        <v/>
      </c>
      <c r="I568" s="4" t="str">
        <f>IF(OR(Customers!I568&gt;DATE(2026,9,13),YEAR(Customers!I568)&lt;1980),"Implausible date","")</f>
        <v/>
      </c>
      <c r="J568" s="4" t="str">
        <f>IF(Customers!I568&gt;DATE(2026,9,13),"",IF(ABS(INT((DATE(2026,9,13)-Customers!I568)/365.25)-Customers!H568)&gt;1,"Date/tenure inconsistent",""))</f>
        <v/>
      </c>
      <c r="K568" s="4" t="str">
        <f>IF(COUNTIF(Customers!$A$2:$A$1001,Customers!A568)&gt;1,"Duplicate ID","")</f>
        <v/>
      </c>
      <c r="L568" s="4" t="str">
        <f>IF(COUNTIFS(Customers!$B$2:$B$1001,Customers!B568,Customers!$D$2:$D$1001,Customers!D568,Customers!$G$2:$G$1001,Customers!G568,Customers!$I$2:$I$1001,Customers!I568,Customers!$L$2:$L$1001,Customers!L568)&gt;1,"Duplicate record","")</f>
        <v/>
      </c>
      <c r="M568" s="4" t="str">
        <f>IF(OR(Customers!U568&lt;300,Customers!U568&gt;850),"Score out of range","")</f>
        <v/>
      </c>
      <c r="N568" s="4" t="str">
        <f>IF(AND(Customers!G568&lt;&gt;"",Customers!G568&lt;=0),"Income ≤ 0","")</f>
        <v/>
      </c>
      <c r="O568" s="4" t="str">
        <f>IF(OR(Customers!G568="",Customers!M568=""),"Missing value","")</f>
        <v/>
      </c>
      <c r="P568" s="4">
        <f t="shared" si="8"/>
        <v>0</v>
      </c>
    </row>
    <row r="569" spans="1:16" x14ac:dyDescent="0.25">
      <c r="A569" s="4" t="str">
        <f>Customers!A569</f>
        <v>CL00563</v>
      </c>
      <c r="B569" s="20">
        <f>IF(Customers!G569="","",(Customers!G569-Statistics!$C$7)/Statistics!$C$9)</f>
        <v>-3.4649025513238688E-2</v>
      </c>
      <c r="C569" s="4" t="str">
        <f>IF(Customers!G569="","",IF(OR(Customers!G569&lt;Statistics!$C$15,Customers!G569&gt;Statistics!$C$16),"Outside 1.5·IQR",""))</f>
        <v/>
      </c>
      <c r="D569" s="4" t="str">
        <f>IF(OR(Customers!B569&lt;18,Customers!B569&gt;100),"Implausible age","")</f>
        <v/>
      </c>
      <c r="E569" s="4" t="str">
        <f>IF(Customers!H569&gt;Customers!B569-18,"Tenure &gt; age-18","")</f>
        <v/>
      </c>
      <c r="F569" s="4" t="str">
        <f>IF(Customers!R569&gt;Customers!Q569,"Card spend &gt; limit","")</f>
        <v/>
      </c>
      <c r="G569" s="4" t="str">
        <f>IF(OR(AND(Customers!S569&gt;0,Customers!T569=0),AND(Customers!S569=0,Customers!T569&gt;0)),"Mortgage/payment inconsistent","")</f>
        <v/>
      </c>
      <c r="H569" s="4" t="str">
        <f>IF(AND(Customers!G569&lt;&gt;"",Customers!G569&gt;0,Customers!T569&gt;Customers!G569/12),"Payment &gt; monthly income","")</f>
        <v/>
      </c>
      <c r="I569" s="4" t="str">
        <f>IF(OR(Customers!I569&gt;DATE(2026,9,13),YEAR(Customers!I569)&lt;1980),"Implausible date","")</f>
        <v/>
      </c>
      <c r="J569" s="4" t="str">
        <f>IF(Customers!I569&gt;DATE(2026,9,13),"",IF(ABS(INT((DATE(2026,9,13)-Customers!I569)/365.25)-Customers!H569)&gt;1,"Date/tenure inconsistent",""))</f>
        <v/>
      </c>
      <c r="K569" s="4" t="str">
        <f>IF(COUNTIF(Customers!$A$2:$A$1001,Customers!A569)&gt;1,"Duplicate ID","")</f>
        <v/>
      </c>
      <c r="L569" s="4" t="str">
        <f>IF(COUNTIFS(Customers!$B$2:$B$1001,Customers!B569,Customers!$D$2:$D$1001,Customers!D569,Customers!$G$2:$G$1001,Customers!G569,Customers!$I$2:$I$1001,Customers!I569,Customers!$L$2:$L$1001,Customers!L569)&gt;1,"Duplicate record","")</f>
        <v/>
      </c>
      <c r="M569" s="4" t="str">
        <f>IF(OR(Customers!U569&lt;300,Customers!U569&gt;850),"Score out of range","")</f>
        <v/>
      </c>
      <c r="N569" s="4" t="str">
        <f>IF(AND(Customers!G569&lt;&gt;"",Customers!G569&lt;=0),"Income ≤ 0","")</f>
        <v/>
      </c>
      <c r="O569" s="4" t="str">
        <f>IF(OR(Customers!G569="",Customers!M569=""),"Missing value","")</f>
        <v/>
      </c>
      <c r="P569" s="4">
        <f t="shared" si="8"/>
        <v>0</v>
      </c>
    </row>
    <row r="570" spans="1:16" x14ac:dyDescent="0.25">
      <c r="A570" s="4" t="str">
        <f>Customers!A570</f>
        <v>CL00564</v>
      </c>
      <c r="B570" s="20">
        <f>IF(Customers!G570="","",(Customers!G570-Statistics!$C$7)/Statistics!$C$9)</f>
        <v>-3.7012841686265195E-2</v>
      </c>
      <c r="C570" s="4" t="str">
        <f>IF(Customers!G570="","",IF(OR(Customers!G570&lt;Statistics!$C$15,Customers!G570&gt;Statistics!$C$16),"Outside 1.5·IQR",""))</f>
        <v/>
      </c>
      <c r="D570" s="4" t="str">
        <f>IF(OR(Customers!B570&lt;18,Customers!B570&gt;100),"Implausible age","")</f>
        <v/>
      </c>
      <c r="E570" s="4" t="str">
        <f>IF(Customers!H570&gt;Customers!B570-18,"Tenure &gt; age-18","")</f>
        <v/>
      </c>
      <c r="F570" s="4" t="str">
        <f>IF(Customers!R570&gt;Customers!Q570,"Card spend &gt; limit","")</f>
        <v/>
      </c>
      <c r="G570" s="4" t="str">
        <f>IF(OR(AND(Customers!S570&gt;0,Customers!T570=0),AND(Customers!S570=0,Customers!T570&gt;0)),"Mortgage/payment inconsistent","")</f>
        <v/>
      </c>
      <c r="H570" s="4" t="str">
        <f>IF(AND(Customers!G570&lt;&gt;"",Customers!G570&gt;0,Customers!T570&gt;Customers!G570/12),"Payment &gt; monthly income","")</f>
        <v/>
      </c>
      <c r="I570" s="4" t="str">
        <f>IF(OR(Customers!I570&gt;DATE(2026,9,13),YEAR(Customers!I570)&lt;1980),"Implausible date","")</f>
        <v/>
      </c>
      <c r="J570" s="4" t="str">
        <f>IF(Customers!I570&gt;DATE(2026,9,13),"",IF(ABS(INT((DATE(2026,9,13)-Customers!I570)/365.25)-Customers!H570)&gt;1,"Date/tenure inconsistent",""))</f>
        <v/>
      </c>
      <c r="K570" s="4" t="str">
        <f>IF(COUNTIF(Customers!$A$2:$A$1001,Customers!A570)&gt;1,"Duplicate ID","")</f>
        <v/>
      </c>
      <c r="L570" s="4" t="str">
        <f>IF(COUNTIFS(Customers!$B$2:$B$1001,Customers!B570,Customers!$D$2:$D$1001,Customers!D570,Customers!$G$2:$G$1001,Customers!G570,Customers!$I$2:$I$1001,Customers!I570,Customers!$L$2:$L$1001,Customers!L570)&gt;1,"Duplicate record","")</f>
        <v/>
      </c>
      <c r="M570" s="4" t="str">
        <f>IF(OR(Customers!U570&lt;300,Customers!U570&gt;850),"Score out of range","")</f>
        <v/>
      </c>
      <c r="N570" s="4" t="str">
        <f>IF(AND(Customers!G570&lt;&gt;"",Customers!G570&lt;=0),"Income ≤ 0","")</f>
        <v/>
      </c>
      <c r="O570" s="4" t="str">
        <f>IF(OR(Customers!G570="",Customers!M570=""),"Missing value","")</f>
        <v/>
      </c>
      <c r="P570" s="4">
        <f t="shared" si="8"/>
        <v>0</v>
      </c>
    </row>
    <row r="571" spans="1:16" x14ac:dyDescent="0.25">
      <c r="A571" s="4" t="str">
        <f>Customers!A571</f>
        <v>CL00565</v>
      </c>
      <c r="B571" s="20">
        <f>IF(Customers!G571="","",(Customers!G571-Statistics!$C$7)/Statistics!$C$9)</f>
        <v>-3.4747517853781461E-2</v>
      </c>
      <c r="C571" s="4" t="str">
        <f>IF(Customers!G571="","",IF(OR(Customers!G571&lt;Statistics!$C$15,Customers!G571&gt;Statistics!$C$16),"Outside 1.5·IQR",""))</f>
        <v/>
      </c>
      <c r="D571" s="4" t="str">
        <f>IF(OR(Customers!B571&lt;18,Customers!B571&gt;100),"Implausible age","")</f>
        <v/>
      </c>
      <c r="E571" s="4" t="str">
        <f>IF(Customers!H571&gt;Customers!B571-18,"Tenure &gt; age-18","")</f>
        <v/>
      </c>
      <c r="F571" s="4" t="str">
        <f>IF(Customers!R571&gt;Customers!Q571,"Card spend &gt; limit","")</f>
        <v/>
      </c>
      <c r="G571" s="4" t="str">
        <f>IF(OR(AND(Customers!S571&gt;0,Customers!T571=0),AND(Customers!S571=0,Customers!T571&gt;0)),"Mortgage/payment inconsistent","")</f>
        <v/>
      </c>
      <c r="H571" s="4" t="str">
        <f>IF(AND(Customers!G571&lt;&gt;"",Customers!G571&gt;0,Customers!T571&gt;Customers!G571/12),"Payment &gt; monthly income","")</f>
        <v/>
      </c>
      <c r="I571" s="4" t="str">
        <f>IF(OR(Customers!I571&gt;DATE(2026,9,13),YEAR(Customers!I571)&lt;1980),"Implausible date","")</f>
        <v/>
      </c>
      <c r="J571" s="4" t="str">
        <f>IF(Customers!I571&gt;DATE(2026,9,13),"",IF(ABS(INT((DATE(2026,9,13)-Customers!I571)/365.25)-Customers!H571)&gt;1,"Date/tenure inconsistent",""))</f>
        <v/>
      </c>
      <c r="K571" s="4" t="str">
        <f>IF(COUNTIF(Customers!$A$2:$A$1001,Customers!A571)&gt;1,"Duplicate ID","")</f>
        <v/>
      </c>
      <c r="L571" s="4" t="str">
        <f>IF(COUNTIFS(Customers!$B$2:$B$1001,Customers!B571,Customers!$D$2:$D$1001,Customers!D571,Customers!$G$2:$G$1001,Customers!G571,Customers!$I$2:$I$1001,Customers!I571,Customers!$L$2:$L$1001,Customers!L571)&gt;1,"Duplicate record","")</f>
        <v/>
      </c>
      <c r="M571" s="4" t="str">
        <f>IF(OR(Customers!U571&lt;300,Customers!U571&gt;850),"Score out of range","")</f>
        <v/>
      </c>
      <c r="N571" s="4" t="str">
        <f>IF(AND(Customers!G571&lt;&gt;"",Customers!G571&lt;=0),"Income ≤ 0","")</f>
        <v/>
      </c>
      <c r="O571" s="4" t="str">
        <f>IF(OR(Customers!G571="",Customers!M571=""),"Missing value","")</f>
        <v/>
      </c>
      <c r="P571" s="4">
        <f t="shared" si="8"/>
        <v>0</v>
      </c>
    </row>
    <row r="572" spans="1:16" x14ac:dyDescent="0.25">
      <c r="A572" s="4" t="str">
        <f>Customers!A572</f>
        <v>CL00566</v>
      </c>
      <c r="B572" s="20">
        <f>IF(Customers!G572="","",(Customers!G572-Statistics!$C$7)/Statistics!$C$9)</f>
        <v>-4.8058463287791089E-3</v>
      </c>
      <c r="C572" s="4" t="str">
        <f>IF(Customers!G572="","",IF(OR(Customers!G572&lt;Statistics!$C$15,Customers!G572&gt;Statistics!$C$16),"Outside 1.5·IQR",""))</f>
        <v/>
      </c>
      <c r="D572" s="4" t="str">
        <f>IF(OR(Customers!B572&lt;18,Customers!B572&gt;100),"Implausible age","")</f>
        <v/>
      </c>
      <c r="E572" s="4" t="str">
        <f>IF(Customers!H572&gt;Customers!B572-18,"Tenure &gt; age-18","")</f>
        <v/>
      </c>
      <c r="F572" s="4" t="str">
        <f>IF(Customers!R572&gt;Customers!Q572,"Card spend &gt; limit","")</f>
        <v/>
      </c>
      <c r="G572" s="4" t="str">
        <f>IF(OR(AND(Customers!S572&gt;0,Customers!T572=0),AND(Customers!S572=0,Customers!T572&gt;0)),"Mortgage/payment inconsistent","")</f>
        <v/>
      </c>
      <c r="H572" s="4" t="str">
        <f>IF(AND(Customers!G572&lt;&gt;"",Customers!G572&gt;0,Customers!T572&gt;Customers!G572/12),"Payment &gt; monthly income","")</f>
        <v/>
      </c>
      <c r="I572" s="4" t="str">
        <f>IF(OR(Customers!I572&gt;DATE(2026,9,13),YEAR(Customers!I572)&lt;1980),"Implausible date","")</f>
        <v/>
      </c>
      <c r="J572" s="4" t="str">
        <f>IF(Customers!I572&gt;DATE(2026,9,13),"",IF(ABS(INT((DATE(2026,9,13)-Customers!I572)/365.25)-Customers!H572)&gt;1,"Date/tenure inconsistent",""))</f>
        <v/>
      </c>
      <c r="K572" s="4" t="str">
        <f>IF(COUNTIF(Customers!$A$2:$A$1001,Customers!A572)&gt;1,"Duplicate ID","")</f>
        <v/>
      </c>
      <c r="L572" s="4" t="str">
        <f>IF(COUNTIFS(Customers!$B$2:$B$1001,Customers!B572,Customers!$D$2:$D$1001,Customers!D572,Customers!$G$2:$G$1001,Customers!G572,Customers!$I$2:$I$1001,Customers!I572,Customers!$L$2:$L$1001,Customers!L572)&gt;1,"Duplicate record","")</f>
        <v/>
      </c>
      <c r="M572" s="4" t="str">
        <f>IF(OR(Customers!U572&lt;300,Customers!U572&gt;850),"Score out of range","")</f>
        <v/>
      </c>
      <c r="N572" s="4" t="str">
        <f>IF(AND(Customers!G572&lt;&gt;"",Customers!G572&lt;=0),"Income ≤ 0","")</f>
        <v/>
      </c>
      <c r="O572" s="4" t="str">
        <f>IF(OR(Customers!G572="",Customers!M572=""),"Missing value","")</f>
        <v/>
      </c>
      <c r="P572" s="4">
        <f t="shared" si="8"/>
        <v>0</v>
      </c>
    </row>
    <row r="573" spans="1:16" x14ac:dyDescent="0.25">
      <c r="A573" s="4" t="str">
        <f>Customers!A573</f>
        <v>CL00567</v>
      </c>
      <c r="B573" s="20">
        <f>IF(Customers!G573="","",(Customers!G573-Statistics!$C$7)/Statistics!$C$9)</f>
        <v>-5.1688200427138058E-2</v>
      </c>
      <c r="C573" s="4" t="str">
        <f>IF(Customers!G573="","",IF(OR(Customers!G573&lt;Statistics!$C$15,Customers!G573&gt;Statistics!$C$16),"Outside 1.5·IQR",""))</f>
        <v/>
      </c>
      <c r="D573" s="4" t="str">
        <f>IF(OR(Customers!B573&lt;18,Customers!B573&gt;100),"Implausible age","")</f>
        <v/>
      </c>
      <c r="E573" s="4" t="str">
        <f>IF(Customers!H573&gt;Customers!B573-18,"Tenure &gt; age-18","")</f>
        <v/>
      </c>
      <c r="F573" s="4" t="str">
        <f>IF(Customers!R573&gt;Customers!Q573,"Card spend &gt; limit","")</f>
        <v/>
      </c>
      <c r="G573" s="4" t="str">
        <f>IF(OR(AND(Customers!S573&gt;0,Customers!T573=0),AND(Customers!S573=0,Customers!T573&gt;0)),"Mortgage/payment inconsistent","")</f>
        <v/>
      </c>
      <c r="H573" s="4" t="str">
        <f>IF(AND(Customers!G573&lt;&gt;"",Customers!G573&gt;0,Customers!T573&gt;Customers!G573/12),"Payment &gt; monthly income","")</f>
        <v/>
      </c>
      <c r="I573" s="4" t="str">
        <f>IF(OR(Customers!I573&gt;DATE(2026,9,13),YEAR(Customers!I573)&lt;1980),"Implausible date","")</f>
        <v/>
      </c>
      <c r="J573" s="4" t="str">
        <f>IF(Customers!I573&gt;DATE(2026,9,13),"",IF(ABS(INT((DATE(2026,9,13)-Customers!I573)/365.25)-Customers!H573)&gt;1,"Date/tenure inconsistent",""))</f>
        <v/>
      </c>
      <c r="K573" s="4" t="str">
        <f>IF(COUNTIF(Customers!$A$2:$A$1001,Customers!A573)&gt;1,"Duplicate ID","")</f>
        <v/>
      </c>
      <c r="L573" s="4" t="str">
        <f>IF(COUNTIFS(Customers!$B$2:$B$1001,Customers!B573,Customers!$D$2:$D$1001,Customers!D573,Customers!$G$2:$G$1001,Customers!G573,Customers!$I$2:$I$1001,Customers!I573,Customers!$L$2:$L$1001,Customers!L573)&gt;1,"Duplicate record","")</f>
        <v/>
      </c>
      <c r="M573" s="4" t="str">
        <f>IF(OR(Customers!U573&lt;300,Customers!U573&gt;850),"Score out of range","")</f>
        <v/>
      </c>
      <c r="N573" s="4" t="str">
        <f>IF(AND(Customers!G573&lt;&gt;"",Customers!G573&lt;=0),"Income ≤ 0","")</f>
        <v/>
      </c>
      <c r="O573" s="4" t="str">
        <f>IF(OR(Customers!G573="",Customers!M573=""),"Missing value","")</f>
        <v/>
      </c>
      <c r="P573" s="4">
        <f t="shared" si="8"/>
        <v>0</v>
      </c>
    </row>
    <row r="574" spans="1:16" x14ac:dyDescent="0.25">
      <c r="A574" s="4" t="str">
        <f>Customers!A574</f>
        <v>CL00568</v>
      </c>
      <c r="B574" s="20">
        <f>IF(Customers!G574="","",(Customers!G574-Statistics!$C$7)/Statistics!$C$9)</f>
        <v>-3.0512347210442312E-2</v>
      </c>
      <c r="C574" s="4" t="str">
        <f>IF(Customers!G574="","",IF(OR(Customers!G574&lt;Statistics!$C$15,Customers!G574&gt;Statistics!$C$16),"Outside 1.5·IQR",""))</f>
        <v/>
      </c>
      <c r="D574" s="4" t="str">
        <f>IF(OR(Customers!B574&lt;18,Customers!B574&gt;100),"Implausible age","")</f>
        <v/>
      </c>
      <c r="E574" s="4" t="str">
        <f>IF(Customers!H574&gt;Customers!B574-18,"Tenure &gt; age-18","")</f>
        <v/>
      </c>
      <c r="F574" s="4" t="str">
        <f>IF(Customers!R574&gt;Customers!Q574,"Card spend &gt; limit","")</f>
        <v/>
      </c>
      <c r="G574" s="4" t="str">
        <f>IF(OR(AND(Customers!S574&gt;0,Customers!T574=0),AND(Customers!S574=0,Customers!T574&gt;0)),"Mortgage/payment inconsistent","")</f>
        <v/>
      </c>
      <c r="H574" s="4" t="str">
        <f>IF(AND(Customers!G574&lt;&gt;"",Customers!G574&gt;0,Customers!T574&gt;Customers!G574/12),"Payment &gt; monthly income","")</f>
        <v/>
      </c>
      <c r="I574" s="4" t="str">
        <f>IF(OR(Customers!I574&gt;DATE(2026,9,13),YEAR(Customers!I574)&lt;1980),"Implausible date","")</f>
        <v/>
      </c>
      <c r="J574" s="4" t="str">
        <f>IF(Customers!I574&gt;DATE(2026,9,13),"",IF(ABS(INT((DATE(2026,9,13)-Customers!I574)/365.25)-Customers!H574)&gt;1,"Date/tenure inconsistent",""))</f>
        <v/>
      </c>
      <c r="K574" s="4" t="str">
        <f>IF(COUNTIF(Customers!$A$2:$A$1001,Customers!A574)&gt;1,"Duplicate ID","")</f>
        <v/>
      </c>
      <c r="L574" s="4" t="str">
        <f>IF(COUNTIFS(Customers!$B$2:$B$1001,Customers!B574,Customers!$D$2:$D$1001,Customers!D574,Customers!$G$2:$G$1001,Customers!G574,Customers!$I$2:$I$1001,Customers!I574,Customers!$L$2:$L$1001,Customers!L574)&gt;1,"Duplicate record","")</f>
        <v/>
      </c>
      <c r="M574" s="4" t="str">
        <f>IF(OR(Customers!U574&lt;300,Customers!U574&gt;850),"Score out of range","")</f>
        <v/>
      </c>
      <c r="N574" s="4" t="str">
        <f>IF(AND(Customers!G574&lt;&gt;"",Customers!G574&lt;=0),"Income ≤ 0","")</f>
        <v/>
      </c>
      <c r="O574" s="4" t="str">
        <f>IF(OR(Customers!G574="",Customers!M574=""),"Missing value","")</f>
        <v/>
      </c>
      <c r="P574" s="4">
        <f t="shared" si="8"/>
        <v>0</v>
      </c>
    </row>
    <row r="575" spans="1:16" x14ac:dyDescent="0.25">
      <c r="A575" s="4" t="str">
        <f>Customers!A575</f>
        <v>CL00569</v>
      </c>
      <c r="B575" s="20">
        <f>IF(Customers!G575="","",(Customers!G575-Statistics!$C$7)/Statistics!$C$9)</f>
        <v>-4.1444997010689884E-2</v>
      </c>
      <c r="C575" s="4" t="str">
        <f>IF(Customers!G575="","",IF(OR(Customers!G575&lt;Statistics!$C$15,Customers!G575&gt;Statistics!$C$16),"Outside 1.5·IQR",""))</f>
        <v/>
      </c>
      <c r="D575" s="4" t="str">
        <f>IF(OR(Customers!B575&lt;18,Customers!B575&gt;100),"Implausible age","")</f>
        <v/>
      </c>
      <c r="E575" s="4" t="str">
        <f>IF(Customers!H575&gt;Customers!B575-18,"Tenure &gt; age-18","")</f>
        <v/>
      </c>
      <c r="F575" s="4" t="str">
        <f>IF(Customers!R575&gt;Customers!Q575,"Card spend &gt; limit","")</f>
        <v/>
      </c>
      <c r="G575" s="4" t="str">
        <f>IF(OR(AND(Customers!S575&gt;0,Customers!T575=0),AND(Customers!S575=0,Customers!T575&gt;0)),"Mortgage/payment inconsistent","")</f>
        <v/>
      </c>
      <c r="H575" s="4" t="str">
        <f>IF(AND(Customers!G575&lt;&gt;"",Customers!G575&gt;0,Customers!T575&gt;Customers!G575/12),"Payment &gt; monthly income","")</f>
        <v/>
      </c>
      <c r="I575" s="4" t="str">
        <f>IF(OR(Customers!I575&gt;DATE(2026,9,13),YEAR(Customers!I575)&lt;1980),"Implausible date","")</f>
        <v/>
      </c>
      <c r="J575" s="4" t="str">
        <f>IF(Customers!I575&gt;DATE(2026,9,13),"",IF(ABS(INT((DATE(2026,9,13)-Customers!I575)/365.25)-Customers!H575)&gt;1,"Date/tenure inconsistent",""))</f>
        <v/>
      </c>
      <c r="K575" s="4" t="str">
        <f>IF(COUNTIF(Customers!$A$2:$A$1001,Customers!A575)&gt;1,"Duplicate ID","")</f>
        <v/>
      </c>
      <c r="L575" s="4" t="str">
        <f>IF(COUNTIFS(Customers!$B$2:$B$1001,Customers!B575,Customers!$D$2:$D$1001,Customers!D575,Customers!$G$2:$G$1001,Customers!G575,Customers!$I$2:$I$1001,Customers!I575,Customers!$L$2:$L$1001,Customers!L575)&gt;1,"Duplicate record","")</f>
        <v/>
      </c>
      <c r="M575" s="4" t="str">
        <f>IF(OR(Customers!U575&lt;300,Customers!U575&gt;850),"Score out of range","")</f>
        <v/>
      </c>
      <c r="N575" s="4" t="str">
        <f>IF(AND(Customers!G575&lt;&gt;"",Customers!G575&lt;=0),"Income ≤ 0","")</f>
        <v/>
      </c>
      <c r="O575" s="4" t="str">
        <f>IF(OR(Customers!G575="",Customers!M575=""),"Missing value","")</f>
        <v/>
      </c>
      <c r="P575" s="4">
        <f t="shared" si="8"/>
        <v>0</v>
      </c>
    </row>
    <row r="576" spans="1:16" x14ac:dyDescent="0.25">
      <c r="A576" s="4" t="str">
        <f>Customers!A576</f>
        <v>CL00570</v>
      </c>
      <c r="B576" s="20">
        <f>IF(Customers!G576="","",(Customers!G576-Statistics!$C$7)/Statistics!$C$9)</f>
        <v>-4.1937458713403736E-2</v>
      </c>
      <c r="C576" s="4" t="str">
        <f>IF(Customers!G576="","",IF(OR(Customers!G576&lt;Statistics!$C$15,Customers!G576&gt;Statistics!$C$16),"Outside 1.5·IQR",""))</f>
        <v/>
      </c>
      <c r="D576" s="4" t="str">
        <f>IF(OR(Customers!B576&lt;18,Customers!B576&gt;100),"Implausible age","")</f>
        <v/>
      </c>
      <c r="E576" s="4" t="str">
        <f>IF(Customers!H576&gt;Customers!B576-18,"Tenure &gt; age-18","")</f>
        <v/>
      </c>
      <c r="F576" s="4" t="str">
        <f>IF(Customers!R576&gt;Customers!Q576,"Card spend &gt; limit","")</f>
        <v/>
      </c>
      <c r="G576" s="4" t="str">
        <f>IF(OR(AND(Customers!S576&gt;0,Customers!T576=0),AND(Customers!S576=0,Customers!T576&gt;0)),"Mortgage/payment inconsistent","")</f>
        <v/>
      </c>
      <c r="H576" s="4" t="str">
        <f>IF(AND(Customers!G576&lt;&gt;"",Customers!G576&gt;0,Customers!T576&gt;Customers!G576/12),"Payment &gt; monthly income","")</f>
        <v/>
      </c>
      <c r="I576" s="4" t="str">
        <f>IF(OR(Customers!I576&gt;DATE(2026,9,13),YEAR(Customers!I576)&lt;1980),"Implausible date","")</f>
        <v/>
      </c>
      <c r="J576" s="4" t="str">
        <f>IF(Customers!I576&gt;DATE(2026,9,13),"",IF(ABS(INT((DATE(2026,9,13)-Customers!I576)/365.25)-Customers!H576)&gt;1,"Date/tenure inconsistent",""))</f>
        <v/>
      </c>
      <c r="K576" s="4" t="str">
        <f>IF(COUNTIF(Customers!$A$2:$A$1001,Customers!A576)&gt;1,"Duplicate ID","")</f>
        <v/>
      </c>
      <c r="L576" s="4" t="str">
        <f>IF(COUNTIFS(Customers!$B$2:$B$1001,Customers!B576,Customers!$D$2:$D$1001,Customers!D576,Customers!$G$2:$G$1001,Customers!G576,Customers!$I$2:$I$1001,Customers!I576,Customers!$L$2:$L$1001,Customers!L576)&gt;1,"Duplicate record","")</f>
        <v/>
      </c>
      <c r="M576" s="4" t="str">
        <f>IF(OR(Customers!U576&lt;300,Customers!U576&gt;850),"Score out of range","")</f>
        <v/>
      </c>
      <c r="N576" s="4" t="str">
        <f>IF(AND(Customers!G576&lt;&gt;"",Customers!G576&lt;=0),"Income ≤ 0","")</f>
        <v/>
      </c>
      <c r="O576" s="4" t="str">
        <f>IF(OR(Customers!G576="",Customers!M576=""),"Missing value","")</f>
        <v/>
      </c>
      <c r="P576" s="4">
        <f t="shared" si="8"/>
        <v>0</v>
      </c>
    </row>
    <row r="577" spans="1:16" x14ac:dyDescent="0.25">
      <c r="A577" s="4" t="str">
        <f>Customers!A577</f>
        <v>CL00571</v>
      </c>
      <c r="B577" s="20">
        <f>IF(Customers!G577="","",(Customers!G577-Statistics!$C$7)/Statistics!$C$9)</f>
        <v>-4.4695244248601322E-2</v>
      </c>
      <c r="C577" s="4" t="str">
        <f>IF(Customers!G577="","",IF(OR(Customers!G577&lt;Statistics!$C$15,Customers!G577&gt;Statistics!$C$16),"Outside 1.5·IQR",""))</f>
        <v/>
      </c>
      <c r="D577" s="4" t="str">
        <f>IF(OR(Customers!B577&lt;18,Customers!B577&gt;100),"Implausible age","")</f>
        <v/>
      </c>
      <c r="E577" s="4" t="str">
        <f>IF(Customers!H577&gt;Customers!B577-18,"Tenure &gt; age-18","")</f>
        <v/>
      </c>
      <c r="F577" s="4" t="str">
        <f>IF(Customers!R577&gt;Customers!Q577,"Card spend &gt; limit","")</f>
        <v/>
      </c>
      <c r="G577" s="4" t="str">
        <f>IF(OR(AND(Customers!S577&gt;0,Customers!T577=0),AND(Customers!S577=0,Customers!T577&gt;0)),"Mortgage/payment inconsistent","")</f>
        <v/>
      </c>
      <c r="H577" s="4" t="str">
        <f>IF(AND(Customers!G577&lt;&gt;"",Customers!G577&gt;0,Customers!T577&gt;Customers!G577/12),"Payment &gt; monthly income","")</f>
        <v/>
      </c>
      <c r="I577" s="4" t="str">
        <f>IF(OR(Customers!I577&gt;DATE(2026,9,13),YEAR(Customers!I577)&lt;1980),"Implausible date","")</f>
        <v/>
      </c>
      <c r="J577" s="4" t="str">
        <f>IF(Customers!I577&gt;DATE(2026,9,13),"",IF(ABS(INT((DATE(2026,9,13)-Customers!I577)/365.25)-Customers!H577)&gt;1,"Date/tenure inconsistent",""))</f>
        <v/>
      </c>
      <c r="K577" s="4" t="str">
        <f>IF(COUNTIF(Customers!$A$2:$A$1001,Customers!A577)&gt;1,"Duplicate ID","")</f>
        <v/>
      </c>
      <c r="L577" s="4" t="str">
        <f>IF(COUNTIFS(Customers!$B$2:$B$1001,Customers!B577,Customers!$D$2:$D$1001,Customers!D577,Customers!$G$2:$G$1001,Customers!G577,Customers!$I$2:$I$1001,Customers!I577,Customers!$L$2:$L$1001,Customers!L577)&gt;1,"Duplicate record","")</f>
        <v/>
      </c>
      <c r="M577" s="4" t="str">
        <f>IF(OR(Customers!U577&lt;300,Customers!U577&gt;850),"Score out of range","")</f>
        <v/>
      </c>
      <c r="N577" s="4" t="str">
        <f>IF(AND(Customers!G577&lt;&gt;"",Customers!G577&lt;=0),"Income ≤ 0","")</f>
        <v/>
      </c>
      <c r="O577" s="4" t="str">
        <f>IF(OR(Customers!G577="",Customers!M577=""),"Missing value","")</f>
        <v/>
      </c>
      <c r="P577" s="4">
        <f t="shared" si="8"/>
        <v>0</v>
      </c>
    </row>
    <row r="578" spans="1:16" x14ac:dyDescent="0.25">
      <c r="A578" s="4" t="str">
        <f>Customers!A578</f>
        <v>CL00572</v>
      </c>
      <c r="B578" s="20">
        <f>IF(Customers!G578="","",(Customers!G578-Statistics!$C$7)/Statistics!$C$9)</f>
        <v>-5.2983080314929635E-3</v>
      </c>
      <c r="C578" s="4" t="str">
        <f>IF(Customers!G578="","",IF(OR(Customers!G578&lt;Statistics!$C$15,Customers!G578&gt;Statistics!$C$16),"Outside 1.5·IQR",""))</f>
        <v/>
      </c>
      <c r="D578" s="4" t="str">
        <f>IF(OR(Customers!B578&lt;18,Customers!B578&gt;100),"Implausible age","")</f>
        <v/>
      </c>
      <c r="E578" s="4" t="str">
        <f>IF(Customers!H578&gt;Customers!B578-18,"Tenure &gt; age-18","")</f>
        <v/>
      </c>
      <c r="F578" s="4" t="str">
        <f>IF(Customers!R578&gt;Customers!Q578,"Card spend &gt; limit","")</f>
        <v/>
      </c>
      <c r="G578" s="4" t="str">
        <f>IF(OR(AND(Customers!S578&gt;0,Customers!T578=0),AND(Customers!S578=0,Customers!T578&gt;0)),"Mortgage/payment inconsistent","")</f>
        <v/>
      </c>
      <c r="H578" s="4" t="str">
        <f>IF(AND(Customers!G578&lt;&gt;"",Customers!G578&gt;0,Customers!T578&gt;Customers!G578/12),"Payment &gt; monthly income","")</f>
        <v/>
      </c>
      <c r="I578" s="4" t="str">
        <f>IF(OR(Customers!I578&gt;DATE(2026,9,13),YEAR(Customers!I578)&lt;1980),"Implausible date","")</f>
        <v/>
      </c>
      <c r="J578" s="4" t="str">
        <f>IF(Customers!I578&gt;DATE(2026,9,13),"",IF(ABS(INT((DATE(2026,9,13)-Customers!I578)/365.25)-Customers!H578)&gt;1,"Date/tenure inconsistent",""))</f>
        <v/>
      </c>
      <c r="K578" s="4" t="str">
        <f>IF(COUNTIF(Customers!$A$2:$A$1001,Customers!A578)&gt;1,"Duplicate ID","")</f>
        <v/>
      </c>
      <c r="L578" s="4" t="str">
        <f>IF(COUNTIFS(Customers!$B$2:$B$1001,Customers!B578,Customers!$D$2:$D$1001,Customers!D578,Customers!$G$2:$G$1001,Customers!G578,Customers!$I$2:$I$1001,Customers!I578,Customers!$L$2:$L$1001,Customers!L578)&gt;1,"Duplicate record","")</f>
        <v/>
      </c>
      <c r="M578" s="4" t="str">
        <f>IF(OR(Customers!U578&lt;300,Customers!U578&gt;850),"Score out of range","")</f>
        <v/>
      </c>
      <c r="N578" s="4" t="str">
        <f>IF(AND(Customers!G578&lt;&gt;"",Customers!G578&lt;=0),"Income ≤ 0","")</f>
        <v/>
      </c>
      <c r="O578" s="4" t="str">
        <f>IF(OR(Customers!G578="",Customers!M578=""),"Missing value","")</f>
        <v/>
      </c>
      <c r="P578" s="4">
        <f t="shared" ref="P578:P641" si="9">SUMPRODUCT(--(C578:O578&lt;&gt;""))</f>
        <v>0</v>
      </c>
    </row>
    <row r="579" spans="1:16" x14ac:dyDescent="0.25">
      <c r="A579" s="4" t="str">
        <f>Customers!A579</f>
        <v>CL00573</v>
      </c>
      <c r="B579" s="20">
        <f>IF(Customers!G579="","",(Customers!G579-Statistics!$C$7)/Statistics!$C$9)</f>
        <v>7.2102192174389405E-3</v>
      </c>
      <c r="C579" s="4" t="str">
        <f>IF(Customers!G579="","",IF(OR(Customers!G579&lt;Statistics!$C$15,Customers!G579&gt;Statistics!$C$16),"Outside 1.5·IQR",""))</f>
        <v>Outside 1.5·IQR</v>
      </c>
      <c r="D579" s="4" t="str">
        <f>IF(OR(Customers!B579&lt;18,Customers!B579&gt;100),"Implausible age","")</f>
        <v/>
      </c>
      <c r="E579" s="4" t="str">
        <f>IF(Customers!H579&gt;Customers!B579-18,"Tenure &gt; age-18","")</f>
        <v/>
      </c>
      <c r="F579" s="4" t="str">
        <f>IF(Customers!R579&gt;Customers!Q579,"Card spend &gt; limit","")</f>
        <v/>
      </c>
      <c r="G579" s="4" t="str">
        <f>IF(OR(AND(Customers!S579&gt;0,Customers!T579=0),AND(Customers!S579=0,Customers!T579&gt;0)),"Mortgage/payment inconsistent","")</f>
        <v/>
      </c>
      <c r="H579" s="4" t="str">
        <f>IF(AND(Customers!G579&lt;&gt;"",Customers!G579&gt;0,Customers!T579&gt;Customers!G579/12),"Payment &gt; monthly income","")</f>
        <v/>
      </c>
      <c r="I579" s="4" t="str">
        <f>IF(OR(Customers!I579&gt;DATE(2026,9,13),YEAR(Customers!I579)&lt;1980),"Implausible date","")</f>
        <v/>
      </c>
      <c r="J579" s="4" t="str">
        <f>IF(Customers!I579&gt;DATE(2026,9,13),"",IF(ABS(INT((DATE(2026,9,13)-Customers!I579)/365.25)-Customers!H579)&gt;1,"Date/tenure inconsistent",""))</f>
        <v/>
      </c>
      <c r="K579" s="4" t="str">
        <f>IF(COUNTIF(Customers!$A$2:$A$1001,Customers!A579)&gt;1,"Duplicate ID","")</f>
        <v/>
      </c>
      <c r="L579" s="4" t="str">
        <f>IF(COUNTIFS(Customers!$B$2:$B$1001,Customers!B579,Customers!$D$2:$D$1001,Customers!D579,Customers!$G$2:$G$1001,Customers!G579,Customers!$I$2:$I$1001,Customers!I579,Customers!$L$2:$L$1001,Customers!L579)&gt;1,"Duplicate record","")</f>
        <v/>
      </c>
      <c r="M579" s="4" t="str">
        <f>IF(OR(Customers!U579&lt;300,Customers!U579&gt;850),"Score out of range","")</f>
        <v/>
      </c>
      <c r="N579" s="4" t="str">
        <f>IF(AND(Customers!G579&lt;&gt;"",Customers!G579&lt;=0),"Income ≤ 0","")</f>
        <v/>
      </c>
      <c r="O579" s="4" t="str">
        <f>IF(OR(Customers!G579="",Customers!M579=""),"Missing value","")</f>
        <v/>
      </c>
      <c r="P579" s="4">
        <f t="shared" si="9"/>
        <v>1</v>
      </c>
    </row>
    <row r="580" spans="1:16" x14ac:dyDescent="0.25">
      <c r="A580" s="4" t="str">
        <f>Customers!A580</f>
        <v>CL00574</v>
      </c>
      <c r="B580" s="20">
        <f>IF(Customers!G580="","",(Customers!G580-Statistics!$C$7)/Statistics!$C$9)</f>
        <v>-2.0860097837250766E-2</v>
      </c>
      <c r="C580" s="4" t="str">
        <f>IF(Customers!G580="","",IF(OR(Customers!G580&lt;Statistics!$C$15,Customers!G580&gt;Statistics!$C$16),"Outside 1.5·IQR",""))</f>
        <v/>
      </c>
      <c r="D580" s="4" t="str">
        <f>IF(OR(Customers!B580&lt;18,Customers!B580&gt;100),"Implausible age","")</f>
        <v/>
      </c>
      <c r="E580" s="4" t="str">
        <f>IF(Customers!H580&gt;Customers!B580-18,"Tenure &gt; age-18","")</f>
        <v/>
      </c>
      <c r="F580" s="4" t="str">
        <f>IF(Customers!R580&gt;Customers!Q580,"Card spend &gt; limit","")</f>
        <v/>
      </c>
      <c r="G580" s="4" t="str">
        <f>IF(OR(AND(Customers!S580&gt;0,Customers!T580=0),AND(Customers!S580=0,Customers!T580&gt;0)),"Mortgage/payment inconsistent","")</f>
        <v/>
      </c>
      <c r="H580" s="4" t="str">
        <f>IF(AND(Customers!G580&lt;&gt;"",Customers!G580&gt;0,Customers!T580&gt;Customers!G580/12),"Payment &gt; monthly income","")</f>
        <v/>
      </c>
      <c r="I580" s="4" t="str">
        <f>IF(OR(Customers!I580&gt;DATE(2026,9,13),YEAR(Customers!I580)&lt;1980),"Implausible date","")</f>
        <v/>
      </c>
      <c r="J580" s="4" t="str">
        <f>IF(Customers!I580&gt;DATE(2026,9,13),"",IF(ABS(INT((DATE(2026,9,13)-Customers!I580)/365.25)-Customers!H580)&gt;1,"Date/tenure inconsistent",""))</f>
        <v/>
      </c>
      <c r="K580" s="4" t="str">
        <f>IF(COUNTIF(Customers!$A$2:$A$1001,Customers!A580)&gt;1,"Duplicate ID","")</f>
        <v/>
      </c>
      <c r="L580" s="4" t="str">
        <f>IF(COUNTIFS(Customers!$B$2:$B$1001,Customers!B580,Customers!$D$2:$D$1001,Customers!D580,Customers!$G$2:$G$1001,Customers!G580,Customers!$I$2:$I$1001,Customers!I580,Customers!$L$2:$L$1001,Customers!L580)&gt;1,"Duplicate record","")</f>
        <v/>
      </c>
      <c r="M580" s="4" t="str">
        <f>IF(OR(Customers!U580&lt;300,Customers!U580&gt;850),"Score out of range","")</f>
        <v/>
      </c>
      <c r="N580" s="4" t="str">
        <f>IF(AND(Customers!G580&lt;&gt;"",Customers!G580&lt;=0),"Income ≤ 0","")</f>
        <v/>
      </c>
      <c r="O580" s="4" t="str">
        <f>IF(OR(Customers!G580="",Customers!M580=""),"Missing value","")</f>
        <v/>
      </c>
      <c r="P580" s="4">
        <f t="shared" si="9"/>
        <v>0</v>
      </c>
    </row>
    <row r="581" spans="1:16" x14ac:dyDescent="0.25">
      <c r="A581" s="4" t="str">
        <f>Customers!A581</f>
        <v>CL00575</v>
      </c>
      <c r="B581" s="20">
        <f>IF(Customers!G581="","",(Customers!G581-Statistics!$C$7)/Statistics!$C$9)</f>
        <v>-4.3611828502630845E-2</v>
      </c>
      <c r="C581" s="4" t="str">
        <f>IF(Customers!G581="","",IF(OR(Customers!G581&lt;Statistics!$C$15,Customers!G581&gt;Statistics!$C$16),"Outside 1.5·IQR",""))</f>
        <v/>
      </c>
      <c r="D581" s="4" t="str">
        <f>IF(OR(Customers!B581&lt;18,Customers!B581&gt;100),"Implausible age","")</f>
        <v/>
      </c>
      <c r="E581" s="4" t="str">
        <f>IF(Customers!H581&gt;Customers!B581-18,"Tenure &gt; age-18","")</f>
        <v/>
      </c>
      <c r="F581" s="4" t="str">
        <f>IF(Customers!R581&gt;Customers!Q581,"Card spend &gt; limit","")</f>
        <v/>
      </c>
      <c r="G581" s="4" t="str">
        <f>IF(OR(AND(Customers!S581&gt;0,Customers!T581=0),AND(Customers!S581=0,Customers!T581&gt;0)),"Mortgage/payment inconsistent","")</f>
        <v>Mortgage/payment inconsistent</v>
      </c>
      <c r="H581" s="4" t="str">
        <f>IF(AND(Customers!G581&lt;&gt;"",Customers!G581&gt;0,Customers!T581&gt;Customers!G581/12),"Payment &gt; monthly income","")</f>
        <v/>
      </c>
      <c r="I581" s="4" t="str">
        <f>IF(OR(Customers!I581&gt;DATE(2026,9,13),YEAR(Customers!I581)&lt;1980),"Implausible date","")</f>
        <v/>
      </c>
      <c r="J581" s="4" t="str">
        <f>IF(Customers!I581&gt;DATE(2026,9,13),"",IF(ABS(INT((DATE(2026,9,13)-Customers!I581)/365.25)-Customers!H581)&gt;1,"Date/tenure inconsistent",""))</f>
        <v/>
      </c>
      <c r="K581" s="4" t="str">
        <f>IF(COUNTIF(Customers!$A$2:$A$1001,Customers!A581)&gt;1,"Duplicate ID","")</f>
        <v/>
      </c>
      <c r="L581" s="4" t="str">
        <f>IF(COUNTIFS(Customers!$B$2:$B$1001,Customers!B581,Customers!$D$2:$D$1001,Customers!D581,Customers!$G$2:$G$1001,Customers!G581,Customers!$I$2:$I$1001,Customers!I581,Customers!$L$2:$L$1001,Customers!L581)&gt;1,"Duplicate record","")</f>
        <v/>
      </c>
      <c r="M581" s="4" t="str">
        <f>IF(OR(Customers!U581&lt;300,Customers!U581&gt;850),"Score out of range","")</f>
        <v/>
      </c>
      <c r="N581" s="4" t="str">
        <f>IF(AND(Customers!G581&lt;&gt;"",Customers!G581&lt;=0),"Income ≤ 0","")</f>
        <v/>
      </c>
      <c r="O581" s="4" t="str">
        <f>IF(OR(Customers!G581="",Customers!M581=""),"Missing value","")</f>
        <v/>
      </c>
      <c r="P581" s="4">
        <f t="shared" si="9"/>
        <v>1</v>
      </c>
    </row>
    <row r="582" spans="1:16" x14ac:dyDescent="0.25">
      <c r="A582" s="4" t="str">
        <f>Customers!A582</f>
        <v>CL00576</v>
      </c>
      <c r="B582" s="20">
        <f>IF(Customers!G582="","",(Customers!G582-Statistics!$C$7)/Statistics!$C$9)</f>
        <v>-4.4596751908058549E-2</v>
      </c>
      <c r="C582" s="4" t="str">
        <f>IF(Customers!G582="","",IF(OR(Customers!G582&lt;Statistics!$C$15,Customers!G582&gt;Statistics!$C$16),"Outside 1.5·IQR",""))</f>
        <v/>
      </c>
      <c r="D582" s="4" t="str">
        <f>IF(OR(Customers!B582&lt;18,Customers!B582&gt;100),"Implausible age","")</f>
        <v/>
      </c>
      <c r="E582" s="4" t="str">
        <f>IF(Customers!H582&gt;Customers!B582-18,"Tenure &gt; age-18","")</f>
        <v/>
      </c>
      <c r="F582" s="4" t="str">
        <f>IF(Customers!R582&gt;Customers!Q582,"Card spend &gt; limit","")</f>
        <v/>
      </c>
      <c r="G582" s="4" t="str">
        <f>IF(OR(AND(Customers!S582&gt;0,Customers!T582=0),AND(Customers!S582=0,Customers!T582&gt;0)),"Mortgage/payment inconsistent","")</f>
        <v/>
      </c>
      <c r="H582" s="4" t="str">
        <f>IF(AND(Customers!G582&lt;&gt;"",Customers!G582&gt;0,Customers!T582&gt;Customers!G582/12),"Payment &gt; monthly income","")</f>
        <v/>
      </c>
      <c r="I582" s="4" t="str">
        <f>IF(OR(Customers!I582&gt;DATE(2026,9,13),YEAR(Customers!I582)&lt;1980),"Implausible date","")</f>
        <v/>
      </c>
      <c r="J582" s="4" t="str">
        <f>IF(Customers!I582&gt;DATE(2026,9,13),"",IF(ABS(INT((DATE(2026,9,13)-Customers!I582)/365.25)-Customers!H582)&gt;1,"Date/tenure inconsistent",""))</f>
        <v/>
      </c>
      <c r="K582" s="4" t="str">
        <f>IF(COUNTIF(Customers!$A$2:$A$1001,Customers!A582)&gt;1,"Duplicate ID","")</f>
        <v/>
      </c>
      <c r="L582" s="4" t="str">
        <f>IF(COUNTIFS(Customers!$B$2:$B$1001,Customers!B582,Customers!$D$2:$D$1001,Customers!D582,Customers!$G$2:$G$1001,Customers!G582,Customers!$I$2:$I$1001,Customers!I582,Customers!$L$2:$L$1001,Customers!L582)&gt;1,"Duplicate record","")</f>
        <v/>
      </c>
      <c r="M582" s="4" t="str">
        <f>IF(OR(Customers!U582&lt;300,Customers!U582&gt;850),"Score out of range","")</f>
        <v/>
      </c>
      <c r="N582" s="4" t="str">
        <f>IF(AND(Customers!G582&lt;&gt;"",Customers!G582&lt;=0),"Income ≤ 0","")</f>
        <v/>
      </c>
      <c r="O582" s="4" t="str">
        <f>IF(OR(Customers!G582="",Customers!M582=""),"Missing value","")</f>
        <v/>
      </c>
      <c r="P582" s="4">
        <f t="shared" si="9"/>
        <v>0</v>
      </c>
    </row>
    <row r="583" spans="1:16" x14ac:dyDescent="0.25">
      <c r="A583" s="4" t="str">
        <f>Customers!A583</f>
        <v>CL00577</v>
      </c>
      <c r="B583" s="20">
        <f>IF(Customers!G583="","",(Customers!G583-Statistics!$C$7)/Statistics!$C$9)</f>
        <v>-2.1943513583221243E-2</v>
      </c>
      <c r="C583" s="4" t="str">
        <f>IF(Customers!G583="","",IF(OR(Customers!G583&lt;Statistics!$C$15,Customers!G583&gt;Statistics!$C$16),"Outside 1.5·IQR",""))</f>
        <v/>
      </c>
      <c r="D583" s="4" t="str">
        <f>IF(OR(Customers!B583&lt;18,Customers!B583&gt;100),"Implausible age","")</f>
        <v/>
      </c>
      <c r="E583" s="4" t="str">
        <f>IF(Customers!H583&gt;Customers!B583-18,"Tenure &gt; age-18","")</f>
        <v/>
      </c>
      <c r="F583" s="4" t="str">
        <f>IF(Customers!R583&gt;Customers!Q583,"Card spend &gt; limit","")</f>
        <v/>
      </c>
      <c r="G583" s="4" t="str">
        <f>IF(OR(AND(Customers!S583&gt;0,Customers!T583=0),AND(Customers!S583=0,Customers!T583&gt;0)),"Mortgage/payment inconsistent","")</f>
        <v/>
      </c>
      <c r="H583" s="4" t="str">
        <f>IF(AND(Customers!G583&lt;&gt;"",Customers!G583&gt;0,Customers!T583&gt;Customers!G583/12),"Payment &gt; monthly income","")</f>
        <v/>
      </c>
      <c r="I583" s="4" t="str">
        <f>IF(OR(Customers!I583&gt;DATE(2026,9,13),YEAR(Customers!I583)&lt;1980),"Implausible date","")</f>
        <v/>
      </c>
      <c r="J583" s="4" t="str">
        <f>IF(Customers!I583&gt;DATE(2026,9,13),"",IF(ABS(INT((DATE(2026,9,13)-Customers!I583)/365.25)-Customers!H583)&gt;1,"Date/tenure inconsistent",""))</f>
        <v/>
      </c>
      <c r="K583" s="4" t="str">
        <f>IF(COUNTIF(Customers!$A$2:$A$1001,Customers!A583)&gt;1,"Duplicate ID","")</f>
        <v/>
      </c>
      <c r="L583" s="4" t="str">
        <f>IF(COUNTIFS(Customers!$B$2:$B$1001,Customers!B583,Customers!$D$2:$D$1001,Customers!D583,Customers!$G$2:$G$1001,Customers!G583,Customers!$I$2:$I$1001,Customers!I583,Customers!$L$2:$L$1001,Customers!L583)&gt;1,"Duplicate record","")</f>
        <v/>
      </c>
      <c r="M583" s="4" t="str">
        <f>IF(OR(Customers!U583&lt;300,Customers!U583&gt;850),"Score out of range","")</f>
        <v/>
      </c>
      <c r="N583" s="4" t="str">
        <f>IF(AND(Customers!G583&lt;&gt;"",Customers!G583&lt;=0),"Income ≤ 0","")</f>
        <v/>
      </c>
      <c r="O583" s="4" t="str">
        <f>IF(OR(Customers!G583="",Customers!M583=""),"Missing value","")</f>
        <v/>
      </c>
      <c r="P583" s="4">
        <f t="shared" si="9"/>
        <v>0</v>
      </c>
    </row>
    <row r="584" spans="1:16" x14ac:dyDescent="0.25">
      <c r="A584" s="4" t="str">
        <f>Customers!A584</f>
        <v>CL00578</v>
      </c>
      <c r="B584" s="20">
        <f>IF(Customers!G584="","",(Customers!G584-Statistics!$C$7)/Statistics!$C$9)</f>
        <v>-1.5344526766855595E-2</v>
      </c>
      <c r="C584" s="4" t="str">
        <f>IF(Customers!G584="","",IF(OR(Customers!G584&lt;Statistics!$C$15,Customers!G584&gt;Statistics!$C$16),"Outside 1.5·IQR",""))</f>
        <v/>
      </c>
      <c r="D584" s="4" t="str">
        <f>IF(OR(Customers!B584&lt;18,Customers!B584&gt;100),"Implausible age","")</f>
        <v/>
      </c>
      <c r="E584" s="4" t="str">
        <f>IF(Customers!H584&gt;Customers!B584-18,"Tenure &gt; age-18","")</f>
        <v/>
      </c>
      <c r="F584" s="4" t="str">
        <f>IF(Customers!R584&gt;Customers!Q584,"Card spend &gt; limit","")</f>
        <v/>
      </c>
      <c r="G584" s="4" t="str">
        <f>IF(OR(AND(Customers!S584&gt;0,Customers!T584=0),AND(Customers!S584=0,Customers!T584&gt;0)),"Mortgage/payment inconsistent","")</f>
        <v/>
      </c>
      <c r="H584" s="4" t="str">
        <f>IF(AND(Customers!G584&lt;&gt;"",Customers!G584&gt;0,Customers!T584&gt;Customers!G584/12),"Payment &gt; monthly income","")</f>
        <v/>
      </c>
      <c r="I584" s="4" t="str">
        <f>IF(OR(Customers!I584&gt;DATE(2026,9,13),YEAR(Customers!I584)&lt;1980),"Implausible date","")</f>
        <v/>
      </c>
      <c r="J584" s="4" t="str">
        <f>IF(Customers!I584&gt;DATE(2026,9,13),"",IF(ABS(INT((DATE(2026,9,13)-Customers!I584)/365.25)-Customers!H584)&gt;1,"Date/tenure inconsistent",""))</f>
        <v/>
      </c>
      <c r="K584" s="4" t="str">
        <f>IF(COUNTIF(Customers!$A$2:$A$1001,Customers!A584)&gt;1,"Duplicate ID","")</f>
        <v/>
      </c>
      <c r="L584" s="4" t="str">
        <f>IF(COUNTIFS(Customers!$B$2:$B$1001,Customers!B584,Customers!$D$2:$D$1001,Customers!D584,Customers!$G$2:$G$1001,Customers!G584,Customers!$I$2:$I$1001,Customers!I584,Customers!$L$2:$L$1001,Customers!L584)&gt;1,"Duplicate record","")</f>
        <v/>
      </c>
      <c r="M584" s="4" t="str">
        <f>IF(OR(Customers!U584&lt;300,Customers!U584&gt;850),"Score out of range","")</f>
        <v/>
      </c>
      <c r="N584" s="4" t="str">
        <f>IF(AND(Customers!G584&lt;&gt;"",Customers!G584&lt;=0),"Income ≤ 0","")</f>
        <v/>
      </c>
      <c r="O584" s="4" t="str">
        <f>IF(OR(Customers!G584="",Customers!M584=""),"Missing value","")</f>
        <v/>
      </c>
      <c r="P584" s="4">
        <f t="shared" si="9"/>
        <v>0</v>
      </c>
    </row>
    <row r="585" spans="1:16" x14ac:dyDescent="0.25">
      <c r="A585" s="4" t="str">
        <f>Customers!A585</f>
        <v>CL00579</v>
      </c>
      <c r="B585" s="20">
        <f>IF(Customers!G585="","",(Customers!G585-Statistics!$C$7)/Statistics!$C$9)</f>
        <v>-4.558167531348626E-2</v>
      </c>
      <c r="C585" s="4" t="str">
        <f>IF(Customers!G585="","",IF(OR(Customers!G585&lt;Statistics!$C$15,Customers!G585&gt;Statistics!$C$16),"Outside 1.5·IQR",""))</f>
        <v/>
      </c>
      <c r="D585" s="4" t="str">
        <f>IF(OR(Customers!B585&lt;18,Customers!B585&gt;100),"Implausible age","")</f>
        <v/>
      </c>
      <c r="E585" s="4" t="str">
        <f>IF(Customers!H585&gt;Customers!B585-18,"Tenure &gt; age-18","")</f>
        <v/>
      </c>
      <c r="F585" s="4" t="str">
        <f>IF(Customers!R585&gt;Customers!Q585,"Card spend &gt; limit","")</f>
        <v/>
      </c>
      <c r="G585" s="4" t="str">
        <f>IF(OR(AND(Customers!S585&gt;0,Customers!T585=0),AND(Customers!S585=0,Customers!T585&gt;0)),"Mortgage/payment inconsistent","")</f>
        <v/>
      </c>
      <c r="H585" s="4" t="str">
        <f>IF(AND(Customers!G585&lt;&gt;"",Customers!G585&gt;0,Customers!T585&gt;Customers!G585/12),"Payment &gt; monthly income","")</f>
        <v/>
      </c>
      <c r="I585" s="4" t="str">
        <f>IF(OR(Customers!I585&gt;DATE(2026,9,13),YEAR(Customers!I585)&lt;1980),"Implausible date","")</f>
        <v/>
      </c>
      <c r="J585" s="4" t="str">
        <f>IF(Customers!I585&gt;DATE(2026,9,13),"",IF(ABS(INT((DATE(2026,9,13)-Customers!I585)/365.25)-Customers!H585)&gt;1,"Date/tenure inconsistent",""))</f>
        <v/>
      </c>
      <c r="K585" s="4" t="str">
        <f>IF(COUNTIF(Customers!$A$2:$A$1001,Customers!A585)&gt;1,"Duplicate ID","")</f>
        <v/>
      </c>
      <c r="L585" s="4" t="str">
        <f>IF(COUNTIFS(Customers!$B$2:$B$1001,Customers!B585,Customers!$D$2:$D$1001,Customers!D585,Customers!$G$2:$G$1001,Customers!G585,Customers!$I$2:$I$1001,Customers!I585,Customers!$L$2:$L$1001,Customers!L585)&gt;1,"Duplicate record","")</f>
        <v/>
      </c>
      <c r="M585" s="4" t="str">
        <f>IF(OR(Customers!U585&lt;300,Customers!U585&gt;850),"Score out of range","")</f>
        <v/>
      </c>
      <c r="N585" s="4" t="str">
        <f>IF(AND(Customers!G585&lt;&gt;"",Customers!G585&lt;=0),"Income ≤ 0","")</f>
        <v/>
      </c>
      <c r="O585" s="4" t="str">
        <f>IF(OR(Customers!G585="",Customers!M585=""),"Missing value","")</f>
        <v/>
      </c>
      <c r="P585" s="4">
        <f t="shared" si="9"/>
        <v>0</v>
      </c>
    </row>
    <row r="586" spans="1:16" x14ac:dyDescent="0.25">
      <c r="A586" s="4" t="str">
        <f>Customers!A586</f>
        <v>CL00580</v>
      </c>
      <c r="B586" s="20">
        <f>IF(Customers!G586="","",(Customers!G586-Statistics!$C$7)/Statistics!$C$9)</f>
        <v>-3.1300285934784483E-2</v>
      </c>
      <c r="C586" s="4" t="str">
        <f>IF(Customers!G586="","",IF(OR(Customers!G586&lt;Statistics!$C$15,Customers!G586&gt;Statistics!$C$16),"Outside 1.5·IQR",""))</f>
        <v/>
      </c>
      <c r="D586" s="4" t="str">
        <f>IF(OR(Customers!B586&lt;18,Customers!B586&gt;100),"Implausible age","")</f>
        <v/>
      </c>
      <c r="E586" s="4" t="str">
        <f>IF(Customers!H586&gt;Customers!B586-18,"Tenure &gt; age-18","")</f>
        <v/>
      </c>
      <c r="F586" s="4" t="str">
        <f>IF(Customers!R586&gt;Customers!Q586,"Card spend &gt; limit","")</f>
        <v/>
      </c>
      <c r="G586" s="4" t="str">
        <f>IF(OR(AND(Customers!S586&gt;0,Customers!T586=0),AND(Customers!S586=0,Customers!T586&gt;0)),"Mortgage/payment inconsistent","")</f>
        <v/>
      </c>
      <c r="H586" s="4" t="str">
        <f>IF(AND(Customers!G586&lt;&gt;"",Customers!G586&gt;0,Customers!T586&gt;Customers!G586/12),"Payment &gt; monthly income","")</f>
        <v/>
      </c>
      <c r="I586" s="4" t="str">
        <f>IF(OR(Customers!I586&gt;DATE(2026,9,13),YEAR(Customers!I586)&lt;1980),"Implausible date","")</f>
        <v/>
      </c>
      <c r="J586" s="4" t="str">
        <f>IF(Customers!I586&gt;DATE(2026,9,13),"",IF(ABS(INT((DATE(2026,9,13)-Customers!I586)/365.25)-Customers!H586)&gt;1,"Date/tenure inconsistent",""))</f>
        <v/>
      </c>
      <c r="K586" s="4" t="str">
        <f>IF(COUNTIF(Customers!$A$2:$A$1001,Customers!A586)&gt;1,"Duplicate ID","")</f>
        <v/>
      </c>
      <c r="L586" s="4" t="str">
        <f>IF(COUNTIFS(Customers!$B$2:$B$1001,Customers!B586,Customers!$D$2:$D$1001,Customers!D586,Customers!$G$2:$G$1001,Customers!G586,Customers!$I$2:$I$1001,Customers!I586,Customers!$L$2:$L$1001,Customers!L586)&gt;1,"Duplicate record","")</f>
        <v/>
      </c>
      <c r="M586" s="4" t="str">
        <f>IF(OR(Customers!U586&lt;300,Customers!U586&gt;850),"Score out of range","")</f>
        <v/>
      </c>
      <c r="N586" s="4" t="str">
        <f>IF(AND(Customers!G586&lt;&gt;"",Customers!G586&lt;=0),"Income ≤ 0","")</f>
        <v/>
      </c>
      <c r="O586" s="4" t="str">
        <f>IF(OR(Customers!G586="",Customers!M586=""),"Missing value","")</f>
        <v/>
      </c>
      <c r="P586" s="4">
        <f t="shared" si="9"/>
        <v>0</v>
      </c>
    </row>
    <row r="587" spans="1:16" x14ac:dyDescent="0.25">
      <c r="A587" s="4" t="str">
        <f>Customers!A587</f>
        <v>CL00581</v>
      </c>
      <c r="B587" s="20">
        <f>IF(Customers!G587="","",(Customers!G587-Statistics!$C$7)/Statistics!$C$9)</f>
        <v>-3.8884196156577837E-2</v>
      </c>
      <c r="C587" s="4" t="str">
        <f>IF(Customers!G587="","",IF(OR(Customers!G587&lt;Statistics!$C$15,Customers!G587&gt;Statistics!$C$16),"Outside 1.5·IQR",""))</f>
        <v/>
      </c>
      <c r="D587" s="4" t="str">
        <f>IF(OR(Customers!B587&lt;18,Customers!B587&gt;100),"Implausible age","")</f>
        <v/>
      </c>
      <c r="E587" s="4" t="str">
        <f>IF(Customers!H587&gt;Customers!B587-18,"Tenure &gt; age-18","")</f>
        <v/>
      </c>
      <c r="F587" s="4" t="str">
        <f>IF(Customers!R587&gt;Customers!Q587,"Card spend &gt; limit","")</f>
        <v/>
      </c>
      <c r="G587" s="4" t="str">
        <f>IF(OR(AND(Customers!S587&gt;0,Customers!T587=0),AND(Customers!S587=0,Customers!T587&gt;0)),"Mortgage/payment inconsistent","")</f>
        <v/>
      </c>
      <c r="H587" s="4" t="str">
        <f>IF(AND(Customers!G587&lt;&gt;"",Customers!G587&gt;0,Customers!T587&gt;Customers!G587/12),"Payment &gt; monthly income","")</f>
        <v/>
      </c>
      <c r="I587" s="4" t="str">
        <f>IF(OR(Customers!I587&gt;DATE(2026,9,13),YEAR(Customers!I587)&lt;1980),"Implausible date","")</f>
        <v/>
      </c>
      <c r="J587" s="4" t="str">
        <f>IF(Customers!I587&gt;DATE(2026,9,13),"",IF(ABS(INT((DATE(2026,9,13)-Customers!I587)/365.25)-Customers!H587)&gt;1,"Date/tenure inconsistent",""))</f>
        <v/>
      </c>
      <c r="K587" s="4" t="str">
        <f>IF(COUNTIF(Customers!$A$2:$A$1001,Customers!A587)&gt;1,"Duplicate ID","")</f>
        <v/>
      </c>
      <c r="L587" s="4" t="str">
        <f>IF(COUNTIFS(Customers!$B$2:$B$1001,Customers!B587,Customers!$D$2:$D$1001,Customers!D587,Customers!$G$2:$G$1001,Customers!G587,Customers!$I$2:$I$1001,Customers!I587,Customers!$L$2:$L$1001,Customers!L587)&gt;1,"Duplicate record","")</f>
        <v/>
      </c>
      <c r="M587" s="4" t="str">
        <f>IF(OR(Customers!U587&lt;300,Customers!U587&gt;850),"Score out of range","")</f>
        <v/>
      </c>
      <c r="N587" s="4" t="str">
        <f>IF(AND(Customers!G587&lt;&gt;"",Customers!G587&lt;=0),"Income ≤ 0","")</f>
        <v/>
      </c>
      <c r="O587" s="4" t="str">
        <f>IF(OR(Customers!G587="",Customers!M587=""),"Missing value","")</f>
        <v/>
      </c>
      <c r="P587" s="4">
        <f t="shared" si="9"/>
        <v>0</v>
      </c>
    </row>
    <row r="588" spans="1:16" x14ac:dyDescent="0.25">
      <c r="A588" s="4" t="str">
        <f>Customers!A588</f>
        <v>CL00582</v>
      </c>
      <c r="B588" s="20">
        <f>IF(Customers!G588="","",(Customers!G588-Statistics!$C$7)/Statistics!$C$9)</f>
        <v>-3.9967611902548321E-2</v>
      </c>
      <c r="C588" s="4" t="str">
        <f>IF(Customers!G588="","",IF(OR(Customers!G588&lt;Statistics!$C$15,Customers!G588&gt;Statistics!$C$16),"Outside 1.5·IQR",""))</f>
        <v/>
      </c>
      <c r="D588" s="4" t="str">
        <f>IF(OR(Customers!B588&lt;18,Customers!B588&gt;100),"Implausible age","")</f>
        <v/>
      </c>
      <c r="E588" s="4" t="str">
        <f>IF(Customers!H588&gt;Customers!B588-18,"Tenure &gt; age-18","")</f>
        <v/>
      </c>
      <c r="F588" s="4" t="str">
        <f>IF(Customers!R588&gt;Customers!Q588,"Card spend &gt; limit","")</f>
        <v/>
      </c>
      <c r="G588" s="4" t="str">
        <f>IF(OR(AND(Customers!S588&gt;0,Customers!T588=0),AND(Customers!S588=0,Customers!T588&gt;0)),"Mortgage/payment inconsistent","")</f>
        <v/>
      </c>
      <c r="H588" s="4" t="str">
        <f>IF(AND(Customers!G588&lt;&gt;"",Customers!G588&gt;0,Customers!T588&gt;Customers!G588/12),"Payment &gt; monthly income","")</f>
        <v/>
      </c>
      <c r="I588" s="4" t="str">
        <f>IF(OR(Customers!I588&gt;DATE(2026,9,13),YEAR(Customers!I588)&lt;1980),"Implausible date","")</f>
        <v/>
      </c>
      <c r="J588" s="4" t="str">
        <f>IF(Customers!I588&gt;DATE(2026,9,13),"",IF(ABS(INT((DATE(2026,9,13)-Customers!I588)/365.25)-Customers!H588)&gt;1,"Date/tenure inconsistent",""))</f>
        <v/>
      </c>
      <c r="K588" s="4" t="str">
        <f>IF(COUNTIF(Customers!$A$2:$A$1001,Customers!A588)&gt;1,"Duplicate ID","")</f>
        <v/>
      </c>
      <c r="L588" s="4" t="str">
        <f>IF(COUNTIFS(Customers!$B$2:$B$1001,Customers!B588,Customers!$D$2:$D$1001,Customers!D588,Customers!$G$2:$G$1001,Customers!G588,Customers!$I$2:$I$1001,Customers!I588,Customers!$L$2:$L$1001,Customers!L588)&gt;1,"Duplicate record","")</f>
        <v/>
      </c>
      <c r="M588" s="4" t="str">
        <f>IF(OR(Customers!U588&lt;300,Customers!U588&gt;850),"Score out of range","")</f>
        <v/>
      </c>
      <c r="N588" s="4" t="str">
        <f>IF(AND(Customers!G588&lt;&gt;"",Customers!G588&lt;=0),"Income ≤ 0","")</f>
        <v/>
      </c>
      <c r="O588" s="4" t="str">
        <f>IF(OR(Customers!G588="",Customers!M588=""),"Missing value","")</f>
        <v/>
      </c>
      <c r="P588" s="4">
        <f t="shared" si="9"/>
        <v>0</v>
      </c>
    </row>
    <row r="589" spans="1:16" x14ac:dyDescent="0.25">
      <c r="A589" s="4" t="str">
        <f>Customers!A589</f>
        <v>CL00583</v>
      </c>
      <c r="B589" s="20">
        <f>IF(Customers!G589="","",(Customers!G589-Statistics!$C$7)/Statistics!$C$9)</f>
        <v>-3.8490226794406758E-2</v>
      </c>
      <c r="C589" s="4" t="str">
        <f>IF(Customers!G589="","",IF(OR(Customers!G589&lt;Statistics!$C$15,Customers!G589&gt;Statistics!$C$16),"Outside 1.5·IQR",""))</f>
        <v/>
      </c>
      <c r="D589" s="4" t="str">
        <f>IF(OR(Customers!B589&lt;18,Customers!B589&gt;100),"Implausible age","")</f>
        <v/>
      </c>
      <c r="E589" s="4" t="str">
        <f>IF(Customers!H589&gt;Customers!B589-18,"Tenure &gt; age-18","")</f>
        <v/>
      </c>
      <c r="F589" s="4" t="str">
        <f>IF(Customers!R589&gt;Customers!Q589,"Card spend &gt; limit","")</f>
        <v/>
      </c>
      <c r="G589" s="4" t="str">
        <f>IF(OR(AND(Customers!S589&gt;0,Customers!T589=0),AND(Customers!S589=0,Customers!T589&gt;0)),"Mortgage/payment inconsistent","")</f>
        <v/>
      </c>
      <c r="H589" s="4" t="str">
        <f>IF(AND(Customers!G589&lt;&gt;"",Customers!G589&gt;0,Customers!T589&gt;Customers!G589/12),"Payment &gt; monthly income","")</f>
        <v/>
      </c>
      <c r="I589" s="4" t="str">
        <f>IF(OR(Customers!I589&gt;DATE(2026,9,13),YEAR(Customers!I589)&lt;1980),"Implausible date","")</f>
        <v/>
      </c>
      <c r="J589" s="4" t="str">
        <f>IF(Customers!I589&gt;DATE(2026,9,13),"",IF(ABS(INT((DATE(2026,9,13)-Customers!I589)/365.25)-Customers!H589)&gt;1,"Date/tenure inconsistent",""))</f>
        <v/>
      </c>
      <c r="K589" s="4" t="str">
        <f>IF(COUNTIF(Customers!$A$2:$A$1001,Customers!A589)&gt;1,"Duplicate ID","")</f>
        <v/>
      </c>
      <c r="L589" s="4" t="str">
        <f>IF(COUNTIFS(Customers!$B$2:$B$1001,Customers!B589,Customers!$D$2:$D$1001,Customers!D589,Customers!$G$2:$G$1001,Customers!G589,Customers!$I$2:$I$1001,Customers!I589,Customers!$L$2:$L$1001,Customers!L589)&gt;1,"Duplicate record","")</f>
        <v>Duplicate record</v>
      </c>
      <c r="M589" s="4" t="str">
        <f>IF(OR(Customers!U589&lt;300,Customers!U589&gt;850),"Score out of range","")</f>
        <v/>
      </c>
      <c r="N589" s="4" t="str">
        <f>IF(AND(Customers!G589&lt;&gt;"",Customers!G589&lt;=0),"Income ≤ 0","")</f>
        <v/>
      </c>
      <c r="O589" s="4" t="str">
        <f>IF(OR(Customers!G589="",Customers!M589=""),"Missing value","")</f>
        <v/>
      </c>
      <c r="P589" s="4">
        <f t="shared" si="9"/>
        <v>1</v>
      </c>
    </row>
    <row r="590" spans="1:16" x14ac:dyDescent="0.25">
      <c r="A590" s="4" t="str">
        <f>Customers!A590</f>
        <v>CL00584</v>
      </c>
      <c r="B590" s="20">
        <f>IF(Customers!G590="","",(Customers!G590-Statistics!$C$7)/Statistics!$C$9)</f>
        <v>-2.8345515718501354E-2</v>
      </c>
      <c r="C590" s="4" t="str">
        <f>IF(Customers!G590="","",IF(OR(Customers!G590&lt;Statistics!$C$15,Customers!G590&gt;Statistics!$C$16),"Outside 1.5·IQR",""))</f>
        <v/>
      </c>
      <c r="D590" s="4" t="str">
        <f>IF(OR(Customers!B590&lt;18,Customers!B590&gt;100),"Implausible age","")</f>
        <v/>
      </c>
      <c r="E590" s="4" t="str">
        <f>IF(Customers!H590&gt;Customers!B590-18,"Tenure &gt; age-18","")</f>
        <v/>
      </c>
      <c r="F590" s="4" t="str">
        <f>IF(Customers!R590&gt;Customers!Q590,"Card spend &gt; limit","")</f>
        <v/>
      </c>
      <c r="G590" s="4" t="str">
        <f>IF(OR(AND(Customers!S590&gt;0,Customers!T590=0),AND(Customers!S590=0,Customers!T590&gt;0)),"Mortgage/payment inconsistent","")</f>
        <v/>
      </c>
      <c r="H590" s="4" t="str">
        <f>IF(AND(Customers!G590&lt;&gt;"",Customers!G590&gt;0,Customers!T590&gt;Customers!G590/12),"Payment &gt; monthly income","")</f>
        <v/>
      </c>
      <c r="I590" s="4" t="str">
        <f>IF(OR(Customers!I590&gt;DATE(2026,9,13),YEAR(Customers!I590)&lt;1980),"Implausible date","")</f>
        <v/>
      </c>
      <c r="J590" s="4" t="str">
        <f>IF(Customers!I590&gt;DATE(2026,9,13),"",IF(ABS(INT((DATE(2026,9,13)-Customers!I590)/365.25)-Customers!H590)&gt;1,"Date/tenure inconsistent",""))</f>
        <v/>
      </c>
      <c r="K590" s="4" t="str">
        <f>IF(COUNTIF(Customers!$A$2:$A$1001,Customers!A590)&gt;1,"Duplicate ID","")</f>
        <v/>
      </c>
      <c r="L590" s="4" t="str">
        <f>IF(COUNTIFS(Customers!$B$2:$B$1001,Customers!B590,Customers!$D$2:$D$1001,Customers!D590,Customers!$G$2:$G$1001,Customers!G590,Customers!$I$2:$I$1001,Customers!I590,Customers!$L$2:$L$1001,Customers!L590)&gt;1,"Duplicate record","")</f>
        <v/>
      </c>
      <c r="M590" s="4" t="str">
        <f>IF(OR(Customers!U590&lt;300,Customers!U590&gt;850),"Score out of range","")</f>
        <v/>
      </c>
      <c r="N590" s="4" t="str">
        <f>IF(AND(Customers!G590&lt;&gt;"",Customers!G590&lt;=0),"Income ≤ 0","")</f>
        <v/>
      </c>
      <c r="O590" s="4" t="str">
        <f>IF(OR(Customers!G590="",Customers!M590=""),"Missing value","")</f>
        <v/>
      </c>
      <c r="P590" s="4">
        <f t="shared" si="9"/>
        <v>0</v>
      </c>
    </row>
    <row r="591" spans="1:16" x14ac:dyDescent="0.25">
      <c r="A591" s="4" t="str">
        <f>Customers!A591</f>
        <v>CL00585</v>
      </c>
      <c r="B591" s="20">
        <f>IF(Customers!G591="","",(Customers!G591-Statistics!$C$7)/Statistics!$C$9)</f>
        <v>1.3119759650005194E-2</v>
      </c>
      <c r="C591" s="4" t="str">
        <f>IF(Customers!G591="","",IF(OR(Customers!G591&lt;Statistics!$C$15,Customers!G591&gt;Statistics!$C$16),"Outside 1.5·IQR",""))</f>
        <v>Outside 1.5·IQR</v>
      </c>
      <c r="D591" s="4" t="str">
        <f>IF(OR(Customers!B591&lt;18,Customers!B591&gt;100),"Implausible age","")</f>
        <v/>
      </c>
      <c r="E591" s="4" t="str">
        <f>IF(Customers!H591&gt;Customers!B591-18,"Tenure &gt; age-18","")</f>
        <v/>
      </c>
      <c r="F591" s="4" t="str">
        <f>IF(Customers!R591&gt;Customers!Q591,"Card spend &gt; limit","")</f>
        <v/>
      </c>
      <c r="G591" s="4" t="str">
        <f>IF(OR(AND(Customers!S591&gt;0,Customers!T591=0),AND(Customers!S591=0,Customers!T591&gt;0)),"Mortgage/payment inconsistent","")</f>
        <v/>
      </c>
      <c r="H591" s="4" t="str">
        <f>IF(AND(Customers!G591&lt;&gt;"",Customers!G591&gt;0,Customers!T591&gt;Customers!G591/12),"Payment &gt; monthly income","")</f>
        <v/>
      </c>
      <c r="I591" s="4" t="str">
        <f>IF(OR(Customers!I591&gt;DATE(2026,9,13),YEAR(Customers!I591)&lt;1980),"Implausible date","")</f>
        <v/>
      </c>
      <c r="J591" s="4" t="str">
        <f>IF(Customers!I591&gt;DATE(2026,9,13),"",IF(ABS(INT((DATE(2026,9,13)-Customers!I591)/365.25)-Customers!H591)&gt;1,"Date/tenure inconsistent",""))</f>
        <v/>
      </c>
      <c r="K591" s="4" t="str">
        <f>IF(COUNTIF(Customers!$A$2:$A$1001,Customers!A591)&gt;1,"Duplicate ID","")</f>
        <v/>
      </c>
      <c r="L591" s="4" t="str">
        <f>IF(COUNTIFS(Customers!$B$2:$B$1001,Customers!B591,Customers!$D$2:$D$1001,Customers!D591,Customers!$G$2:$G$1001,Customers!G591,Customers!$I$2:$I$1001,Customers!I591,Customers!$L$2:$L$1001,Customers!L591)&gt;1,"Duplicate record","")</f>
        <v/>
      </c>
      <c r="M591" s="4" t="str">
        <f>IF(OR(Customers!U591&lt;300,Customers!U591&gt;850),"Score out of range","")</f>
        <v/>
      </c>
      <c r="N591" s="4" t="str">
        <f>IF(AND(Customers!G591&lt;&gt;"",Customers!G591&lt;=0),"Income ≤ 0","")</f>
        <v/>
      </c>
      <c r="O591" s="4" t="str">
        <f>IF(OR(Customers!G591="",Customers!M591=""),"Missing value","")</f>
        <v/>
      </c>
      <c r="P591" s="4">
        <f t="shared" si="9"/>
        <v>1</v>
      </c>
    </row>
    <row r="592" spans="1:16" x14ac:dyDescent="0.25">
      <c r="A592" s="4" t="str">
        <f>Customers!A592</f>
        <v>CL00586</v>
      </c>
      <c r="B592" s="20">
        <f>IF(Customers!G592="","",(Customers!G592-Statistics!$C$7)/Statistics!$C$9)</f>
        <v>-5.3165585535279621E-2</v>
      </c>
      <c r="C592" s="4" t="str">
        <f>IF(Customers!G592="","",IF(OR(Customers!G592&lt;Statistics!$C$15,Customers!G592&gt;Statistics!$C$16),"Outside 1.5·IQR",""))</f>
        <v/>
      </c>
      <c r="D592" s="4" t="str">
        <f>IF(OR(Customers!B592&lt;18,Customers!B592&gt;100),"Implausible age","")</f>
        <v/>
      </c>
      <c r="E592" s="4" t="str">
        <f>IF(Customers!H592&gt;Customers!B592-18,"Tenure &gt; age-18","")</f>
        <v/>
      </c>
      <c r="F592" s="4" t="str">
        <f>IF(Customers!R592&gt;Customers!Q592,"Card spend &gt; limit","")</f>
        <v/>
      </c>
      <c r="G592" s="4" t="str">
        <f>IF(OR(AND(Customers!S592&gt;0,Customers!T592=0),AND(Customers!S592=0,Customers!T592&gt;0)),"Mortgage/payment inconsistent","")</f>
        <v/>
      </c>
      <c r="H592" s="4" t="str">
        <f>IF(AND(Customers!G592&lt;&gt;"",Customers!G592&gt;0,Customers!T592&gt;Customers!G592/12),"Payment &gt; monthly income","")</f>
        <v/>
      </c>
      <c r="I592" s="4" t="str">
        <f>IF(OR(Customers!I592&gt;DATE(2026,9,13),YEAR(Customers!I592)&lt;1980),"Implausible date","")</f>
        <v/>
      </c>
      <c r="J592" s="4" t="str">
        <f>IF(Customers!I592&gt;DATE(2026,9,13),"",IF(ABS(INT((DATE(2026,9,13)-Customers!I592)/365.25)-Customers!H592)&gt;1,"Date/tenure inconsistent",""))</f>
        <v/>
      </c>
      <c r="K592" s="4" t="str">
        <f>IF(COUNTIF(Customers!$A$2:$A$1001,Customers!A592)&gt;1,"Duplicate ID","")</f>
        <v/>
      </c>
      <c r="L592" s="4" t="str">
        <f>IF(COUNTIFS(Customers!$B$2:$B$1001,Customers!B592,Customers!$D$2:$D$1001,Customers!D592,Customers!$G$2:$G$1001,Customers!G592,Customers!$I$2:$I$1001,Customers!I592,Customers!$L$2:$L$1001,Customers!L592)&gt;1,"Duplicate record","")</f>
        <v/>
      </c>
      <c r="M592" s="4" t="str">
        <f>IF(OR(Customers!U592&lt;300,Customers!U592&gt;850),"Score out of range","")</f>
        <v/>
      </c>
      <c r="N592" s="4" t="str">
        <f>IF(AND(Customers!G592&lt;&gt;"",Customers!G592&lt;=0),"Income ≤ 0","")</f>
        <v/>
      </c>
      <c r="O592" s="4" t="str">
        <f>IF(OR(Customers!G592="",Customers!M592=""),"Missing value","")</f>
        <v/>
      </c>
      <c r="P592" s="4">
        <f t="shared" si="9"/>
        <v>0</v>
      </c>
    </row>
    <row r="593" spans="1:16" x14ac:dyDescent="0.25">
      <c r="A593" s="4" t="str">
        <f>Customers!A593</f>
        <v>CL00587</v>
      </c>
      <c r="B593" s="20">
        <f>IF(Customers!G593="","",(Customers!G593-Statistics!$C$7)/Statistics!$C$9)</f>
        <v>-4.4498259567515783E-2</v>
      </c>
      <c r="C593" s="4" t="str">
        <f>IF(Customers!G593="","",IF(OR(Customers!G593&lt;Statistics!$C$15,Customers!G593&gt;Statistics!$C$16),"Outside 1.5·IQR",""))</f>
        <v/>
      </c>
      <c r="D593" s="4" t="str">
        <f>IF(OR(Customers!B593&lt;18,Customers!B593&gt;100),"Implausible age","")</f>
        <v/>
      </c>
      <c r="E593" s="4" t="str">
        <f>IF(Customers!H593&gt;Customers!B593-18,"Tenure &gt; age-18","")</f>
        <v/>
      </c>
      <c r="F593" s="4" t="str">
        <f>IF(Customers!R593&gt;Customers!Q593,"Card spend &gt; limit","")</f>
        <v/>
      </c>
      <c r="G593" s="4" t="str">
        <f>IF(OR(AND(Customers!S593&gt;0,Customers!T593=0),AND(Customers!S593=0,Customers!T593&gt;0)),"Mortgage/payment inconsistent","")</f>
        <v/>
      </c>
      <c r="H593" s="4" t="str">
        <f>IF(AND(Customers!G593&lt;&gt;"",Customers!G593&gt;0,Customers!T593&gt;Customers!G593/12),"Payment &gt; monthly income","")</f>
        <v/>
      </c>
      <c r="I593" s="4" t="str">
        <f>IF(OR(Customers!I593&gt;DATE(2026,9,13),YEAR(Customers!I593)&lt;1980),"Implausible date","")</f>
        <v/>
      </c>
      <c r="J593" s="4" t="str">
        <f>IF(Customers!I593&gt;DATE(2026,9,13),"",IF(ABS(INT((DATE(2026,9,13)-Customers!I593)/365.25)-Customers!H593)&gt;1,"Date/tenure inconsistent",""))</f>
        <v/>
      </c>
      <c r="K593" s="4" t="str">
        <f>IF(COUNTIF(Customers!$A$2:$A$1001,Customers!A593)&gt;1,"Duplicate ID","")</f>
        <v/>
      </c>
      <c r="L593" s="4" t="str">
        <f>IF(COUNTIFS(Customers!$B$2:$B$1001,Customers!B593,Customers!$D$2:$D$1001,Customers!D593,Customers!$G$2:$G$1001,Customers!G593,Customers!$I$2:$I$1001,Customers!I593,Customers!$L$2:$L$1001,Customers!L593)&gt;1,"Duplicate record","")</f>
        <v/>
      </c>
      <c r="M593" s="4" t="str">
        <f>IF(OR(Customers!U593&lt;300,Customers!U593&gt;850),"Score out of range","")</f>
        <v/>
      </c>
      <c r="N593" s="4" t="str">
        <f>IF(AND(Customers!G593&lt;&gt;"",Customers!G593&lt;=0),"Income ≤ 0","")</f>
        <v/>
      </c>
      <c r="O593" s="4" t="str">
        <f>IF(OR(Customers!G593="",Customers!M593=""),"Missing value","")</f>
        <v/>
      </c>
      <c r="P593" s="4">
        <f t="shared" si="9"/>
        <v>0</v>
      </c>
    </row>
    <row r="594" spans="1:16" x14ac:dyDescent="0.25">
      <c r="A594" s="4" t="str">
        <f>Customers!A594</f>
        <v>CL00588</v>
      </c>
      <c r="B594" s="20">
        <f>IF(Customers!G594="","",(Customers!G594-Statistics!$C$7)/Statistics!$C$9)</f>
        <v>-2.2829944648106185E-2</v>
      </c>
      <c r="C594" s="4" t="str">
        <f>IF(Customers!G594="","",IF(OR(Customers!G594&lt;Statistics!$C$15,Customers!G594&gt;Statistics!$C$16),"Outside 1.5·IQR",""))</f>
        <v/>
      </c>
      <c r="D594" s="4" t="str">
        <f>IF(OR(Customers!B594&lt;18,Customers!B594&gt;100),"Implausible age","")</f>
        <v/>
      </c>
      <c r="E594" s="4" t="str">
        <f>IF(Customers!H594&gt;Customers!B594-18,"Tenure &gt; age-18","")</f>
        <v/>
      </c>
      <c r="F594" s="4" t="str">
        <f>IF(Customers!R594&gt;Customers!Q594,"Card spend &gt; limit","")</f>
        <v/>
      </c>
      <c r="G594" s="4" t="str">
        <f>IF(OR(AND(Customers!S594&gt;0,Customers!T594=0),AND(Customers!S594=0,Customers!T594&gt;0)),"Mortgage/payment inconsistent","")</f>
        <v/>
      </c>
      <c r="H594" s="4" t="str">
        <f>IF(AND(Customers!G594&lt;&gt;"",Customers!G594&gt;0,Customers!T594&gt;Customers!G594/12),"Payment &gt; monthly income","")</f>
        <v/>
      </c>
      <c r="I594" s="4" t="str">
        <f>IF(OR(Customers!I594&gt;DATE(2026,9,13),YEAR(Customers!I594)&lt;1980),"Implausible date","")</f>
        <v/>
      </c>
      <c r="J594" s="4" t="str">
        <f>IF(Customers!I594&gt;DATE(2026,9,13),"",IF(ABS(INT((DATE(2026,9,13)-Customers!I594)/365.25)-Customers!H594)&gt;1,"Date/tenure inconsistent",""))</f>
        <v/>
      </c>
      <c r="K594" s="4" t="str">
        <f>IF(COUNTIF(Customers!$A$2:$A$1001,Customers!A594)&gt;1,"Duplicate ID","")</f>
        <v/>
      </c>
      <c r="L594" s="4" t="str">
        <f>IF(COUNTIFS(Customers!$B$2:$B$1001,Customers!B594,Customers!$D$2:$D$1001,Customers!D594,Customers!$G$2:$G$1001,Customers!G594,Customers!$I$2:$I$1001,Customers!I594,Customers!$L$2:$L$1001,Customers!L594)&gt;1,"Duplicate record","")</f>
        <v/>
      </c>
      <c r="M594" s="4" t="str">
        <f>IF(OR(Customers!U594&lt;300,Customers!U594&gt;850),"Score out of range","")</f>
        <v/>
      </c>
      <c r="N594" s="4" t="str">
        <f>IF(AND(Customers!G594&lt;&gt;"",Customers!G594&lt;=0),"Income ≤ 0","")</f>
        <v/>
      </c>
      <c r="O594" s="4" t="str">
        <f>IF(OR(Customers!G594="",Customers!M594=""),"Missing value","")</f>
        <v/>
      </c>
      <c r="P594" s="4">
        <f t="shared" si="9"/>
        <v>0</v>
      </c>
    </row>
    <row r="595" spans="1:16" x14ac:dyDescent="0.25">
      <c r="A595" s="4" t="str">
        <f>Customers!A595</f>
        <v>CL00589</v>
      </c>
      <c r="B595" s="20">
        <f>IF(Customers!G595="","",(Customers!G595-Statistics!$C$7)/Statistics!$C$9)</f>
        <v>-3.9869119562005548E-2</v>
      </c>
      <c r="C595" s="4" t="str">
        <f>IF(Customers!G595="","",IF(OR(Customers!G595&lt;Statistics!$C$15,Customers!G595&gt;Statistics!$C$16),"Outside 1.5·IQR",""))</f>
        <v/>
      </c>
      <c r="D595" s="4" t="str">
        <f>IF(OR(Customers!B595&lt;18,Customers!B595&gt;100),"Implausible age","")</f>
        <v/>
      </c>
      <c r="E595" s="4" t="str">
        <f>IF(Customers!H595&gt;Customers!B595-18,"Tenure &gt; age-18","")</f>
        <v/>
      </c>
      <c r="F595" s="4" t="str">
        <f>IF(Customers!R595&gt;Customers!Q595,"Card spend &gt; limit","")</f>
        <v/>
      </c>
      <c r="G595" s="4" t="str">
        <f>IF(OR(AND(Customers!S595&gt;0,Customers!T595=0),AND(Customers!S595=0,Customers!T595&gt;0)),"Mortgage/payment inconsistent","")</f>
        <v/>
      </c>
      <c r="H595" s="4" t="str">
        <f>IF(AND(Customers!G595&lt;&gt;"",Customers!G595&gt;0,Customers!T595&gt;Customers!G595/12),"Payment &gt; monthly income","")</f>
        <v/>
      </c>
      <c r="I595" s="4" t="str">
        <f>IF(OR(Customers!I595&gt;DATE(2026,9,13),YEAR(Customers!I595)&lt;1980),"Implausible date","")</f>
        <v/>
      </c>
      <c r="J595" s="4" t="str">
        <f>IF(Customers!I595&gt;DATE(2026,9,13),"",IF(ABS(INT((DATE(2026,9,13)-Customers!I595)/365.25)-Customers!H595)&gt;1,"Date/tenure inconsistent",""))</f>
        <v/>
      </c>
      <c r="K595" s="4" t="str">
        <f>IF(COUNTIF(Customers!$A$2:$A$1001,Customers!A595)&gt;1,"Duplicate ID","")</f>
        <v/>
      </c>
      <c r="L595" s="4" t="str">
        <f>IF(COUNTIFS(Customers!$B$2:$B$1001,Customers!B595,Customers!$D$2:$D$1001,Customers!D595,Customers!$G$2:$G$1001,Customers!G595,Customers!$I$2:$I$1001,Customers!I595,Customers!$L$2:$L$1001,Customers!L595)&gt;1,"Duplicate record","")</f>
        <v/>
      </c>
      <c r="M595" s="4" t="str">
        <f>IF(OR(Customers!U595&lt;300,Customers!U595&gt;850),"Score out of range","")</f>
        <v/>
      </c>
      <c r="N595" s="4" t="str">
        <f>IF(AND(Customers!G595&lt;&gt;"",Customers!G595&lt;=0),"Income ≤ 0","")</f>
        <v/>
      </c>
      <c r="O595" s="4" t="str">
        <f>IF(OR(Customers!G595="",Customers!M595=""),"Missing value","")</f>
        <v/>
      </c>
      <c r="P595" s="4">
        <f t="shared" si="9"/>
        <v>0</v>
      </c>
    </row>
    <row r="596" spans="1:16" x14ac:dyDescent="0.25">
      <c r="A596" s="4" t="str">
        <f>Customers!A596</f>
        <v>CL00590</v>
      </c>
      <c r="B596" s="20">
        <f>IF(Customers!G596="","",(Customers!G596-Statistics!$C$7)/Statistics!$C$9)</f>
        <v>-4.9521368935197096E-2</v>
      </c>
      <c r="C596" s="4" t="str">
        <f>IF(Customers!G596="","",IF(OR(Customers!G596&lt;Statistics!$C$15,Customers!G596&gt;Statistics!$C$16),"Outside 1.5·IQR",""))</f>
        <v/>
      </c>
      <c r="D596" s="4" t="str">
        <f>IF(OR(Customers!B596&lt;18,Customers!B596&gt;100),"Implausible age","")</f>
        <v/>
      </c>
      <c r="E596" s="4" t="str">
        <f>IF(Customers!H596&gt;Customers!B596-18,"Tenure &gt; age-18","")</f>
        <v/>
      </c>
      <c r="F596" s="4" t="str">
        <f>IF(Customers!R596&gt;Customers!Q596,"Card spend &gt; limit","")</f>
        <v/>
      </c>
      <c r="G596" s="4" t="str">
        <f>IF(OR(AND(Customers!S596&gt;0,Customers!T596=0),AND(Customers!S596=0,Customers!T596&gt;0)),"Mortgage/payment inconsistent","")</f>
        <v/>
      </c>
      <c r="H596" s="4" t="str">
        <f>IF(AND(Customers!G596&lt;&gt;"",Customers!G596&gt;0,Customers!T596&gt;Customers!G596/12),"Payment &gt; monthly income","")</f>
        <v/>
      </c>
      <c r="I596" s="4" t="str">
        <f>IF(OR(Customers!I596&gt;DATE(2026,9,13),YEAR(Customers!I596)&lt;1980),"Implausible date","")</f>
        <v/>
      </c>
      <c r="J596" s="4" t="str">
        <f>IF(Customers!I596&gt;DATE(2026,9,13),"",IF(ABS(INT((DATE(2026,9,13)-Customers!I596)/365.25)-Customers!H596)&gt;1,"Date/tenure inconsistent",""))</f>
        <v/>
      </c>
      <c r="K596" s="4" t="str">
        <f>IF(COUNTIF(Customers!$A$2:$A$1001,Customers!A596)&gt;1,"Duplicate ID","")</f>
        <v/>
      </c>
      <c r="L596" s="4" t="str">
        <f>IF(COUNTIFS(Customers!$B$2:$B$1001,Customers!B596,Customers!$D$2:$D$1001,Customers!D596,Customers!$G$2:$G$1001,Customers!G596,Customers!$I$2:$I$1001,Customers!I596,Customers!$L$2:$L$1001,Customers!L596)&gt;1,"Duplicate record","")</f>
        <v/>
      </c>
      <c r="M596" s="4" t="str">
        <f>IF(OR(Customers!U596&lt;300,Customers!U596&gt;850),"Score out of range","")</f>
        <v/>
      </c>
      <c r="N596" s="4" t="str">
        <f>IF(AND(Customers!G596&lt;&gt;"",Customers!G596&lt;=0),"Income ≤ 0","")</f>
        <v/>
      </c>
      <c r="O596" s="4" t="str">
        <f>IF(OR(Customers!G596="",Customers!M596=""),"Missing value","")</f>
        <v/>
      </c>
      <c r="P596" s="4">
        <f t="shared" si="9"/>
        <v>0</v>
      </c>
    </row>
    <row r="597" spans="1:16" x14ac:dyDescent="0.25">
      <c r="A597" s="4" t="str">
        <f>Customers!A597</f>
        <v>CL00591</v>
      </c>
      <c r="B597" s="20">
        <f>IF(Customers!G597="","",(Customers!G597-Statistics!$C$7)/Statistics!$C$9)</f>
        <v>-4.9324384254111557E-2</v>
      </c>
      <c r="C597" s="4" t="str">
        <f>IF(Customers!G597="","",IF(OR(Customers!G597&lt;Statistics!$C$15,Customers!G597&gt;Statistics!$C$16),"Outside 1.5·IQR",""))</f>
        <v/>
      </c>
      <c r="D597" s="4" t="str">
        <f>IF(OR(Customers!B597&lt;18,Customers!B597&gt;100),"Implausible age","")</f>
        <v/>
      </c>
      <c r="E597" s="4" t="str">
        <f>IF(Customers!H597&gt;Customers!B597-18,"Tenure &gt; age-18","")</f>
        <v/>
      </c>
      <c r="F597" s="4" t="str">
        <f>IF(Customers!R597&gt;Customers!Q597,"Card spend &gt; limit","")</f>
        <v/>
      </c>
      <c r="G597" s="4" t="str">
        <f>IF(OR(AND(Customers!S597&gt;0,Customers!T597=0),AND(Customers!S597=0,Customers!T597&gt;0)),"Mortgage/payment inconsistent","")</f>
        <v/>
      </c>
      <c r="H597" s="4" t="str">
        <f>IF(AND(Customers!G597&lt;&gt;"",Customers!G597&gt;0,Customers!T597&gt;Customers!G597/12),"Payment &gt; monthly income","")</f>
        <v/>
      </c>
      <c r="I597" s="4" t="str">
        <f>IF(OR(Customers!I597&gt;DATE(2026,9,13),YEAR(Customers!I597)&lt;1980),"Implausible date","")</f>
        <v/>
      </c>
      <c r="J597" s="4" t="str">
        <f>IF(Customers!I597&gt;DATE(2026,9,13),"",IF(ABS(INT((DATE(2026,9,13)-Customers!I597)/365.25)-Customers!H597)&gt;1,"Date/tenure inconsistent",""))</f>
        <v/>
      </c>
      <c r="K597" s="4" t="str">
        <f>IF(COUNTIF(Customers!$A$2:$A$1001,Customers!A597)&gt;1,"Duplicate ID","")</f>
        <v/>
      </c>
      <c r="L597" s="4" t="str">
        <f>IF(COUNTIFS(Customers!$B$2:$B$1001,Customers!B597,Customers!$D$2:$D$1001,Customers!D597,Customers!$G$2:$G$1001,Customers!G597,Customers!$I$2:$I$1001,Customers!I597,Customers!$L$2:$L$1001,Customers!L597)&gt;1,"Duplicate record","")</f>
        <v/>
      </c>
      <c r="M597" s="4" t="str">
        <f>IF(OR(Customers!U597&lt;300,Customers!U597&gt;850),"Score out of range","")</f>
        <v/>
      </c>
      <c r="N597" s="4" t="str">
        <f>IF(AND(Customers!G597&lt;&gt;"",Customers!G597&lt;=0),"Income ≤ 0","")</f>
        <v/>
      </c>
      <c r="O597" s="4" t="str">
        <f>IF(OR(Customers!G597="",Customers!M597=""),"Missing value","")</f>
        <v/>
      </c>
      <c r="P597" s="4">
        <f t="shared" si="9"/>
        <v>0</v>
      </c>
    </row>
    <row r="598" spans="1:16" x14ac:dyDescent="0.25">
      <c r="A598" s="4" t="str">
        <f>Customers!A598</f>
        <v>CL00592</v>
      </c>
      <c r="B598" s="20">
        <f>IF(Customers!G598="","",(Customers!G598-Statistics!$C$7)/Statistics!$C$9)</f>
        <v>-4.9225891913568784E-2</v>
      </c>
      <c r="C598" s="4" t="str">
        <f>IF(Customers!G598="","",IF(OR(Customers!G598&lt;Statistics!$C$15,Customers!G598&gt;Statistics!$C$16),"Outside 1.5·IQR",""))</f>
        <v/>
      </c>
      <c r="D598" s="4" t="str">
        <f>IF(OR(Customers!B598&lt;18,Customers!B598&gt;100),"Implausible age","")</f>
        <v/>
      </c>
      <c r="E598" s="4" t="str">
        <f>IF(Customers!H598&gt;Customers!B598-18,"Tenure &gt; age-18","")</f>
        <v/>
      </c>
      <c r="F598" s="4" t="str">
        <f>IF(Customers!R598&gt;Customers!Q598,"Card spend &gt; limit","")</f>
        <v/>
      </c>
      <c r="G598" s="4" t="str">
        <f>IF(OR(AND(Customers!S598&gt;0,Customers!T598=0),AND(Customers!S598=0,Customers!T598&gt;0)),"Mortgage/payment inconsistent","")</f>
        <v/>
      </c>
      <c r="H598" s="4" t="str">
        <f>IF(AND(Customers!G598&lt;&gt;"",Customers!G598&gt;0,Customers!T598&gt;Customers!G598/12),"Payment &gt; monthly income","")</f>
        <v/>
      </c>
      <c r="I598" s="4" t="str">
        <f>IF(OR(Customers!I598&gt;DATE(2026,9,13),YEAR(Customers!I598)&lt;1980),"Implausible date","")</f>
        <v/>
      </c>
      <c r="J598" s="4" t="str">
        <f>IF(Customers!I598&gt;DATE(2026,9,13),"",IF(ABS(INT((DATE(2026,9,13)-Customers!I598)/365.25)-Customers!H598)&gt;1,"Date/tenure inconsistent",""))</f>
        <v/>
      </c>
      <c r="K598" s="4" t="str">
        <f>IF(COUNTIF(Customers!$A$2:$A$1001,Customers!A598)&gt;1,"Duplicate ID","")</f>
        <v/>
      </c>
      <c r="L598" s="4" t="str">
        <f>IF(COUNTIFS(Customers!$B$2:$B$1001,Customers!B598,Customers!$D$2:$D$1001,Customers!D598,Customers!$G$2:$G$1001,Customers!G598,Customers!$I$2:$I$1001,Customers!I598,Customers!$L$2:$L$1001,Customers!L598)&gt;1,"Duplicate record","")</f>
        <v/>
      </c>
      <c r="M598" s="4" t="str">
        <f>IF(OR(Customers!U598&lt;300,Customers!U598&gt;850),"Score out of range","")</f>
        <v/>
      </c>
      <c r="N598" s="4" t="str">
        <f>IF(AND(Customers!G598&lt;&gt;"",Customers!G598&lt;=0),"Income ≤ 0","")</f>
        <v/>
      </c>
      <c r="O598" s="4" t="str">
        <f>IF(OR(Customers!G598="",Customers!M598=""),"Missing value","")</f>
        <v/>
      </c>
      <c r="P598" s="4">
        <f t="shared" si="9"/>
        <v>0</v>
      </c>
    </row>
    <row r="599" spans="1:16" x14ac:dyDescent="0.25">
      <c r="A599" s="4" t="str">
        <f>Customers!A599</f>
        <v>CL00593</v>
      </c>
      <c r="B599" s="20">
        <f>IF(Customers!G599="","",(Customers!G599-Statistics!$C$7)/Statistics!$C$9)</f>
        <v>-3.5338471897038086E-2</v>
      </c>
      <c r="C599" s="4" t="str">
        <f>IF(Customers!G599="","",IF(OR(Customers!G599&lt;Statistics!$C$15,Customers!G599&gt;Statistics!$C$16),"Outside 1.5·IQR",""))</f>
        <v/>
      </c>
      <c r="D599" s="4" t="str">
        <f>IF(OR(Customers!B599&lt;18,Customers!B599&gt;100),"Implausible age","")</f>
        <v/>
      </c>
      <c r="E599" s="4" t="str">
        <f>IF(Customers!H599&gt;Customers!B599-18,"Tenure &gt; age-18","")</f>
        <v/>
      </c>
      <c r="F599" s="4" t="str">
        <f>IF(Customers!R599&gt;Customers!Q599,"Card spend &gt; limit","")</f>
        <v/>
      </c>
      <c r="G599" s="4" t="str">
        <f>IF(OR(AND(Customers!S599&gt;0,Customers!T599=0),AND(Customers!S599=0,Customers!T599&gt;0)),"Mortgage/payment inconsistent","")</f>
        <v/>
      </c>
      <c r="H599" s="4" t="str">
        <f>IF(AND(Customers!G599&lt;&gt;"",Customers!G599&gt;0,Customers!T599&gt;Customers!G599/12),"Payment &gt; monthly income","")</f>
        <v/>
      </c>
      <c r="I599" s="4" t="str">
        <f>IF(OR(Customers!I599&gt;DATE(2026,9,13),YEAR(Customers!I599)&lt;1980),"Implausible date","")</f>
        <v/>
      </c>
      <c r="J599" s="4" t="str">
        <f>IF(Customers!I599&gt;DATE(2026,9,13),"",IF(ABS(INT((DATE(2026,9,13)-Customers!I599)/365.25)-Customers!H599)&gt;1,"Date/tenure inconsistent",""))</f>
        <v/>
      </c>
      <c r="K599" s="4" t="str">
        <f>IF(COUNTIF(Customers!$A$2:$A$1001,Customers!A599)&gt;1,"Duplicate ID","")</f>
        <v/>
      </c>
      <c r="L599" s="4" t="str">
        <f>IF(COUNTIFS(Customers!$B$2:$B$1001,Customers!B599,Customers!$D$2:$D$1001,Customers!D599,Customers!$G$2:$G$1001,Customers!G599,Customers!$I$2:$I$1001,Customers!I599,Customers!$L$2:$L$1001,Customers!L599)&gt;1,"Duplicate record","")</f>
        <v/>
      </c>
      <c r="M599" s="4" t="str">
        <f>IF(OR(Customers!U599&lt;300,Customers!U599&gt;850),"Score out of range","")</f>
        <v/>
      </c>
      <c r="N599" s="4" t="str">
        <f>IF(AND(Customers!G599&lt;&gt;"",Customers!G599&lt;=0),"Income ≤ 0","")</f>
        <v/>
      </c>
      <c r="O599" s="4" t="str">
        <f>IF(OR(Customers!G599="",Customers!M599=""),"Missing value","")</f>
        <v/>
      </c>
      <c r="P599" s="4">
        <f t="shared" si="9"/>
        <v>0</v>
      </c>
    </row>
    <row r="600" spans="1:16" x14ac:dyDescent="0.25">
      <c r="A600" s="4" t="str">
        <f>Customers!A600</f>
        <v>CL00594</v>
      </c>
      <c r="B600" s="20">
        <f>IF(Customers!G600="","",(Customers!G600-Statistics!$C$7)/Statistics!$C$9)</f>
        <v>-6.6265066827468147E-2</v>
      </c>
      <c r="C600" s="4" t="str">
        <f>IF(Customers!G600="","",IF(OR(Customers!G600&lt;Statistics!$C$15,Customers!G600&gt;Statistics!$C$16),"Outside 1.5·IQR",""))</f>
        <v/>
      </c>
      <c r="D600" s="4" t="str">
        <f>IF(OR(Customers!B600&lt;18,Customers!B600&gt;100),"Implausible age","")</f>
        <v/>
      </c>
      <c r="E600" s="4" t="str">
        <f>IF(Customers!H600&gt;Customers!B600-18,"Tenure &gt; age-18","")</f>
        <v/>
      </c>
      <c r="F600" s="4" t="str">
        <f>IF(Customers!R600&gt;Customers!Q600,"Card spend &gt; limit","")</f>
        <v/>
      </c>
      <c r="G600" s="4" t="str">
        <f>IF(OR(AND(Customers!S600&gt;0,Customers!T600=0),AND(Customers!S600=0,Customers!T600&gt;0)),"Mortgage/payment inconsistent","")</f>
        <v/>
      </c>
      <c r="H600" s="4" t="str">
        <f>IF(AND(Customers!G600&lt;&gt;"",Customers!G600&gt;0,Customers!T600&gt;Customers!G600/12),"Payment &gt; monthly income","")</f>
        <v/>
      </c>
      <c r="I600" s="4" t="str">
        <f>IF(OR(Customers!I600&gt;DATE(2026,9,13),YEAR(Customers!I600)&lt;1980),"Implausible date","")</f>
        <v/>
      </c>
      <c r="J600" s="4" t="str">
        <f>IF(Customers!I600&gt;DATE(2026,9,13),"",IF(ABS(INT((DATE(2026,9,13)-Customers!I600)/365.25)-Customers!H600)&gt;1,"Date/tenure inconsistent",""))</f>
        <v/>
      </c>
      <c r="K600" s="4" t="str">
        <f>IF(COUNTIF(Customers!$A$2:$A$1001,Customers!A600)&gt;1,"Duplicate ID","")</f>
        <v/>
      </c>
      <c r="L600" s="4" t="str">
        <f>IF(COUNTIFS(Customers!$B$2:$B$1001,Customers!B600,Customers!$D$2:$D$1001,Customers!D600,Customers!$G$2:$G$1001,Customers!G600,Customers!$I$2:$I$1001,Customers!I600,Customers!$L$2:$L$1001,Customers!L600)&gt;1,"Duplicate record","")</f>
        <v/>
      </c>
      <c r="M600" s="4" t="str">
        <f>IF(OR(Customers!U600&lt;300,Customers!U600&gt;850),"Score out of range","")</f>
        <v/>
      </c>
      <c r="N600" s="4" t="str">
        <f>IF(AND(Customers!G600&lt;&gt;"",Customers!G600&lt;=0),"Income ≤ 0","")</f>
        <v/>
      </c>
      <c r="O600" s="4" t="str">
        <f>IF(OR(Customers!G600="",Customers!M600=""),"Missing value","")</f>
        <v/>
      </c>
      <c r="P600" s="4">
        <f t="shared" si="9"/>
        <v>0</v>
      </c>
    </row>
    <row r="601" spans="1:16" x14ac:dyDescent="0.25">
      <c r="A601" s="4" t="str">
        <f>Customers!A601</f>
        <v>CL00595</v>
      </c>
      <c r="B601" s="20">
        <f>IF(Customers!G601="","",(Customers!G601-Statistics!$C$7)/Statistics!$C$9)</f>
        <v>-4.4990721270229635E-2</v>
      </c>
      <c r="C601" s="4" t="str">
        <f>IF(Customers!G601="","",IF(OR(Customers!G601&lt;Statistics!$C$15,Customers!G601&gt;Statistics!$C$16),"Outside 1.5·IQR",""))</f>
        <v/>
      </c>
      <c r="D601" s="4" t="str">
        <f>IF(OR(Customers!B601&lt;18,Customers!B601&gt;100),"Implausible age","")</f>
        <v/>
      </c>
      <c r="E601" s="4" t="str">
        <f>IF(Customers!H601&gt;Customers!B601-18,"Tenure &gt; age-18","")</f>
        <v/>
      </c>
      <c r="F601" s="4" t="str">
        <f>IF(Customers!R601&gt;Customers!Q601,"Card spend &gt; limit","")</f>
        <v/>
      </c>
      <c r="G601" s="4" t="str">
        <f>IF(OR(AND(Customers!S601&gt;0,Customers!T601=0),AND(Customers!S601=0,Customers!T601&gt;0)),"Mortgage/payment inconsistent","")</f>
        <v/>
      </c>
      <c r="H601" s="4" t="str">
        <f>IF(AND(Customers!G601&lt;&gt;"",Customers!G601&gt;0,Customers!T601&gt;Customers!G601/12),"Payment &gt; monthly income","")</f>
        <v/>
      </c>
      <c r="I601" s="4" t="str">
        <f>IF(OR(Customers!I601&gt;DATE(2026,9,13),YEAR(Customers!I601)&lt;1980),"Implausible date","")</f>
        <v/>
      </c>
      <c r="J601" s="4" t="str">
        <f>IF(Customers!I601&gt;DATE(2026,9,13),"",IF(ABS(INT((DATE(2026,9,13)-Customers!I601)/365.25)-Customers!H601)&gt;1,"Date/tenure inconsistent",""))</f>
        <v/>
      </c>
      <c r="K601" s="4" t="str">
        <f>IF(COUNTIF(Customers!$A$2:$A$1001,Customers!A601)&gt;1,"Duplicate ID","")</f>
        <v/>
      </c>
      <c r="L601" s="4" t="str">
        <f>IF(COUNTIFS(Customers!$B$2:$B$1001,Customers!B601,Customers!$D$2:$D$1001,Customers!D601,Customers!$G$2:$G$1001,Customers!G601,Customers!$I$2:$I$1001,Customers!I601,Customers!$L$2:$L$1001,Customers!L601)&gt;1,"Duplicate record","")</f>
        <v/>
      </c>
      <c r="M601" s="4" t="str">
        <f>IF(OR(Customers!U601&lt;300,Customers!U601&gt;850),"Score out of range","")</f>
        <v/>
      </c>
      <c r="N601" s="4" t="str">
        <f>IF(AND(Customers!G601&lt;&gt;"",Customers!G601&lt;=0),"Income ≤ 0","")</f>
        <v/>
      </c>
      <c r="O601" s="4" t="str">
        <f>IF(OR(Customers!G601="",Customers!M601=""),"Missing value","")</f>
        <v/>
      </c>
      <c r="P601" s="4">
        <f t="shared" si="9"/>
        <v>0</v>
      </c>
    </row>
    <row r="602" spans="1:16" x14ac:dyDescent="0.25">
      <c r="A602" s="4" t="str">
        <f>Customers!A602</f>
        <v>CL00596</v>
      </c>
      <c r="B602" s="20">
        <f>IF(Customers!G602="","",(Customers!G602-Statistics!$C$7)/Statistics!$C$9)</f>
        <v>-6.6068082146382601E-2</v>
      </c>
      <c r="C602" s="4" t="str">
        <f>IF(Customers!G602="","",IF(OR(Customers!G602&lt;Statistics!$C$15,Customers!G602&gt;Statistics!$C$16),"Outside 1.5·IQR",""))</f>
        <v/>
      </c>
      <c r="D602" s="4" t="str">
        <f>IF(OR(Customers!B602&lt;18,Customers!B602&gt;100),"Implausible age","")</f>
        <v/>
      </c>
      <c r="E602" s="4" t="str">
        <f>IF(Customers!H602&gt;Customers!B602-18,"Tenure &gt; age-18","")</f>
        <v/>
      </c>
      <c r="F602" s="4" t="str">
        <f>IF(Customers!R602&gt;Customers!Q602,"Card spend &gt; limit","")</f>
        <v/>
      </c>
      <c r="G602" s="4" t="str">
        <f>IF(OR(AND(Customers!S602&gt;0,Customers!T602=0),AND(Customers!S602=0,Customers!T602&gt;0)),"Mortgage/payment inconsistent","")</f>
        <v/>
      </c>
      <c r="H602" s="4" t="str">
        <f>IF(AND(Customers!G602&lt;&gt;"",Customers!G602&gt;0,Customers!T602&gt;Customers!G602/12),"Payment &gt; monthly income","")</f>
        <v/>
      </c>
      <c r="I602" s="4" t="str">
        <f>IF(OR(Customers!I602&gt;DATE(2026,9,13),YEAR(Customers!I602)&lt;1980),"Implausible date","")</f>
        <v/>
      </c>
      <c r="J602" s="4" t="str">
        <f>IF(Customers!I602&gt;DATE(2026,9,13),"",IF(ABS(INT((DATE(2026,9,13)-Customers!I602)/365.25)-Customers!H602)&gt;1,"Date/tenure inconsistent",""))</f>
        <v/>
      </c>
      <c r="K602" s="4" t="str">
        <f>IF(COUNTIF(Customers!$A$2:$A$1001,Customers!A602)&gt;1,"Duplicate ID","")</f>
        <v/>
      </c>
      <c r="L602" s="4" t="str">
        <f>IF(COUNTIFS(Customers!$B$2:$B$1001,Customers!B602,Customers!$D$2:$D$1001,Customers!D602,Customers!$G$2:$G$1001,Customers!G602,Customers!$I$2:$I$1001,Customers!I602,Customers!$L$2:$L$1001,Customers!L602)&gt;1,"Duplicate record","")</f>
        <v/>
      </c>
      <c r="M602" s="4" t="str">
        <f>IF(OR(Customers!U602&lt;300,Customers!U602&gt;850),"Score out of range","")</f>
        <v/>
      </c>
      <c r="N602" s="4" t="str">
        <f>IF(AND(Customers!G602&lt;&gt;"",Customers!G602&lt;=0),"Income ≤ 0","")</f>
        <v/>
      </c>
      <c r="O602" s="4" t="str">
        <f>IF(OR(Customers!G602="",Customers!M602=""),"Missing value","")</f>
        <v/>
      </c>
      <c r="P602" s="4">
        <f t="shared" si="9"/>
        <v>0</v>
      </c>
    </row>
    <row r="603" spans="1:16" x14ac:dyDescent="0.25">
      <c r="A603" s="4" t="str">
        <f>Customers!A603</f>
        <v>CL00597</v>
      </c>
      <c r="B603" s="20">
        <f>IF(Customers!G603="","",(Customers!G603-Statistics!$C$7)/Statistics!$C$9)</f>
        <v>-4.8634937870312159E-2</v>
      </c>
      <c r="C603" s="4" t="str">
        <f>IF(Customers!G603="","",IF(OR(Customers!G603&lt;Statistics!$C$15,Customers!G603&gt;Statistics!$C$16),"Outside 1.5·IQR",""))</f>
        <v/>
      </c>
      <c r="D603" s="4" t="str">
        <f>IF(OR(Customers!B603&lt;18,Customers!B603&gt;100),"Implausible age","")</f>
        <v/>
      </c>
      <c r="E603" s="4" t="str">
        <f>IF(Customers!H603&gt;Customers!B603-18,"Tenure &gt; age-18","")</f>
        <v/>
      </c>
      <c r="F603" s="4" t="str">
        <f>IF(Customers!R603&gt;Customers!Q603,"Card spend &gt; limit","")</f>
        <v/>
      </c>
      <c r="G603" s="4" t="str">
        <f>IF(OR(AND(Customers!S603&gt;0,Customers!T603=0),AND(Customers!S603=0,Customers!T603&gt;0)),"Mortgage/payment inconsistent","")</f>
        <v/>
      </c>
      <c r="H603" s="4" t="str">
        <f>IF(AND(Customers!G603&lt;&gt;"",Customers!G603&gt;0,Customers!T603&gt;Customers!G603/12),"Payment &gt; monthly income","")</f>
        <v/>
      </c>
      <c r="I603" s="4" t="str">
        <f>IF(OR(Customers!I603&gt;DATE(2026,9,13),YEAR(Customers!I603)&lt;1980),"Implausible date","")</f>
        <v/>
      </c>
      <c r="J603" s="4" t="str">
        <f>IF(Customers!I603&gt;DATE(2026,9,13),"",IF(ABS(INT((DATE(2026,9,13)-Customers!I603)/365.25)-Customers!H603)&gt;1,"Date/tenure inconsistent",""))</f>
        <v/>
      </c>
      <c r="K603" s="4" t="str">
        <f>IF(COUNTIF(Customers!$A$2:$A$1001,Customers!A603)&gt;1,"Duplicate ID","")</f>
        <v/>
      </c>
      <c r="L603" s="4" t="str">
        <f>IF(COUNTIFS(Customers!$B$2:$B$1001,Customers!B603,Customers!$D$2:$D$1001,Customers!D603,Customers!$G$2:$G$1001,Customers!G603,Customers!$I$2:$I$1001,Customers!I603,Customers!$L$2:$L$1001,Customers!L603)&gt;1,"Duplicate record","")</f>
        <v/>
      </c>
      <c r="M603" s="4" t="str">
        <f>IF(OR(Customers!U603&lt;300,Customers!U603&gt;850),"Score out of range","")</f>
        <v/>
      </c>
      <c r="N603" s="4" t="str">
        <f>IF(AND(Customers!G603&lt;&gt;"",Customers!G603&lt;=0),"Income ≤ 0","")</f>
        <v/>
      </c>
      <c r="O603" s="4" t="str">
        <f>IF(OR(Customers!G603="",Customers!M603=""),"Missing value","")</f>
        <v/>
      </c>
      <c r="P603" s="4">
        <f t="shared" si="9"/>
        <v>0</v>
      </c>
    </row>
    <row r="604" spans="1:16" x14ac:dyDescent="0.25">
      <c r="A604" s="4" t="str">
        <f>Customers!A604</f>
        <v>CL00598</v>
      </c>
      <c r="B604" s="20">
        <f>IF(Customers!G604="","",(Customers!G604-Statistics!$C$7)/Statistics!$C$9)</f>
        <v>-5.6711309794819371E-2</v>
      </c>
      <c r="C604" s="4" t="str">
        <f>IF(Customers!G604="","",IF(OR(Customers!G604&lt;Statistics!$C$15,Customers!G604&gt;Statistics!$C$16),"Outside 1.5·IQR",""))</f>
        <v/>
      </c>
      <c r="D604" s="4" t="str">
        <f>IF(OR(Customers!B604&lt;18,Customers!B604&gt;100),"Implausible age","")</f>
        <v/>
      </c>
      <c r="E604" s="4" t="str">
        <f>IF(Customers!H604&gt;Customers!B604-18,"Tenure &gt; age-18","")</f>
        <v/>
      </c>
      <c r="F604" s="4" t="str">
        <f>IF(Customers!R604&gt;Customers!Q604,"Card spend &gt; limit","")</f>
        <v/>
      </c>
      <c r="G604" s="4" t="str">
        <f>IF(OR(AND(Customers!S604&gt;0,Customers!T604=0),AND(Customers!S604=0,Customers!T604&gt;0)),"Mortgage/payment inconsistent","")</f>
        <v/>
      </c>
      <c r="H604" s="4" t="str">
        <f>IF(AND(Customers!G604&lt;&gt;"",Customers!G604&gt;0,Customers!T604&gt;Customers!G604/12),"Payment &gt; monthly income","")</f>
        <v/>
      </c>
      <c r="I604" s="4" t="str">
        <f>IF(OR(Customers!I604&gt;DATE(2026,9,13),YEAR(Customers!I604)&lt;1980),"Implausible date","")</f>
        <v/>
      </c>
      <c r="J604" s="4" t="str">
        <f>IF(Customers!I604&gt;DATE(2026,9,13),"",IF(ABS(INT((DATE(2026,9,13)-Customers!I604)/365.25)-Customers!H604)&gt;1,"Date/tenure inconsistent",""))</f>
        <v/>
      </c>
      <c r="K604" s="4" t="str">
        <f>IF(COUNTIF(Customers!$A$2:$A$1001,Customers!A604)&gt;1,"Duplicate ID","")</f>
        <v/>
      </c>
      <c r="L604" s="4" t="str">
        <f>IF(COUNTIFS(Customers!$B$2:$B$1001,Customers!B604,Customers!$D$2:$D$1001,Customers!D604,Customers!$G$2:$G$1001,Customers!G604,Customers!$I$2:$I$1001,Customers!I604,Customers!$L$2:$L$1001,Customers!L604)&gt;1,"Duplicate record","")</f>
        <v/>
      </c>
      <c r="M604" s="4" t="str">
        <f>IF(OR(Customers!U604&lt;300,Customers!U604&gt;850),"Score out of range","")</f>
        <v/>
      </c>
      <c r="N604" s="4" t="str">
        <f>IF(AND(Customers!G604&lt;&gt;"",Customers!G604&lt;=0),"Income ≤ 0","")</f>
        <v/>
      </c>
      <c r="O604" s="4" t="str">
        <f>IF(OR(Customers!G604="",Customers!M604=""),"Missing value","")</f>
        <v/>
      </c>
      <c r="P604" s="4">
        <f t="shared" si="9"/>
        <v>0</v>
      </c>
    </row>
    <row r="605" spans="1:16" x14ac:dyDescent="0.25">
      <c r="A605" s="4" t="str">
        <f>Customers!A605</f>
        <v>CL00599</v>
      </c>
      <c r="B605" s="20">
        <f>IF(Customers!G605="","",(Customers!G605-Statistics!$C$7)/Statistics!$C$9)</f>
        <v>-4.2134443394489282E-2</v>
      </c>
      <c r="C605" s="4" t="str">
        <f>IF(Customers!G605="","",IF(OR(Customers!G605&lt;Statistics!$C$15,Customers!G605&gt;Statistics!$C$16),"Outside 1.5·IQR",""))</f>
        <v/>
      </c>
      <c r="D605" s="4" t="str">
        <f>IF(OR(Customers!B605&lt;18,Customers!B605&gt;100),"Implausible age","")</f>
        <v/>
      </c>
      <c r="E605" s="4" t="str">
        <f>IF(Customers!H605&gt;Customers!B605-18,"Tenure &gt; age-18","")</f>
        <v/>
      </c>
      <c r="F605" s="4" t="str">
        <f>IF(Customers!R605&gt;Customers!Q605,"Card spend &gt; limit","")</f>
        <v/>
      </c>
      <c r="G605" s="4" t="str">
        <f>IF(OR(AND(Customers!S605&gt;0,Customers!T605=0),AND(Customers!S605=0,Customers!T605&gt;0)),"Mortgage/payment inconsistent","")</f>
        <v/>
      </c>
      <c r="H605" s="4" t="str">
        <f>IF(AND(Customers!G605&lt;&gt;"",Customers!G605&gt;0,Customers!T605&gt;Customers!G605/12),"Payment &gt; monthly income","")</f>
        <v/>
      </c>
      <c r="I605" s="4" t="str">
        <f>IF(OR(Customers!I605&gt;DATE(2026,9,13),YEAR(Customers!I605)&lt;1980),"Implausible date","")</f>
        <v/>
      </c>
      <c r="J605" s="4" t="str">
        <f>IF(Customers!I605&gt;DATE(2026,9,13),"",IF(ABS(INT((DATE(2026,9,13)-Customers!I605)/365.25)-Customers!H605)&gt;1,"Date/tenure inconsistent",""))</f>
        <v/>
      </c>
      <c r="K605" s="4" t="str">
        <f>IF(COUNTIF(Customers!$A$2:$A$1001,Customers!A605)&gt;1,"Duplicate ID","")</f>
        <v/>
      </c>
      <c r="L605" s="4" t="str">
        <f>IF(COUNTIFS(Customers!$B$2:$B$1001,Customers!B605,Customers!$D$2:$D$1001,Customers!D605,Customers!$G$2:$G$1001,Customers!G605,Customers!$I$2:$I$1001,Customers!I605,Customers!$L$2:$L$1001,Customers!L605)&gt;1,"Duplicate record","")</f>
        <v/>
      </c>
      <c r="M605" s="4" t="str">
        <f>IF(OR(Customers!U605&lt;300,Customers!U605&gt;850),"Score out of range","")</f>
        <v/>
      </c>
      <c r="N605" s="4" t="str">
        <f>IF(AND(Customers!G605&lt;&gt;"",Customers!G605&lt;=0),"Income ≤ 0","")</f>
        <v/>
      </c>
      <c r="O605" s="4" t="str">
        <f>IF(OR(Customers!G605="",Customers!M605=""),"Missing value","")</f>
        <v/>
      </c>
      <c r="P605" s="4">
        <f t="shared" si="9"/>
        <v>0</v>
      </c>
    </row>
    <row r="606" spans="1:16" x14ac:dyDescent="0.25">
      <c r="A606" s="4" t="str">
        <f>Customers!A606</f>
        <v>CL00600</v>
      </c>
      <c r="B606" s="20">
        <f>IF(Customers!G606="","",(Customers!G606-Statistics!$C$7)/Statistics!$C$9)</f>
        <v>-4.302087445937422E-2</v>
      </c>
      <c r="C606" s="4" t="str">
        <f>IF(Customers!G606="","",IF(OR(Customers!G606&lt;Statistics!$C$15,Customers!G606&gt;Statistics!$C$16),"Outside 1.5·IQR",""))</f>
        <v/>
      </c>
      <c r="D606" s="4" t="str">
        <f>IF(OR(Customers!B606&lt;18,Customers!B606&gt;100),"Implausible age","")</f>
        <v/>
      </c>
      <c r="E606" s="4" t="str">
        <f>IF(Customers!H606&gt;Customers!B606-18,"Tenure &gt; age-18","")</f>
        <v/>
      </c>
      <c r="F606" s="4" t="str">
        <f>IF(Customers!R606&gt;Customers!Q606,"Card spend &gt; limit","")</f>
        <v/>
      </c>
      <c r="G606" s="4" t="str">
        <f>IF(OR(AND(Customers!S606&gt;0,Customers!T606=0),AND(Customers!S606=0,Customers!T606&gt;0)),"Mortgage/payment inconsistent","")</f>
        <v/>
      </c>
      <c r="H606" s="4" t="str">
        <f>IF(AND(Customers!G606&lt;&gt;"",Customers!G606&gt;0,Customers!T606&gt;Customers!G606/12),"Payment &gt; monthly income","")</f>
        <v/>
      </c>
      <c r="I606" s="4" t="str">
        <f>IF(OR(Customers!I606&gt;DATE(2026,9,13),YEAR(Customers!I606)&lt;1980),"Implausible date","")</f>
        <v/>
      </c>
      <c r="J606" s="4" t="str">
        <f>IF(Customers!I606&gt;DATE(2026,9,13),"",IF(ABS(INT((DATE(2026,9,13)-Customers!I606)/365.25)-Customers!H606)&gt;1,"Date/tenure inconsistent",""))</f>
        <v/>
      </c>
      <c r="K606" s="4" t="str">
        <f>IF(COUNTIF(Customers!$A$2:$A$1001,Customers!A606)&gt;1,"Duplicate ID","")</f>
        <v/>
      </c>
      <c r="L606" s="4" t="str">
        <f>IF(COUNTIFS(Customers!$B$2:$B$1001,Customers!B606,Customers!$D$2:$D$1001,Customers!D606,Customers!$G$2:$G$1001,Customers!G606,Customers!$I$2:$I$1001,Customers!I606,Customers!$L$2:$L$1001,Customers!L606)&gt;1,"Duplicate record","")</f>
        <v/>
      </c>
      <c r="M606" s="4" t="str">
        <f>IF(OR(Customers!U606&lt;300,Customers!U606&gt;850),"Score out of range","")</f>
        <v/>
      </c>
      <c r="N606" s="4" t="str">
        <f>IF(AND(Customers!G606&lt;&gt;"",Customers!G606&lt;=0),"Income ≤ 0","")</f>
        <v/>
      </c>
      <c r="O606" s="4" t="str">
        <f>IF(OR(Customers!G606="",Customers!M606=""),"Missing value","")</f>
        <v/>
      </c>
      <c r="P606" s="4">
        <f t="shared" si="9"/>
        <v>0</v>
      </c>
    </row>
    <row r="607" spans="1:16" x14ac:dyDescent="0.25">
      <c r="A607" s="4" t="str">
        <f>Customers!A607</f>
        <v>CL00601</v>
      </c>
      <c r="B607" s="20">
        <f>IF(Customers!G607="","",(Customers!G607-Statistics!$C$7)/Statistics!$C$9)</f>
        <v>-6.774245193560971E-2</v>
      </c>
      <c r="C607" s="4" t="str">
        <f>IF(Customers!G607="","",IF(OR(Customers!G607&lt;Statistics!$C$15,Customers!G607&gt;Statistics!$C$16),"Outside 1.5·IQR",""))</f>
        <v/>
      </c>
      <c r="D607" s="4" t="str">
        <f>IF(OR(Customers!B607&lt;18,Customers!B607&gt;100),"Implausible age","")</f>
        <v/>
      </c>
      <c r="E607" s="4" t="str">
        <f>IF(Customers!H607&gt;Customers!B607-18,"Tenure &gt; age-18","")</f>
        <v/>
      </c>
      <c r="F607" s="4" t="str">
        <f>IF(Customers!R607&gt;Customers!Q607,"Card spend &gt; limit","")</f>
        <v/>
      </c>
      <c r="G607" s="4" t="str">
        <f>IF(OR(AND(Customers!S607&gt;0,Customers!T607=0),AND(Customers!S607=0,Customers!T607&gt;0)),"Mortgage/payment inconsistent","")</f>
        <v/>
      </c>
      <c r="H607" s="4" t="str">
        <f>IF(AND(Customers!G607&lt;&gt;"",Customers!G607&gt;0,Customers!T607&gt;Customers!G607/12),"Payment &gt; monthly income","")</f>
        <v/>
      </c>
      <c r="I607" s="4" t="str">
        <f>IF(OR(Customers!I607&gt;DATE(2026,9,13),YEAR(Customers!I607)&lt;1980),"Implausible date","")</f>
        <v/>
      </c>
      <c r="J607" s="4" t="str">
        <f>IF(Customers!I607&gt;DATE(2026,9,13),"",IF(ABS(INT((DATE(2026,9,13)-Customers!I607)/365.25)-Customers!H607)&gt;1,"Date/tenure inconsistent",""))</f>
        <v/>
      </c>
      <c r="K607" s="4" t="str">
        <f>IF(COUNTIF(Customers!$A$2:$A$1001,Customers!A607)&gt;1,"Duplicate ID","")</f>
        <v/>
      </c>
      <c r="L607" s="4" t="str">
        <f>IF(COUNTIFS(Customers!$B$2:$B$1001,Customers!B607,Customers!$D$2:$D$1001,Customers!D607,Customers!$G$2:$G$1001,Customers!G607,Customers!$I$2:$I$1001,Customers!I607,Customers!$L$2:$L$1001,Customers!L607)&gt;1,"Duplicate record","")</f>
        <v/>
      </c>
      <c r="M607" s="4" t="str">
        <f>IF(OR(Customers!U607&lt;300,Customers!U607&gt;850),"Score out of range","")</f>
        <v/>
      </c>
      <c r="N607" s="4" t="str">
        <f>IF(AND(Customers!G607&lt;&gt;"",Customers!G607&lt;=0),"Income ≤ 0","")</f>
        <v/>
      </c>
      <c r="O607" s="4" t="str">
        <f>IF(OR(Customers!G607="",Customers!M607=""),"Missing value","")</f>
        <v/>
      </c>
      <c r="P607" s="4">
        <f t="shared" si="9"/>
        <v>0</v>
      </c>
    </row>
    <row r="608" spans="1:16" x14ac:dyDescent="0.25">
      <c r="A608" s="4" t="str">
        <f>Customers!A608</f>
        <v>CL00602</v>
      </c>
      <c r="B608" s="20">
        <f>IF(Customers!G608="","",(Customers!G608-Statistics!$C$7)/Statistics!$C$9)</f>
        <v>-3.5830933599751945E-2</v>
      </c>
      <c r="C608" s="4" t="str">
        <f>IF(Customers!G608="","",IF(OR(Customers!G608&lt;Statistics!$C$15,Customers!G608&gt;Statistics!$C$16),"Outside 1.5·IQR",""))</f>
        <v/>
      </c>
      <c r="D608" s="4" t="str">
        <f>IF(OR(Customers!B608&lt;18,Customers!B608&gt;100),"Implausible age","")</f>
        <v/>
      </c>
      <c r="E608" s="4" t="str">
        <f>IF(Customers!H608&gt;Customers!B608-18,"Tenure &gt; age-18","")</f>
        <v/>
      </c>
      <c r="F608" s="4" t="str">
        <f>IF(Customers!R608&gt;Customers!Q608,"Card spend &gt; limit","")</f>
        <v/>
      </c>
      <c r="G608" s="4" t="str">
        <f>IF(OR(AND(Customers!S608&gt;0,Customers!T608=0),AND(Customers!S608=0,Customers!T608&gt;0)),"Mortgage/payment inconsistent","")</f>
        <v/>
      </c>
      <c r="H608" s="4" t="str">
        <f>IF(AND(Customers!G608&lt;&gt;"",Customers!G608&gt;0,Customers!T608&gt;Customers!G608/12),"Payment &gt; monthly income","")</f>
        <v/>
      </c>
      <c r="I608" s="4" t="str">
        <f>IF(OR(Customers!I608&gt;DATE(2026,9,13),YEAR(Customers!I608)&lt;1980),"Implausible date","")</f>
        <v/>
      </c>
      <c r="J608" s="4" t="str">
        <f>IF(Customers!I608&gt;DATE(2026,9,13),"",IF(ABS(INT((DATE(2026,9,13)-Customers!I608)/365.25)-Customers!H608)&gt;1,"Date/tenure inconsistent",""))</f>
        <v/>
      </c>
      <c r="K608" s="4" t="str">
        <f>IF(COUNTIF(Customers!$A$2:$A$1001,Customers!A608)&gt;1,"Duplicate ID","")</f>
        <v/>
      </c>
      <c r="L608" s="4" t="str">
        <f>IF(COUNTIFS(Customers!$B$2:$B$1001,Customers!B608,Customers!$D$2:$D$1001,Customers!D608,Customers!$G$2:$G$1001,Customers!G608,Customers!$I$2:$I$1001,Customers!I608,Customers!$L$2:$L$1001,Customers!L608)&gt;1,"Duplicate record","")</f>
        <v/>
      </c>
      <c r="M608" s="4" t="str">
        <f>IF(OR(Customers!U608&lt;300,Customers!U608&gt;850),"Score out of range","")</f>
        <v/>
      </c>
      <c r="N608" s="4" t="str">
        <f>IF(AND(Customers!G608&lt;&gt;"",Customers!G608&lt;=0),"Income ≤ 0","")</f>
        <v/>
      </c>
      <c r="O608" s="4" t="str">
        <f>IF(OR(Customers!G608="",Customers!M608=""),"Missing value","")</f>
        <v/>
      </c>
      <c r="P608" s="4">
        <f t="shared" si="9"/>
        <v>0</v>
      </c>
    </row>
    <row r="609" spans="1:16" x14ac:dyDescent="0.25">
      <c r="A609" s="4" t="str">
        <f>Customers!A609</f>
        <v>CL00603</v>
      </c>
      <c r="B609" s="20">
        <f>IF(Customers!G609="","",(Customers!G609-Statistics!$C$7)/Statistics!$C$9)</f>
        <v>-4.1937458713403736E-2</v>
      </c>
      <c r="C609" s="4" t="str">
        <f>IF(Customers!G609="","",IF(OR(Customers!G609&lt;Statistics!$C$15,Customers!G609&gt;Statistics!$C$16),"Outside 1.5·IQR",""))</f>
        <v/>
      </c>
      <c r="D609" s="4" t="str">
        <f>IF(OR(Customers!B609&lt;18,Customers!B609&gt;100),"Implausible age","")</f>
        <v/>
      </c>
      <c r="E609" s="4" t="str">
        <f>IF(Customers!H609&gt;Customers!B609-18,"Tenure &gt; age-18","")</f>
        <v/>
      </c>
      <c r="F609" s="4" t="str">
        <f>IF(Customers!R609&gt;Customers!Q609,"Card spend &gt; limit","")</f>
        <v/>
      </c>
      <c r="G609" s="4" t="str">
        <f>IF(OR(AND(Customers!S609&gt;0,Customers!T609=0),AND(Customers!S609=0,Customers!T609&gt;0)),"Mortgage/payment inconsistent","")</f>
        <v/>
      </c>
      <c r="H609" s="4" t="str">
        <f>IF(AND(Customers!G609&lt;&gt;"",Customers!G609&gt;0,Customers!T609&gt;Customers!G609/12),"Payment &gt; monthly income","")</f>
        <v/>
      </c>
      <c r="I609" s="4" t="str">
        <f>IF(OR(Customers!I609&gt;DATE(2026,9,13),YEAR(Customers!I609)&lt;1980),"Implausible date","")</f>
        <v/>
      </c>
      <c r="J609" s="4" t="str">
        <f>IF(Customers!I609&gt;DATE(2026,9,13),"",IF(ABS(INT((DATE(2026,9,13)-Customers!I609)/365.25)-Customers!H609)&gt;1,"Date/tenure inconsistent",""))</f>
        <v/>
      </c>
      <c r="K609" s="4" t="str">
        <f>IF(COUNTIF(Customers!$A$2:$A$1001,Customers!A609)&gt;1,"Duplicate ID","")</f>
        <v/>
      </c>
      <c r="L609" s="4" t="str">
        <f>IF(COUNTIFS(Customers!$B$2:$B$1001,Customers!B609,Customers!$D$2:$D$1001,Customers!D609,Customers!$G$2:$G$1001,Customers!G609,Customers!$I$2:$I$1001,Customers!I609,Customers!$L$2:$L$1001,Customers!L609)&gt;1,"Duplicate record","")</f>
        <v/>
      </c>
      <c r="M609" s="4" t="str">
        <f>IF(OR(Customers!U609&lt;300,Customers!U609&gt;850),"Score out of range","")</f>
        <v/>
      </c>
      <c r="N609" s="4" t="str">
        <f>IF(AND(Customers!G609&lt;&gt;"",Customers!G609&lt;=0),"Income ≤ 0","")</f>
        <v/>
      </c>
      <c r="O609" s="4" t="str">
        <f>IF(OR(Customers!G609="",Customers!M609=""),"Missing value","")</f>
        <v/>
      </c>
      <c r="P609" s="4">
        <f t="shared" si="9"/>
        <v>0</v>
      </c>
    </row>
    <row r="610" spans="1:16" x14ac:dyDescent="0.25">
      <c r="A610" s="4" t="str">
        <f>Customers!A610</f>
        <v>CL00604</v>
      </c>
      <c r="B610" s="20">
        <f>IF(Customers!G610="","",(Customers!G610-Statistics!$C$7)/Statistics!$C$9)</f>
        <v>-3.9573642540377235E-2</v>
      </c>
      <c r="C610" s="4" t="str">
        <f>IF(Customers!G610="","",IF(OR(Customers!G610&lt;Statistics!$C$15,Customers!G610&gt;Statistics!$C$16),"Outside 1.5·IQR",""))</f>
        <v/>
      </c>
      <c r="D610" s="4" t="str">
        <f>IF(OR(Customers!B610&lt;18,Customers!B610&gt;100),"Implausible age","")</f>
        <v/>
      </c>
      <c r="E610" s="4" t="str">
        <f>IF(Customers!H610&gt;Customers!B610-18,"Tenure &gt; age-18","")</f>
        <v/>
      </c>
      <c r="F610" s="4" t="str">
        <f>IF(Customers!R610&gt;Customers!Q610,"Card spend &gt; limit","")</f>
        <v/>
      </c>
      <c r="G610" s="4" t="str">
        <f>IF(OR(AND(Customers!S610&gt;0,Customers!T610=0),AND(Customers!S610=0,Customers!T610&gt;0)),"Mortgage/payment inconsistent","")</f>
        <v/>
      </c>
      <c r="H610" s="4" t="str">
        <f>IF(AND(Customers!G610&lt;&gt;"",Customers!G610&gt;0,Customers!T610&gt;Customers!G610/12),"Payment &gt; monthly income","")</f>
        <v/>
      </c>
      <c r="I610" s="4" t="str">
        <f>IF(OR(Customers!I610&gt;DATE(2026,9,13),YEAR(Customers!I610)&lt;1980),"Implausible date","")</f>
        <v/>
      </c>
      <c r="J610" s="4" t="str">
        <f>IF(Customers!I610&gt;DATE(2026,9,13),"",IF(ABS(INT((DATE(2026,9,13)-Customers!I610)/365.25)-Customers!H610)&gt;1,"Date/tenure inconsistent",""))</f>
        <v/>
      </c>
      <c r="K610" s="4" t="str">
        <f>IF(COUNTIF(Customers!$A$2:$A$1001,Customers!A610)&gt;1,"Duplicate ID","")</f>
        <v/>
      </c>
      <c r="L610" s="4" t="str">
        <f>IF(COUNTIFS(Customers!$B$2:$B$1001,Customers!B610,Customers!$D$2:$D$1001,Customers!D610,Customers!$G$2:$G$1001,Customers!G610,Customers!$I$2:$I$1001,Customers!I610,Customers!$L$2:$L$1001,Customers!L610)&gt;1,"Duplicate record","")</f>
        <v/>
      </c>
      <c r="M610" s="4" t="str">
        <f>IF(OR(Customers!U610&lt;300,Customers!U610&gt;850),"Score out of range","")</f>
        <v/>
      </c>
      <c r="N610" s="4" t="str">
        <f>IF(AND(Customers!G610&lt;&gt;"",Customers!G610&lt;=0),"Income ≤ 0","")</f>
        <v/>
      </c>
      <c r="O610" s="4" t="str">
        <f>IF(OR(Customers!G610="",Customers!M610=""),"Missing value","")</f>
        <v/>
      </c>
      <c r="P610" s="4">
        <f t="shared" si="9"/>
        <v>0</v>
      </c>
    </row>
    <row r="611" spans="1:16" x14ac:dyDescent="0.25">
      <c r="A611" s="4" t="str">
        <f>Customers!A611</f>
        <v>CL00605</v>
      </c>
      <c r="B611" s="20">
        <f>IF(Customers!G611="","",(Customers!G611-Statistics!$C$7)/Statistics!$C$9)</f>
        <v>-5.6908294475904911E-2</v>
      </c>
      <c r="C611" s="4" t="str">
        <f>IF(Customers!G611="","",IF(OR(Customers!G611&lt;Statistics!$C$15,Customers!G611&gt;Statistics!$C$16),"Outside 1.5·IQR",""))</f>
        <v/>
      </c>
      <c r="D611" s="4" t="str">
        <f>IF(OR(Customers!B611&lt;18,Customers!B611&gt;100),"Implausible age","")</f>
        <v/>
      </c>
      <c r="E611" s="4" t="str">
        <f>IF(Customers!H611&gt;Customers!B611-18,"Tenure &gt; age-18","")</f>
        <v/>
      </c>
      <c r="F611" s="4" t="str">
        <f>IF(Customers!R611&gt;Customers!Q611,"Card spend &gt; limit","")</f>
        <v/>
      </c>
      <c r="G611" s="4" t="str">
        <f>IF(OR(AND(Customers!S611&gt;0,Customers!T611=0),AND(Customers!S611=0,Customers!T611&gt;0)),"Mortgage/payment inconsistent","")</f>
        <v/>
      </c>
      <c r="H611" s="4" t="str">
        <f>IF(AND(Customers!G611&lt;&gt;"",Customers!G611&gt;0,Customers!T611&gt;Customers!G611/12),"Payment &gt; monthly income","")</f>
        <v/>
      </c>
      <c r="I611" s="4" t="str">
        <f>IF(OR(Customers!I611&gt;DATE(2026,9,13),YEAR(Customers!I611)&lt;1980),"Implausible date","")</f>
        <v/>
      </c>
      <c r="J611" s="4" t="str">
        <f>IF(Customers!I611&gt;DATE(2026,9,13),"",IF(ABS(INT((DATE(2026,9,13)-Customers!I611)/365.25)-Customers!H611)&gt;1,"Date/tenure inconsistent",""))</f>
        <v/>
      </c>
      <c r="K611" s="4" t="str">
        <f>IF(COUNTIF(Customers!$A$2:$A$1001,Customers!A611)&gt;1,"Duplicate ID","")</f>
        <v/>
      </c>
      <c r="L611" s="4" t="str">
        <f>IF(COUNTIFS(Customers!$B$2:$B$1001,Customers!B611,Customers!$D$2:$D$1001,Customers!D611,Customers!$G$2:$G$1001,Customers!G611,Customers!$I$2:$I$1001,Customers!I611,Customers!$L$2:$L$1001,Customers!L611)&gt;1,"Duplicate record","")</f>
        <v/>
      </c>
      <c r="M611" s="4" t="str">
        <f>IF(OR(Customers!U611&lt;300,Customers!U611&gt;850),"Score out of range","")</f>
        <v/>
      </c>
      <c r="N611" s="4" t="str">
        <f>IF(AND(Customers!G611&lt;&gt;"",Customers!G611&lt;=0),"Income ≤ 0","")</f>
        <v/>
      </c>
      <c r="O611" s="4" t="str">
        <f>IF(OR(Customers!G611="",Customers!M611=""),"Missing value","")</f>
        <v/>
      </c>
      <c r="P611" s="4">
        <f t="shared" si="9"/>
        <v>0</v>
      </c>
    </row>
    <row r="612" spans="1:16" x14ac:dyDescent="0.25">
      <c r="A612" s="4" t="str">
        <f>Customers!A612</f>
        <v>CL00606</v>
      </c>
      <c r="B612" s="20">
        <f>IF(Customers!G612="","",(Customers!G612-Statistics!$C$7)/Statistics!$C$9)</f>
        <v>-1.7670632326887681E-4</v>
      </c>
      <c r="C612" s="4" t="str">
        <f>IF(Customers!G612="","",IF(OR(Customers!G612&lt;Statistics!$C$15,Customers!G612&gt;Statistics!$C$16),"Outside 1.5·IQR",""))</f>
        <v/>
      </c>
      <c r="D612" s="4" t="str">
        <f>IF(OR(Customers!B612&lt;18,Customers!B612&gt;100),"Implausible age","")</f>
        <v/>
      </c>
      <c r="E612" s="4" t="str">
        <f>IF(Customers!H612&gt;Customers!B612-18,"Tenure &gt; age-18","")</f>
        <v/>
      </c>
      <c r="F612" s="4" t="str">
        <f>IF(Customers!R612&gt;Customers!Q612,"Card spend &gt; limit","")</f>
        <v/>
      </c>
      <c r="G612" s="4" t="str">
        <f>IF(OR(AND(Customers!S612&gt;0,Customers!T612=0),AND(Customers!S612=0,Customers!T612&gt;0)),"Mortgage/payment inconsistent","")</f>
        <v/>
      </c>
      <c r="H612" s="4" t="str">
        <f>IF(AND(Customers!G612&lt;&gt;"",Customers!G612&gt;0,Customers!T612&gt;Customers!G612/12),"Payment &gt; monthly income","")</f>
        <v/>
      </c>
      <c r="I612" s="4" t="str">
        <f>IF(OR(Customers!I612&gt;DATE(2026,9,13),YEAR(Customers!I612)&lt;1980),"Implausible date","")</f>
        <v/>
      </c>
      <c r="J612" s="4" t="str">
        <f>IF(Customers!I612&gt;DATE(2026,9,13),"",IF(ABS(INT((DATE(2026,9,13)-Customers!I612)/365.25)-Customers!H612)&gt;1,"Date/tenure inconsistent",""))</f>
        <v/>
      </c>
      <c r="K612" s="4" t="str">
        <f>IF(COUNTIF(Customers!$A$2:$A$1001,Customers!A612)&gt;1,"Duplicate ID","")</f>
        <v/>
      </c>
      <c r="L612" s="4" t="str">
        <f>IF(COUNTIFS(Customers!$B$2:$B$1001,Customers!B612,Customers!$D$2:$D$1001,Customers!D612,Customers!$G$2:$G$1001,Customers!G612,Customers!$I$2:$I$1001,Customers!I612,Customers!$L$2:$L$1001,Customers!L612)&gt;1,"Duplicate record","")</f>
        <v/>
      </c>
      <c r="M612" s="4" t="str">
        <f>IF(OR(Customers!U612&lt;300,Customers!U612&gt;850),"Score out of range","")</f>
        <v/>
      </c>
      <c r="N612" s="4" t="str">
        <f>IF(AND(Customers!G612&lt;&gt;"",Customers!G612&lt;=0),"Income ≤ 0","")</f>
        <v/>
      </c>
      <c r="O612" s="4" t="str">
        <f>IF(OR(Customers!G612="",Customers!M612=""),"Missing value","")</f>
        <v/>
      </c>
      <c r="P612" s="4">
        <f t="shared" si="9"/>
        <v>0</v>
      </c>
    </row>
    <row r="613" spans="1:16" x14ac:dyDescent="0.25">
      <c r="A613" s="4" t="str">
        <f>Customers!A613</f>
        <v>CL00607</v>
      </c>
      <c r="B613" s="20">
        <f>IF(Customers!G613="","",(Customers!G613-Statistics!$C$7)/Statistics!$C$9)</f>
        <v>9.0815736877515874E-3</v>
      </c>
      <c r="C613" s="4" t="str">
        <f>IF(Customers!G613="","",IF(OR(Customers!G613&lt;Statistics!$C$15,Customers!G613&gt;Statistics!$C$16),"Outside 1.5·IQR",""))</f>
        <v>Outside 1.5·IQR</v>
      </c>
      <c r="D613" s="4" t="str">
        <f>IF(OR(Customers!B613&lt;18,Customers!B613&gt;100),"Implausible age","")</f>
        <v/>
      </c>
      <c r="E613" s="4" t="str">
        <f>IF(Customers!H613&gt;Customers!B613-18,"Tenure &gt; age-18","")</f>
        <v/>
      </c>
      <c r="F613" s="4" t="str">
        <f>IF(Customers!R613&gt;Customers!Q613,"Card spend &gt; limit","")</f>
        <v/>
      </c>
      <c r="G613" s="4" t="str">
        <f>IF(OR(AND(Customers!S613&gt;0,Customers!T613=0),AND(Customers!S613=0,Customers!T613&gt;0)),"Mortgage/payment inconsistent","")</f>
        <v/>
      </c>
      <c r="H613" s="4" t="str">
        <f>IF(AND(Customers!G613&lt;&gt;"",Customers!G613&gt;0,Customers!T613&gt;Customers!G613/12),"Payment &gt; monthly income","")</f>
        <v/>
      </c>
      <c r="I613" s="4" t="str">
        <f>IF(OR(Customers!I613&gt;DATE(2026,9,13),YEAR(Customers!I613)&lt;1980),"Implausible date","")</f>
        <v/>
      </c>
      <c r="J613" s="4" t="str">
        <f>IF(Customers!I613&gt;DATE(2026,9,13),"",IF(ABS(INT((DATE(2026,9,13)-Customers!I613)/365.25)-Customers!H613)&gt;1,"Date/tenure inconsistent",""))</f>
        <v/>
      </c>
      <c r="K613" s="4" t="str">
        <f>IF(COUNTIF(Customers!$A$2:$A$1001,Customers!A613)&gt;1,"Duplicate ID","")</f>
        <v/>
      </c>
      <c r="L613" s="4" t="str">
        <f>IF(COUNTIFS(Customers!$B$2:$B$1001,Customers!B613,Customers!$D$2:$D$1001,Customers!D613,Customers!$G$2:$G$1001,Customers!G613,Customers!$I$2:$I$1001,Customers!I613,Customers!$L$2:$L$1001,Customers!L613)&gt;1,"Duplicate record","")</f>
        <v/>
      </c>
      <c r="M613" s="4" t="str">
        <f>IF(OR(Customers!U613&lt;300,Customers!U613&gt;850),"Score out of range","")</f>
        <v/>
      </c>
      <c r="N613" s="4" t="str">
        <f>IF(AND(Customers!G613&lt;&gt;"",Customers!G613&lt;=0),"Income ≤ 0","")</f>
        <v/>
      </c>
      <c r="O613" s="4" t="str">
        <f>IF(OR(Customers!G613="",Customers!M613=""),"Missing value","")</f>
        <v/>
      </c>
      <c r="P613" s="4">
        <f t="shared" si="9"/>
        <v>1</v>
      </c>
    </row>
    <row r="614" spans="1:16" x14ac:dyDescent="0.25">
      <c r="A614" s="4" t="str">
        <f>Customers!A614</f>
        <v>CL00608</v>
      </c>
      <c r="B614" s="20">
        <f>IF(Customers!G614="","",(Customers!G614-Statistics!$C$7)/Statistics!$C$9)</f>
        <v>-4.3611828502630845E-2</v>
      </c>
      <c r="C614" s="4" t="str">
        <f>IF(Customers!G614="","",IF(OR(Customers!G614&lt;Statistics!$C$15,Customers!G614&gt;Statistics!$C$16),"Outside 1.5·IQR",""))</f>
        <v/>
      </c>
      <c r="D614" s="4" t="str">
        <f>IF(OR(Customers!B614&lt;18,Customers!B614&gt;100),"Implausible age","")</f>
        <v/>
      </c>
      <c r="E614" s="4" t="str">
        <f>IF(Customers!H614&gt;Customers!B614-18,"Tenure &gt; age-18","")</f>
        <v/>
      </c>
      <c r="F614" s="4" t="str">
        <f>IF(Customers!R614&gt;Customers!Q614,"Card spend &gt; limit","")</f>
        <v/>
      </c>
      <c r="G614" s="4" t="str">
        <f>IF(OR(AND(Customers!S614&gt;0,Customers!T614=0),AND(Customers!S614=0,Customers!T614&gt;0)),"Mortgage/payment inconsistent","")</f>
        <v/>
      </c>
      <c r="H614" s="4" t="str">
        <f>IF(AND(Customers!G614&lt;&gt;"",Customers!G614&gt;0,Customers!T614&gt;Customers!G614/12),"Payment &gt; monthly income","")</f>
        <v/>
      </c>
      <c r="I614" s="4" t="str">
        <f>IF(OR(Customers!I614&gt;DATE(2026,9,13),YEAR(Customers!I614)&lt;1980),"Implausible date","")</f>
        <v/>
      </c>
      <c r="J614" s="4" t="str">
        <f>IF(Customers!I614&gt;DATE(2026,9,13),"",IF(ABS(INT((DATE(2026,9,13)-Customers!I614)/365.25)-Customers!H614)&gt;1,"Date/tenure inconsistent",""))</f>
        <v/>
      </c>
      <c r="K614" s="4" t="str">
        <f>IF(COUNTIF(Customers!$A$2:$A$1001,Customers!A614)&gt;1,"Duplicate ID","")</f>
        <v/>
      </c>
      <c r="L614" s="4" t="str">
        <f>IF(COUNTIFS(Customers!$B$2:$B$1001,Customers!B614,Customers!$D$2:$D$1001,Customers!D614,Customers!$G$2:$G$1001,Customers!G614,Customers!$I$2:$I$1001,Customers!I614,Customers!$L$2:$L$1001,Customers!L614)&gt;1,"Duplicate record","")</f>
        <v/>
      </c>
      <c r="M614" s="4" t="str">
        <f>IF(OR(Customers!U614&lt;300,Customers!U614&gt;850),"Score out of range","")</f>
        <v/>
      </c>
      <c r="N614" s="4" t="str">
        <f>IF(AND(Customers!G614&lt;&gt;"",Customers!G614&lt;=0),"Income ≤ 0","")</f>
        <v/>
      </c>
      <c r="O614" s="4" t="str">
        <f>IF(OR(Customers!G614="",Customers!M614=""),"Missing value","")</f>
        <v/>
      </c>
      <c r="P614" s="4">
        <f t="shared" si="9"/>
        <v>0</v>
      </c>
    </row>
    <row r="615" spans="1:16" x14ac:dyDescent="0.25">
      <c r="A615" s="4" t="str">
        <f>Customers!A615</f>
        <v>CL00609</v>
      </c>
      <c r="B615" s="20">
        <f>IF(Customers!G615="","",(Customers!G615-Statistics!$C$7)/Statistics!$C$9)</f>
        <v>-5.740075617861877E-2</v>
      </c>
      <c r="C615" s="4" t="str">
        <f>IF(Customers!G615="","",IF(OR(Customers!G615&lt;Statistics!$C$15,Customers!G615&gt;Statistics!$C$16),"Outside 1.5·IQR",""))</f>
        <v/>
      </c>
      <c r="D615" s="4" t="str">
        <f>IF(OR(Customers!B615&lt;18,Customers!B615&gt;100),"Implausible age","")</f>
        <v/>
      </c>
      <c r="E615" s="4" t="str">
        <f>IF(Customers!H615&gt;Customers!B615-18,"Tenure &gt; age-18","")</f>
        <v/>
      </c>
      <c r="F615" s="4" t="str">
        <f>IF(Customers!R615&gt;Customers!Q615,"Card spend &gt; limit","")</f>
        <v/>
      </c>
      <c r="G615" s="4" t="str">
        <f>IF(OR(AND(Customers!S615&gt;0,Customers!T615=0),AND(Customers!S615=0,Customers!T615&gt;0)),"Mortgage/payment inconsistent","")</f>
        <v/>
      </c>
      <c r="H615" s="4" t="str">
        <f>IF(AND(Customers!G615&lt;&gt;"",Customers!G615&gt;0,Customers!T615&gt;Customers!G615/12),"Payment &gt; monthly income","")</f>
        <v/>
      </c>
      <c r="I615" s="4" t="str">
        <f>IF(OR(Customers!I615&gt;DATE(2026,9,13),YEAR(Customers!I615)&lt;1980),"Implausible date","")</f>
        <v/>
      </c>
      <c r="J615" s="4" t="str">
        <f>IF(Customers!I615&gt;DATE(2026,9,13),"",IF(ABS(INT((DATE(2026,9,13)-Customers!I615)/365.25)-Customers!H615)&gt;1,"Date/tenure inconsistent",""))</f>
        <v/>
      </c>
      <c r="K615" s="4" t="str">
        <f>IF(COUNTIF(Customers!$A$2:$A$1001,Customers!A615)&gt;1,"Duplicate ID","")</f>
        <v/>
      </c>
      <c r="L615" s="4" t="str">
        <f>IF(COUNTIFS(Customers!$B$2:$B$1001,Customers!B615,Customers!$D$2:$D$1001,Customers!D615,Customers!$G$2:$G$1001,Customers!G615,Customers!$I$2:$I$1001,Customers!I615,Customers!$L$2:$L$1001,Customers!L615)&gt;1,"Duplicate record","")</f>
        <v/>
      </c>
      <c r="M615" s="4" t="str">
        <f>IF(OR(Customers!U615&lt;300,Customers!U615&gt;850),"Score out of range","")</f>
        <v/>
      </c>
      <c r="N615" s="4" t="str">
        <f>IF(AND(Customers!G615&lt;&gt;"",Customers!G615&lt;=0),"Income ≤ 0","")</f>
        <v/>
      </c>
      <c r="O615" s="4" t="str">
        <f>IF(OR(Customers!G615="",Customers!M615=""),"Missing value","")</f>
        <v/>
      </c>
      <c r="P615" s="4">
        <f t="shared" si="9"/>
        <v>0</v>
      </c>
    </row>
    <row r="616" spans="1:16" x14ac:dyDescent="0.25">
      <c r="A616" s="4" t="str">
        <f>Customers!A616</f>
        <v>CL00610</v>
      </c>
      <c r="B616" s="20">
        <f>IF(Customers!G616="","",(Customers!G616-Statistics!$C$7)/Statistics!$C$9)</f>
        <v>-4.4990721270229635E-2</v>
      </c>
      <c r="C616" s="4" t="str">
        <f>IF(Customers!G616="","",IF(OR(Customers!G616&lt;Statistics!$C$15,Customers!G616&gt;Statistics!$C$16),"Outside 1.5·IQR",""))</f>
        <v/>
      </c>
      <c r="D616" s="4" t="str">
        <f>IF(OR(Customers!B616&lt;18,Customers!B616&gt;100),"Implausible age","")</f>
        <v/>
      </c>
      <c r="E616" s="4" t="str">
        <f>IF(Customers!H616&gt;Customers!B616-18,"Tenure &gt; age-18","")</f>
        <v/>
      </c>
      <c r="F616" s="4" t="str">
        <f>IF(Customers!R616&gt;Customers!Q616,"Card spend &gt; limit","")</f>
        <v/>
      </c>
      <c r="G616" s="4" t="str">
        <f>IF(OR(AND(Customers!S616&gt;0,Customers!T616=0),AND(Customers!S616=0,Customers!T616&gt;0)),"Mortgage/payment inconsistent","")</f>
        <v/>
      </c>
      <c r="H616" s="4" t="str">
        <f>IF(AND(Customers!G616&lt;&gt;"",Customers!G616&gt;0,Customers!T616&gt;Customers!G616/12),"Payment &gt; monthly income","")</f>
        <v/>
      </c>
      <c r="I616" s="4" t="str">
        <f>IF(OR(Customers!I616&gt;DATE(2026,9,13),YEAR(Customers!I616)&lt;1980),"Implausible date","")</f>
        <v/>
      </c>
      <c r="J616" s="4" t="str">
        <f>IF(Customers!I616&gt;DATE(2026,9,13),"",IF(ABS(INT((DATE(2026,9,13)-Customers!I616)/365.25)-Customers!H616)&gt;1,"Date/tenure inconsistent",""))</f>
        <v/>
      </c>
      <c r="K616" s="4" t="str">
        <f>IF(COUNTIF(Customers!$A$2:$A$1001,Customers!A616)&gt;1,"Duplicate ID","")</f>
        <v/>
      </c>
      <c r="L616" s="4" t="str">
        <f>IF(COUNTIFS(Customers!$B$2:$B$1001,Customers!B616,Customers!$D$2:$D$1001,Customers!D616,Customers!$G$2:$G$1001,Customers!G616,Customers!$I$2:$I$1001,Customers!I616,Customers!$L$2:$L$1001,Customers!L616)&gt;1,"Duplicate record","")</f>
        <v/>
      </c>
      <c r="M616" s="4" t="str">
        <f>IF(OR(Customers!U616&lt;300,Customers!U616&gt;850),"Score out of range","")</f>
        <v/>
      </c>
      <c r="N616" s="4" t="str">
        <f>IF(AND(Customers!G616&lt;&gt;"",Customers!G616&lt;=0),"Income ≤ 0","")</f>
        <v/>
      </c>
      <c r="O616" s="4" t="str">
        <f>IF(OR(Customers!G616="",Customers!M616=""),"Missing value","")</f>
        <v/>
      </c>
      <c r="P616" s="4">
        <f t="shared" si="9"/>
        <v>0</v>
      </c>
    </row>
    <row r="617" spans="1:16" x14ac:dyDescent="0.25">
      <c r="A617" s="4" t="str">
        <f>Customers!A617</f>
        <v>CL00611</v>
      </c>
      <c r="B617" s="20">
        <f>IF(Customers!G617="","",(Customers!G617-Statistics!$C$7)/Statistics!$C$9)</f>
        <v>-5.3953524259621785E-2</v>
      </c>
      <c r="C617" s="4" t="str">
        <f>IF(Customers!G617="","",IF(OR(Customers!G617&lt;Statistics!$C$15,Customers!G617&gt;Statistics!$C$16),"Outside 1.5·IQR",""))</f>
        <v/>
      </c>
      <c r="D617" s="4" t="str">
        <f>IF(OR(Customers!B617&lt;18,Customers!B617&gt;100),"Implausible age","")</f>
        <v/>
      </c>
      <c r="E617" s="4" t="str">
        <f>IF(Customers!H617&gt;Customers!B617-18,"Tenure &gt; age-18","")</f>
        <v/>
      </c>
      <c r="F617" s="4" t="str">
        <f>IF(Customers!R617&gt;Customers!Q617,"Card spend &gt; limit","")</f>
        <v/>
      </c>
      <c r="G617" s="4" t="str">
        <f>IF(OR(AND(Customers!S617&gt;0,Customers!T617=0),AND(Customers!S617=0,Customers!T617&gt;0)),"Mortgage/payment inconsistent","")</f>
        <v/>
      </c>
      <c r="H617" s="4" t="str">
        <f>IF(AND(Customers!G617&lt;&gt;"",Customers!G617&gt;0,Customers!T617&gt;Customers!G617/12),"Payment &gt; monthly income","")</f>
        <v/>
      </c>
      <c r="I617" s="4" t="str">
        <f>IF(OR(Customers!I617&gt;DATE(2026,9,13),YEAR(Customers!I617)&lt;1980),"Implausible date","")</f>
        <v/>
      </c>
      <c r="J617" s="4" t="str">
        <f>IF(Customers!I617&gt;DATE(2026,9,13),"",IF(ABS(INT((DATE(2026,9,13)-Customers!I617)/365.25)-Customers!H617)&gt;1,"Date/tenure inconsistent",""))</f>
        <v/>
      </c>
      <c r="K617" s="4" t="str">
        <f>IF(COUNTIF(Customers!$A$2:$A$1001,Customers!A617)&gt;1,"Duplicate ID","")</f>
        <v/>
      </c>
      <c r="L617" s="4" t="str">
        <f>IF(COUNTIFS(Customers!$B$2:$B$1001,Customers!B617,Customers!$D$2:$D$1001,Customers!D617,Customers!$G$2:$G$1001,Customers!G617,Customers!$I$2:$I$1001,Customers!I617,Customers!$L$2:$L$1001,Customers!L617)&gt;1,"Duplicate record","")</f>
        <v/>
      </c>
      <c r="M617" s="4" t="str">
        <f>IF(OR(Customers!U617&lt;300,Customers!U617&gt;850),"Score out of range","")</f>
        <v/>
      </c>
      <c r="N617" s="4" t="str">
        <f>IF(AND(Customers!G617&lt;&gt;"",Customers!G617&lt;=0),"Income ≤ 0","")</f>
        <v/>
      </c>
      <c r="O617" s="4" t="str">
        <f>IF(OR(Customers!G617="",Customers!M617=""),"Missing value","")</f>
        <v/>
      </c>
      <c r="P617" s="4">
        <f t="shared" si="9"/>
        <v>0</v>
      </c>
    </row>
    <row r="618" spans="1:16" x14ac:dyDescent="0.25">
      <c r="A618" s="4" t="str">
        <f>Customers!A618</f>
        <v>CL00612</v>
      </c>
      <c r="B618" s="20">
        <f>IF(Customers!G618="","",(Customers!G618-Statistics!$C$7)/Statistics!$C$9)</f>
        <v>-3.2974655724011585E-2</v>
      </c>
      <c r="C618" s="4" t="str">
        <f>IF(Customers!G618="","",IF(OR(Customers!G618&lt;Statistics!$C$15,Customers!G618&gt;Statistics!$C$16),"Outside 1.5·IQR",""))</f>
        <v/>
      </c>
      <c r="D618" s="4" t="str">
        <f>IF(OR(Customers!B618&lt;18,Customers!B618&gt;100),"Implausible age","")</f>
        <v/>
      </c>
      <c r="E618" s="4" t="str">
        <f>IF(Customers!H618&gt;Customers!B618-18,"Tenure &gt; age-18","")</f>
        <v/>
      </c>
      <c r="F618" s="4" t="str">
        <f>IF(Customers!R618&gt;Customers!Q618,"Card spend &gt; limit","")</f>
        <v/>
      </c>
      <c r="G618" s="4" t="str">
        <f>IF(OR(AND(Customers!S618&gt;0,Customers!T618=0),AND(Customers!S618=0,Customers!T618&gt;0)),"Mortgage/payment inconsistent","")</f>
        <v/>
      </c>
      <c r="H618" s="4" t="str">
        <f>IF(AND(Customers!G618&lt;&gt;"",Customers!G618&gt;0,Customers!T618&gt;Customers!G618/12),"Payment &gt; monthly income","")</f>
        <v/>
      </c>
      <c r="I618" s="4" t="str">
        <f>IF(OR(Customers!I618&gt;DATE(2026,9,13),YEAR(Customers!I618)&lt;1980),"Implausible date","")</f>
        <v/>
      </c>
      <c r="J618" s="4" t="str">
        <f>IF(Customers!I618&gt;DATE(2026,9,13),"",IF(ABS(INT((DATE(2026,9,13)-Customers!I618)/365.25)-Customers!H618)&gt;1,"Date/tenure inconsistent",""))</f>
        <v/>
      </c>
      <c r="K618" s="4" t="str">
        <f>IF(COUNTIF(Customers!$A$2:$A$1001,Customers!A618)&gt;1,"Duplicate ID","")</f>
        <v/>
      </c>
      <c r="L618" s="4" t="str">
        <f>IF(COUNTIFS(Customers!$B$2:$B$1001,Customers!B618,Customers!$D$2:$D$1001,Customers!D618,Customers!$G$2:$G$1001,Customers!G618,Customers!$I$2:$I$1001,Customers!I618,Customers!$L$2:$L$1001,Customers!L618)&gt;1,"Duplicate record","")</f>
        <v/>
      </c>
      <c r="M618" s="4" t="str">
        <f>IF(OR(Customers!U618&lt;300,Customers!U618&gt;850),"Score out of range","")</f>
        <v/>
      </c>
      <c r="N618" s="4" t="str">
        <f>IF(AND(Customers!G618&lt;&gt;"",Customers!G618&lt;=0),"Income ≤ 0","")</f>
        <v/>
      </c>
      <c r="O618" s="4" t="str">
        <f>IF(OR(Customers!G618="",Customers!M618=""),"Missing value","")</f>
        <v/>
      </c>
      <c r="P618" s="4">
        <f t="shared" si="9"/>
        <v>0</v>
      </c>
    </row>
    <row r="619" spans="1:16" x14ac:dyDescent="0.25">
      <c r="A619" s="4" t="str">
        <f>Customers!A619</f>
        <v>CL00613</v>
      </c>
      <c r="B619" s="20">
        <f>IF(Customers!G619="","",(Customers!G619-Statistics!$C$7)/Statistics!$C$9)</f>
        <v>-4.6468106378371198E-2</v>
      </c>
      <c r="C619" s="4" t="str">
        <f>IF(Customers!G619="","",IF(OR(Customers!G619&lt;Statistics!$C$15,Customers!G619&gt;Statistics!$C$16),"Outside 1.5·IQR",""))</f>
        <v/>
      </c>
      <c r="D619" s="4" t="str">
        <f>IF(OR(Customers!B619&lt;18,Customers!B619&gt;100),"Implausible age","")</f>
        <v/>
      </c>
      <c r="E619" s="4" t="str">
        <f>IF(Customers!H619&gt;Customers!B619-18,"Tenure &gt; age-18","")</f>
        <v/>
      </c>
      <c r="F619" s="4" t="str">
        <f>IF(Customers!R619&gt;Customers!Q619,"Card spend &gt; limit","")</f>
        <v/>
      </c>
      <c r="G619" s="4" t="str">
        <f>IF(OR(AND(Customers!S619&gt;0,Customers!T619=0),AND(Customers!S619=0,Customers!T619&gt;0)),"Mortgage/payment inconsistent","")</f>
        <v/>
      </c>
      <c r="H619" s="4" t="str">
        <f>IF(AND(Customers!G619&lt;&gt;"",Customers!G619&gt;0,Customers!T619&gt;Customers!G619/12),"Payment &gt; monthly income","")</f>
        <v/>
      </c>
      <c r="I619" s="4" t="str">
        <f>IF(OR(Customers!I619&gt;DATE(2026,9,13),YEAR(Customers!I619)&lt;1980),"Implausible date","")</f>
        <v/>
      </c>
      <c r="J619" s="4" t="str">
        <f>IF(Customers!I619&gt;DATE(2026,9,13),"",IF(ABS(INT((DATE(2026,9,13)-Customers!I619)/365.25)-Customers!H619)&gt;1,"Date/tenure inconsistent",""))</f>
        <v/>
      </c>
      <c r="K619" s="4" t="str">
        <f>IF(COUNTIF(Customers!$A$2:$A$1001,Customers!A619)&gt;1,"Duplicate ID","")</f>
        <v/>
      </c>
      <c r="L619" s="4" t="str">
        <f>IF(COUNTIFS(Customers!$B$2:$B$1001,Customers!B619,Customers!$D$2:$D$1001,Customers!D619,Customers!$G$2:$G$1001,Customers!G619,Customers!$I$2:$I$1001,Customers!I619,Customers!$L$2:$L$1001,Customers!L619)&gt;1,"Duplicate record","")</f>
        <v/>
      </c>
      <c r="M619" s="4" t="str">
        <f>IF(OR(Customers!U619&lt;300,Customers!U619&gt;850),"Score out of range","")</f>
        <v>Score out of range</v>
      </c>
      <c r="N619" s="4" t="str">
        <f>IF(AND(Customers!G619&lt;&gt;"",Customers!G619&lt;=0),"Income ≤ 0","")</f>
        <v/>
      </c>
      <c r="O619" s="4" t="str">
        <f>IF(OR(Customers!G619="",Customers!M619=""),"Missing value","")</f>
        <v/>
      </c>
      <c r="P619" s="4">
        <f t="shared" si="9"/>
        <v>1</v>
      </c>
    </row>
    <row r="620" spans="1:16" x14ac:dyDescent="0.25">
      <c r="A620" s="4" t="str">
        <f>Customers!A620</f>
        <v>CL00614</v>
      </c>
      <c r="B620" s="20">
        <f>IF(Customers!G620="","",(Customers!G620-Statistics!$C$7)/Statistics!$C$9)</f>
        <v>-4.9718353616282636E-2</v>
      </c>
      <c r="C620" s="4" t="str">
        <f>IF(Customers!G620="","",IF(OR(Customers!G620&lt;Statistics!$C$15,Customers!G620&gt;Statistics!$C$16),"Outside 1.5·IQR",""))</f>
        <v/>
      </c>
      <c r="D620" s="4" t="str">
        <f>IF(OR(Customers!B620&lt;18,Customers!B620&gt;100),"Implausible age","")</f>
        <v/>
      </c>
      <c r="E620" s="4" t="str">
        <f>IF(Customers!H620&gt;Customers!B620-18,"Tenure &gt; age-18","")</f>
        <v/>
      </c>
      <c r="F620" s="4" t="str">
        <f>IF(Customers!R620&gt;Customers!Q620,"Card spend &gt; limit","")</f>
        <v/>
      </c>
      <c r="G620" s="4" t="str">
        <f>IF(OR(AND(Customers!S620&gt;0,Customers!T620=0),AND(Customers!S620=0,Customers!T620&gt;0)),"Mortgage/payment inconsistent","")</f>
        <v/>
      </c>
      <c r="H620" s="4" t="str">
        <f>IF(AND(Customers!G620&lt;&gt;"",Customers!G620&gt;0,Customers!T620&gt;Customers!G620/12),"Payment &gt; monthly income","")</f>
        <v/>
      </c>
      <c r="I620" s="4" t="str">
        <f>IF(OR(Customers!I620&gt;DATE(2026,9,13),YEAR(Customers!I620)&lt;1980),"Implausible date","")</f>
        <v/>
      </c>
      <c r="J620" s="4" t="str">
        <f>IF(Customers!I620&gt;DATE(2026,9,13),"",IF(ABS(INT((DATE(2026,9,13)-Customers!I620)/365.25)-Customers!H620)&gt;1,"Date/tenure inconsistent",""))</f>
        <v/>
      </c>
      <c r="K620" s="4" t="str">
        <f>IF(COUNTIF(Customers!$A$2:$A$1001,Customers!A620)&gt;1,"Duplicate ID","")</f>
        <v/>
      </c>
      <c r="L620" s="4" t="str">
        <f>IF(COUNTIFS(Customers!$B$2:$B$1001,Customers!B620,Customers!$D$2:$D$1001,Customers!D620,Customers!$G$2:$G$1001,Customers!G620,Customers!$I$2:$I$1001,Customers!I620,Customers!$L$2:$L$1001,Customers!L620)&gt;1,"Duplicate record","")</f>
        <v/>
      </c>
      <c r="M620" s="4" t="str">
        <f>IF(OR(Customers!U620&lt;300,Customers!U620&gt;850),"Score out of range","")</f>
        <v/>
      </c>
      <c r="N620" s="4" t="str">
        <f>IF(AND(Customers!G620&lt;&gt;"",Customers!G620&lt;=0),"Income ≤ 0","")</f>
        <v/>
      </c>
      <c r="O620" s="4" t="str">
        <f>IF(OR(Customers!G620="",Customers!M620=""),"Missing value","")</f>
        <v/>
      </c>
      <c r="P620" s="4">
        <f t="shared" si="9"/>
        <v>0</v>
      </c>
    </row>
    <row r="621" spans="1:16" x14ac:dyDescent="0.25">
      <c r="A621" s="4" t="str">
        <f>Customers!A621</f>
        <v>CL00615</v>
      </c>
      <c r="B621" s="20">
        <f>IF(Customers!G621="","",(Customers!G621-Statistics!$C$7)/Statistics!$C$9)</f>
        <v>6.2252958120112313E-3</v>
      </c>
      <c r="C621" s="4" t="str">
        <f>IF(Customers!G621="","",IF(OR(Customers!G621&lt;Statistics!$C$15,Customers!G621&gt;Statistics!$C$16),"Outside 1.5·IQR",""))</f>
        <v/>
      </c>
      <c r="D621" s="4" t="str">
        <f>IF(OR(Customers!B621&lt;18,Customers!B621&gt;100),"Implausible age","")</f>
        <v/>
      </c>
      <c r="E621" s="4" t="str">
        <f>IF(Customers!H621&gt;Customers!B621-18,"Tenure &gt; age-18","")</f>
        <v/>
      </c>
      <c r="F621" s="4" t="str">
        <f>IF(Customers!R621&gt;Customers!Q621,"Card spend &gt; limit","")</f>
        <v/>
      </c>
      <c r="G621" s="4" t="str">
        <f>IF(OR(AND(Customers!S621&gt;0,Customers!T621=0),AND(Customers!S621=0,Customers!T621&gt;0)),"Mortgage/payment inconsistent","")</f>
        <v/>
      </c>
      <c r="H621" s="4" t="str">
        <f>IF(AND(Customers!G621&lt;&gt;"",Customers!G621&gt;0,Customers!T621&gt;Customers!G621/12),"Payment &gt; monthly income","")</f>
        <v/>
      </c>
      <c r="I621" s="4" t="str">
        <f>IF(OR(Customers!I621&gt;DATE(2026,9,13),YEAR(Customers!I621)&lt;1980),"Implausible date","")</f>
        <v/>
      </c>
      <c r="J621" s="4" t="str">
        <f>IF(Customers!I621&gt;DATE(2026,9,13),"",IF(ABS(INT((DATE(2026,9,13)-Customers!I621)/365.25)-Customers!H621)&gt;1,"Date/tenure inconsistent",""))</f>
        <v/>
      </c>
      <c r="K621" s="4" t="str">
        <f>IF(COUNTIF(Customers!$A$2:$A$1001,Customers!A621)&gt;1,"Duplicate ID","")</f>
        <v/>
      </c>
      <c r="L621" s="4" t="str">
        <f>IF(COUNTIFS(Customers!$B$2:$B$1001,Customers!B621,Customers!$D$2:$D$1001,Customers!D621,Customers!$G$2:$G$1001,Customers!G621,Customers!$I$2:$I$1001,Customers!I621,Customers!$L$2:$L$1001,Customers!L621)&gt;1,"Duplicate record","")</f>
        <v/>
      </c>
      <c r="M621" s="4" t="str">
        <f>IF(OR(Customers!U621&lt;300,Customers!U621&gt;850),"Score out of range","")</f>
        <v/>
      </c>
      <c r="N621" s="4" t="str">
        <f>IF(AND(Customers!G621&lt;&gt;"",Customers!G621&lt;=0),"Income ≤ 0","")</f>
        <v/>
      </c>
      <c r="O621" s="4" t="str">
        <f>IF(OR(Customers!G621="",Customers!M621=""),"Missing value","")</f>
        <v/>
      </c>
      <c r="P621" s="4">
        <f t="shared" si="9"/>
        <v>0</v>
      </c>
    </row>
    <row r="622" spans="1:16" x14ac:dyDescent="0.25">
      <c r="A622" s="4" t="str">
        <f>Customers!A622</f>
        <v>CL00616</v>
      </c>
      <c r="B622" s="20">
        <f>IF(Customers!G622="","",(Customers!G622-Statistics!$C$7)/Statistics!$C$9)</f>
        <v>-5.2377646810937449E-2</v>
      </c>
      <c r="C622" s="4" t="str">
        <f>IF(Customers!G622="","",IF(OR(Customers!G622&lt;Statistics!$C$15,Customers!G622&gt;Statistics!$C$16),"Outside 1.5·IQR",""))</f>
        <v/>
      </c>
      <c r="D622" s="4" t="str">
        <f>IF(OR(Customers!B622&lt;18,Customers!B622&gt;100),"Implausible age","")</f>
        <v/>
      </c>
      <c r="E622" s="4" t="str">
        <f>IF(Customers!H622&gt;Customers!B622-18,"Tenure &gt; age-18","")</f>
        <v/>
      </c>
      <c r="F622" s="4" t="str">
        <f>IF(Customers!R622&gt;Customers!Q622,"Card spend &gt; limit","")</f>
        <v/>
      </c>
      <c r="G622" s="4" t="str">
        <f>IF(OR(AND(Customers!S622&gt;0,Customers!T622=0),AND(Customers!S622=0,Customers!T622&gt;0)),"Mortgage/payment inconsistent","")</f>
        <v/>
      </c>
      <c r="H622" s="4" t="str">
        <f>IF(AND(Customers!G622&lt;&gt;"",Customers!G622&gt;0,Customers!T622&gt;Customers!G622/12),"Payment &gt; monthly income","")</f>
        <v/>
      </c>
      <c r="I622" s="4" t="str">
        <f>IF(OR(Customers!I622&gt;DATE(2026,9,13),YEAR(Customers!I622)&lt;1980),"Implausible date","")</f>
        <v/>
      </c>
      <c r="J622" s="4" t="str">
        <f>IF(Customers!I622&gt;DATE(2026,9,13),"",IF(ABS(INT((DATE(2026,9,13)-Customers!I622)/365.25)-Customers!H622)&gt;1,"Date/tenure inconsistent",""))</f>
        <v/>
      </c>
      <c r="K622" s="4" t="str">
        <f>IF(COUNTIF(Customers!$A$2:$A$1001,Customers!A622)&gt;1,"Duplicate ID","")</f>
        <v/>
      </c>
      <c r="L622" s="4" t="str">
        <f>IF(COUNTIFS(Customers!$B$2:$B$1001,Customers!B622,Customers!$D$2:$D$1001,Customers!D622,Customers!$G$2:$G$1001,Customers!G622,Customers!$I$2:$I$1001,Customers!I622,Customers!$L$2:$L$1001,Customers!L622)&gt;1,"Duplicate record","")</f>
        <v/>
      </c>
      <c r="M622" s="4" t="str">
        <f>IF(OR(Customers!U622&lt;300,Customers!U622&gt;850),"Score out of range","")</f>
        <v/>
      </c>
      <c r="N622" s="4" t="str">
        <f>IF(AND(Customers!G622&lt;&gt;"",Customers!G622&lt;=0),"Income ≤ 0","")</f>
        <v/>
      </c>
      <c r="O622" s="4" t="str">
        <f>IF(OR(Customers!G622="",Customers!M622=""),"Missing value","")</f>
        <v/>
      </c>
      <c r="P622" s="4">
        <f t="shared" si="9"/>
        <v>0</v>
      </c>
    </row>
    <row r="623" spans="1:16" x14ac:dyDescent="0.25">
      <c r="A623" s="4" t="str">
        <f>Customers!A623</f>
        <v>CL00617</v>
      </c>
      <c r="B623" s="20">
        <f>IF(Customers!G623="","",(Customers!G623-Statistics!$C$7)/Statistics!$C$9)</f>
        <v>-4.6271121697285658E-2</v>
      </c>
      <c r="C623" s="4" t="str">
        <f>IF(Customers!G623="","",IF(OR(Customers!G623&lt;Statistics!$C$15,Customers!G623&gt;Statistics!$C$16),"Outside 1.5·IQR",""))</f>
        <v/>
      </c>
      <c r="D623" s="4" t="str">
        <f>IF(OR(Customers!B623&lt;18,Customers!B623&gt;100),"Implausible age","")</f>
        <v/>
      </c>
      <c r="E623" s="4" t="str">
        <f>IF(Customers!H623&gt;Customers!B623-18,"Tenure &gt; age-18","")</f>
        <v/>
      </c>
      <c r="F623" s="4" t="str">
        <f>IF(Customers!R623&gt;Customers!Q623,"Card spend &gt; limit","")</f>
        <v/>
      </c>
      <c r="G623" s="4" t="str">
        <f>IF(OR(AND(Customers!S623&gt;0,Customers!T623=0),AND(Customers!S623=0,Customers!T623&gt;0)),"Mortgage/payment inconsistent","")</f>
        <v/>
      </c>
      <c r="H623" s="4" t="str">
        <f>IF(AND(Customers!G623&lt;&gt;"",Customers!G623&gt;0,Customers!T623&gt;Customers!G623/12),"Payment &gt; monthly income","")</f>
        <v/>
      </c>
      <c r="I623" s="4" t="str">
        <f>IF(OR(Customers!I623&gt;DATE(2026,9,13),YEAR(Customers!I623)&lt;1980),"Implausible date","")</f>
        <v/>
      </c>
      <c r="J623" s="4" t="str">
        <f>IF(Customers!I623&gt;DATE(2026,9,13),"",IF(ABS(INT((DATE(2026,9,13)-Customers!I623)/365.25)-Customers!H623)&gt;1,"Date/tenure inconsistent",""))</f>
        <v/>
      </c>
      <c r="K623" s="4" t="str">
        <f>IF(COUNTIF(Customers!$A$2:$A$1001,Customers!A623)&gt;1,"Duplicate ID","")</f>
        <v/>
      </c>
      <c r="L623" s="4" t="str">
        <f>IF(COUNTIFS(Customers!$B$2:$B$1001,Customers!B623,Customers!$D$2:$D$1001,Customers!D623,Customers!$G$2:$G$1001,Customers!G623,Customers!$I$2:$I$1001,Customers!I623,Customers!$L$2:$L$1001,Customers!L623)&gt;1,"Duplicate record","")</f>
        <v/>
      </c>
      <c r="M623" s="4" t="str">
        <f>IF(OR(Customers!U623&lt;300,Customers!U623&gt;850),"Score out of range","")</f>
        <v/>
      </c>
      <c r="N623" s="4" t="str">
        <f>IF(AND(Customers!G623&lt;&gt;"",Customers!G623&lt;=0),"Income ≤ 0","")</f>
        <v/>
      </c>
      <c r="O623" s="4" t="str">
        <f>IF(OR(Customers!G623="",Customers!M623=""),"Missing value","")</f>
        <v/>
      </c>
      <c r="P623" s="4">
        <f t="shared" si="9"/>
        <v>0</v>
      </c>
    </row>
    <row r="624" spans="1:16" x14ac:dyDescent="0.25">
      <c r="A624" s="4" t="str">
        <f>Customers!A624</f>
        <v>CL00618</v>
      </c>
      <c r="B624" s="20">
        <f>IF(Customers!G624="","",(Customers!G624-Statistics!$C$7)/Statistics!$C$9)</f>
        <v>-5.4741462983963957E-2</v>
      </c>
      <c r="C624" s="4" t="str">
        <f>IF(Customers!G624="","",IF(OR(Customers!G624&lt;Statistics!$C$15,Customers!G624&gt;Statistics!$C$16),"Outside 1.5·IQR",""))</f>
        <v/>
      </c>
      <c r="D624" s="4" t="str">
        <f>IF(OR(Customers!B624&lt;18,Customers!B624&gt;100),"Implausible age","")</f>
        <v/>
      </c>
      <c r="E624" s="4" t="str">
        <f>IF(Customers!H624&gt;Customers!B624-18,"Tenure &gt; age-18","")</f>
        <v/>
      </c>
      <c r="F624" s="4" t="str">
        <f>IF(Customers!R624&gt;Customers!Q624,"Card spend &gt; limit","")</f>
        <v/>
      </c>
      <c r="G624" s="4" t="str">
        <f>IF(OR(AND(Customers!S624&gt;0,Customers!T624=0),AND(Customers!S624=0,Customers!T624&gt;0)),"Mortgage/payment inconsistent","")</f>
        <v/>
      </c>
      <c r="H624" s="4" t="str">
        <f>IF(AND(Customers!G624&lt;&gt;"",Customers!G624&gt;0,Customers!T624&gt;Customers!G624/12),"Payment &gt; monthly income","")</f>
        <v/>
      </c>
      <c r="I624" s="4" t="str">
        <f>IF(OR(Customers!I624&gt;DATE(2026,9,13),YEAR(Customers!I624)&lt;1980),"Implausible date","")</f>
        <v/>
      </c>
      <c r="J624" s="4" t="str">
        <f>IF(Customers!I624&gt;DATE(2026,9,13),"",IF(ABS(INT((DATE(2026,9,13)-Customers!I624)/365.25)-Customers!H624)&gt;1,"Date/tenure inconsistent",""))</f>
        <v/>
      </c>
      <c r="K624" s="4" t="str">
        <f>IF(COUNTIF(Customers!$A$2:$A$1001,Customers!A624)&gt;1,"Duplicate ID","")</f>
        <v/>
      </c>
      <c r="L624" s="4" t="str">
        <f>IF(COUNTIFS(Customers!$B$2:$B$1001,Customers!B624,Customers!$D$2:$D$1001,Customers!D624,Customers!$G$2:$G$1001,Customers!G624,Customers!$I$2:$I$1001,Customers!I624,Customers!$L$2:$L$1001,Customers!L624)&gt;1,"Duplicate record","")</f>
        <v/>
      </c>
      <c r="M624" s="4" t="str">
        <f>IF(OR(Customers!U624&lt;300,Customers!U624&gt;850),"Score out of range","")</f>
        <v/>
      </c>
      <c r="N624" s="4" t="str">
        <f>IF(AND(Customers!G624&lt;&gt;"",Customers!G624&lt;=0),"Income ≤ 0","")</f>
        <v/>
      </c>
      <c r="O624" s="4" t="str">
        <f>IF(OR(Customers!G624="",Customers!M624=""),"Missing value","")</f>
        <v/>
      </c>
      <c r="P624" s="4">
        <f t="shared" si="9"/>
        <v>0</v>
      </c>
    </row>
    <row r="625" spans="1:16" x14ac:dyDescent="0.25">
      <c r="A625" s="4" t="str">
        <f>Customers!A625</f>
        <v>CL00619</v>
      </c>
      <c r="B625" s="20">
        <f>IF(Customers!G625="","",(Customers!G625-Statistics!$C$7)/Statistics!$C$9)</f>
        <v>-3.3467117426725437E-2</v>
      </c>
      <c r="C625" s="4" t="str">
        <f>IF(Customers!G625="","",IF(OR(Customers!G625&lt;Statistics!$C$15,Customers!G625&gt;Statistics!$C$16),"Outside 1.5·IQR",""))</f>
        <v/>
      </c>
      <c r="D625" s="4" t="str">
        <f>IF(OR(Customers!B625&lt;18,Customers!B625&gt;100),"Implausible age","")</f>
        <v/>
      </c>
      <c r="E625" s="4" t="str">
        <f>IF(Customers!H625&gt;Customers!B625-18,"Tenure &gt; age-18","")</f>
        <v/>
      </c>
      <c r="F625" s="4" t="str">
        <f>IF(Customers!R625&gt;Customers!Q625,"Card spend &gt; limit","")</f>
        <v/>
      </c>
      <c r="G625" s="4" t="str">
        <f>IF(OR(AND(Customers!S625&gt;0,Customers!T625=0),AND(Customers!S625=0,Customers!T625&gt;0)),"Mortgage/payment inconsistent","")</f>
        <v/>
      </c>
      <c r="H625" s="4" t="str">
        <f>IF(AND(Customers!G625&lt;&gt;"",Customers!G625&gt;0,Customers!T625&gt;Customers!G625/12),"Payment &gt; monthly income","")</f>
        <v/>
      </c>
      <c r="I625" s="4" t="str">
        <f>IF(OR(Customers!I625&gt;DATE(2026,9,13),YEAR(Customers!I625)&lt;1980),"Implausible date","")</f>
        <v/>
      </c>
      <c r="J625" s="4" t="str">
        <f>IF(Customers!I625&gt;DATE(2026,9,13),"",IF(ABS(INT((DATE(2026,9,13)-Customers!I625)/365.25)-Customers!H625)&gt;1,"Date/tenure inconsistent",""))</f>
        <v/>
      </c>
      <c r="K625" s="4" t="str">
        <f>IF(COUNTIF(Customers!$A$2:$A$1001,Customers!A625)&gt;1,"Duplicate ID","")</f>
        <v/>
      </c>
      <c r="L625" s="4" t="str">
        <f>IF(COUNTIFS(Customers!$B$2:$B$1001,Customers!B625,Customers!$D$2:$D$1001,Customers!D625,Customers!$G$2:$G$1001,Customers!G625,Customers!$I$2:$I$1001,Customers!I625,Customers!$L$2:$L$1001,Customers!L625)&gt;1,"Duplicate record","")</f>
        <v/>
      </c>
      <c r="M625" s="4" t="str">
        <f>IF(OR(Customers!U625&lt;300,Customers!U625&gt;850),"Score out of range","")</f>
        <v/>
      </c>
      <c r="N625" s="4" t="str">
        <f>IF(AND(Customers!G625&lt;&gt;"",Customers!G625&lt;=0),"Income ≤ 0","")</f>
        <v/>
      </c>
      <c r="O625" s="4" t="str">
        <f>IF(OR(Customers!G625="",Customers!M625=""),"Missing value","")</f>
        <v/>
      </c>
      <c r="P625" s="4">
        <f t="shared" si="9"/>
        <v>0</v>
      </c>
    </row>
    <row r="626" spans="1:16" x14ac:dyDescent="0.25">
      <c r="A626" s="4" t="str">
        <f>Customers!A626</f>
        <v>CL00620</v>
      </c>
      <c r="B626" s="20">
        <f>IF(Customers!G626="","",(Customers!G626-Statistics!$C$7)/Statistics!$C$9)</f>
        <v>-5.7105279156990457E-2</v>
      </c>
      <c r="C626" s="4" t="str">
        <f>IF(Customers!G626="","",IF(OR(Customers!G626&lt;Statistics!$C$15,Customers!G626&gt;Statistics!$C$16),"Outside 1.5·IQR",""))</f>
        <v/>
      </c>
      <c r="D626" s="4" t="str">
        <f>IF(OR(Customers!B626&lt;18,Customers!B626&gt;100),"Implausible age","")</f>
        <v/>
      </c>
      <c r="E626" s="4" t="str">
        <f>IF(Customers!H626&gt;Customers!B626-18,"Tenure &gt; age-18","")</f>
        <v/>
      </c>
      <c r="F626" s="4" t="str">
        <f>IF(Customers!R626&gt;Customers!Q626,"Card spend &gt; limit","")</f>
        <v/>
      </c>
      <c r="G626" s="4" t="str">
        <f>IF(OR(AND(Customers!S626&gt;0,Customers!T626=0),AND(Customers!S626=0,Customers!T626&gt;0)),"Mortgage/payment inconsistent","")</f>
        <v/>
      </c>
      <c r="H626" s="4" t="str">
        <f>IF(AND(Customers!G626&lt;&gt;"",Customers!G626&gt;0,Customers!T626&gt;Customers!G626/12),"Payment &gt; monthly income","")</f>
        <v/>
      </c>
      <c r="I626" s="4" t="str">
        <f>IF(OR(Customers!I626&gt;DATE(2026,9,13),YEAR(Customers!I626)&lt;1980),"Implausible date","")</f>
        <v/>
      </c>
      <c r="J626" s="4" t="str">
        <f>IF(Customers!I626&gt;DATE(2026,9,13),"",IF(ABS(INT((DATE(2026,9,13)-Customers!I626)/365.25)-Customers!H626)&gt;1,"Date/tenure inconsistent",""))</f>
        <v/>
      </c>
      <c r="K626" s="4" t="str">
        <f>IF(COUNTIF(Customers!$A$2:$A$1001,Customers!A626)&gt;1,"Duplicate ID","")</f>
        <v/>
      </c>
      <c r="L626" s="4" t="str">
        <f>IF(COUNTIFS(Customers!$B$2:$B$1001,Customers!B626,Customers!$D$2:$D$1001,Customers!D626,Customers!$G$2:$G$1001,Customers!G626,Customers!$I$2:$I$1001,Customers!I626,Customers!$L$2:$L$1001,Customers!L626)&gt;1,"Duplicate record","")</f>
        <v/>
      </c>
      <c r="M626" s="4" t="str">
        <f>IF(OR(Customers!U626&lt;300,Customers!U626&gt;850),"Score out of range","")</f>
        <v/>
      </c>
      <c r="N626" s="4" t="str">
        <f>IF(AND(Customers!G626&lt;&gt;"",Customers!G626&lt;=0),"Income ≤ 0","")</f>
        <v/>
      </c>
      <c r="O626" s="4" t="str">
        <f>IF(OR(Customers!G626="",Customers!M626=""),"Missing value","")</f>
        <v/>
      </c>
      <c r="P626" s="4">
        <f t="shared" si="9"/>
        <v>0</v>
      </c>
    </row>
    <row r="627" spans="1:16" x14ac:dyDescent="0.25">
      <c r="A627" s="4" t="str">
        <f>Customers!A627</f>
        <v>CL00621</v>
      </c>
      <c r="B627" s="20">
        <f>IF(Customers!G627="","",(Customers!G627-Statistics!$C$7)/Statistics!$C$9)</f>
        <v>-4.5483182972943487E-2</v>
      </c>
      <c r="C627" s="4" t="str">
        <f>IF(Customers!G627="","",IF(OR(Customers!G627&lt;Statistics!$C$15,Customers!G627&gt;Statistics!$C$16),"Outside 1.5·IQR",""))</f>
        <v/>
      </c>
      <c r="D627" s="4" t="str">
        <f>IF(OR(Customers!B627&lt;18,Customers!B627&gt;100),"Implausible age","")</f>
        <v/>
      </c>
      <c r="E627" s="4" t="str">
        <f>IF(Customers!H627&gt;Customers!B627-18,"Tenure &gt; age-18","")</f>
        <v/>
      </c>
      <c r="F627" s="4" t="str">
        <f>IF(Customers!R627&gt;Customers!Q627,"Card spend &gt; limit","")</f>
        <v/>
      </c>
      <c r="G627" s="4" t="str">
        <f>IF(OR(AND(Customers!S627&gt;0,Customers!T627=0),AND(Customers!S627=0,Customers!T627&gt;0)),"Mortgage/payment inconsistent","")</f>
        <v/>
      </c>
      <c r="H627" s="4" t="str">
        <f>IF(AND(Customers!G627&lt;&gt;"",Customers!G627&gt;0,Customers!T627&gt;Customers!G627/12),"Payment &gt; monthly income","")</f>
        <v/>
      </c>
      <c r="I627" s="4" t="str">
        <f>IF(OR(Customers!I627&gt;DATE(2026,9,13),YEAR(Customers!I627)&lt;1980),"Implausible date","")</f>
        <v/>
      </c>
      <c r="J627" s="4" t="str">
        <f>IF(Customers!I627&gt;DATE(2026,9,13),"",IF(ABS(INT((DATE(2026,9,13)-Customers!I627)/365.25)-Customers!H627)&gt;1,"Date/tenure inconsistent",""))</f>
        <v/>
      </c>
      <c r="K627" s="4" t="str">
        <f>IF(COUNTIF(Customers!$A$2:$A$1001,Customers!A627)&gt;1,"Duplicate ID","")</f>
        <v/>
      </c>
      <c r="L627" s="4" t="str">
        <f>IF(COUNTIFS(Customers!$B$2:$B$1001,Customers!B627,Customers!$D$2:$D$1001,Customers!D627,Customers!$G$2:$G$1001,Customers!G627,Customers!$I$2:$I$1001,Customers!I627,Customers!$L$2:$L$1001,Customers!L627)&gt;1,"Duplicate record","")</f>
        <v/>
      </c>
      <c r="M627" s="4" t="str">
        <f>IF(OR(Customers!U627&lt;300,Customers!U627&gt;850),"Score out of range","")</f>
        <v/>
      </c>
      <c r="N627" s="4" t="str">
        <f>IF(AND(Customers!G627&lt;&gt;"",Customers!G627&lt;=0),"Income ≤ 0","")</f>
        <v/>
      </c>
      <c r="O627" s="4" t="str">
        <f>IF(OR(Customers!G627="",Customers!M627=""),"Missing value","")</f>
        <v/>
      </c>
      <c r="P627" s="4">
        <f t="shared" si="9"/>
        <v>0</v>
      </c>
    </row>
    <row r="628" spans="1:16" x14ac:dyDescent="0.25">
      <c r="A628" s="4" t="str">
        <f>Customers!A628</f>
        <v>CL00622</v>
      </c>
      <c r="B628" s="20">
        <f>IF(Customers!G628="","",(Customers!G628-Statistics!$C$7)/Statistics!$C$9)</f>
        <v>-4.7354537443256135E-2</v>
      </c>
      <c r="C628" s="4" t="str">
        <f>IF(Customers!G628="","",IF(OR(Customers!G628&lt;Statistics!$C$15,Customers!G628&gt;Statistics!$C$16),"Outside 1.5·IQR",""))</f>
        <v/>
      </c>
      <c r="D628" s="4" t="str">
        <f>IF(OR(Customers!B628&lt;18,Customers!B628&gt;100),"Implausible age","")</f>
        <v/>
      </c>
      <c r="E628" s="4" t="str">
        <f>IF(Customers!H628&gt;Customers!B628-18,"Tenure &gt; age-18","")</f>
        <v/>
      </c>
      <c r="F628" s="4" t="str">
        <f>IF(Customers!R628&gt;Customers!Q628,"Card spend &gt; limit","")</f>
        <v/>
      </c>
      <c r="G628" s="4" t="str">
        <f>IF(OR(AND(Customers!S628&gt;0,Customers!T628=0),AND(Customers!S628=0,Customers!T628&gt;0)),"Mortgage/payment inconsistent","")</f>
        <v/>
      </c>
      <c r="H628" s="4" t="str">
        <f>IF(AND(Customers!G628&lt;&gt;"",Customers!G628&gt;0,Customers!T628&gt;Customers!G628/12),"Payment &gt; monthly income","")</f>
        <v/>
      </c>
      <c r="I628" s="4" t="str">
        <f>IF(OR(Customers!I628&gt;DATE(2026,9,13),YEAR(Customers!I628)&lt;1980),"Implausible date","")</f>
        <v/>
      </c>
      <c r="J628" s="4" t="str">
        <f>IF(Customers!I628&gt;DATE(2026,9,13),"",IF(ABS(INT((DATE(2026,9,13)-Customers!I628)/365.25)-Customers!H628)&gt;1,"Date/tenure inconsistent",""))</f>
        <v/>
      </c>
      <c r="K628" s="4" t="str">
        <f>IF(COUNTIF(Customers!$A$2:$A$1001,Customers!A628)&gt;1,"Duplicate ID","")</f>
        <v/>
      </c>
      <c r="L628" s="4" t="str">
        <f>IF(COUNTIFS(Customers!$B$2:$B$1001,Customers!B628,Customers!$D$2:$D$1001,Customers!D628,Customers!$G$2:$G$1001,Customers!G628,Customers!$I$2:$I$1001,Customers!I628,Customers!$L$2:$L$1001,Customers!L628)&gt;1,"Duplicate record","")</f>
        <v/>
      </c>
      <c r="M628" s="4" t="str">
        <f>IF(OR(Customers!U628&lt;300,Customers!U628&gt;850),"Score out of range","")</f>
        <v/>
      </c>
      <c r="N628" s="4" t="str">
        <f>IF(AND(Customers!G628&lt;&gt;"",Customers!G628&lt;=0),"Income ≤ 0","")</f>
        <v/>
      </c>
      <c r="O628" s="4" t="str">
        <f>IF(OR(Customers!G628="",Customers!M628=""),"Missing value","")</f>
        <v/>
      </c>
      <c r="P628" s="4">
        <f t="shared" si="9"/>
        <v>0</v>
      </c>
    </row>
    <row r="629" spans="1:16" x14ac:dyDescent="0.25">
      <c r="A629" s="4" t="str">
        <f>Customers!A629</f>
        <v>CL00623</v>
      </c>
      <c r="B629" s="20">
        <f>IF(Customers!G629="","",(Customers!G629-Statistics!$C$7)/Statistics!$C$9)</f>
        <v>-6.6954513211267538E-2</v>
      </c>
      <c r="C629" s="4" t="str">
        <f>IF(Customers!G629="","",IF(OR(Customers!G629&lt;Statistics!$C$15,Customers!G629&gt;Statistics!$C$16),"Outside 1.5·IQR",""))</f>
        <v/>
      </c>
      <c r="D629" s="4" t="str">
        <f>IF(OR(Customers!B629&lt;18,Customers!B629&gt;100),"Implausible age","")</f>
        <v/>
      </c>
      <c r="E629" s="4" t="str">
        <f>IF(Customers!H629&gt;Customers!B629-18,"Tenure &gt; age-18","")</f>
        <v/>
      </c>
      <c r="F629" s="4" t="str">
        <f>IF(Customers!R629&gt;Customers!Q629,"Card spend &gt; limit","")</f>
        <v/>
      </c>
      <c r="G629" s="4" t="str">
        <f>IF(OR(AND(Customers!S629&gt;0,Customers!T629=0),AND(Customers!S629=0,Customers!T629&gt;0)),"Mortgage/payment inconsistent","")</f>
        <v/>
      </c>
      <c r="H629" s="4" t="str">
        <f>IF(AND(Customers!G629&lt;&gt;"",Customers!G629&gt;0,Customers!T629&gt;Customers!G629/12),"Payment &gt; monthly income","")</f>
        <v/>
      </c>
      <c r="I629" s="4" t="str">
        <f>IF(OR(Customers!I629&gt;DATE(2026,9,13),YEAR(Customers!I629)&lt;1980),"Implausible date","")</f>
        <v/>
      </c>
      <c r="J629" s="4" t="str">
        <f>IF(Customers!I629&gt;DATE(2026,9,13),"",IF(ABS(INT((DATE(2026,9,13)-Customers!I629)/365.25)-Customers!H629)&gt;1,"Date/tenure inconsistent",""))</f>
        <v/>
      </c>
      <c r="K629" s="4" t="str">
        <f>IF(COUNTIF(Customers!$A$2:$A$1001,Customers!A629)&gt;1,"Duplicate ID","")</f>
        <v/>
      </c>
      <c r="L629" s="4" t="str">
        <f>IF(COUNTIFS(Customers!$B$2:$B$1001,Customers!B629,Customers!$D$2:$D$1001,Customers!D629,Customers!$G$2:$G$1001,Customers!G629,Customers!$I$2:$I$1001,Customers!I629,Customers!$L$2:$L$1001,Customers!L629)&gt;1,"Duplicate record","")</f>
        <v/>
      </c>
      <c r="M629" s="4" t="str">
        <f>IF(OR(Customers!U629&lt;300,Customers!U629&gt;850),"Score out of range","")</f>
        <v/>
      </c>
      <c r="N629" s="4" t="str">
        <f>IF(AND(Customers!G629&lt;&gt;"",Customers!G629&lt;=0),"Income ≤ 0","")</f>
        <v/>
      </c>
      <c r="O629" s="4" t="str">
        <f>IF(OR(Customers!G629="",Customers!M629=""),"Missing value","")</f>
        <v/>
      </c>
      <c r="P629" s="4">
        <f t="shared" si="9"/>
        <v>0</v>
      </c>
    </row>
    <row r="630" spans="1:16" x14ac:dyDescent="0.25">
      <c r="A630" s="4" t="str">
        <f>Customers!A630</f>
        <v>CL00624</v>
      </c>
      <c r="B630" s="20">
        <f>IF(Customers!G630="","",(Customers!G630-Statistics!$C$7)/Statistics!$C$9)</f>
        <v>-3.7899272751150133E-2</v>
      </c>
      <c r="C630" s="4" t="str">
        <f>IF(Customers!G630="","",IF(OR(Customers!G630&lt;Statistics!$C$15,Customers!G630&gt;Statistics!$C$16),"Outside 1.5·IQR",""))</f>
        <v/>
      </c>
      <c r="D630" s="4" t="str">
        <f>IF(OR(Customers!B630&lt;18,Customers!B630&gt;100),"Implausible age","")</f>
        <v/>
      </c>
      <c r="E630" s="4" t="str">
        <f>IF(Customers!H630&gt;Customers!B630-18,"Tenure &gt; age-18","")</f>
        <v/>
      </c>
      <c r="F630" s="4" t="str">
        <f>IF(Customers!R630&gt;Customers!Q630,"Card spend &gt; limit","")</f>
        <v/>
      </c>
      <c r="G630" s="4" t="str">
        <f>IF(OR(AND(Customers!S630&gt;0,Customers!T630=0),AND(Customers!S630=0,Customers!T630&gt;0)),"Mortgage/payment inconsistent","")</f>
        <v/>
      </c>
      <c r="H630" s="4" t="str">
        <f>IF(AND(Customers!G630&lt;&gt;"",Customers!G630&gt;0,Customers!T630&gt;Customers!G630/12),"Payment &gt; monthly income","")</f>
        <v/>
      </c>
      <c r="I630" s="4" t="str">
        <f>IF(OR(Customers!I630&gt;DATE(2026,9,13),YEAR(Customers!I630)&lt;1980),"Implausible date","")</f>
        <v/>
      </c>
      <c r="J630" s="4" t="str">
        <f>IF(Customers!I630&gt;DATE(2026,9,13),"",IF(ABS(INT((DATE(2026,9,13)-Customers!I630)/365.25)-Customers!H630)&gt;1,"Date/tenure inconsistent",""))</f>
        <v/>
      </c>
      <c r="K630" s="4" t="str">
        <f>IF(COUNTIF(Customers!$A$2:$A$1001,Customers!A630)&gt;1,"Duplicate ID","")</f>
        <v/>
      </c>
      <c r="L630" s="4" t="str">
        <f>IF(COUNTIFS(Customers!$B$2:$B$1001,Customers!B630,Customers!$D$2:$D$1001,Customers!D630,Customers!$G$2:$G$1001,Customers!G630,Customers!$I$2:$I$1001,Customers!I630,Customers!$L$2:$L$1001,Customers!L630)&gt;1,"Duplicate record","")</f>
        <v/>
      </c>
      <c r="M630" s="4" t="str">
        <f>IF(OR(Customers!U630&lt;300,Customers!U630&gt;850),"Score out of range","")</f>
        <v/>
      </c>
      <c r="N630" s="4" t="str">
        <f>IF(AND(Customers!G630&lt;&gt;"",Customers!G630&lt;=0),"Income ≤ 0","")</f>
        <v/>
      </c>
      <c r="O630" s="4" t="str">
        <f>IF(OR(Customers!G630="",Customers!M630=""),"Missing value","")</f>
        <v/>
      </c>
      <c r="P630" s="4">
        <f t="shared" si="9"/>
        <v>0</v>
      </c>
    </row>
    <row r="631" spans="1:16" x14ac:dyDescent="0.25">
      <c r="A631" s="4" t="str">
        <f>Customers!A631</f>
        <v>CL00625</v>
      </c>
      <c r="B631" s="20">
        <f>IF(Customers!G631="","",(Customers!G631-Statistics!$C$7)/Statistics!$C$9)</f>
        <v>-5.0112322978453722E-2</v>
      </c>
      <c r="C631" s="4" t="str">
        <f>IF(Customers!G631="","",IF(OR(Customers!G631&lt;Statistics!$C$15,Customers!G631&gt;Statistics!$C$16),"Outside 1.5·IQR",""))</f>
        <v/>
      </c>
      <c r="D631" s="4" t="str">
        <f>IF(OR(Customers!B631&lt;18,Customers!B631&gt;100),"Implausible age","")</f>
        <v/>
      </c>
      <c r="E631" s="4" t="str">
        <f>IF(Customers!H631&gt;Customers!B631-18,"Tenure &gt; age-18","")</f>
        <v/>
      </c>
      <c r="F631" s="4" t="str">
        <f>IF(Customers!R631&gt;Customers!Q631,"Card spend &gt; limit","")</f>
        <v/>
      </c>
      <c r="G631" s="4" t="str">
        <f>IF(OR(AND(Customers!S631&gt;0,Customers!T631=0),AND(Customers!S631=0,Customers!T631&gt;0)),"Mortgage/payment inconsistent","")</f>
        <v/>
      </c>
      <c r="H631" s="4" t="str">
        <f>IF(AND(Customers!G631&lt;&gt;"",Customers!G631&gt;0,Customers!T631&gt;Customers!G631/12),"Payment &gt; monthly income","")</f>
        <v/>
      </c>
      <c r="I631" s="4" t="str">
        <f>IF(OR(Customers!I631&gt;DATE(2026,9,13),YEAR(Customers!I631)&lt;1980),"Implausible date","")</f>
        <v/>
      </c>
      <c r="J631" s="4" t="str">
        <f>IF(Customers!I631&gt;DATE(2026,9,13),"",IF(ABS(INT((DATE(2026,9,13)-Customers!I631)/365.25)-Customers!H631)&gt;1,"Date/tenure inconsistent",""))</f>
        <v/>
      </c>
      <c r="K631" s="4" t="str">
        <f>IF(COUNTIF(Customers!$A$2:$A$1001,Customers!A631)&gt;1,"Duplicate ID","")</f>
        <v/>
      </c>
      <c r="L631" s="4" t="str">
        <f>IF(COUNTIFS(Customers!$B$2:$B$1001,Customers!B631,Customers!$D$2:$D$1001,Customers!D631,Customers!$G$2:$G$1001,Customers!G631,Customers!$I$2:$I$1001,Customers!I631,Customers!$L$2:$L$1001,Customers!L631)&gt;1,"Duplicate record","")</f>
        <v/>
      </c>
      <c r="M631" s="4" t="str">
        <f>IF(OR(Customers!U631&lt;300,Customers!U631&gt;850),"Score out of range","")</f>
        <v/>
      </c>
      <c r="N631" s="4" t="str">
        <f>IF(AND(Customers!G631&lt;&gt;"",Customers!G631&lt;=0),"Income ≤ 0","")</f>
        <v/>
      </c>
      <c r="O631" s="4" t="str">
        <f>IF(OR(Customers!G631="",Customers!M631=""),"Missing value","")</f>
        <v/>
      </c>
      <c r="P631" s="4">
        <f t="shared" si="9"/>
        <v>0</v>
      </c>
    </row>
    <row r="632" spans="1:16" x14ac:dyDescent="0.25">
      <c r="A632" s="4" t="str">
        <f>Customers!A632</f>
        <v>CL00626</v>
      </c>
      <c r="B632" s="20">
        <f>IF(Customers!G632="","",(Customers!G632-Statistics!$C$7)/Statistics!$C$9)</f>
        <v>-4.0657058286347712E-2</v>
      </c>
      <c r="C632" s="4" t="str">
        <f>IF(Customers!G632="","",IF(OR(Customers!G632&lt;Statistics!$C$15,Customers!G632&gt;Statistics!$C$16),"Outside 1.5·IQR",""))</f>
        <v/>
      </c>
      <c r="D632" s="4" t="str">
        <f>IF(OR(Customers!B632&lt;18,Customers!B632&gt;100),"Implausible age","")</f>
        <v/>
      </c>
      <c r="E632" s="4" t="str">
        <f>IF(Customers!H632&gt;Customers!B632-18,"Tenure &gt; age-18","")</f>
        <v/>
      </c>
      <c r="F632" s="4" t="str">
        <f>IF(Customers!R632&gt;Customers!Q632,"Card spend &gt; limit","")</f>
        <v/>
      </c>
      <c r="G632" s="4" t="str">
        <f>IF(OR(AND(Customers!S632&gt;0,Customers!T632=0),AND(Customers!S632=0,Customers!T632&gt;0)),"Mortgage/payment inconsistent","")</f>
        <v/>
      </c>
      <c r="H632" s="4" t="str">
        <f>IF(AND(Customers!G632&lt;&gt;"",Customers!G632&gt;0,Customers!T632&gt;Customers!G632/12),"Payment &gt; monthly income","")</f>
        <v/>
      </c>
      <c r="I632" s="4" t="str">
        <f>IF(OR(Customers!I632&gt;DATE(2026,9,13),YEAR(Customers!I632)&lt;1980),"Implausible date","")</f>
        <v/>
      </c>
      <c r="J632" s="4" t="str">
        <f>IF(Customers!I632&gt;DATE(2026,9,13),"",IF(ABS(INT((DATE(2026,9,13)-Customers!I632)/365.25)-Customers!H632)&gt;1,"Date/tenure inconsistent",""))</f>
        <v/>
      </c>
      <c r="K632" s="4" t="str">
        <f>IF(COUNTIF(Customers!$A$2:$A$1001,Customers!A632)&gt;1,"Duplicate ID","")</f>
        <v/>
      </c>
      <c r="L632" s="4" t="str">
        <f>IF(COUNTIFS(Customers!$B$2:$B$1001,Customers!B632,Customers!$D$2:$D$1001,Customers!D632,Customers!$G$2:$G$1001,Customers!G632,Customers!$I$2:$I$1001,Customers!I632,Customers!$L$2:$L$1001,Customers!L632)&gt;1,"Duplicate record","")</f>
        <v/>
      </c>
      <c r="M632" s="4" t="str">
        <f>IF(OR(Customers!U632&lt;300,Customers!U632&gt;850),"Score out of range","")</f>
        <v/>
      </c>
      <c r="N632" s="4" t="str">
        <f>IF(AND(Customers!G632&lt;&gt;"",Customers!G632&lt;=0),"Income ≤ 0","")</f>
        <v/>
      </c>
      <c r="O632" s="4" t="str">
        <f>IF(OR(Customers!G632="",Customers!M632=""),"Missing value","")</f>
        <v/>
      </c>
      <c r="P632" s="4">
        <f t="shared" si="9"/>
        <v>0</v>
      </c>
    </row>
    <row r="633" spans="1:16" x14ac:dyDescent="0.25">
      <c r="A633" s="4" t="str">
        <f>Customers!A633</f>
        <v>CL00627</v>
      </c>
      <c r="B633" s="20">
        <f>IF(Customers!G633="","",(Customers!G633-Statistics!$C$7)/Statistics!$C$9)</f>
        <v>-6.4492204697698272E-2</v>
      </c>
      <c r="C633" s="4" t="str">
        <f>IF(Customers!G633="","",IF(OR(Customers!G633&lt;Statistics!$C$15,Customers!G633&gt;Statistics!$C$16),"Outside 1.5·IQR",""))</f>
        <v/>
      </c>
      <c r="D633" s="4" t="str">
        <f>IF(OR(Customers!B633&lt;18,Customers!B633&gt;100),"Implausible age","")</f>
        <v/>
      </c>
      <c r="E633" s="4" t="str">
        <f>IF(Customers!H633&gt;Customers!B633-18,"Tenure &gt; age-18","")</f>
        <v/>
      </c>
      <c r="F633" s="4" t="str">
        <f>IF(Customers!R633&gt;Customers!Q633,"Card spend &gt; limit","")</f>
        <v/>
      </c>
      <c r="G633" s="4" t="str">
        <f>IF(OR(AND(Customers!S633&gt;0,Customers!T633=0),AND(Customers!S633=0,Customers!T633&gt;0)),"Mortgage/payment inconsistent","")</f>
        <v/>
      </c>
      <c r="H633" s="4" t="str">
        <f>IF(AND(Customers!G633&lt;&gt;"",Customers!G633&gt;0,Customers!T633&gt;Customers!G633/12),"Payment &gt; monthly income","")</f>
        <v/>
      </c>
      <c r="I633" s="4" t="str">
        <f>IF(OR(Customers!I633&gt;DATE(2026,9,13),YEAR(Customers!I633)&lt;1980),"Implausible date","")</f>
        <v/>
      </c>
      <c r="J633" s="4" t="str">
        <f>IF(Customers!I633&gt;DATE(2026,9,13),"",IF(ABS(INT((DATE(2026,9,13)-Customers!I633)/365.25)-Customers!H633)&gt;1,"Date/tenure inconsistent",""))</f>
        <v/>
      </c>
      <c r="K633" s="4" t="str">
        <f>IF(COUNTIF(Customers!$A$2:$A$1001,Customers!A633)&gt;1,"Duplicate ID","")</f>
        <v/>
      </c>
      <c r="L633" s="4" t="str">
        <f>IF(COUNTIFS(Customers!$B$2:$B$1001,Customers!B633,Customers!$D$2:$D$1001,Customers!D633,Customers!$G$2:$G$1001,Customers!G633,Customers!$I$2:$I$1001,Customers!I633,Customers!$L$2:$L$1001,Customers!L633)&gt;1,"Duplicate record","")</f>
        <v/>
      </c>
      <c r="M633" s="4" t="str">
        <f>IF(OR(Customers!U633&lt;300,Customers!U633&gt;850),"Score out of range","")</f>
        <v/>
      </c>
      <c r="N633" s="4" t="str">
        <f>IF(AND(Customers!G633&lt;&gt;"",Customers!G633&lt;=0),"Income ≤ 0","")</f>
        <v/>
      </c>
      <c r="O633" s="4" t="str">
        <f>IF(OR(Customers!G633="",Customers!M633=""),"Missing value","")</f>
        <v/>
      </c>
      <c r="P633" s="4">
        <f t="shared" si="9"/>
        <v>0</v>
      </c>
    </row>
    <row r="634" spans="1:16" x14ac:dyDescent="0.25">
      <c r="A634" s="4" t="str">
        <f>Customers!A634</f>
        <v>CL00628</v>
      </c>
      <c r="B634" s="20">
        <f>IF(Customers!G634="","",(Customers!G634-Statistics!$C$7)/Statistics!$C$9)</f>
        <v>-4.2626905097203134E-2</v>
      </c>
      <c r="C634" s="4" t="str">
        <f>IF(Customers!G634="","",IF(OR(Customers!G634&lt;Statistics!$C$15,Customers!G634&gt;Statistics!$C$16),"Outside 1.5·IQR",""))</f>
        <v/>
      </c>
      <c r="D634" s="4" t="str">
        <f>IF(OR(Customers!B634&lt;18,Customers!B634&gt;100),"Implausible age","")</f>
        <v/>
      </c>
      <c r="E634" s="4" t="str">
        <f>IF(Customers!H634&gt;Customers!B634-18,"Tenure &gt; age-18","")</f>
        <v/>
      </c>
      <c r="F634" s="4" t="str">
        <f>IF(Customers!R634&gt;Customers!Q634,"Card spend &gt; limit","")</f>
        <v/>
      </c>
      <c r="G634" s="4" t="str">
        <f>IF(OR(AND(Customers!S634&gt;0,Customers!T634=0),AND(Customers!S634=0,Customers!T634&gt;0)),"Mortgage/payment inconsistent","")</f>
        <v/>
      </c>
      <c r="H634" s="4" t="str">
        <f>IF(AND(Customers!G634&lt;&gt;"",Customers!G634&gt;0,Customers!T634&gt;Customers!G634/12),"Payment &gt; monthly income","")</f>
        <v/>
      </c>
      <c r="I634" s="4" t="str">
        <f>IF(OR(Customers!I634&gt;DATE(2026,9,13),YEAR(Customers!I634)&lt;1980),"Implausible date","")</f>
        <v/>
      </c>
      <c r="J634" s="4" t="str">
        <f>IF(Customers!I634&gt;DATE(2026,9,13),"",IF(ABS(INT((DATE(2026,9,13)-Customers!I634)/365.25)-Customers!H634)&gt;1,"Date/tenure inconsistent",""))</f>
        <v/>
      </c>
      <c r="K634" s="4" t="str">
        <f>IF(COUNTIF(Customers!$A$2:$A$1001,Customers!A634)&gt;1,"Duplicate ID","")</f>
        <v/>
      </c>
      <c r="L634" s="4" t="str">
        <f>IF(COUNTIFS(Customers!$B$2:$B$1001,Customers!B634,Customers!$D$2:$D$1001,Customers!D634,Customers!$G$2:$G$1001,Customers!G634,Customers!$I$2:$I$1001,Customers!I634,Customers!$L$2:$L$1001,Customers!L634)&gt;1,"Duplicate record","")</f>
        <v/>
      </c>
      <c r="M634" s="4" t="str">
        <f>IF(OR(Customers!U634&lt;300,Customers!U634&gt;850),"Score out of range","")</f>
        <v/>
      </c>
      <c r="N634" s="4" t="str">
        <f>IF(AND(Customers!G634&lt;&gt;"",Customers!G634&lt;=0),"Income ≤ 0","")</f>
        <v/>
      </c>
      <c r="O634" s="4" t="str">
        <f>IF(OR(Customers!G634="",Customers!M634=""),"Missing value","")</f>
        <v/>
      </c>
      <c r="P634" s="4">
        <f t="shared" si="9"/>
        <v>0</v>
      </c>
    </row>
    <row r="635" spans="1:16" x14ac:dyDescent="0.25">
      <c r="A635" s="4" t="str">
        <f>Customers!A635</f>
        <v>CL00629</v>
      </c>
      <c r="B635" s="20">
        <f>IF(Customers!G635="","",(Customers!G635-Statistics!$C$7)/Statistics!$C$9)</f>
        <v>-4.0657058286347712E-2</v>
      </c>
      <c r="C635" s="4" t="str">
        <f>IF(Customers!G635="","",IF(OR(Customers!G635&lt;Statistics!$C$15,Customers!G635&gt;Statistics!$C$16),"Outside 1.5·IQR",""))</f>
        <v/>
      </c>
      <c r="D635" s="4" t="str">
        <f>IF(OR(Customers!B635&lt;18,Customers!B635&gt;100),"Implausible age","")</f>
        <v/>
      </c>
      <c r="E635" s="4" t="str">
        <f>IF(Customers!H635&gt;Customers!B635-18,"Tenure &gt; age-18","")</f>
        <v/>
      </c>
      <c r="F635" s="4" t="str">
        <f>IF(Customers!R635&gt;Customers!Q635,"Card spend &gt; limit","")</f>
        <v/>
      </c>
      <c r="G635" s="4" t="str">
        <f>IF(OR(AND(Customers!S635&gt;0,Customers!T635=0),AND(Customers!S635=0,Customers!T635&gt;0)),"Mortgage/payment inconsistent","")</f>
        <v/>
      </c>
      <c r="H635" s="4" t="str">
        <f>IF(AND(Customers!G635&lt;&gt;"",Customers!G635&gt;0,Customers!T635&gt;Customers!G635/12),"Payment &gt; monthly income","")</f>
        <v/>
      </c>
      <c r="I635" s="4" t="str">
        <f>IF(OR(Customers!I635&gt;DATE(2026,9,13),YEAR(Customers!I635)&lt;1980),"Implausible date","")</f>
        <v/>
      </c>
      <c r="J635" s="4" t="str">
        <f>IF(Customers!I635&gt;DATE(2026,9,13),"",IF(ABS(INT((DATE(2026,9,13)-Customers!I635)/365.25)-Customers!H635)&gt;1,"Date/tenure inconsistent",""))</f>
        <v/>
      </c>
      <c r="K635" s="4" t="str">
        <f>IF(COUNTIF(Customers!$A$2:$A$1001,Customers!A635)&gt;1,"Duplicate ID","")</f>
        <v/>
      </c>
      <c r="L635" s="4" t="str">
        <f>IF(COUNTIFS(Customers!$B$2:$B$1001,Customers!B635,Customers!$D$2:$D$1001,Customers!D635,Customers!$G$2:$G$1001,Customers!G635,Customers!$I$2:$I$1001,Customers!I635,Customers!$L$2:$L$1001,Customers!L635)&gt;1,"Duplicate record","")</f>
        <v/>
      </c>
      <c r="M635" s="4" t="str">
        <f>IF(OR(Customers!U635&lt;300,Customers!U635&gt;850),"Score out of range","")</f>
        <v/>
      </c>
      <c r="N635" s="4" t="str">
        <f>IF(AND(Customers!G635&lt;&gt;"",Customers!G635&lt;=0),"Income ≤ 0","")</f>
        <v/>
      </c>
      <c r="O635" s="4" t="str">
        <f>IF(OR(Customers!G635="",Customers!M635=""),"Missing value","")</f>
        <v/>
      </c>
      <c r="P635" s="4">
        <f t="shared" si="9"/>
        <v>0</v>
      </c>
    </row>
    <row r="636" spans="1:16" x14ac:dyDescent="0.25">
      <c r="A636" s="4" t="str">
        <f>Customers!A636</f>
        <v>CL00630</v>
      </c>
      <c r="B636" s="20">
        <f>IF(Customers!G636="","",(Customers!G636-Statistics!$C$7)/Statistics!$C$9)</f>
        <v>-3.120179359424171E-2</v>
      </c>
      <c r="C636" s="4" t="str">
        <f>IF(Customers!G636="","",IF(OR(Customers!G636&lt;Statistics!$C$15,Customers!G636&gt;Statistics!$C$16),"Outside 1.5·IQR",""))</f>
        <v/>
      </c>
      <c r="D636" s="4" t="str">
        <f>IF(OR(Customers!B636&lt;18,Customers!B636&gt;100),"Implausible age","")</f>
        <v/>
      </c>
      <c r="E636" s="4" t="str">
        <f>IF(Customers!H636&gt;Customers!B636-18,"Tenure &gt; age-18","")</f>
        <v/>
      </c>
      <c r="F636" s="4" t="str">
        <f>IF(Customers!R636&gt;Customers!Q636,"Card spend &gt; limit","")</f>
        <v/>
      </c>
      <c r="G636" s="4" t="str">
        <f>IF(OR(AND(Customers!S636&gt;0,Customers!T636=0),AND(Customers!S636=0,Customers!T636&gt;0)),"Mortgage/payment inconsistent","")</f>
        <v/>
      </c>
      <c r="H636" s="4" t="str">
        <f>IF(AND(Customers!G636&lt;&gt;"",Customers!G636&gt;0,Customers!T636&gt;Customers!G636/12),"Payment &gt; monthly income","")</f>
        <v/>
      </c>
      <c r="I636" s="4" t="str">
        <f>IF(OR(Customers!I636&gt;DATE(2026,9,13),YEAR(Customers!I636)&lt;1980),"Implausible date","")</f>
        <v/>
      </c>
      <c r="J636" s="4" t="str">
        <f>IF(Customers!I636&gt;DATE(2026,9,13),"",IF(ABS(INT((DATE(2026,9,13)-Customers!I636)/365.25)-Customers!H636)&gt;1,"Date/tenure inconsistent",""))</f>
        <v/>
      </c>
      <c r="K636" s="4" t="str">
        <f>IF(COUNTIF(Customers!$A$2:$A$1001,Customers!A636)&gt;1,"Duplicate ID","")</f>
        <v/>
      </c>
      <c r="L636" s="4" t="str">
        <f>IF(COUNTIFS(Customers!$B$2:$B$1001,Customers!B636,Customers!$D$2:$D$1001,Customers!D636,Customers!$G$2:$G$1001,Customers!G636,Customers!$I$2:$I$1001,Customers!I636,Customers!$L$2:$L$1001,Customers!L636)&gt;1,"Duplicate record","")</f>
        <v/>
      </c>
      <c r="M636" s="4" t="str">
        <f>IF(OR(Customers!U636&lt;300,Customers!U636&gt;850),"Score out of range","")</f>
        <v/>
      </c>
      <c r="N636" s="4" t="str">
        <f>IF(AND(Customers!G636&lt;&gt;"",Customers!G636&lt;=0),"Income ≤ 0","")</f>
        <v/>
      </c>
      <c r="O636" s="4" t="str">
        <f>IF(OR(Customers!G636="",Customers!M636=""),"Missing value","")</f>
        <v/>
      </c>
      <c r="P636" s="4">
        <f t="shared" si="9"/>
        <v>0</v>
      </c>
    </row>
    <row r="637" spans="1:16" x14ac:dyDescent="0.25">
      <c r="A637" s="4" t="str">
        <f>Customers!A637</f>
        <v>CL00631</v>
      </c>
      <c r="B637" s="20">
        <f>IF(Customers!G637="","",(Customers!G637-Statistics!$C$7)/Statistics!$C$9)</f>
        <v>-5.3658047237993473E-2</v>
      </c>
      <c r="C637" s="4" t="str">
        <f>IF(Customers!G637="","",IF(OR(Customers!G637&lt;Statistics!$C$15,Customers!G637&gt;Statistics!$C$16),"Outside 1.5·IQR",""))</f>
        <v/>
      </c>
      <c r="D637" s="4" t="str">
        <f>IF(OR(Customers!B637&lt;18,Customers!B637&gt;100),"Implausible age","")</f>
        <v/>
      </c>
      <c r="E637" s="4" t="str">
        <f>IF(Customers!H637&gt;Customers!B637-18,"Tenure &gt; age-18","")</f>
        <v/>
      </c>
      <c r="F637" s="4" t="str">
        <f>IF(Customers!R637&gt;Customers!Q637,"Card spend &gt; limit","")</f>
        <v/>
      </c>
      <c r="G637" s="4" t="str">
        <f>IF(OR(AND(Customers!S637&gt;0,Customers!T637=0),AND(Customers!S637=0,Customers!T637&gt;0)),"Mortgage/payment inconsistent","")</f>
        <v/>
      </c>
      <c r="H637" s="4" t="str">
        <f>IF(AND(Customers!G637&lt;&gt;"",Customers!G637&gt;0,Customers!T637&gt;Customers!G637/12),"Payment &gt; monthly income","")</f>
        <v/>
      </c>
      <c r="I637" s="4" t="str">
        <f>IF(OR(Customers!I637&gt;DATE(2026,9,13),YEAR(Customers!I637)&lt;1980),"Implausible date","")</f>
        <v/>
      </c>
      <c r="J637" s="4" t="str">
        <f>IF(Customers!I637&gt;DATE(2026,9,13),"",IF(ABS(INT((DATE(2026,9,13)-Customers!I637)/365.25)-Customers!H637)&gt;1,"Date/tenure inconsistent",""))</f>
        <v/>
      </c>
      <c r="K637" s="4" t="str">
        <f>IF(COUNTIF(Customers!$A$2:$A$1001,Customers!A637)&gt;1,"Duplicate ID","")</f>
        <v/>
      </c>
      <c r="L637" s="4" t="str">
        <f>IF(COUNTIFS(Customers!$B$2:$B$1001,Customers!B637,Customers!$D$2:$D$1001,Customers!D637,Customers!$G$2:$G$1001,Customers!G637,Customers!$I$2:$I$1001,Customers!I637,Customers!$L$2:$L$1001,Customers!L637)&gt;1,"Duplicate record","")</f>
        <v/>
      </c>
      <c r="M637" s="4" t="str">
        <f>IF(OR(Customers!U637&lt;300,Customers!U637&gt;850),"Score out of range","")</f>
        <v/>
      </c>
      <c r="N637" s="4" t="str">
        <f>IF(AND(Customers!G637&lt;&gt;"",Customers!G637&lt;=0),"Income ≤ 0","")</f>
        <v/>
      </c>
      <c r="O637" s="4" t="str">
        <f>IF(OR(Customers!G637="",Customers!M637=""),"Missing value","")</f>
        <v/>
      </c>
      <c r="P637" s="4">
        <f t="shared" si="9"/>
        <v>0</v>
      </c>
    </row>
    <row r="638" spans="1:16" x14ac:dyDescent="0.25">
      <c r="A638" s="4" t="str">
        <f>Customers!A638</f>
        <v>CL00632</v>
      </c>
      <c r="B638" s="20">
        <f>IF(Customers!G638="","",(Customers!G638-Statistics!$C$7)/Statistics!$C$9)</f>
        <v>-4.8536445529769386E-2</v>
      </c>
      <c r="C638" s="4" t="str">
        <f>IF(Customers!G638="","",IF(OR(Customers!G638&lt;Statistics!$C$15,Customers!G638&gt;Statistics!$C$16),"Outside 1.5·IQR",""))</f>
        <v/>
      </c>
      <c r="D638" s="4" t="str">
        <f>IF(OR(Customers!B638&lt;18,Customers!B638&gt;100),"Implausible age","")</f>
        <v/>
      </c>
      <c r="E638" s="4" t="str">
        <f>IF(Customers!H638&gt;Customers!B638-18,"Tenure &gt; age-18","")</f>
        <v/>
      </c>
      <c r="F638" s="4" t="str">
        <f>IF(Customers!R638&gt;Customers!Q638,"Card spend &gt; limit","")</f>
        <v/>
      </c>
      <c r="G638" s="4" t="str">
        <f>IF(OR(AND(Customers!S638&gt;0,Customers!T638=0),AND(Customers!S638=0,Customers!T638&gt;0)),"Mortgage/payment inconsistent","")</f>
        <v/>
      </c>
      <c r="H638" s="4" t="str">
        <f>IF(AND(Customers!G638&lt;&gt;"",Customers!G638&gt;0,Customers!T638&gt;Customers!G638/12),"Payment &gt; monthly income","")</f>
        <v/>
      </c>
      <c r="I638" s="4" t="str">
        <f>IF(OR(Customers!I638&gt;DATE(2026,9,13),YEAR(Customers!I638)&lt;1980),"Implausible date","")</f>
        <v/>
      </c>
      <c r="J638" s="4" t="str">
        <f>IF(Customers!I638&gt;DATE(2026,9,13),"",IF(ABS(INT((DATE(2026,9,13)-Customers!I638)/365.25)-Customers!H638)&gt;1,"Date/tenure inconsistent",""))</f>
        <v/>
      </c>
      <c r="K638" s="4" t="str">
        <f>IF(COUNTIF(Customers!$A$2:$A$1001,Customers!A638)&gt;1,"Duplicate ID","")</f>
        <v/>
      </c>
      <c r="L638" s="4" t="str">
        <f>IF(COUNTIFS(Customers!$B$2:$B$1001,Customers!B638,Customers!$D$2:$D$1001,Customers!D638,Customers!$G$2:$G$1001,Customers!G638,Customers!$I$2:$I$1001,Customers!I638,Customers!$L$2:$L$1001,Customers!L638)&gt;1,"Duplicate record","")</f>
        <v/>
      </c>
      <c r="M638" s="4" t="str">
        <f>IF(OR(Customers!U638&lt;300,Customers!U638&gt;850),"Score out of range","")</f>
        <v/>
      </c>
      <c r="N638" s="4" t="str">
        <f>IF(AND(Customers!G638&lt;&gt;"",Customers!G638&lt;=0),"Income ≤ 0","")</f>
        <v/>
      </c>
      <c r="O638" s="4" t="str">
        <f>IF(OR(Customers!G638="",Customers!M638=""),"Missing value","")</f>
        <v/>
      </c>
      <c r="P638" s="4">
        <f t="shared" si="9"/>
        <v>0</v>
      </c>
    </row>
    <row r="639" spans="1:16" x14ac:dyDescent="0.25">
      <c r="A639" s="4" t="str">
        <f>Customers!A639</f>
        <v>CL00633</v>
      </c>
      <c r="B639" s="20">
        <f>IF(Customers!G639="","",(Customers!G639-Statistics!$C$7)/Statistics!$C$9)</f>
        <v>-4.8339460848683846E-2</v>
      </c>
      <c r="C639" s="4" t="str">
        <f>IF(Customers!G639="","",IF(OR(Customers!G639&lt;Statistics!$C$15,Customers!G639&gt;Statistics!$C$16),"Outside 1.5·IQR",""))</f>
        <v/>
      </c>
      <c r="D639" s="4" t="str">
        <f>IF(OR(Customers!B639&lt;18,Customers!B639&gt;100),"Implausible age","")</f>
        <v/>
      </c>
      <c r="E639" s="4" t="str">
        <f>IF(Customers!H639&gt;Customers!B639-18,"Tenure &gt; age-18","")</f>
        <v/>
      </c>
      <c r="F639" s="4" t="str">
        <f>IF(Customers!R639&gt;Customers!Q639,"Card spend &gt; limit","")</f>
        <v/>
      </c>
      <c r="G639" s="4" t="str">
        <f>IF(OR(AND(Customers!S639&gt;0,Customers!T639=0),AND(Customers!S639=0,Customers!T639&gt;0)),"Mortgage/payment inconsistent","")</f>
        <v/>
      </c>
      <c r="H639" s="4" t="str">
        <f>IF(AND(Customers!G639&lt;&gt;"",Customers!G639&gt;0,Customers!T639&gt;Customers!G639/12),"Payment &gt; monthly income","")</f>
        <v/>
      </c>
      <c r="I639" s="4" t="str">
        <f>IF(OR(Customers!I639&gt;DATE(2026,9,13),YEAR(Customers!I639)&lt;1980),"Implausible date","")</f>
        <v/>
      </c>
      <c r="J639" s="4" t="str">
        <f>IF(Customers!I639&gt;DATE(2026,9,13),"",IF(ABS(INT((DATE(2026,9,13)-Customers!I639)/365.25)-Customers!H639)&gt;1,"Date/tenure inconsistent",""))</f>
        <v/>
      </c>
      <c r="K639" s="4" t="str">
        <f>IF(COUNTIF(Customers!$A$2:$A$1001,Customers!A639)&gt;1,"Duplicate ID","")</f>
        <v/>
      </c>
      <c r="L639" s="4" t="str">
        <f>IF(COUNTIFS(Customers!$B$2:$B$1001,Customers!B639,Customers!$D$2:$D$1001,Customers!D639,Customers!$G$2:$G$1001,Customers!G639,Customers!$I$2:$I$1001,Customers!I639,Customers!$L$2:$L$1001,Customers!L639)&gt;1,"Duplicate record","")</f>
        <v/>
      </c>
      <c r="M639" s="4" t="str">
        <f>IF(OR(Customers!U639&lt;300,Customers!U639&gt;850),"Score out of range","")</f>
        <v/>
      </c>
      <c r="N639" s="4" t="str">
        <f>IF(AND(Customers!G639&lt;&gt;"",Customers!G639&lt;=0),"Income ≤ 0","")</f>
        <v/>
      </c>
      <c r="O639" s="4" t="str">
        <f>IF(OR(Customers!G639="",Customers!M639=""),"Missing value","")</f>
        <v/>
      </c>
      <c r="P639" s="4">
        <f t="shared" si="9"/>
        <v>0</v>
      </c>
    </row>
    <row r="640" spans="1:16" x14ac:dyDescent="0.25">
      <c r="A640" s="4" t="str">
        <f>Customers!A640</f>
        <v>CL00634</v>
      </c>
      <c r="B640" s="20">
        <f>IF(Customers!G640="","",(Customers!G640-Statistics!$C$7)/Statistics!$C$9)</f>
        <v>-5.0013830637910948E-2</v>
      </c>
      <c r="C640" s="4" t="str">
        <f>IF(Customers!G640="","",IF(OR(Customers!G640&lt;Statistics!$C$15,Customers!G640&gt;Statistics!$C$16),"Outside 1.5·IQR",""))</f>
        <v/>
      </c>
      <c r="D640" s="4" t="str">
        <f>IF(OR(Customers!B640&lt;18,Customers!B640&gt;100),"Implausible age","")</f>
        <v/>
      </c>
      <c r="E640" s="4" t="str">
        <f>IF(Customers!H640&gt;Customers!B640-18,"Tenure &gt; age-18","")</f>
        <v/>
      </c>
      <c r="F640" s="4" t="str">
        <f>IF(Customers!R640&gt;Customers!Q640,"Card spend &gt; limit","")</f>
        <v/>
      </c>
      <c r="G640" s="4" t="str">
        <f>IF(OR(AND(Customers!S640&gt;0,Customers!T640=0),AND(Customers!S640=0,Customers!T640&gt;0)),"Mortgage/payment inconsistent","")</f>
        <v/>
      </c>
      <c r="H640" s="4" t="str">
        <f>IF(AND(Customers!G640&lt;&gt;"",Customers!G640&gt;0,Customers!T640&gt;Customers!G640/12),"Payment &gt; monthly income","")</f>
        <v/>
      </c>
      <c r="I640" s="4" t="str">
        <f>IF(OR(Customers!I640&gt;DATE(2026,9,13),YEAR(Customers!I640)&lt;1980),"Implausible date","")</f>
        <v/>
      </c>
      <c r="J640" s="4" t="str">
        <f>IF(Customers!I640&gt;DATE(2026,9,13),"",IF(ABS(INT((DATE(2026,9,13)-Customers!I640)/365.25)-Customers!H640)&gt;1,"Date/tenure inconsistent",""))</f>
        <v/>
      </c>
      <c r="K640" s="4" t="str">
        <f>IF(COUNTIF(Customers!$A$2:$A$1001,Customers!A640)&gt;1,"Duplicate ID","")</f>
        <v/>
      </c>
      <c r="L640" s="4" t="str">
        <f>IF(COUNTIFS(Customers!$B$2:$B$1001,Customers!B640,Customers!$D$2:$D$1001,Customers!D640,Customers!$G$2:$G$1001,Customers!G640,Customers!$I$2:$I$1001,Customers!I640,Customers!$L$2:$L$1001,Customers!L640)&gt;1,"Duplicate record","")</f>
        <v/>
      </c>
      <c r="M640" s="4" t="str">
        <f>IF(OR(Customers!U640&lt;300,Customers!U640&gt;850),"Score out of range","")</f>
        <v/>
      </c>
      <c r="N640" s="4" t="str">
        <f>IF(AND(Customers!G640&lt;&gt;"",Customers!G640&lt;=0),"Income ≤ 0","")</f>
        <v/>
      </c>
      <c r="O640" s="4" t="str">
        <f>IF(OR(Customers!G640="",Customers!M640=""),"Missing value","")</f>
        <v/>
      </c>
      <c r="P640" s="4">
        <f t="shared" si="9"/>
        <v>0</v>
      </c>
    </row>
    <row r="641" spans="1:16" x14ac:dyDescent="0.25">
      <c r="A641" s="4" t="str">
        <f>Customers!A641</f>
        <v>CL00635</v>
      </c>
      <c r="B641" s="20">
        <f>IF(Customers!G641="","",(Customers!G641-Statistics!$C$7)/Statistics!$C$9)</f>
        <v>-1.9678189750737516E-2</v>
      </c>
      <c r="C641" s="4" t="str">
        <f>IF(Customers!G641="","",IF(OR(Customers!G641&lt;Statistics!$C$15,Customers!G641&gt;Statistics!$C$16),"Outside 1.5·IQR",""))</f>
        <v/>
      </c>
      <c r="D641" s="4" t="str">
        <f>IF(OR(Customers!B641&lt;18,Customers!B641&gt;100),"Implausible age","")</f>
        <v/>
      </c>
      <c r="E641" s="4" t="str">
        <f>IF(Customers!H641&gt;Customers!B641-18,"Tenure &gt; age-18","")</f>
        <v/>
      </c>
      <c r="F641" s="4" t="str">
        <f>IF(Customers!R641&gt;Customers!Q641,"Card spend &gt; limit","")</f>
        <v/>
      </c>
      <c r="G641" s="4" t="str">
        <f>IF(OR(AND(Customers!S641&gt;0,Customers!T641=0),AND(Customers!S641=0,Customers!T641&gt;0)),"Mortgage/payment inconsistent","")</f>
        <v/>
      </c>
      <c r="H641" s="4" t="str">
        <f>IF(AND(Customers!G641&lt;&gt;"",Customers!G641&gt;0,Customers!T641&gt;Customers!G641/12),"Payment &gt; monthly income","")</f>
        <v/>
      </c>
      <c r="I641" s="4" t="str">
        <f>IF(OR(Customers!I641&gt;DATE(2026,9,13),YEAR(Customers!I641)&lt;1980),"Implausible date","")</f>
        <v/>
      </c>
      <c r="J641" s="4" t="str">
        <f>IF(Customers!I641&gt;DATE(2026,9,13),"",IF(ABS(INT((DATE(2026,9,13)-Customers!I641)/365.25)-Customers!H641)&gt;1,"Date/tenure inconsistent",""))</f>
        <v/>
      </c>
      <c r="K641" s="4" t="str">
        <f>IF(COUNTIF(Customers!$A$2:$A$1001,Customers!A641)&gt;1,"Duplicate ID","")</f>
        <v/>
      </c>
      <c r="L641" s="4" t="str">
        <f>IF(COUNTIFS(Customers!$B$2:$B$1001,Customers!B641,Customers!$D$2:$D$1001,Customers!D641,Customers!$G$2:$G$1001,Customers!G641,Customers!$I$2:$I$1001,Customers!I641,Customers!$L$2:$L$1001,Customers!L641)&gt;1,"Duplicate record","")</f>
        <v/>
      </c>
      <c r="M641" s="4" t="str">
        <f>IF(OR(Customers!U641&lt;300,Customers!U641&gt;850),"Score out of range","")</f>
        <v/>
      </c>
      <c r="N641" s="4" t="str">
        <f>IF(AND(Customers!G641&lt;&gt;"",Customers!G641&lt;=0),"Income ≤ 0","")</f>
        <v/>
      </c>
      <c r="O641" s="4" t="str">
        <f>IF(OR(Customers!G641="",Customers!M641=""),"Missing value","")</f>
        <v/>
      </c>
      <c r="P641" s="4">
        <f t="shared" si="9"/>
        <v>0</v>
      </c>
    </row>
    <row r="642" spans="1:16" x14ac:dyDescent="0.25">
      <c r="A642" s="4" t="str">
        <f>Customers!A642</f>
        <v>CL00636</v>
      </c>
      <c r="B642" s="20">
        <f>IF(Customers!G642="","",(Customers!G642-Statistics!$C$7)/Statistics!$C$9)</f>
        <v>-3.1497270615870022E-2</v>
      </c>
      <c r="C642" s="4" t="str">
        <f>IF(Customers!G642="","",IF(OR(Customers!G642&lt;Statistics!$C$15,Customers!G642&gt;Statistics!$C$16),"Outside 1.5·IQR",""))</f>
        <v/>
      </c>
      <c r="D642" s="4" t="str">
        <f>IF(OR(Customers!B642&lt;18,Customers!B642&gt;100),"Implausible age","")</f>
        <v/>
      </c>
      <c r="E642" s="4" t="str">
        <f>IF(Customers!H642&gt;Customers!B642-18,"Tenure &gt; age-18","")</f>
        <v/>
      </c>
      <c r="F642" s="4" t="str">
        <f>IF(Customers!R642&gt;Customers!Q642,"Card spend &gt; limit","")</f>
        <v/>
      </c>
      <c r="G642" s="4" t="str">
        <f>IF(OR(AND(Customers!S642&gt;0,Customers!T642=0),AND(Customers!S642=0,Customers!T642&gt;0)),"Mortgage/payment inconsistent","")</f>
        <v/>
      </c>
      <c r="H642" s="4" t="str">
        <f>IF(AND(Customers!G642&lt;&gt;"",Customers!G642&gt;0,Customers!T642&gt;Customers!G642/12),"Payment &gt; monthly income","")</f>
        <v/>
      </c>
      <c r="I642" s="4" t="str">
        <f>IF(OR(Customers!I642&gt;DATE(2026,9,13),YEAR(Customers!I642)&lt;1980),"Implausible date","")</f>
        <v/>
      </c>
      <c r="J642" s="4" t="str">
        <f>IF(Customers!I642&gt;DATE(2026,9,13),"",IF(ABS(INT((DATE(2026,9,13)-Customers!I642)/365.25)-Customers!H642)&gt;1,"Date/tenure inconsistent",""))</f>
        <v/>
      </c>
      <c r="K642" s="4" t="str">
        <f>IF(COUNTIF(Customers!$A$2:$A$1001,Customers!A642)&gt;1,"Duplicate ID","")</f>
        <v/>
      </c>
      <c r="L642" s="4" t="str">
        <f>IF(COUNTIFS(Customers!$B$2:$B$1001,Customers!B642,Customers!$D$2:$D$1001,Customers!D642,Customers!$G$2:$G$1001,Customers!G642,Customers!$I$2:$I$1001,Customers!I642,Customers!$L$2:$L$1001,Customers!L642)&gt;1,"Duplicate record","")</f>
        <v/>
      </c>
      <c r="M642" s="4" t="str">
        <f>IF(OR(Customers!U642&lt;300,Customers!U642&gt;850),"Score out of range","")</f>
        <v/>
      </c>
      <c r="N642" s="4" t="str">
        <f>IF(AND(Customers!G642&lt;&gt;"",Customers!G642&lt;=0),"Income ≤ 0","")</f>
        <v/>
      </c>
      <c r="O642" s="4" t="str">
        <f>IF(OR(Customers!G642="",Customers!M642=""),"Missing value","")</f>
        <v/>
      </c>
      <c r="P642" s="4">
        <f t="shared" ref="P642:P705" si="10">SUMPRODUCT(--(C642:O642&lt;&gt;""))</f>
        <v>0</v>
      </c>
    </row>
    <row r="643" spans="1:16" x14ac:dyDescent="0.25">
      <c r="A643" s="4" t="str">
        <f>Customers!A643</f>
        <v>CL00637</v>
      </c>
      <c r="B643" s="20">
        <f>IF(Customers!G643="","",(Customers!G643-Statistics!$C$7)/Statistics!$C$9)</f>
        <v>-3.5239979556495313E-2</v>
      </c>
      <c r="C643" s="4" t="str">
        <f>IF(Customers!G643="","",IF(OR(Customers!G643&lt;Statistics!$C$15,Customers!G643&gt;Statistics!$C$16),"Outside 1.5·IQR",""))</f>
        <v/>
      </c>
      <c r="D643" s="4" t="str">
        <f>IF(OR(Customers!B643&lt;18,Customers!B643&gt;100),"Implausible age","")</f>
        <v/>
      </c>
      <c r="E643" s="4" t="str">
        <f>IF(Customers!H643&gt;Customers!B643-18,"Tenure &gt; age-18","")</f>
        <v/>
      </c>
      <c r="F643" s="4" t="str">
        <f>IF(Customers!R643&gt;Customers!Q643,"Card spend &gt; limit","")</f>
        <v/>
      </c>
      <c r="G643" s="4" t="str">
        <f>IF(OR(AND(Customers!S643&gt;0,Customers!T643=0),AND(Customers!S643=0,Customers!T643&gt;0)),"Mortgage/payment inconsistent","")</f>
        <v/>
      </c>
      <c r="H643" s="4" t="str">
        <f>IF(AND(Customers!G643&lt;&gt;"",Customers!G643&gt;0,Customers!T643&gt;Customers!G643/12),"Payment &gt; monthly income","")</f>
        <v/>
      </c>
      <c r="I643" s="4" t="str">
        <f>IF(OR(Customers!I643&gt;DATE(2026,9,13),YEAR(Customers!I643)&lt;1980),"Implausible date","")</f>
        <v/>
      </c>
      <c r="J643" s="4" t="str">
        <f>IF(Customers!I643&gt;DATE(2026,9,13),"",IF(ABS(INT((DATE(2026,9,13)-Customers!I643)/365.25)-Customers!H643)&gt;1,"Date/tenure inconsistent",""))</f>
        <v/>
      </c>
      <c r="K643" s="4" t="str">
        <f>IF(COUNTIF(Customers!$A$2:$A$1001,Customers!A643)&gt;1,"Duplicate ID","")</f>
        <v/>
      </c>
      <c r="L643" s="4" t="str">
        <f>IF(COUNTIFS(Customers!$B$2:$B$1001,Customers!B643,Customers!$D$2:$D$1001,Customers!D643,Customers!$G$2:$G$1001,Customers!G643,Customers!$I$2:$I$1001,Customers!I643,Customers!$L$2:$L$1001,Customers!L643)&gt;1,"Duplicate record","")</f>
        <v/>
      </c>
      <c r="M643" s="4" t="str">
        <f>IF(OR(Customers!U643&lt;300,Customers!U643&gt;850),"Score out of range","")</f>
        <v/>
      </c>
      <c r="N643" s="4" t="str">
        <f>IF(AND(Customers!G643&lt;&gt;"",Customers!G643&lt;=0),"Income ≤ 0","")</f>
        <v/>
      </c>
      <c r="O643" s="4" t="str">
        <f>IF(OR(Customers!G643="",Customers!M643=""),"Missing value","")</f>
        <v/>
      </c>
      <c r="P643" s="4">
        <f t="shared" si="10"/>
        <v>0</v>
      </c>
    </row>
    <row r="644" spans="1:16" x14ac:dyDescent="0.25">
      <c r="A644" s="4" t="str">
        <f>Customers!A644</f>
        <v>CL00638</v>
      </c>
      <c r="B644" s="20">
        <f>IF(Customers!G644="","",(Customers!G644-Statistics!$C$7)/Statistics!$C$9)</f>
        <v>-4.9816845956825409E-2</v>
      </c>
      <c r="C644" s="4" t="str">
        <f>IF(Customers!G644="","",IF(OR(Customers!G644&lt;Statistics!$C$15,Customers!G644&gt;Statistics!$C$16),"Outside 1.5·IQR",""))</f>
        <v/>
      </c>
      <c r="D644" s="4" t="str">
        <f>IF(OR(Customers!B644&lt;18,Customers!B644&gt;100),"Implausible age","")</f>
        <v/>
      </c>
      <c r="E644" s="4" t="str">
        <f>IF(Customers!H644&gt;Customers!B644-18,"Tenure &gt; age-18","")</f>
        <v/>
      </c>
      <c r="F644" s="4" t="str">
        <f>IF(Customers!R644&gt;Customers!Q644,"Card spend &gt; limit","")</f>
        <v/>
      </c>
      <c r="G644" s="4" t="str">
        <f>IF(OR(AND(Customers!S644&gt;0,Customers!T644=0),AND(Customers!S644=0,Customers!T644&gt;0)),"Mortgage/payment inconsistent","")</f>
        <v/>
      </c>
      <c r="H644" s="4" t="str">
        <f>IF(AND(Customers!G644&lt;&gt;"",Customers!G644&gt;0,Customers!T644&gt;Customers!G644/12),"Payment &gt; monthly income","")</f>
        <v/>
      </c>
      <c r="I644" s="4" t="str">
        <f>IF(OR(Customers!I644&gt;DATE(2026,9,13),YEAR(Customers!I644)&lt;1980),"Implausible date","")</f>
        <v/>
      </c>
      <c r="J644" s="4" t="str">
        <f>IF(Customers!I644&gt;DATE(2026,9,13),"",IF(ABS(INT((DATE(2026,9,13)-Customers!I644)/365.25)-Customers!H644)&gt;1,"Date/tenure inconsistent",""))</f>
        <v/>
      </c>
      <c r="K644" s="4" t="str">
        <f>IF(COUNTIF(Customers!$A$2:$A$1001,Customers!A644)&gt;1,"Duplicate ID","")</f>
        <v/>
      </c>
      <c r="L644" s="4" t="str">
        <f>IF(COUNTIFS(Customers!$B$2:$B$1001,Customers!B644,Customers!$D$2:$D$1001,Customers!D644,Customers!$G$2:$G$1001,Customers!G644,Customers!$I$2:$I$1001,Customers!I644,Customers!$L$2:$L$1001,Customers!L644)&gt;1,"Duplicate record","")</f>
        <v/>
      </c>
      <c r="M644" s="4" t="str">
        <f>IF(OR(Customers!U644&lt;300,Customers!U644&gt;850),"Score out of range","")</f>
        <v/>
      </c>
      <c r="N644" s="4" t="str">
        <f>IF(AND(Customers!G644&lt;&gt;"",Customers!G644&lt;=0),"Income ≤ 0","")</f>
        <v/>
      </c>
      <c r="O644" s="4" t="str">
        <f>IF(OR(Customers!G644="",Customers!M644=""),"Missing value","")</f>
        <v/>
      </c>
      <c r="P644" s="4">
        <f t="shared" si="10"/>
        <v>0</v>
      </c>
    </row>
    <row r="645" spans="1:16" x14ac:dyDescent="0.25">
      <c r="A645" s="4" t="str">
        <f>Customers!A645</f>
        <v>CL00639</v>
      </c>
      <c r="B645" s="20">
        <f>IF(Customers!G645="","",(Customers!G645-Statistics!$C$7)/Statistics!$C$9)</f>
        <v>-3.7111334026807961E-2</v>
      </c>
      <c r="C645" s="4" t="str">
        <f>IF(Customers!G645="","",IF(OR(Customers!G645&lt;Statistics!$C$15,Customers!G645&gt;Statistics!$C$16),"Outside 1.5·IQR",""))</f>
        <v/>
      </c>
      <c r="D645" s="4" t="str">
        <f>IF(OR(Customers!B645&lt;18,Customers!B645&gt;100),"Implausible age","")</f>
        <v/>
      </c>
      <c r="E645" s="4" t="str">
        <f>IF(Customers!H645&gt;Customers!B645-18,"Tenure &gt; age-18","")</f>
        <v>Tenure &gt; age-18</v>
      </c>
      <c r="F645" s="4" t="str">
        <f>IF(Customers!R645&gt;Customers!Q645,"Card spend &gt; limit","")</f>
        <v/>
      </c>
      <c r="G645" s="4" t="str">
        <f>IF(OR(AND(Customers!S645&gt;0,Customers!T645=0),AND(Customers!S645=0,Customers!T645&gt;0)),"Mortgage/payment inconsistent","")</f>
        <v/>
      </c>
      <c r="H645" s="4" t="str">
        <f>IF(AND(Customers!G645&lt;&gt;"",Customers!G645&gt;0,Customers!T645&gt;Customers!G645/12),"Payment &gt; monthly income","")</f>
        <v/>
      </c>
      <c r="I645" s="4" t="str">
        <f>IF(OR(Customers!I645&gt;DATE(2026,9,13),YEAR(Customers!I645)&lt;1980),"Implausible date","")</f>
        <v/>
      </c>
      <c r="J645" s="4" t="str">
        <f>IF(Customers!I645&gt;DATE(2026,9,13),"",IF(ABS(INT((DATE(2026,9,13)-Customers!I645)/365.25)-Customers!H645)&gt;1,"Date/tenure inconsistent",""))</f>
        <v/>
      </c>
      <c r="K645" s="4" t="str">
        <f>IF(COUNTIF(Customers!$A$2:$A$1001,Customers!A645)&gt;1,"Duplicate ID","")</f>
        <v/>
      </c>
      <c r="L645" s="4" t="str">
        <f>IF(COUNTIFS(Customers!$B$2:$B$1001,Customers!B645,Customers!$D$2:$D$1001,Customers!D645,Customers!$G$2:$G$1001,Customers!G645,Customers!$I$2:$I$1001,Customers!I645,Customers!$L$2:$L$1001,Customers!L645)&gt;1,"Duplicate record","")</f>
        <v/>
      </c>
      <c r="M645" s="4" t="str">
        <f>IF(OR(Customers!U645&lt;300,Customers!U645&gt;850),"Score out of range","")</f>
        <v/>
      </c>
      <c r="N645" s="4" t="str">
        <f>IF(AND(Customers!G645&lt;&gt;"",Customers!G645&lt;=0),"Income ≤ 0","")</f>
        <v/>
      </c>
      <c r="O645" s="4" t="str">
        <f>IF(OR(Customers!G645="",Customers!M645=""),"Missing value","")</f>
        <v/>
      </c>
      <c r="P645" s="4">
        <f t="shared" si="10"/>
        <v>1</v>
      </c>
    </row>
    <row r="646" spans="1:16" x14ac:dyDescent="0.25">
      <c r="A646" s="4" t="str">
        <f>Customers!A646</f>
        <v>CL00640</v>
      </c>
      <c r="B646" s="20">
        <f>IF(Customers!G646="","",(Customers!G646-Statistics!$C$7)/Statistics!$C$9)</f>
        <v>-6.7151497892353085E-2</v>
      </c>
      <c r="C646" s="4" t="str">
        <f>IF(Customers!G646="","",IF(OR(Customers!G646&lt;Statistics!$C$15,Customers!G646&gt;Statistics!$C$16),"Outside 1.5·IQR",""))</f>
        <v/>
      </c>
      <c r="D646" s="4" t="str">
        <f>IF(OR(Customers!B646&lt;18,Customers!B646&gt;100),"Implausible age","")</f>
        <v/>
      </c>
      <c r="E646" s="4" t="str">
        <f>IF(Customers!H646&gt;Customers!B646-18,"Tenure &gt; age-18","")</f>
        <v/>
      </c>
      <c r="F646" s="4" t="str">
        <f>IF(Customers!R646&gt;Customers!Q646,"Card spend &gt; limit","")</f>
        <v/>
      </c>
      <c r="G646" s="4" t="str">
        <f>IF(OR(AND(Customers!S646&gt;0,Customers!T646=0),AND(Customers!S646=0,Customers!T646&gt;0)),"Mortgage/payment inconsistent","")</f>
        <v/>
      </c>
      <c r="H646" s="4" t="str">
        <f>IF(AND(Customers!G646&lt;&gt;"",Customers!G646&gt;0,Customers!T646&gt;Customers!G646/12),"Payment &gt; monthly income","")</f>
        <v/>
      </c>
      <c r="I646" s="4" t="str">
        <f>IF(OR(Customers!I646&gt;DATE(2026,9,13),YEAR(Customers!I646)&lt;1980),"Implausible date","")</f>
        <v/>
      </c>
      <c r="J646" s="4" t="str">
        <f>IF(Customers!I646&gt;DATE(2026,9,13),"",IF(ABS(INT((DATE(2026,9,13)-Customers!I646)/365.25)-Customers!H646)&gt;1,"Date/tenure inconsistent",""))</f>
        <v/>
      </c>
      <c r="K646" s="4" t="str">
        <f>IF(COUNTIF(Customers!$A$2:$A$1001,Customers!A646)&gt;1,"Duplicate ID","")</f>
        <v/>
      </c>
      <c r="L646" s="4" t="str">
        <f>IF(COUNTIFS(Customers!$B$2:$B$1001,Customers!B646,Customers!$D$2:$D$1001,Customers!D646,Customers!$G$2:$G$1001,Customers!G646,Customers!$I$2:$I$1001,Customers!I646,Customers!$L$2:$L$1001,Customers!L646)&gt;1,"Duplicate record","")</f>
        <v/>
      </c>
      <c r="M646" s="4" t="str">
        <f>IF(OR(Customers!U646&lt;300,Customers!U646&gt;850),"Score out of range","")</f>
        <v/>
      </c>
      <c r="N646" s="4" t="str">
        <f>IF(AND(Customers!G646&lt;&gt;"",Customers!G646&lt;=0),"Income ≤ 0","")</f>
        <v/>
      </c>
      <c r="O646" s="4" t="str">
        <f>IF(OR(Customers!G646="",Customers!M646=""),"Missing value","")</f>
        <v/>
      </c>
      <c r="P646" s="4">
        <f t="shared" si="10"/>
        <v>0</v>
      </c>
    </row>
    <row r="647" spans="1:16" x14ac:dyDescent="0.25">
      <c r="A647" s="4" t="str">
        <f>Customers!A647</f>
        <v>CL00641</v>
      </c>
      <c r="B647" s="20">
        <f>IF(Customers!G647="","",(Customers!G647-Statistics!$C$7)/Statistics!$C$9)</f>
        <v>-4.183896637286097E-2</v>
      </c>
      <c r="C647" s="4" t="str">
        <f>IF(Customers!G647="","",IF(OR(Customers!G647&lt;Statistics!$C$15,Customers!G647&gt;Statistics!$C$16),"Outside 1.5·IQR",""))</f>
        <v/>
      </c>
      <c r="D647" s="4" t="str">
        <f>IF(OR(Customers!B647&lt;18,Customers!B647&gt;100),"Implausible age","")</f>
        <v/>
      </c>
      <c r="E647" s="4" t="str">
        <f>IF(Customers!H647&gt;Customers!B647-18,"Tenure &gt; age-18","")</f>
        <v/>
      </c>
      <c r="F647" s="4" t="str">
        <f>IF(Customers!R647&gt;Customers!Q647,"Card spend &gt; limit","")</f>
        <v/>
      </c>
      <c r="G647" s="4" t="str">
        <f>IF(OR(AND(Customers!S647&gt;0,Customers!T647=0),AND(Customers!S647=0,Customers!T647&gt;0)),"Mortgage/payment inconsistent","")</f>
        <v/>
      </c>
      <c r="H647" s="4" t="str">
        <f>IF(AND(Customers!G647&lt;&gt;"",Customers!G647&gt;0,Customers!T647&gt;Customers!G647/12),"Payment &gt; monthly income","")</f>
        <v/>
      </c>
      <c r="I647" s="4" t="str">
        <f>IF(OR(Customers!I647&gt;DATE(2026,9,13),YEAR(Customers!I647)&lt;1980),"Implausible date","")</f>
        <v/>
      </c>
      <c r="J647" s="4" t="str">
        <f>IF(Customers!I647&gt;DATE(2026,9,13),"",IF(ABS(INT((DATE(2026,9,13)-Customers!I647)/365.25)-Customers!H647)&gt;1,"Date/tenure inconsistent",""))</f>
        <v/>
      </c>
      <c r="K647" s="4" t="str">
        <f>IF(COUNTIF(Customers!$A$2:$A$1001,Customers!A647)&gt;1,"Duplicate ID","")</f>
        <v/>
      </c>
      <c r="L647" s="4" t="str">
        <f>IF(COUNTIFS(Customers!$B$2:$B$1001,Customers!B647,Customers!$D$2:$D$1001,Customers!D647,Customers!$G$2:$G$1001,Customers!G647,Customers!$I$2:$I$1001,Customers!I647,Customers!$L$2:$L$1001,Customers!L647)&gt;1,"Duplicate record","")</f>
        <v/>
      </c>
      <c r="M647" s="4" t="str">
        <f>IF(OR(Customers!U647&lt;300,Customers!U647&gt;850),"Score out of range","")</f>
        <v/>
      </c>
      <c r="N647" s="4" t="str">
        <f>IF(AND(Customers!G647&lt;&gt;"",Customers!G647&lt;=0),"Income ≤ 0","")</f>
        <v/>
      </c>
      <c r="O647" s="4" t="str">
        <f>IF(OR(Customers!G647="",Customers!M647=""),"Missing value","")</f>
        <v/>
      </c>
      <c r="P647" s="4">
        <f t="shared" si="10"/>
        <v>0</v>
      </c>
    </row>
    <row r="648" spans="1:16" x14ac:dyDescent="0.25">
      <c r="A648" s="4" t="str">
        <f>Customers!A648</f>
        <v>CL00642</v>
      </c>
      <c r="B648" s="20">
        <f>IF(Customers!G648="","",(Customers!G648-Statistics!$C$7)/Statistics!$C$9)</f>
        <v>3.6068474996470812E-2</v>
      </c>
      <c r="C648" s="4" t="str">
        <f>IF(Customers!G648="","",IF(OR(Customers!G648&lt;Statistics!$C$15,Customers!G648&gt;Statistics!$C$16),"Outside 1.5·IQR",""))</f>
        <v>Outside 1.5·IQR</v>
      </c>
      <c r="D648" s="4" t="str">
        <f>IF(OR(Customers!B648&lt;18,Customers!B648&gt;100),"Implausible age","")</f>
        <v/>
      </c>
      <c r="E648" s="4" t="str">
        <f>IF(Customers!H648&gt;Customers!B648-18,"Tenure &gt; age-18","")</f>
        <v/>
      </c>
      <c r="F648" s="4" t="str">
        <f>IF(Customers!R648&gt;Customers!Q648,"Card spend &gt; limit","")</f>
        <v/>
      </c>
      <c r="G648" s="4" t="str">
        <f>IF(OR(AND(Customers!S648&gt;0,Customers!T648=0),AND(Customers!S648=0,Customers!T648&gt;0)),"Mortgage/payment inconsistent","")</f>
        <v/>
      </c>
      <c r="H648" s="4" t="str">
        <f>IF(AND(Customers!G648&lt;&gt;"",Customers!G648&gt;0,Customers!T648&gt;Customers!G648/12),"Payment &gt; monthly income","")</f>
        <v/>
      </c>
      <c r="I648" s="4" t="str">
        <f>IF(OR(Customers!I648&gt;DATE(2026,9,13),YEAR(Customers!I648)&lt;1980),"Implausible date","")</f>
        <v/>
      </c>
      <c r="J648" s="4" t="str">
        <f>IF(Customers!I648&gt;DATE(2026,9,13),"",IF(ABS(INT((DATE(2026,9,13)-Customers!I648)/365.25)-Customers!H648)&gt;1,"Date/tenure inconsistent",""))</f>
        <v/>
      </c>
      <c r="K648" s="4" t="str">
        <f>IF(COUNTIF(Customers!$A$2:$A$1001,Customers!A648)&gt;1,"Duplicate ID","")</f>
        <v/>
      </c>
      <c r="L648" s="4" t="str">
        <f>IF(COUNTIFS(Customers!$B$2:$B$1001,Customers!B648,Customers!$D$2:$D$1001,Customers!D648,Customers!$G$2:$G$1001,Customers!G648,Customers!$I$2:$I$1001,Customers!I648,Customers!$L$2:$L$1001,Customers!L648)&gt;1,"Duplicate record","")</f>
        <v/>
      </c>
      <c r="M648" s="4" t="str">
        <f>IF(OR(Customers!U648&lt;300,Customers!U648&gt;850),"Score out of range","")</f>
        <v/>
      </c>
      <c r="N648" s="4" t="str">
        <f>IF(AND(Customers!G648&lt;&gt;"",Customers!G648&lt;=0),"Income ≤ 0","")</f>
        <v/>
      </c>
      <c r="O648" s="4" t="str">
        <f>IF(OR(Customers!G648="",Customers!M648=""),"Missing value","")</f>
        <v/>
      </c>
      <c r="P648" s="4">
        <f t="shared" si="10"/>
        <v>1</v>
      </c>
    </row>
    <row r="649" spans="1:16" x14ac:dyDescent="0.25">
      <c r="A649" s="4" t="str">
        <f>Customers!A649</f>
        <v>CL00643</v>
      </c>
      <c r="B649" s="20">
        <f>IF(Customers!G649="","",(Customers!G649-Statistics!$C$7)/Statistics!$C$9)</f>
        <v>-4.9127399573026011E-2</v>
      </c>
      <c r="C649" s="4" t="str">
        <f>IF(Customers!G649="","",IF(OR(Customers!G649&lt;Statistics!$C$15,Customers!G649&gt;Statistics!$C$16),"Outside 1.5·IQR",""))</f>
        <v/>
      </c>
      <c r="D649" s="4" t="str">
        <f>IF(OR(Customers!B649&lt;18,Customers!B649&gt;100),"Implausible age","")</f>
        <v/>
      </c>
      <c r="E649" s="4" t="str">
        <f>IF(Customers!H649&gt;Customers!B649-18,"Tenure &gt; age-18","")</f>
        <v/>
      </c>
      <c r="F649" s="4" t="str">
        <f>IF(Customers!R649&gt;Customers!Q649,"Card spend &gt; limit","")</f>
        <v/>
      </c>
      <c r="G649" s="4" t="str">
        <f>IF(OR(AND(Customers!S649&gt;0,Customers!T649=0),AND(Customers!S649=0,Customers!T649&gt;0)),"Mortgage/payment inconsistent","")</f>
        <v/>
      </c>
      <c r="H649" s="4" t="str">
        <f>IF(AND(Customers!G649&lt;&gt;"",Customers!G649&gt;0,Customers!T649&gt;Customers!G649/12),"Payment &gt; monthly income","")</f>
        <v/>
      </c>
      <c r="I649" s="4" t="str">
        <f>IF(OR(Customers!I649&gt;DATE(2026,9,13),YEAR(Customers!I649)&lt;1980),"Implausible date","")</f>
        <v/>
      </c>
      <c r="J649" s="4" t="str">
        <f>IF(Customers!I649&gt;DATE(2026,9,13),"",IF(ABS(INT((DATE(2026,9,13)-Customers!I649)/365.25)-Customers!H649)&gt;1,"Date/tenure inconsistent",""))</f>
        <v/>
      </c>
      <c r="K649" s="4" t="str">
        <f>IF(COUNTIF(Customers!$A$2:$A$1001,Customers!A649)&gt;1,"Duplicate ID","")</f>
        <v/>
      </c>
      <c r="L649" s="4" t="str">
        <f>IF(COUNTIFS(Customers!$B$2:$B$1001,Customers!B649,Customers!$D$2:$D$1001,Customers!D649,Customers!$G$2:$G$1001,Customers!G649,Customers!$I$2:$I$1001,Customers!I649,Customers!$L$2:$L$1001,Customers!L649)&gt;1,"Duplicate record","")</f>
        <v/>
      </c>
      <c r="M649" s="4" t="str">
        <f>IF(OR(Customers!U649&lt;300,Customers!U649&gt;850),"Score out of range","")</f>
        <v/>
      </c>
      <c r="N649" s="4" t="str">
        <f>IF(AND(Customers!G649&lt;&gt;"",Customers!G649&lt;=0),"Income ≤ 0","")</f>
        <v/>
      </c>
      <c r="O649" s="4" t="str">
        <f>IF(OR(Customers!G649="",Customers!M649=""),"Missing value","")</f>
        <v/>
      </c>
      <c r="P649" s="4">
        <f t="shared" si="10"/>
        <v>0</v>
      </c>
    </row>
    <row r="650" spans="1:16" x14ac:dyDescent="0.25">
      <c r="A650" s="4" t="str">
        <f>Customers!A650</f>
        <v>CL00644</v>
      </c>
      <c r="B650" s="20">
        <f>IF(Customers!G650="","",(Customers!G650-Statistics!$C$7)/Statistics!$C$9)</f>
        <v>-5.0506292340624807E-2</v>
      </c>
      <c r="C650" s="4" t="str">
        <f>IF(Customers!G650="","",IF(OR(Customers!G650&lt;Statistics!$C$15,Customers!G650&gt;Statistics!$C$16),"Outside 1.5·IQR",""))</f>
        <v/>
      </c>
      <c r="D650" s="4" t="str">
        <f>IF(OR(Customers!B650&lt;18,Customers!B650&gt;100),"Implausible age","")</f>
        <v/>
      </c>
      <c r="E650" s="4" t="str">
        <f>IF(Customers!H650&gt;Customers!B650-18,"Tenure &gt; age-18","")</f>
        <v/>
      </c>
      <c r="F650" s="4" t="str">
        <f>IF(Customers!R650&gt;Customers!Q650,"Card spend &gt; limit","")</f>
        <v/>
      </c>
      <c r="G650" s="4" t="str">
        <f>IF(OR(AND(Customers!S650&gt;0,Customers!T650=0),AND(Customers!S650=0,Customers!T650&gt;0)),"Mortgage/payment inconsistent","")</f>
        <v/>
      </c>
      <c r="H650" s="4" t="str">
        <f>IF(AND(Customers!G650&lt;&gt;"",Customers!G650&gt;0,Customers!T650&gt;Customers!G650/12),"Payment &gt; monthly income","")</f>
        <v/>
      </c>
      <c r="I650" s="4" t="str">
        <f>IF(OR(Customers!I650&gt;DATE(2026,9,13),YEAR(Customers!I650)&lt;1980),"Implausible date","")</f>
        <v/>
      </c>
      <c r="J650" s="4" t="str">
        <f>IF(Customers!I650&gt;DATE(2026,9,13),"",IF(ABS(INT((DATE(2026,9,13)-Customers!I650)/365.25)-Customers!H650)&gt;1,"Date/tenure inconsistent",""))</f>
        <v/>
      </c>
      <c r="K650" s="4" t="str">
        <f>IF(COUNTIF(Customers!$A$2:$A$1001,Customers!A650)&gt;1,"Duplicate ID","")</f>
        <v/>
      </c>
      <c r="L650" s="4" t="str">
        <f>IF(COUNTIFS(Customers!$B$2:$B$1001,Customers!B650,Customers!$D$2:$D$1001,Customers!D650,Customers!$G$2:$G$1001,Customers!G650,Customers!$I$2:$I$1001,Customers!I650,Customers!$L$2:$L$1001,Customers!L650)&gt;1,"Duplicate record","")</f>
        <v/>
      </c>
      <c r="M650" s="4" t="str">
        <f>IF(OR(Customers!U650&lt;300,Customers!U650&gt;850),"Score out of range","")</f>
        <v/>
      </c>
      <c r="N650" s="4" t="str">
        <f>IF(AND(Customers!G650&lt;&gt;"",Customers!G650&lt;=0),"Income ≤ 0","")</f>
        <v/>
      </c>
      <c r="O650" s="4" t="str">
        <f>IF(OR(Customers!G650="",Customers!M650=""),"Missing value","")</f>
        <v/>
      </c>
      <c r="P650" s="4">
        <f t="shared" si="10"/>
        <v>0</v>
      </c>
    </row>
    <row r="651" spans="1:16" x14ac:dyDescent="0.25">
      <c r="A651" s="4" t="str">
        <f>Customers!A651</f>
        <v>CL00645</v>
      </c>
      <c r="B651" s="20">
        <f>IF(Customers!G651="","",(Customers!G651-Statistics!$C$7)/Statistics!$C$9)</f>
        <v>-6.6462051508553693E-2</v>
      </c>
      <c r="C651" s="4" t="str">
        <f>IF(Customers!G651="","",IF(OR(Customers!G651&lt;Statistics!$C$15,Customers!G651&gt;Statistics!$C$16),"Outside 1.5·IQR",""))</f>
        <v/>
      </c>
      <c r="D651" s="4" t="str">
        <f>IF(OR(Customers!B651&lt;18,Customers!B651&gt;100),"Implausible age","")</f>
        <v/>
      </c>
      <c r="E651" s="4" t="str">
        <f>IF(Customers!H651&gt;Customers!B651-18,"Tenure &gt; age-18","")</f>
        <v/>
      </c>
      <c r="F651" s="4" t="str">
        <f>IF(Customers!R651&gt;Customers!Q651,"Card spend &gt; limit","")</f>
        <v/>
      </c>
      <c r="G651" s="4" t="str">
        <f>IF(OR(AND(Customers!S651&gt;0,Customers!T651=0),AND(Customers!S651=0,Customers!T651&gt;0)),"Mortgage/payment inconsistent","")</f>
        <v/>
      </c>
      <c r="H651" s="4" t="str">
        <f>IF(AND(Customers!G651&lt;&gt;"",Customers!G651&gt;0,Customers!T651&gt;Customers!G651/12),"Payment &gt; monthly income","")</f>
        <v/>
      </c>
      <c r="I651" s="4" t="str">
        <f>IF(OR(Customers!I651&gt;DATE(2026,9,13),YEAR(Customers!I651)&lt;1980),"Implausible date","")</f>
        <v/>
      </c>
      <c r="J651" s="4" t="str">
        <f>IF(Customers!I651&gt;DATE(2026,9,13),"",IF(ABS(INT((DATE(2026,9,13)-Customers!I651)/365.25)-Customers!H651)&gt;1,"Date/tenure inconsistent",""))</f>
        <v/>
      </c>
      <c r="K651" s="4" t="str">
        <f>IF(COUNTIF(Customers!$A$2:$A$1001,Customers!A651)&gt;1,"Duplicate ID","")</f>
        <v/>
      </c>
      <c r="L651" s="4" t="str">
        <f>IF(COUNTIFS(Customers!$B$2:$B$1001,Customers!B651,Customers!$D$2:$D$1001,Customers!D651,Customers!$G$2:$G$1001,Customers!G651,Customers!$I$2:$I$1001,Customers!I651,Customers!$L$2:$L$1001,Customers!L651)&gt;1,"Duplicate record","")</f>
        <v/>
      </c>
      <c r="M651" s="4" t="str">
        <f>IF(OR(Customers!U651&lt;300,Customers!U651&gt;850),"Score out of range","")</f>
        <v/>
      </c>
      <c r="N651" s="4" t="str">
        <f>IF(AND(Customers!G651&lt;&gt;"",Customers!G651&lt;=0),"Income ≤ 0","")</f>
        <v/>
      </c>
      <c r="O651" s="4" t="str">
        <f>IF(OR(Customers!G651="",Customers!M651=""),"Missing value","")</f>
        <v/>
      </c>
      <c r="P651" s="4">
        <f t="shared" si="10"/>
        <v>0</v>
      </c>
    </row>
    <row r="652" spans="1:16" x14ac:dyDescent="0.25">
      <c r="A652" s="4" t="str">
        <f>Customers!A652</f>
        <v>CL00646</v>
      </c>
      <c r="B652" s="20">
        <f>IF(Customers!G652="","",(Customers!G652-Statistics!$C$7)/Statistics!$C$9)</f>
        <v>-4.9915338297368182E-2</v>
      </c>
      <c r="C652" s="4" t="str">
        <f>IF(Customers!G652="","",IF(OR(Customers!G652&lt;Statistics!$C$15,Customers!G652&gt;Statistics!$C$16),"Outside 1.5·IQR",""))</f>
        <v/>
      </c>
      <c r="D652" s="4" t="str">
        <f>IF(OR(Customers!B652&lt;18,Customers!B652&gt;100),"Implausible age","")</f>
        <v/>
      </c>
      <c r="E652" s="4" t="str">
        <f>IF(Customers!H652&gt;Customers!B652-18,"Tenure &gt; age-18","")</f>
        <v/>
      </c>
      <c r="F652" s="4" t="str">
        <f>IF(Customers!R652&gt;Customers!Q652,"Card spend &gt; limit","")</f>
        <v/>
      </c>
      <c r="G652" s="4" t="str">
        <f>IF(OR(AND(Customers!S652&gt;0,Customers!T652=0),AND(Customers!S652=0,Customers!T652&gt;0)),"Mortgage/payment inconsistent","")</f>
        <v/>
      </c>
      <c r="H652" s="4" t="str">
        <f>IF(AND(Customers!G652&lt;&gt;"",Customers!G652&gt;0,Customers!T652&gt;Customers!G652/12),"Payment &gt; monthly income","")</f>
        <v/>
      </c>
      <c r="I652" s="4" t="str">
        <f>IF(OR(Customers!I652&gt;DATE(2026,9,13),YEAR(Customers!I652)&lt;1980),"Implausible date","")</f>
        <v/>
      </c>
      <c r="J652" s="4" t="str">
        <f>IF(Customers!I652&gt;DATE(2026,9,13),"",IF(ABS(INT((DATE(2026,9,13)-Customers!I652)/365.25)-Customers!H652)&gt;1,"Date/tenure inconsistent",""))</f>
        <v/>
      </c>
      <c r="K652" s="4" t="str">
        <f>IF(COUNTIF(Customers!$A$2:$A$1001,Customers!A652)&gt;1,"Duplicate ID","")</f>
        <v/>
      </c>
      <c r="L652" s="4" t="str">
        <f>IF(COUNTIFS(Customers!$B$2:$B$1001,Customers!B652,Customers!$D$2:$D$1001,Customers!D652,Customers!$G$2:$G$1001,Customers!G652,Customers!$I$2:$I$1001,Customers!I652,Customers!$L$2:$L$1001,Customers!L652)&gt;1,"Duplicate record","")</f>
        <v/>
      </c>
      <c r="M652" s="4" t="str">
        <f>IF(OR(Customers!U652&lt;300,Customers!U652&gt;850),"Score out of range","")</f>
        <v/>
      </c>
      <c r="N652" s="4" t="str">
        <f>IF(AND(Customers!G652&lt;&gt;"",Customers!G652&lt;=0),"Income ≤ 0","")</f>
        <v/>
      </c>
      <c r="O652" s="4" t="str">
        <f>IF(OR(Customers!G652="",Customers!M652=""),"Missing value","")</f>
        <v/>
      </c>
      <c r="P652" s="4">
        <f t="shared" si="10"/>
        <v>0</v>
      </c>
    </row>
    <row r="653" spans="1:16" x14ac:dyDescent="0.25">
      <c r="A653" s="4" t="str">
        <f>Customers!A653</f>
        <v>CL00647</v>
      </c>
      <c r="B653" s="20">
        <f>IF(Customers!G653="","",(Customers!G653-Statistics!$C$7)/Statistics!$C$9)</f>
        <v>-4.6665091059456737E-2</v>
      </c>
      <c r="C653" s="4" t="str">
        <f>IF(Customers!G653="","",IF(OR(Customers!G653&lt;Statistics!$C$15,Customers!G653&gt;Statistics!$C$16),"Outside 1.5·IQR",""))</f>
        <v/>
      </c>
      <c r="D653" s="4" t="str">
        <f>IF(OR(Customers!B653&lt;18,Customers!B653&gt;100),"Implausible age","")</f>
        <v/>
      </c>
      <c r="E653" s="4" t="str">
        <f>IF(Customers!H653&gt;Customers!B653-18,"Tenure &gt; age-18","")</f>
        <v/>
      </c>
      <c r="F653" s="4" t="str">
        <f>IF(Customers!R653&gt;Customers!Q653,"Card spend &gt; limit","")</f>
        <v/>
      </c>
      <c r="G653" s="4" t="str">
        <f>IF(OR(AND(Customers!S653&gt;0,Customers!T653=0),AND(Customers!S653=0,Customers!T653&gt;0)),"Mortgage/payment inconsistent","")</f>
        <v/>
      </c>
      <c r="H653" s="4" t="str">
        <f>IF(AND(Customers!G653&lt;&gt;"",Customers!G653&gt;0,Customers!T653&gt;Customers!G653/12),"Payment &gt; monthly income","")</f>
        <v/>
      </c>
      <c r="I653" s="4" t="str">
        <f>IF(OR(Customers!I653&gt;DATE(2026,9,13),YEAR(Customers!I653)&lt;1980),"Implausible date","")</f>
        <v/>
      </c>
      <c r="J653" s="4" t="str">
        <f>IF(Customers!I653&gt;DATE(2026,9,13),"",IF(ABS(INT((DATE(2026,9,13)-Customers!I653)/365.25)-Customers!H653)&gt;1,"Date/tenure inconsistent",""))</f>
        <v/>
      </c>
      <c r="K653" s="4" t="str">
        <f>IF(COUNTIF(Customers!$A$2:$A$1001,Customers!A653)&gt;1,"Duplicate ID","")</f>
        <v/>
      </c>
      <c r="L653" s="4" t="str">
        <f>IF(COUNTIFS(Customers!$B$2:$B$1001,Customers!B653,Customers!$D$2:$D$1001,Customers!D653,Customers!$G$2:$G$1001,Customers!G653,Customers!$I$2:$I$1001,Customers!I653,Customers!$L$2:$L$1001,Customers!L653)&gt;1,"Duplicate record","")</f>
        <v/>
      </c>
      <c r="M653" s="4" t="str">
        <f>IF(OR(Customers!U653&lt;300,Customers!U653&gt;850),"Score out of range","")</f>
        <v/>
      </c>
      <c r="N653" s="4" t="str">
        <f>IF(AND(Customers!G653&lt;&gt;"",Customers!G653&lt;=0),"Income ≤ 0","")</f>
        <v/>
      </c>
      <c r="O653" s="4" t="str">
        <f>IF(OR(Customers!G653="",Customers!M653=""),"Missing value","")</f>
        <v/>
      </c>
      <c r="P653" s="4">
        <f t="shared" si="10"/>
        <v>0</v>
      </c>
    </row>
    <row r="654" spans="1:16" x14ac:dyDescent="0.25">
      <c r="A654" s="4" t="str">
        <f>Customers!A654</f>
        <v>CL00648</v>
      </c>
      <c r="B654" s="20">
        <f>IF(Customers!G654="","",(Customers!G654-Statistics!$C$7)/Statistics!$C$9)</f>
        <v>4.1485553726323211E-2</v>
      </c>
      <c r="C654" s="4" t="str">
        <f>IF(Customers!G654="","",IF(OR(Customers!G654&lt;Statistics!$C$15,Customers!G654&gt;Statistics!$C$16),"Outside 1.5·IQR",""))</f>
        <v>Outside 1.5·IQR</v>
      </c>
      <c r="D654" s="4" t="str">
        <f>IF(OR(Customers!B654&lt;18,Customers!B654&gt;100),"Implausible age","")</f>
        <v/>
      </c>
      <c r="E654" s="4" t="str">
        <f>IF(Customers!H654&gt;Customers!B654-18,"Tenure &gt; age-18","")</f>
        <v/>
      </c>
      <c r="F654" s="4" t="str">
        <f>IF(Customers!R654&gt;Customers!Q654,"Card spend &gt; limit","")</f>
        <v/>
      </c>
      <c r="G654" s="4" t="str">
        <f>IF(OR(AND(Customers!S654&gt;0,Customers!T654=0),AND(Customers!S654=0,Customers!T654&gt;0)),"Mortgage/payment inconsistent","")</f>
        <v/>
      </c>
      <c r="H654" s="4" t="str">
        <f>IF(AND(Customers!G654&lt;&gt;"",Customers!G654&gt;0,Customers!T654&gt;Customers!G654/12),"Payment &gt; monthly income","")</f>
        <v/>
      </c>
      <c r="I654" s="4" t="str">
        <f>IF(OR(Customers!I654&gt;DATE(2026,9,13),YEAR(Customers!I654)&lt;1980),"Implausible date","")</f>
        <v/>
      </c>
      <c r="J654" s="4" t="str">
        <f>IF(Customers!I654&gt;DATE(2026,9,13),"",IF(ABS(INT((DATE(2026,9,13)-Customers!I654)/365.25)-Customers!H654)&gt;1,"Date/tenure inconsistent",""))</f>
        <v/>
      </c>
      <c r="K654" s="4" t="str">
        <f>IF(COUNTIF(Customers!$A$2:$A$1001,Customers!A654)&gt;1,"Duplicate ID","")</f>
        <v/>
      </c>
      <c r="L654" s="4" t="str">
        <f>IF(COUNTIFS(Customers!$B$2:$B$1001,Customers!B654,Customers!$D$2:$D$1001,Customers!D654,Customers!$G$2:$G$1001,Customers!G654,Customers!$I$2:$I$1001,Customers!I654,Customers!$L$2:$L$1001,Customers!L654)&gt;1,"Duplicate record","")</f>
        <v/>
      </c>
      <c r="M654" s="4" t="str">
        <f>IF(OR(Customers!U654&lt;300,Customers!U654&gt;850),"Score out of range","")</f>
        <v/>
      </c>
      <c r="N654" s="4" t="str">
        <f>IF(AND(Customers!G654&lt;&gt;"",Customers!G654&lt;=0),"Income ≤ 0","")</f>
        <v/>
      </c>
      <c r="O654" s="4" t="str">
        <f>IF(OR(Customers!G654="",Customers!M654=""),"Missing value","")</f>
        <v/>
      </c>
      <c r="P654" s="4">
        <f t="shared" si="10"/>
        <v>1</v>
      </c>
    </row>
    <row r="655" spans="1:16" x14ac:dyDescent="0.25">
      <c r="A655" s="4" t="str">
        <f>Customers!A655</f>
        <v>CL00649</v>
      </c>
      <c r="B655" s="20">
        <f>IF(Customers!G655="","",(Customers!G655-Statistics!$C$7)/Statistics!$C$9)</f>
        <v>-3.8687211475492297E-2</v>
      </c>
      <c r="C655" s="4" t="str">
        <f>IF(Customers!G655="","",IF(OR(Customers!G655&lt;Statistics!$C$15,Customers!G655&gt;Statistics!$C$16),"Outside 1.5·IQR",""))</f>
        <v/>
      </c>
      <c r="D655" s="4" t="str">
        <f>IF(OR(Customers!B655&lt;18,Customers!B655&gt;100),"Implausible age","")</f>
        <v/>
      </c>
      <c r="E655" s="4" t="str">
        <f>IF(Customers!H655&gt;Customers!B655-18,"Tenure &gt; age-18","")</f>
        <v/>
      </c>
      <c r="F655" s="4" t="str">
        <f>IF(Customers!R655&gt;Customers!Q655,"Card spend &gt; limit","")</f>
        <v/>
      </c>
      <c r="G655" s="4" t="str">
        <f>IF(OR(AND(Customers!S655&gt;0,Customers!T655=0),AND(Customers!S655=0,Customers!T655&gt;0)),"Mortgage/payment inconsistent","")</f>
        <v/>
      </c>
      <c r="H655" s="4" t="str">
        <f>IF(AND(Customers!G655&lt;&gt;"",Customers!G655&gt;0,Customers!T655&gt;Customers!G655/12),"Payment &gt; monthly income","")</f>
        <v/>
      </c>
      <c r="I655" s="4" t="str">
        <f>IF(OR(Customers!I655&gt;DATE(2026,9,13),YEAR(Customers!I655)&lt;1980),"Implausible date","")</f>
        <v/>
      </c>
      <c r="J655" s="4" t="str">
        <f>IF(Customers!I655&gt;DATE(2026,9,13),"",IF(ABS(INT((DATE(2026,9,13)-Customers!I655)/365.25)-Customers!H655)&gt;1,"Date/tenure inconsistent",""))</f>
        <v/>
      </c>
      <c r="K655" s="4" t="str">
        <f>IF(COUNTIF(Customers!$A$2:$A$1001,Customers!A655)&gt;1,"Duplicate ID","")</f>
        <v/>
      </c>
      <c r="L655" s="4" t="str">
        <f>IF(COUNTIFS(Customers!$B$2:$B$1001,Customers!B655,Customers!$D$2:$D$1001,Customers!D655,Customers!$G$2:$G$1001,Customers!G655,Customers!$I$2:$I$1001,Customers!I655,Customers!$L$2:$L$1001,Customers!L655)&gt;1,"Duplicate record","")</f>
        <v/>
      </c>
      <c r="M655" s="4" t="str">
        <f>IF(OR(Customers!U655&lt;300,Customers!U655&gt;850),"Score out of range","")</f>
        <v/>
      </c>
      <c r="N655" s="4" t="str">
        <f>IF(AND(Customers!G655&lt;&gt;"",Customers!G655&lt;=0),"Income ≤ 0","")</f>
        <v/>
      </c>
      <c r="O655" s="4" t="str">
        <f>IF(OR(Customers!G655="",Customers!M655=""),"Missing value","")</f>
        <v/>
      </c>
      <c r="P655" s="4">
        <f t="shared" si="10"/>
        <v>0</v>
      </c>
    </row>
    <row r="656" spans="1:16" x14ac:dyDescent="0.25">
      <c r="A656" s="4" t="str">
        <f>Customers!A656</f>
        <v>CL00650</v>
      </c>
      <c r="B656" s="20">
        <f>IF(Customers!G656="","",(Customers!G656-Statistics!$C$7)/Statistics!$C$9)</f>
        <v>-2.1155574858879079E-2</v>
      </c>
      <c r="C656" s="4" t="str">
        <f>IF(Customers!G656="","",IF(OR(Customers!G656&lt;Statistics!$C$15,Customers!G656&gt;Statistics!$C$16),"Outside 1.5·IQR",""))</f>
        <v/>
      </c>
      <c r="D656" s="4" t="str">
        <f>IF(OR(Customers!B656&lt;18,Customers!B656&gt;100),"Implausible age","")</f>
        <v/>
      </c>
      <c r="E656" s="4" t="str">
        <f>IF(Customers!H656&gt;Customers!B656-18,"Tenure &gt; age-18","")</f>
        <v/>
      </c>
      <c r="F656" s="4" t="str">
        <f>IF(Customers!R656&gt;Customers!Q656,"Card spend &gt; limit","")</f>
        <v/>
      </c>
      <c r="G656" s="4" t="str">
        <f>IF(OR(AND(Customers!S656&gt;0,Customers!T656=0),AND(Customers!S656=0,Customers!T656&gt;0)),"Mortgage/payment inconsistent","")</f>
        <v/>
      </c>
      <c r="H656" s="4" t="str">
        <f>IF(AND(Customers!G656&lt;&gt;"",Customers!G656&gt;0,Customers!T656&gt;Customers!G656/12),"Payment &gt; monthly income","")</f>
        <v/>
      </c>
      <c r="I656" s="4" t="str">
        <f>IF(OR(Customers!I656&gt;DATE(2026,9,13),YEAR(Customers!I656)&lt;1980),"Implausible date","")</f>
        <v/>
      </c>
      <c r="J656" s="4" t="str">
        <f>IF(Customers!I656&gt;DATE(2026,9,13),"",IF(ABS(INT((DATE(2026,9,13)-Customers!I656)/365.25)-Customers!H656)&gt;1,"Date/tenure inconsistent",""))</f>
        <v/>
      </c>
      <c r="K656" s="4" t="str">
        <f>IF(COUNTIF(Customers!$A$2:$A$1001,Customers!A656)&gt;1,"Duplicate ID","")</f>
        <v/>
      </c>
      <c r="L656" s="4" t="str">
        <f>IF(COUNTIFS(Customers!$B$2:$B$1001,Customers!B656,Customers!$D$2:$D$1001,Customers!D656,Customers!$G$2:$G$1001,Customers!G656,Customers!$I$2:$I$1001,Customers!I656,Customers!$L$2:$L$1001,Customers!L656)&gt;1,"Duplicate record","")</f>
        <v/>
      </c>
      <c r="M656" s="4" t="str">
        <f>IF(OR(Customers!U656&lt;300,Customers!U656&gt;850),"Score out of range","")</f>
        <v/>
      </c>
      <c r="N656" s="4" t="str">
        <f>IF(AND(Customers!G656&lt;&gt;"",Customers!G656&lt;=0),"Income ≤ 0","")</f>
        <v/>
      </c>
      <c r="O656" s="4" t="str">
        <f>IF(OR(Customers!G656="",Customers!M656=""),"Missing value","")</f>
        <v/>
      </c>
      <c r="P656" s="4">
        <f t="shared" si="10"/>
        <v>0</v>
      </c>
    </row>
    <row r="657" spans="1:16" x14ac:dyDescent="0.25">
      <c r="A657" s="4" t="str">
        <f>Customers!A657</f>
        <v>CL00651</v>
      </c>
      <c r="B657" s="20">
        <f>IF(Customers!G657="","",(Customers!G657-Statistics!$C$7)/Statistics!$C$9)</f>
        <v>-4.5286198291857947E-2</v>
      </c>
      <c r="C657" s="4" t="str">
        <f>IF(Customers!G657="","",IF(OR(Customers!G657&lt;Statistics!$C$15,Customers!G657&gt;Statistics!$C$16),"Outside 1.5·IQR",""))</f>
        <v/>
      </c>
      <c r="D657" s="4" t="str">
        <f>IF(OR(Customers!B657&lt;18,Customers!B657&gt;100),"Implausible age","")</f>
        <v/>
      </c>
      <c r="E657" s="4" t="str">
        <f>IF(Customers!H657&gt;Customers!B657-18,"Tenure &gt; age-18","")</f>
        <v/>
      </c>
      <c r="F657" s="4" t="str">
        <f>IF(Customers!R657&gt;Customers!Q657,"Card spend &gt; limit","")</f>
        <v/>
      </c>
      <c r="G657" s="4" t="str">
        <f>IF(OR(AND(Customers!S657&gt;0,Customers!T657=0),AND(Customers!S657=0,Customers!T657&gt;0)),"Mortgage/payment inconsistent","")</f>
        <v/>
      </c>
      <c r="H657" s="4" t="str">
        <f>IF(AND(Customers!G657&lt;&gt;"",Customers!G657&gt;0,Customers!T657&gt;Customers!G657/12),"Payment &gt; monthly income","")</f>
        <v/>
      </c>
      <c r="I657" s="4" t="str">
        <f>IF(OR(Customers!I657&gt;DATE(2026,9,13),YEAR(Customers!I657)&lt;1980),"Implausible date","")</f>
        <v/>
      </c>
      <c r="J657" s="4" t="str">
        <f>IF(Customers!I657&gt;DATE(2026,9,13),"",IF(ABS(INT((DATE(2026,9,13)-Customers!I657)/365.25)-Customers!H657)&gt;1,"Date/tenure inconsistent",""))</f>
        <v/>
      </c>
      <c r="K657" s="4" t="str">
        <f>IF(COUNTIF(Customers!$A$2:$A$1001,Customers!A657)&gt;1,"Duplicate ID","")</f>
        <v/>
      </c>
      <c r="L657" s="4" t="str">
        <f>IF(COUNTIFS(Customers!$B$2:$B$1001,Customers!B657,Customers!$D$2:$D$1001,Customers!D657,Customers!$G$2:$G$1001,Customers!G657,Customers!$I$2:$I$1001,Customers!I657,Customers!$L$2:$L$1001,Customers!L657)&gt;1,"Duplicate record","")</f>
        <v/>
      </c>
      <c r="M657" s="4" t="str">
        <f>IF(OR(Customers!U657&lt;300,Customers!U657&gt;850),"Score out of range","")</f>
        <v/>
      </c>
      <c r="N657" s="4" t="str">
        <f>IF(AND(Customers!G657&lt;&gt;"",Customers!G657&lt;=0),"Income ≤ 0","")</f>
        <v/>
      </c>
      <c r="O657" s="4" t="str">
        <f>IF(OR(Customers!G657="",Customers!M657=""),"Missing value","")</f>
        <v/>
      </c>
      <c r="P657" s="4">
        <f t="shared" si="10"/>
        <v>0</v>
      </c>
    </row>
    <row r="658" spans="1:16" x14ac:dyDescent="0.25">
      <c r="A658" s="4" t="str">
        <f>Customers!A658</f>
        <v>CL00652</v>
      </c>
      <c r="B658" s="20">
        <f>IF(Customers!G658="","",(Customers!G658-Statistics!$C$7)/Statistics!$C$9)</f>
        <v>-4.3119366799916986E-2</v>
      </c>
      <c r="C658" s="4" t="str">
        <f>IF(Customers!G658="","",IF(OR(Customers!G658&lt;Statistics!$C$15,Customers!G658&gt;Statistics!$C$16),"Outside 1.5·IQR",""))</f>
        <v/>
      </c>
      <c r="D658" s="4" t="str">
        <f>IF(OR(Customers!B658&lt;18,Customers!B658&gt;100),"Implausible age","")</f>
        <v/>
      </c>
      <c r="E658" s="4" t="str">
        <f>IF(Customers!H658&gt;Customers!B658-18,"Tenure &gt; age-18","")</f>
        <v/>
      </c>
      <c r="F658" s="4" t="str">
        <f>IF(Customers!R658&gt;Customers!Q658,"Card spend &gt; limit","")</f>
        <v/>
      </c>
      <c r="G658" s="4" t="str">
        <f>IF(OR(AND(Customers!S658&gt;0,Customers!T658=0),AND(Customers!S658=0,Customers!T658&gt;0)),"Mortgage/payment inconsistent","")</f>
        <v/>
      </c>
      <c r="H658" s="4" t="str">
        <f>IF(AND(Customers!G658&lt;&gt;"",Customers!G658&gt;0,Customers!T658&gt;Customers!G658/12),"Payment &gt; monthly income","")</f>
        <v/>
      </c>
      <c r="I658" s="4" t="str">
        <f>IF(OR(Customers!I658&gt;DATE(2026,9,13),YEAR(Customers!I658)&lt;1980),"Implausible date","")</f>
        <v/>
      </c>
      <c r="J658" s="4" t="str">
        <f>IF(Customers!I658&gt;DATE(2026,9,13),"",IF(ABS(INT((DATE(2026,9,13)-Customers!I658)/365.25)-Customers!H658)&gt;1,"Date/tenure inconsistent",""))</f>
        <v/>
      </c>
      <c r="K658" s="4" t="str">
        <f>IF(COUNTIF(Customers!$A$2:$A$1001,Customers!A658)&gt;1,"Duplicate ID","")</f>
        <v/>
      </c>
      <c r="L658" s="4" t="str">
        <f>IF(COUNTIFS(Customers!$B$2:$B$1001,Customers!B658,Customers!$D$2:$D$1001,Customers!D658,Customers!$G$2:$G$1001,Customers!G658,Customers!$I$2:$I$1001,Customers!I658,Customers!$L$2:$L$1001,Customers!L658)&gt;1,"Duplicate record","")</f>
        <v/>
      </c>
      <c r="M658" s="4" t="str">
        <f>IF(OR(Customers!U658&lt;300,Customers!U658&gt;850),"Score out of range","")</f>
        <v/>
      </c>
      <c r="N658" s="4" t="str">
        <f>IF(AND(Customers!G658&lt;&gt;"",Customers!G658&lt;=0),"Income ≤ 0","")</f>
        <v/>
      </c>
      <c r="O658" s="4" t="str">
        <f>IF(OR(Customers!G658="",Customers!M658=""),"Missing value","")</f>
        <v/>
      </c>
      <c r="P658" s="4">
        <f t="shared" si="10"/>
        <v>0</v>
      </c>
    </row>
    <row r="659" spans="1:16" x14ac:dyDescent="0.25">
      <c r="A659" s="4" t="str">
        <f>Customers!A659</f>
        <v>CL00653</v>
      </c>
      <c r="B659" s="20">
        <f>IF(Customers!G659="","",(Customers!G659-Statistics!$C$7)/Statistics!$C$9)</f>
        <v>-1.3374679956000177E-2</v>
      </c>
      <c r="C659" s="4" t="str">
        <f>IF(Customers!G659="","",IF(OR(Customers!G659&lt;Statistics!$C$15,Customers!G659&gt;Statistics!$C$16),"Outside 1.5·IQR",""))</f>
        <v/>
      </c>
      <c r="D659" s="4" t="str">
        <f>IF(OR(Customers!B659&lt;18,Customers!B659&gt;100),"Implausible age","")</f>
        <v/>
      </c>
      <c r="E659" s="4" t="str">
        <f>IF(Customers!H659&gt;Customers!B659-18,"Tenure &gt; age-18","")</f>
        <v/>
      </c>
      <c r="F659" s="4" t="str">
        <f>IF(Customers!R659&gt;Customers!Q659,"Card spend &gt; limit","")</f>
        <v/>
      </c>
      <c r="G659" s="4" t="str">
        <f>IF(OR(AND(Customers!S659&gt;0,Customers!T659=0),AND(Customers!S659=0,Customers!T659&gt;0)),"Mortgage/payment inconsistent","")</f>
        <v/>
      </c>
      <c r="H659" s="4" t="str">
        <f>IF(AND(Customers!G659&lt;&gt;"",Customers!G659&gt;0,Customers!T659&gt;Customers!G659/12),"Payment &gt; monthly income","")</f>
        <v/>
      </c>
      <c r="I659" s="4" t="str">
        <f>IF(OR(Customers!I659&gt;DATE(2026,9,13),YEAR(Customers!I659)&lt;1980),"Implausible date","")</f>
        <v/>
      </c>
      <c r="J659" s="4" t="str">
        <f>IF(Customers!I659&gt;DATE(2026,9,13),"",IF(ABS(INT((DATE(2026,9,13)-Customers!I659)/365.25)-Customers!H659)&gt;1,"Date/tenure inconsistent",""))</f>
        <v/>
      </c>
      <c r="K659" s="4" t="str">
        <f>IF(COUNTIF(Customers!$A$2:$A$1001,Customers!A659)&gt;1,"Duplicate ID","")</f>
        <v/>
      </c>
      <c r="L659" s="4" t="str">
        <f>IF(COUNTIFS(Customers!$B$2:$B$1001,Customers!B659,Customers!$D$2:$D$1001,Customers!D659,Customers!$G$2:$G$1001,Customers!G659,Customers!$I$2:$I$1001,Customers!I659,Customers!$L$2:$L$1001,Customers!L659)&gt;1,"Duplicate record","")</f>
        <v/>
      </c>
      <c r="M659" s="4" t="str">
        <f>IF(OR(Customers!U659&lt;300,Customers!U659&gt;850),"Score out of range","")</f>
        <v/>
      </c>
      <c r="N659" s="4" t="str">
        <f>IF(AND(Customers!G659&lt;&gt;"",Customers!G659&lt;=0),"Income ≤ 0","")</f>
        <v/>
      </c>
      <c r="O659" s="4" t="str">
        <f>IF(OR(Customers!G659="",Customers!M659=""),"Missing value","")</f>
        <v/>
      </c>
      <c r="P659" s="4">
        <f t="shared" si="10"/>
        <v>0</v>
      </c>
    </row>
    <row r="660" spans="1:16" x14ac:dyDescent="0.25">
      <c r="A660" s="4" t="str">
        <f>Customers!A660</f>
        <v>CL00654</v>
      </c>
      <c r="B660" s="20">
        <f>IF(Customers!G660="","",(Customers!G660-Statistics!$C$7)/Statistics!$C$9)</f>
        <v>-2.0367636134536911E-2</v>
      </c>
      <c r="C660" s="4" t="str">
        <f>IF(Customers!G660="","",IF(OR(Customers!G660&lt;Statistics!$C$15,Customers!G660&gt;Statistics!$C$16),"Outside 1.5·IQR",""))</f>
        <v/>
      </c>
      <c r="D660" s="4" t="str">
        <f>IF(OR(Customers!B660&lt;18,Customers!B660&gt;100),"Implausible age","")</f>
        <v/>
      </c>
      <c r="E660" s="4" t="str">
        <f>IF(Customers!H660&gt;Customers!B660-18,"Tenure &gt; age-18","")</f>
        <v/>
      </c>
      <c r="F660" s="4" t="str">
        <f>IF(Customers!R660&gt;Customers!Q660,"Card spend &gt; limit","")</f>
        <v/>
      </c>
      <c r="G660" s="4" t="str">
        <f>IF(OR(AND(Customers!S660&gt;0,Customers!T660=0),AND(Customers!S660=0,Customers!T660&gt;0)),"Mortgage/payment inconsistent","")</f>
        <v/>
      </c>
      <c r="H660" s="4" t="str">
        <f>IF(AND(Customers!G660&lt;&gt;"",Customers!G660&gt;0,Customers!T660&gt;Customers!G660/12),"Payment &gt; monthly income","")</f>
        <v/>
      </c>
      <c r="I660" s="4" t="str">
        <f>IF(OR(Customers!I660&gt;DATE(2026,9,13),YEAR(Customers!I660)&lt;1980),"Implausible date","")</f>
        <v/>
      </c>
      <c r="J660" s="4" t="str">
        <f>IF(Customers!I660&gt;DATE(2026,9,13),"",IF(ABS(INT((DATE(2026,9,13)-Customers!I660)/365.25)-Customers!H660)&gt;1,"Date/tenure inconsistent",""))</f>
        <v/>
      </c>
      <c r="K660" s="4" t="str">
        <f>IF(COUNTIF(Customers!$A$2:$A$1001,Customers!A660)&gt;1,"Duplicate ID","")</f>
        <v/>
      </c>
      <c r="L660" s="4" t="str">
        <f>IF(COUNTIFS(Customers!$B$2:$B$1001,Customers!B660,Customers!$D$2:$D$1001,Customers!D660,Customers!$G$2:$G$1001,Customers!G660,Customers!$I$2:$I$1001,Customers!I660,Customers!$L$2:$L$1001,Customers!L660)&gt;1,"Duplicate record","")</f>
        <v/>
      </c>
      <c r="M660" s="4" t="str">
        <f>IF(OR(Customers!U660&lt;300,Customers!U660&gt;850),"Score out of range","")</f>
        <v/>
      </c>
      <c r="N660" s="4" t="str">
        <f>IF(AND(Customers!G660&lt;&gt;"",Customers!G660&lt;=0),"Income ≤ 0","")</f>
        <v/>
      </c>
      <c r="O660" s="4" t="str">
        <f>IF(OR(Customers!G660="",Customers!M660=""),"Missing value","")</f>
        <v/>
      </c>
      <c r="P660" s="4">
        <f t="shared" si="10"/>
        <v>0</v>
      </c>
    </row>
    <row r="661" spans="1:16" x14ac:dyDescent="0.25">
      <c r="A661" s="4" t="str">
        <f>Customers!A661</f>
        <v>CL00655</v>
      </c>
      <c r="B661" s="20">
        <f>IF(Customers!G661="","",(Customers!G661-Statistics!$C$7)/Statistics!$C$9)</f>
        <v>-6.5674112784211522E-2</v>
      </c>
      <c r="C661" s="4" t="str">
        <f>IF(Customers!G661="","",IF(OR(Customers!G661&lt;Statistics!$C$15,Customers!G661&gt;Statistics!$C$16),"Outside 1.5·IQR",""))</f>
        <v/>
      </c>
      <c r="D661" s="4" t="str">
        <f>IF(OR(Customers!B661&lt;18,Customers!B661&gt;100),"Implausible age","")</f>
        <v/>
      </c>
      <c r="E661" s="4" t="str">
        <f>IF(Customers!H661&gt;Customers!B661-18,"Tenure &gt; age-18","")</f>
        <v/>
      </c>
      <c r="F661" s="4" t="str">
        <f>IF(Customers!R661&gt;Customers!Q661,"Card spend &gt; limit","")</f>
        <v/>
      </c>
      <c r="G661" s="4" t="str">
        <f>IF(OR(AND(Customers!S661&gt;0,Customers!T661=0),AND(Customers!S661=0,Customers!T661&gt;0)),"Mortgage/payment inconsistent","")</f>
        <v/>
      </c>
      <c r="H661" s="4" t="str">
        <f>IF(AND(Customers!G661&lt;&gt;"",Customers!G661&gt;0,Customers!T661&gt;Customers!G661/12),"Payment &gt; monthly income","")</f>
        <v/>
      </c>
      <c r="I661" s="4" t="str">
        <f>IF(OR(Customers!I661&gt;DATE(2026,9,13),YEAR(Customers!I661)&lt;1980),"Implausible date","")</f>
        <v/>
      </c>
      <c r="J661" s="4" t="str">
        <f>IF(Customers!I661&gt;DATE(2026,9,13),"",IF(ABS(INT((DATE(2026,9,13)-Customers!I661)/365.25)-Customers!H661)&gt;1,"Date/tenure inconsistent",""))</f>
        <v/>
      </c>
      <c r="K661" s="4" t="str">
        <f>IF(COUNTIF(Customers!$A$2:$A$1001,Customers!A661)&gt;1,"Duplicate ID","")</f>
        <v/>
      </c>
      <c r="L661" s="4" t="str">
        <f>IF(COUNTIFS(Customers!$B$2:$B$1001,Customers!B661,Customers!$D$2:$D$1001,Customers!D661,Customers!$G$2:$G$1001,Customers!G661,Customers!$I$2:$I$1001,Customers!I661,Customers!$L$2:$L$1001,Customers!L661)&gt;1,"Duplicate record","")</f>
        <v/>
      </c>
      <c r="M661" s="4" t="str">
        <f>IF(OR(Customers!U661&lt;300,Customers!U661&gt;850),"Score out of range","")</f>
        <v/>
      </c>
      <c r="N661" s="4" t="str">
        <f>IF(AND(Customers!G661&lt;&gt;"",Customers!G661&lt;=0),"Income ≤ 0","")</f>
        <v/>
      </c>
      <c r="O661" s="4" t="str">
        <f>IF(OR(Customers!G661="",Customers!M661=""),"Missing value","")</f>
        <v/>
      </c>
      <c r="P661" s="4">
        <f t="shared" si="10"/>
        <v>0</v>
      </c>
    </row>
    <row r="662" spans="1:16" x14ac:dyDescent="0.25">
      <c r="A662" s="4" t="str">
        <f>Customers!A662</f>
        <v>CL00656</v>
      </c>
      <c r="B662" s="20">
        <f>IF(Customers!G662="","",(Customers!G662-Statistics!$C$7)/Statistics!$C$9)</f>
        <v>-5.3461062556907933E-2</v>
      </c>
      <c r="C662" s="4" t="str">
        <f>IF(Customers!G662="","",IF(OR(Customers!G662&lt;Statistics!$C$15,Customers!G662&gt;Statistics!$C$16),"Outside 1.5·IQR",""))</f>
        <v/>
      </c>
      <c r="D662" s="4" t="str">
        <f>IF(OR(Customers!B662&lt;18,Customers!B662&gt;100),"Implausible age","")</f>
        <v/>
      </c>
      <c r="E662" s="4" t="str">
        <f>IF(Customers!H662&gt;Customers!B662-18,"Tenure &gt; age-18","")</f>
        <v/>
      </c>
      <c r="F662" s="4" t="str">
        <f>IF(Customers!R662&gt;Customers!Q662,"Card spend &gt; limit","")</f>
        <v/>
      </c>
      <c r="G662" s="4" t="str">
        <f>IF(OR(AND(Customers!S662&gt;0,Customers!T662=0),AND(Customers!S662=0,Customers!T662&gt;0)),"Mortgage/payment inconsistent","")</f>
        <v/>
      </c>
      <c r="H662" s="4" t="str">
        <f>IF(AND(Customers!G662&lt;&gt;"",Customers!G662&gt;0,Customers!T662&gt;Customers!G662/12),"Payment &gt; monthly income","")</f>
        <v/>
      </c>
      <c r="I662" s="4" t="str">
        <f>IF(OR(Customers!I662&gt;DATE(2026,9,13),YEAR(Customers!I662)&lt;1980),"Implausible date","")</f>
        <v/>
      </c>
      <c r="J662" s="4" t="str">
        <f>IF(Customers!I662&gt;DATE(2026,9,13),"",IF(ABS(INT((DATE(2026,9,13)-Customers!I662)/365.25)-Customers!H662)&gt;1,"Date/tenure inconsistent",""))</f>
        <v/>
      </c>
      <c r="K662" s="4" t="str">
        <f>IF(COUNTIF(Customers!$A$2:$A$1001,Customers!A662)&gt;1,"Duplicate ID","")</f>
        <v/>
      </c>
      <c r="L662" s="4" t="str">
        <f>IF(COUNTIFS(Customers!$B$2:$B$1001,Customers!B662,Customers!$D$2:$D$1001,Customers!D662,Customers!$G$2:$G$1001,Customers!G662,Customers!$I$2:$I$1001,Customers!I662,Customers!$L$2:$L$1001,Customers!L662)&gt;1,"Duplicate record","")</f>
        <v/>
      </c>
      <c r="M662" s="4" t="str">
        <f>IF(OR(Customers!U662&lt;300,Customers!U662&gt;850),"Score out of range","")</f>
        <v/>
      </c>
      <c r="N662" s="4" t="str">
        <f>IF(AND(Customers!G662&lt;&gt;"",Customers!G662&lt;=0),"Income ≤ 0","")</f>
        <v/>
      </c>
      <c r="O662" s="4" t="str">
        <f>IF(OR(Customers!G662="",Customers!M662=""),"Missing value","")</f>
        <v/>
      </c>
      <c r="P662" s="4">
        <f t="shared" si="10"/>
        <v>0</v>
      </c>
    </row>
    <row r="663" spans="1:16" x14ac:dyDescent="0.25">
      <c r="A663" s="4" t="str">
        <f>Customers!A663</f>
        <v>CL00657</v>
      </c>
      <c r="B663" s="20">
        <f>IF(Customers!G663="","",(Customers!G663-Statistics!$C$7)/Statistics!$C$9)</f>
        <v>-6.0158541713816356E-2</v>
      </c>
      <c r="C663" s="4" t="str">
        <f>IF(Customers!G663="","",IF(OR(Customers!G663&lt;Statistics!$C$15,Customers!G663&gt;Statistics!$C$16),"Outside 1.5·IQR",""))</f>
        <v/>
      </c>
      <c r="D663" s="4" t="str">
        <f>IF(OR(Customers!B663&lt;18,Customers!B663&gt;100),"Implausible age","")</f>
        <v/>
      </c>
      <c r="E663" s="4" t="str">
        <f>IF(Customers!H663&gt;Customers!B663-18,"Tenure &gt; age-18","")</f>
        <v/>
      </c>
      <c r="F663" s="4" t="str">
        <f>IF(Customers!R663&gt;Customers!Q663,"Card spend &gt; limit","")</f>
        <v/>
      </c>
      <c r="G663" s="4" t="str">
        <f>IF(OR(AND(Customers!S663&gt;0,Customers!T663=0),AND(Customers!S663=0,Customers!T663&gt;0)),"Mortgage/payment inconsistent","")</f>
        <v/>
      </c>
      <c r="H663" s="4" t="str">
        <f>IF(AND(Customers!G663&lt;&gt;"",Customers!G663&gt;0,Customers!T663&gt;Customers!G663/12),"Payment &gt; monthly income","")</f>
        <v/>
      </c>
      <c r="I663" s="4" t="str">
        <f>IF(OR(Customers!I663&gt;DATE(2026,9,13),YEAR(Customers!I663)&lt;1980),"Implausible date","")</f>
        <v/>
      </c>
      <c r="J663" s="4" t="str">
        <f>IF(Customers!I663&gt;DATE(2026,9,13),"",IF(ABS(INT((DATE(2026,9,13)-Customers!I663)/365.25)-Customers!H663)&gt;1,"Date/tenure inconsistent",""))</f>
        <v/>
      </c>
      <c r="K663" s="4" t="str">
        <f>IF(COUNTIF(Customers!$A$2:$A$1001,Customers!A663)&gt;1,"Duplicate ID","")</f>
        <v/>
      </c>
      <c r="L663" s="4" t="str">
        <f>IF(COUNTIFS(Customers!$B$2:$B$1001,Customers!B663,Customers!$D$2:$D$1001,Customers!D663,Customers!$G$2:$G$1001,Customers!G663,Customers!$I$2:$I$1001,Customers!I663,Customers!$L$2:$L$1001,Customers!L663)&gt;1,"Duplicate record","")</f>
        <v/>
      </c>
      <c r="M663" s="4" t="str">
        <f>IF(OR(Customers!U663&lt;300,Customers!U663&gt;850),"Score out of range","")</f>
        <v/>
      </c>
      <c r="N663" s="4" t="str">
        <f>IF(AND(Customers!G663&lt;&gt;"",Customers!G663&lt;=0),"Income ≤ 0","")</f>
        <v/>
      </c>
      <c r="O663" s="4" t="str">
        <f>IF(OR(Customers!G663="",Customers!M663=""),"Missing value","")</f>
        <v/>
      </c>
      <c r="P663" s="4">
        <f t="shared" si="10"/>
        <v>0</v>
      </c>
    </row>
    <row r="664" spans="1:16" x14ac:dyDescent="0.25">
      <c r="A664" s="4" t="str">
        <f>Customers!A664</f>
        <v>CL00658</v>
      </c>
      <c r="B664" s="20">
        <f>IF(Customers!G664="","",(Customers!G664-Statistics!$C$7)/Statistics!$C$9)</f>
        <v>-4.961986127573987E-2</v>
      </c>
      <c r="C664" s="4" t="str">
        <f>IF(Customers!G664="","",IF(OR(Customers!G664&lt;Statistics!$C$15,Customers!G664&gt;Statistics!$C$16),"Outside 1.5·IQR",""))</f>
        <v/>
      </c>
      <c r="D664" s="4" t="str">
        <f>IF(OR(Customers!B664&lt;18,Customers!B664&gt;100),"Implausible age","")</f>
        <v/>
      </c>
      <c r="E664" s="4" t="str">
        <f>IF(Customers!H664&gt;Customers!B664-18,"Tenure &gt; age-18","")</f>
        <v/>
      </c>
      <c r="F664" s="4" t="str">
        <f>IF(Customers!R664&gt;Customers!Q664,"Card spend &gt; limit","")</f>
        <v/>
      </c>
      <c r="G664" s="4" t="str">
        <f>IF(OR(AND(Customers!S664&gt;0,Customers!T664=0),AND(Customers!S664=0,Customers!T664&gt;0)),"Mortgage/payment inconsistent","")</f>
        <v/>
      </c>
      <c r="H664" s="4" t="str">
        <f>IF(AND(Customers!G664&lt;&gt;"",Customers!G664&gt;0,Customers!T664&gt;Customers!G664/12),"Payment &gt; monthly income","")</f>
        <v/>
      </c>
      <c r="I664" s="4" t="str">
        <f>IF(OR(Customers!I664&gt;DATE(2026,9,13),YEAR(Customers!I664)&lt;1980),"Implausible date","")</f>
        <v/>
      </c>
      <c r="J664" s="4" t="str">
        <f>IF(Customers!I664&gt;DATE(2026,9,13),"",IF(ABS(INT((DATE(2026,9,13)-Customers!I664)/365.25)-Customers!H664)&gt;1,"Date/tenure inconsistent",""))</f>
        <v/>
      </c>
      <c r="K664" s="4" t="str">
        <f>IF(COUNTIF(Customers!$A$2:$A$1001,Customers!A664)&gt;1,"Duplicate ID","")</f>
        <v/>
      </c>
      <c r="L664" s="4" t="str">
        <f>IF(COUNTIFS(Customers!$B$2:$B$1001,Customers!B664,Customers!$D$2:$D$1001,Customers!D664,Customers!$G$2:$G$1001,Customers!G664,Customers!$I$2:$I$1001,Customers!I664,Customers!$L$2:$L$1001,Customers!L664)&gt;1,"Duplicate record","")</f>
        <v/>
      </c>
      <c r="M664" s="4" t="str">
        <f>IF(OR(Customers!U664&lt;300,Customers!U664&gt;850),"Score out of range","")</f>
        <v/>
      </c>
      <c r="N664" s="4" t="str">
        <f>IF(AND(Customers!G664&lt;&gt;"",Customers!G664&lt;=0),"Income ≤ 0","")</f>
        <v/>
      </c>
      <c r="O664" s="4" t="str">
        <f>IF(OR(Customers!G664="",Customers!M664=""),"Missing value","")</f>
        <v/>
      </c>
      <c r="P664" s="4">
        <f t="shared" si="10"/>
        <v>0</v>
      </c>
    </row>
    <row r="665" spans="1:16" x14ac:dyDescent="0.25">
      <c r="A665" s="4" t="str">
        <f>Customers!A665</f>
        <v>CL00659</v>
      </c>
      <c r="B665" s="20">
        <f>IF(Customers!G665="","",(Customers!G665-Statistics!$C$7)/Statistics!$C$9)</f>
        <v>-4.5187705951315174E-2</v>
      </c>
      <c r="C665" s="4" t="str">
        <f>IF(Customers!G665="","",IF(OR(Customers!G665&lt;Statistics!$C$15,Customers!G665&gt;Statistics!$C$16),"Outside 1.5·IQR",""))</f>
        <v/>
      </c>
      <c r="D665" s="4" t="str">
        <f>IF(OR(Customers!B665&lt;18,Customers!B665&gt;100),"Implausible age","")</f>
        <v/>
      </c>
      <c r="E665" s="4" t="str">
        <f>IF(Customers!H665&gt;Customers!B665-18,"Tenure &gt; age-18","")</f>
        <v/>
      </c>
      <c r="F665" s="4" t="str">
        <f>IF(Customers!R665&gt;Customers!Q665,"Card spend &gt; limit","")</f>
        <v/>
      </c>
      <c r="G665" s="4" t="str">
        <f>IF(OR(AND(Customers!S665&gt;0,Customers!T665=0),AND(Customers!S665=0,Customers!T665&gt;0)),"Mortgage/payment inconsistent","")</f>
        <v>Mortgage/payment inconsistent</v>
      </c>
      <c r="H665" s="4" t="str">
        <f>IF(AND(Customers!G665&lt;&gt;"",Customers!G665&gt;0,Customers!T665&gt;Customers!G665/12),"Payment &gt; monthly income","")</f>
        <v/>
      </c>
      <c r="I665" s="4" t="str">
        <f>IF(OR(Customers!I665&gt;DATE(2026,9,13),YEAR(Customers!I665)&lt;1980),"Implausible date","")</f>
        <v/>
      </c>
      <c r="J665" s="4" t="str">
        <f>IF(Customers!I665&gt;DATE(2026,9,13),"",IF(ABS(INT((DATE(2026,9,13)-Customers!I665)/365.25)-Customers!H665)&gt;1,"Date/tenure inconsistent",""))</f>
        <v/>
      </c>
      <c r="K665" s="4" t="str">
        <f>IF(COUNTIF(Customers!$A$2:$A$1001,Customers!A665)&gt;1,"Duplicate ID","")</f>
        <v/>
      </c>
      <c r="L665" s="4" t="str">
        <f>IF(COUNTIFS(Customers!$B$2:$B$1001,Customers!B665,Customers!$D$2:$D$1001,Customers!D665,Customers!$G$2:$G$1001,Customers!G665,Customers!$I$2:$I$1001,Customers!I665,Customers!$L$2:$L$1001,Customers!L665)&gt;1,"Duplicate record","")</f>
        <v/>
      </c>
      <c r="M665" s="4" t="str">
        <f>IF(OR(Customers!U665&lt;300,Customers!U665&gt;850),"Score out of range","")</f>
        <v/>
      </c>
      <c r="N665" s="4" t="str">
        <f>IF(AND(Customers!G665&lt;&gt;"",Customers!G665&lt;=0),"Income ≤ 0","")</f>
        <v/>
      </c>
      <c r="O665" s="4" t="str">
        <f>IF(OR(Customers!G665="",Customers!M665=""),"Missing value","")</f>
        <v/>
      </c>
      <c r="P665" s="4">
        <f t="shared" si="10"/>
        <v>1</v>
      </c>
    </row>
    <row r="666" spans="1:16" x14ac:dyDescent="0.25">
      <c r="A666" s="4" t="str">
        <f>Customers!A666</f>
        <v>CL00660</v>
      </c>
      <c r="B666" s="20">
        <f>IF(Customers!G666="","",(Customers!G666-Statistics!$C$7)/Statistics!$C$9)</f>
        <v>-6.6068082146382601E-2</v>
      </c>
      <c r="C666" s="4" t="str">
        <f>IF(Customers!G666="","",IF(OR(Customers!G666&lt;Statistics!$C$15,Customers!G666&gt;Statistics!$C$16),"Outside 1.5·IQR",""))</f>
        <v/>
      </c>
      <c r="D666" s="4" t="str">
        <f>IF(OR(Customers!B666&lt;18,Customers!B666&gt;100),"Implausible age","")</f>
        <v/>
      </c>
      <c r="E666" s="4" t="str">
        <f>IF(Customers!H666&gt;Customers!B666-18,"Tenure &gt; age-18","")</f>
        <v/>
      </c>
      <c r="F666" s="4" t="str">
        <f>IF(Customers!R666&gt;Customers!Q666,"Card spend &gt; limit","")</f>
        <v/>
      </c>
      <c r="G666" s="4" t="str">
        <f>IF(OR(AND(Customers!S666&gt;0,Customers!T666=0),AND(Customers!S666=0,Customers!T666&gt;0)),"Mortgage/payment inconsistent","")</f>
        <v/>
      </c>
      <c r="H666" s="4" t="str">
        <f>IF(AND(Customers!G666&lt;&gt;"",Customers!G666&gt;0,Customers!T666&gt;Customers!G666/12),"Payment &gt; monthly income","")</f>
        <v/>
      </c>
      <c r="I666" s="4" t="str">
        <f>IF(OR(Customers!I666&gt;DATE(2026,9,13),YEAR(Customers!I666)&lt;1980),"Implausible date","")</f>
        <v/>
      </c>
      <c r="J666" s="4" t="str">
        <f>IF(Customers!I666&gt;DATE(2026,9,13),"",IF(ABS(INT((DATE(2026,9,13)-Customers!I666)/365.25)-Customers!H666)&gt;1,"Date/tenure inconsistent",""))</f>
        <v/>
      </c>
      <c r="K666" s="4" t="str">
        <f>IF(COUNTIF(Customers!$A$2:$A$1001,Customers!A666)&gt;1,"Duplicate ID","")</f>
        <v/>
      </c>
      <c r="L666" s="4" t="str">
        <f>IF(COUNTIFS(Customers!$B$2:$B$1001,Customers!B666,Customers!$D$2:$D$1001,Customers!D666,Customers!$G$2:$G$1001,Customers!G666,Customers!$I$2:$I$1001,Customers!I666,Customers!$L$2:$L$1001,Customers!L666)&gt;1,"Duplicate record","")</f>
        <v/>
      </c>
      <c r="M666" s="4" t="str">
        <f>IF(OR(Customers!U666&lt;300,Customers!U666&gt;850),"Score out of range","")</f>
        <v/>
      </c>
      <c r="N666" s="4" t="str">
        <f>IF(AND(Customers!G666&lt;&gt;"",Customers!G666&lt;=0),"Income ≤ 0","")</f>
        <v/>
      </c>
      <c r="O666" s="4" t="str">
        <f>IF(OR(Customers!G666="",Customers!M666=""),"Missing value","")</f>
        <v/>
      </c>
      <c r="P666" s="4">
        <f t="shared" si="10"/>
        <v>0</v>
      </c>
    </row>
    <row r="667" spans="1:16" x14ac:dyDescent="0.25">
      <c r="A667" s="4" t="str">
        <f>Customers!A667</f>
        <v>CL00661</v>
      </c>
      <c r="B667" s="20">
        <f>IF(Customers!G667="","",(Customers!G667-Statistics!$C$7)/Statistics!$C$9)</f>
        <v>-4.7157552762170596E-2</v>
      </c>
      <c r="C667" s="4" t="str">
        <f>IF(Customers!G667="","",IF(OR(Customers!G667&lt;Statistics!$C$15,Customers!G667&gt;Statistics!$C$16),"Outside 1.5·IQR",""))</f>
        <v/>
      </c>
      <c r="D667" s="4" t="str">
        <f>IF(OR(Customers!B667&lt;18,Customers!B667&gt;100),"Implausible age","")</f>
        <v/>
      </c>
      <c r="E667" s="4" t="str">
        <f>IF(Customers!H667&gt;Customers!B667-18,"Tenure &gt; age-18","")</f>
        <v/>
      </c>
      <c r="F667" s="4" t="str">
        <f>IF(Customers!R667&gt;Customers!Q667,"Card spend &gt; limit","")</f>
        <v/>
      </c>
      <c r="G667" s="4" t="str">
        <f>IF(OR(AND(Customers!S667&gt;0,Customers!T667=0),AND(Customers!S667=0,Customers!T667&gt;0)),"Mortgage/payment inconsistent","")</f>
        <v/>
      </c>
      <c r="H667" s="4" t="str">
        <f>IF(AND(Customers!G667&lt;&gt;"",Customers!G667&gt;0,Customers!T667&gt;Customers!G667/12),"Payment &gt; monthly income","")</f>
        <v/>
      </c>
      <c r="I667" s="4" t="str">
        <f>IF(OR(Customers!I667&gt;DATE(2026,9,13),YEAR(Customers!I667)&lt;1980),"Implausible date","")</f>
        <v/>
      </c>
      <c r="J667" s="4" t="str">
        <f>IF(Customers!I667&gt;DATE(2026,9,13),"",IF(ABS(INT((DATE(2026,9,13)-Customers!I667)/365.25)-Customers!H667)&gt;1,"Date/tenure inconsistent",""))</f>
        <v/>
      </c>
      <c r="K667" s="4" t="str">
        <f>IF(COUNTIF(Customers!$A$2:$A$1001,Customers!A667)&gt;1,"Duplicate ID","")</f>
        <v/>
      </c>
      <c r="L667" s="4" t="str">
        <f>IF(COUNTIFS(Customers!$B$2:$B$1001,Customers!B667,Customers!$D$2:$D$1001,Customers!D667,Customers!$G$2:$G$1001,Customers!G667,Customers!$I$2:$I$1001,Customers!I667,Customers!$L$2:$L$1001,Customers!L667)&gt;1,"Duplicate record","")</f>
        <v/>
      </c>
      <c r="M667" s="4" t="str">
        <f>IF(OR(Customers!U667&lt;300,Customers!U667&gt;850),"Score out of range","")</f>
        <v/>
      </c>
      <c r="N667" s="4" t="str">
        <f>IF(AND(Customers!G667&lt;&gt;"",Customers!G667&lt;=0),"Income ≤ 0","")</f>
        <v/>
      </c>
      <c r="O667" s="4" t="str">
        <f>IF(OR(Customers!G667="",Customers!M667=""),"Missing value","")</f>
        <v/>
      </c>
      <c r="P667" s="4">
        <f t="shared" si="10"/>
        <v>0</v>
      </c>
    </row>
    <row r="668" spans="1:16" x14ac:dyDescent="0.25">
      <c r="A668" s="4" t="str">
        <f>Customers!A668</f>
        <v>CL00662</v>
      </c>
      <c r="B668" s="20">
        <f>IF(Customers!G668="","",(Customers!G668-Statistics!$C$7)/Statistics!$C$9)</f>
        <v>-3.2876163383468812E-2</v>
      </c>
      <c r="C668" s="4" t="str">
        <f>IF(Customers!G668="","",IF(OR(Customers!G668&lt;Statistics!$C$15,Customers!G668&gt;Statistics!$C$16),"Outside 1.5·IQR",""))</f>
        <v/>
      </c>
      <c r="D668" s="4" t="str">
        <f>IF(OR(Customers!B668&lt;18,Customers!B668&gt;100),"Implausible age","")</f>
        <v/>
      </c>
      <c r="E668" s="4" t="str">
        <f>IF(Customers!H668&gt;Customers!B668-18,"Tenure &gt; age-18","")</f>
        <v/>
      </c>
      <c r="F668" s="4" t="str">
        <f>IF(Customers!R668&gt;Customers!Q668,"Card spend &gt; limit","")</f>
        <v/>
      </c>
      <c r="G668" s="4" t="str">
        <f>IF(OR(AND(Customers!S668&gt;0,Customers!T668=0),AND(Customers!S668=0,Customers!T668&gt;0)),"Mortgage/payment inconsistent","")</f>
        <v/>
      </c>
      <c r="H668" s="4" t="str">
        <f>IF(AND(Customers!G668&lt;&gt;"",Customers!G668&gt;0,Customers!T668&gt;Customers!G668/12),"Payment &gt; monthly income","")</f>
        <v/>
      </c>
      <c r="I668" s="4" t="str">
        <f>IF(OR(Customers!I668&gt;DATE(2026,9,13),YEAR(Customers!I668)&lt;1980),"Implausible date","")</f>
        <v/>
      </c>
      <c r="J668" s="4" t="str">
        <f>IF(Customers!I668&gt;DATE(2026,9,13),"",IF(ABS(INT((DATE(2026,9,13)-Customers!I668)/365.25)-Customers!H668)&gt;1,"Date/tenure inconsistent",""))</f>
        <v/>
      </c>
      <c r="K668" s="4" t="str">
        <f>IF(COUNTIF(Customers!$A$2:$A$1001,Customers!A668)&gt;1,"Duplicate ID","")</f>
        <v/>
      </c>
      <c r="L668" s="4" t="str">
        <f>IF(COUNTIFS(Customers!$B$2:$B$1001,Customers!B668,Customers!$D$2:$D$1001,Customers!D668,Customers!$G$2:$G$1001,Customers!G668,Customers!$I$2:$I$1001,Customers!I668,Customers!$L$2:$L$1001,Customers!L668)&gt;1,"Duplicate record","")</f>
        <v/>
      </c>
      <c r="M668" s="4" t="str">
        <f>IF(OR(Customers!U668&lt;300,Customers!U668&gt;850),"Score out of range","")</f>
        <v/>
      </c>
      <c r="N668" s="4" t="str">
        <f>IF(AND(Customers!G668&lt;&gt;"",Customers!G668&lt;=0),"Income ≤ 0","")</f>
        <v/>
      </c>
      <c r="O668" s="4" t="str">
        <f>IF(OR(Customers!G668="",Customers!M668=""),"Missing value","")</f>
        <v/>
      </c>
      <c r="P668" s="4">
        <f t="shared" si="10"/>
        <v>0</v>
      </c>
    </row>
    <row r="669" spans="1:16" x14ac:dyDescent="0.25">
      <c r="A669" s="4" t="str">
        <f>Customers!A669</f>
        <v>CL00663</v>
      </c>
      <c r="B669" s="20">
        <f>IF(Customers!G669="","",(Customers!G669-Statistics!$C$7)/Statistics!$C$9)</f>
        <v>-2.9921393167185686E-2</v>
      </c>
      <c r="C669" s="4" t="str">
        <f>IF(Customers!G669="","",IF(OR(Customers!G669&lt;Statistics!$C$15,Customers!G669&gt;Statistics!$C$16),"Outside 1.5·IQR",""))</f>
        <v/>
      </c>
      <c r="D669" s="4" t="str">
        <f>IF(OR(Customers!B669&lt;18,Customers!B669&gt;100),"Implausible age","")</f>
        <v/>
      </c>
      <c r="E669" s="4" t="str">
        <f>IF(Customers!H669&gt;Customers!B669-18,"Tenure &gt; age-18","")</f>
        <v/>
      </c>
      <c r="F669" s="4" t="str">
        <f>IF(Customers!R669&gt;Customers!Q669,"Card spend &gt; limit","")</f>
        <v/>
      </c>
      <c r="G669" s="4" t="str">
        <f>IF(OR(AND(Customers!S669&gt;0,Customers!T669=0),AND(Customers!S669=0,Customers!T669&gt;0)),"Mortgage/payment inconsistent","")</f>
        <v/>
      </c>
      <c r="H669" s="4" t="str">
        <f>IF(AND(Customers!G669&lt;&gt;"",Customers!G669&gt;0,Customers!T669&gt;Customers!G669/12),"Payment &gt; monthly income","")</f>
        <v/>
      </c>
      <c r="I669" s="4" t="str">
        <f>IF(OR(Customers!I669&gt;DATE(2026,9,13),YEAR(Customers!I669)&lt;1980),"Implausible date","")</f>
        <v/>
      </c>
      <c r="J669" s="4" t="str">
        <f>IF(Customers!I669&gt;DATE(2026,9,13),"",IF(ABS(INT((DATE(2026,9,13)-Customers!I669)/365.25)-Customers!H669)&gt;1,"Date/tenure inconsistent",""))</f>
        <v/>
      </c>
      <c r="K669" s="4" t="str">
        <f>IF(COUNTIF(Customers!$A$2:$A$1001,Customers!A669)&gt;1,"Duplicate ID","")</f>
        <v/>
      </c>
      <c r="L669" s="4" t="str">
        <f>IF(COUNTIFS(Customers!$B$2:$B$1001,Customers!B669,Customers!$D$2:$D$1001,Customers!D669,Customers!$G$2:$G$1001,Customers!G669,Customers!$I$2:$I$1001,Customers!I669,Customers!$L$2:$L$1001,Customers!L669)&gt;1,"Duplicate record","")</f>
        <v/>
      </c>
      <c r="M669" s="4" t="str">
        <f>IF(OR(Customers!U669&lt;300,Customers!U669&gt;850),"Score out of range","")</f>
        <v/>
      </c>
      <c r="N669" s="4" t="str">
        <f>IF(AND(Customers!G669&lt;&gt;"",Customers!G669&lt;=0),"Income ≤ 0","")</f>
        <v/>
      </c>
      <c r="O669" s="4" t="str">
        <f>IF(OR(Customers!G669="",Customers!M669=""),"Missing value","")</f>
        <v/>
      </c>
      <c r="P669" s="4">
        <f t="shared" si="10"/>
        <v>0</v>
      </c>
    </row>
    <row r="670" spans="1:16" x14ac:dyDescent="0.25">
      <c r="A670" s="4" t="str">
        <f>Customers!A670</f>
        <v>CL00664</v>
      </c>
      <c r="B670" s="20">
        <f>IF(Customers!G670="","",(Customers!G670-Statistics!$C$7)/Statistics!$C$9)</f>
        <v>-4.3414843821545299E-2</v>
      </c>
      <c r="C670" s="4" t="str">
        <f>IF(Customers!G670="","",IF(OR(Customers!G670&lt;Statistics!$C$15,Customers!G670&gt;Statistics!$C$16),"Outside 1.5·IQR",""))</f>
        <v/>
      </c>
      <c r="D670" s="4" t="str">
        <f>IF(OR(Customers!B670&lt;18,Customers!B670&gt;100),"Implausible age","")</f>
        <v/>
      </c>
      <c r="E670" s="4" t="str">
        <f>IF(Customers!H670&gt;Customers!B670-18,"Tenure &gt; age-18","")</f>
        <v/>
      </c>
      <c r="F670" s="4" t="str">
        <f>IF(Customers!R670&gt;Customers!Q670,"Card spend &gt; limit","")</f>
        <v/>
      </c>
      <c r="G670" s="4" t="str">
        <f>IF(OR(AND(Customers!S670&gt;0,Customers!T670=0),AND(Customers!S670=0,Customers!T670&gt;0)),"Mortgage/payment inconsistent","")</f>
        <v/>
      </c>
      <c r="H670" s="4" t="str">
        <f>IF(AND(Customers!G670&lt;&gt;"",Customers!G670&gt;0,Customers!T670&gt;Customers!G670/12),"Payment &gt; monthly income","")</f>
        <v/>
      </c>
      <c r="I670" s="4" t="str">
        <f>IF(OR(Customers!I670&gt;DATE(2026,9,13),YEAR(Customers!I670)&lt;1980),"Implausible date","")</f>
        <v/>
      </c>
      <c r="J670" s="4" t="str">
        <f>IF(Customers!I670&gt;DATE(2026,9,13),"",IF(ABS(INT((DATE(2026,9,13)-Customers!I670)/365.25)-Customers!H670)&gt;1,"Date/tenure inconsistent",""))</f>
        <v/>
      </c>
      <c r="K670" s="4" t="str">
        <f>IF(COUNTIF(Customers!$A$2:$A$1001,Customers!A670)&gt;1,"Duplicate ID","")</f>
        <v/>
      </c>
      <c r="L670" s="4" t="str">
        <f>IF(COUNTIFS(Customers!$B$2:$B$1001,Customers!B670,Customers!$D$2:$D$1001,Customers!D670,Customers!$G$2:$G$1001,Customers!G670,Customers!$I$2:$I$1001,Customers!I670,Customers!$L$2:$L$1001,Customers!L670)&gt;1,"Duplicate record","")</f>
        <v/>
      </c>
      <c r="M670" s="4" t="str">
        <f>IF(OR(Customers!U670&lt;300,Customers!U670&gt;850),"Score out of range","")</f>
        <v/>
      </c>
      <c r="N670" s="4" t="str">
        <f>IF(AND(Customers!G670&lt;&gt;"",Customers!G670&lt;=0),"Income ≤ 0","")</f>
        <v/>
      </c>
      <c r="O670" s="4" t="str">
        <f>IF(OR(Customers!G670="",Customers!M670=""),"Missing value","")</f>
        <v/>
      </c>
      <c r="P670" s="4">
        <f t="shared" si="10"/>
        <v>0</v>
      </c>
    </row>
    <row r="671" spans="1:16" x14ac:dyDescent="0.25">
      <c r="A671" s="4" t="str">
        <f>Customers!A671</f>
        <v>CL00665</v>
      </c>
      <c r="B671" s="20">
        <f>IF(Customers!G671="","",(Customers!G671-Statistics!$C$7)/Statistics!$C$9)</f>
        <v>-4.0558565945804946E-2</v>
      </c>
      <c r="C671" s="4" t="str">
        <f>IF(Customers!G671="","",IF(OR(Customers!G671&lt;Statistics!$C$15,Customers!G671&gt;Statistics!$C$16),"Outside 1.5·IQR",""))</f>
        <v/>
      </c>
      <c r="D671" s="4" t="str">
        <f>IF(OR(Customers!B671&lt;18,Customers!B671&gt;100),"Implausible age","")</f>
        <v/>
      </c>
      <c r="E671" s="4" t="str">
        <f>IF(Customers!H671&gt;Customers!B671-18,"Tenure &gt; age-18","")</f>
        <v/>
      </c>
      <c r="F671" s="4" t="str">
        <f>IF(Customers!R671&gt;Customers!Q671,"Card spend &gt; limit","")</f>
        <v/>
      </c>
      <c r="G671" s="4" t="str">
        <f>IF(OR(AND(Customers!S671&gt;0,Customers!T671=0),AND(Customers!S671=0,Customers!T671&gt;0)),"Mortgage/payment inconsistent","")</f>
        <v/>
      </c>
      <c r="H671" s="4" t="str">
        <f>IF(AND(Customers!G671&lt;&gt;"",Customers!G671&gt;0,Customers!T671&gt;Customers!G671/12),"Payment &gt; monthly income","")</f>
        <v/>
      </c>
      <c r="I671" s="4" t="str">
        <f>IF(OR(Customers!I671&gt;DATE(2026,9,13),YEAR(Customers!I671)&lt;1980),"Implausible date","")</f>
        <v/>
      </c>
      <c r="J671" s="4" t="str">
        <f>IF(Customers!I671&gt;DATE(2026,9,13),"",IF(ABS(INT((DATE(2026,9,13)-Customers!I671)/365.25)-Customers!H671)&gt;1,"Date/tenure inconsistent",""))</f>
        <v/>
      </c>
      <c r="K671" s="4" t="str">
        <f>IF(COUNTIF(Customers!$A$2:$A$1001,Customers!A671)&gt;1,"Duplicate ID","")</f>
        <v/>
      </c>
      <c r="L671" s="4" t="str">
        <f>IF(COUNTIFS(Customers!$B$2:$B$1001,Customers!B671,Customers!$D$2:$D$1001,Customers!D671,Customers!$G$2:$G$1001,Customers!G671,Customers!$I$2:$I$1001,Customers!I671,Customers!$L$2:$L$1001,Customers!L671)&gt;1,"Duplicate record","")</f>
        <v/>
      </c>
      <c r="M671" s="4" t="str">
        <f>IF(OR(Customers!U671&lt;300,Customers!U671&gt;850),"Score out of range","")</f>
        <v/>
      </c>
      <c r="N671" s="4" t="str">
        <f>IF(AND(Customers!G671&lt;&gt;"",Customers!G671&lt;=0),"Income ≤ 0","")</f>
        <v/>
      </c>
      <c r="O671" s="4" t="str">
        <f>IF(OR(Customers!G671="",Customers!M671=""),"Missing value","")</f>
        <v/>
      </c>
      <c r="P671" s="4">
        <f t="shared" si="10"/>
        <v>0</v>
      </c>
    </row>
    <row r="672" spans="1:16" x14ac:dyDescent="0.25">
      <c r="A672" s="4" t="str">
        <f>Customers!A672</f>
        <v>CL00666</v>
      </c>
      <c r="B672" s="20">
        <f>IF(Customers!G672="","",(Customers!G672-Statistics!$C$7)/Statistics!$C$9)</f>
        <v>-4.1740474032318196E-2</v>
      </c>
      <c r="C672" s="4" t="str">
        <f>IF(Customers!G672="","",IF(OR(Customers!G672&lt;Statistics!$C$15,Customers!G672&gt;Statistics!$C$16),"Outside 1.5·IQR",""))</f>
        <v/>
      </c>
      <c r="D672" s="4" t="str">
        <f>IF(OR(Customers!B672&lt;18,Customers!B672&gt;100),"Implausible age","")</f>
        <v/>
      </c>
      <c r="E672" s="4" t="str">
        <f>IF(Customers!H672&gt;Customers!B672-18,"Tenure &gt; age-18","")</f>
        <v/>
      </c>
      <c r="F672" s="4" t="str">
        <f>IF(Customers!R672&gt;Customers!Q672,"Card spend &gt; limit","")</f>
        <v/>
      </c>
      <c r="G672" s="4" t="str">
        <f>IF(OR(AND(Customers!S672&gt;0,Customers!T672=0),AND(Customers!S672=0,Customers!T672&gt;0)),"Mortgage/payment inconsistent","")</f>
        <v/>
      </c>
      <c r="H672" s="4" t="str">
        <f>IF(AND(Customers!G672&lt;&gt;"",Customers!G672&gt;0,Customers!T672&gt;Customers!G672/12),"Payment &gt; monthly income","")</f>
        <v/>
      </c>
      <c r="I672" s="4" t="str">
        <f>IF(OR(Customers!I672&gt;DATE(2026,9,13),YEAR(Customers!I672)&lt;1980),"Implausible date","")</f>
        <v/>
      </c>
      <c r="J672" s="4" t="str">
        <f>IF(Customers!I672&gt;DATE(2026,9,13),"",IF(ABS(INT((DATE(2026,9,13)-Customers!I672)/365.25)-Customers!H672)&gt;1,"Date/tenure inconsistent",""))</f>
        <v/>
      </c>
      <c r="K672" s="4" t="str">
        <f>IF(COUNTIF(Customers!$A$2:$A$1001,Customers!A672)&gt;1,"Duplicate ID","")</f>
        <v/>
      </c>
      <c r="L672" s="4" t="str">
        <f>IF(COUNTIFS(Customers!$B$2:$B$1001,Customers!B672,Customers!$D$2:$D$1001,Customers!D672,Customers!$G$2:$G$1001,Customers!G672,Customers!$I$2:$I$1001,Customers!I672,Customers!$L$2:$L$1001,Customers!L672)&gt;1,"Duplicate record","")</f>
        <v/>
      </c>
      <c r="M672" s="4" t="str">
        <f>IF(OR(Customers!U672&lt;300,Customers!U672&gt;850),"Score out of range","")</f>
        <v/>
      </c>
      <c r="N672" s="4" t="str">
        <f>IF(AND(Customers!G672&lt;&gt;"",Customers!G672&lt;=0),"Income ≤ 0","")</f>
        <v/>
      </c>
      <c r="O672" s="4" t="str">
        <f>IF(OR(Customers!G672="",Customers!M672=""),"Missing value","")</f>
        <v/>
      </c>
      <c r="P672" s="4">
        <f t="shared" si="10"/>
        <v>0</v>
      </c>
    </row>
    <row r="673" spans="1:16" x14ac:dyDescent="0.25">
      <c r="A673" s="4" t="str">
        <f>Customers!A673</f>
        <v>CL00667</v>
      </c>
      <c r="B673" s="20">
        <f>IF(Customers!G673="","",(Customers!G673-Statistics!$C$7)/Statistics!$C$9)</f>
        <v>-7.2370607017714514E-2</v>
      </c>
      <c r="C673" s="4" t="str">
        <f>IF(Customers!G673="","",IF(OR(Customers!G673&lt;Statistics!$C$15,Customers!G673&gt;Statistics!$C$16),"Outside 1.5·IQR",""))</f>
        <v/>
      </c>
      <c r="D673" s="4" t="str">
        <f>IF(OR(Customers!B673&lt;18,Customers!B673&gt;100),"Implausible age","")</f>
        <v/>
      </c>
      <c r="E673" s="4" t="str">
        <f>IF(Customers!H673&gt;Customers!B673-18,"Tenure &gt; age-18","")</f>
        <v/>
      </c>
      <c r="F673" s="4" t="str">
        <f>IF(Customers!R673&gt;Customers!Q673,"Card spend &gt; limit","")</f>
        <v/>
      </c>
      <c r="G673" s="4" t="str">
        <f>IF(OR(AND(Customers!S673&gt;0,Customers!T673=0),AND(Customers!S673=0,Customers!T673&gt;0)),"Mortgage/payment inconsistent","")</f>
        <v/>
      </c>
      <c r="H673" s="4" t="str">
        <f>IF(AND(Customers!G673&lt;&gt;"",Customers!G673&gt;0,Customers!T673&gt;Customers!G673/12),"Payment &gt; monthly income","")</f>
        <v/>
      </c>
      <c r="I673" s="4" t="str">
        <f>IF(OR(Customers!I673&gt;DATE(2026,9,13),YEAR(Customers!I673)&lt;1980),"Implausible date","")</f>
        <v/>
      </c>
      <c r="J673" s="4" t="str">
        <f>IF(Customers!I673&gt;DATE(2026,9,13),"",IF(ABS(INT((DATE(2026,9,13)-Customers!I673)/365.25)-Customers!H673)&gt;1,"Date/tenure inconsistent",""))</f>
        <v/>
      </c>
      <c r="K673" s="4" t="str">
        <f>IF(COUNTIF(Customers!$A$2:$A$1001,Customers!A673)&gt;1,"Duplicate ID","")</f>
        <v/>
      </c>
      <c r="L673" s="4" t="str">
        <f>IF(COUNTIFS(Customers!$B$2:$B$1001,Customers!B673,Customers!$D$2:$D$1001,Customers!D673,Customers!$G$2:$G$1001,Customers!G673,Customers!$I$2:$I$1001,Customers!I673,Customers!$L$2:$L$1001,Customers!L673)&gt;1,"Duplicate record","")</f>
        <v/>
      </c>
      <c r="M673" s="4" t="str">
        <f>IF(OR(Customers!U673&lt;300,Customers!U673&gt;850),"Score out of range","")</f>
        <v/>
      </c>
      <c r="N673" s="4" t="str">
        <f>IF(AND(Customers!G673&lt;&gt;"",Customers!G673&lt;=0),"Income ≤ 0","")</f>
        <v>Income ≤ 0</v>
      </c>
      <c r="O673" s="4" t="str">
        <f>IF(OR(Customers!G673="",Customers!M673=""),"Missing value","")</f>
        <v/>
      </c>
      <c r="P673" s="4">
        <f t="shared" si="10"/>
        <v>1</v>
      </c>
    </row>
    <row r="674" spans="1:16" x14ac:dyDescent="0.25">
      <c r="A674" s="4" t="str">
        <f>Customers!A674</f>
        <v>CL00668</v>
      </c>
      <c r="B674" s="20">
        <f>IF(Customers!G674="","",(Customers!G674-Statistics!$C$7)/Statistics!$C$9)</f>
        <v>-2.9133454442843522E-2</v>
      </c>
      <c r="C674" s="4" t="str">
        <f>IF(Customers!G674="","",IF(OR(Customers!G674&lt;Statistics!$C$15,Customers!G674&gt;Statistics!$C$16),"Outside 1.5·IQR",""))</f>
        <v/>
      </c>
      <c r="D674" s="4" t="str">
        <f>IF(OR(Customers!B674&lt;18,Customers!B674&gt;100),"Implausible age","")</f>
        <v/>
      </c>
      <c r="E674" s="4" t="str">
        <f>IF(Customers!H674&gt;Customers!B674-18,"Tenure &gt; age-18","")</f>
        <v/>
      </c>
      <c r="F674" s="4" t="str">
        <f>IF(Customers!R674&gt;Customers!Q674,"Card spend &gt; limit","")</f>
        <v/>
      </c>
      <c r="G674" s="4" t="str">
        <f>IF(OR(AND(Customers!S674&gt;0,Customers!T674=0),AND(Customers!S674=0,Customers!T674&gt;0)),"Mortgage/payment inconsistent","")</f>
        <v/>
      </c>
      <c r="H674" s="4" t="str">
        <f>IF(AND(Customers!G674&lt;&gt;"",Customers!G674&gt;0,Customers!T674&gt;Customers!G674/12),"Payment &gt; monthly income","")</f>
        <v/>
      </c>
      <c r="I674" s="4" t="str">
        <f>IF(OR(Customers!I674&gt;DATE(2026,9,13),YEAR(Customers!I674)&lt;1980),"Implausible date","")</f>
        <v/>
      </c>
      <c r="J674" s="4" t="str">
        <f>IF(Customers!I674&gt;DATE(2026,9,13),"",IF(ABS(INT((DATE(2026,9,13)-Customers!I674)/365.25)-Customers!H674)&gt;1,"Date/tenure inconsistent",""))</f>
        <v/>
      </c>
      <c r="K674" s="4" t="str">
        <f>IF(COUNTIF(Customers!$A$2:$A$1001,Customers!A674)&gt;1,"Duplicate ID","")</f>
        <v/>
      </c>
      <c r="L674" s="4" t="str">
        <f>IF(COUNTIFS(Customers!$B$2:$B$1001,Customers!B674,Customers!$D$2:$D$1001,Customers!D674,Customers!$G$2:$G$1001,Customers!G674,Customers!$I$2:$I$1001,Customers!I674,Customers!$L$2:$L$1001,Customers!L674)&gt;1,"Duplicate record","")</f>
        <v/>
      </c>
      <c r="M674" s="4" t="str">
        <f>IF(OR(Customers!U674&lt;300,Customers!U674&gt;850),"Score out of range","")</f>
        <v/>
      </c>
      <c r="N674" s="4" t="str">
        <f>IF(AND(Customers!G674&lt;&gt;"",Customers!G674&lt;=0),"Income ≤ 0","")</f>
        <v/>
      </c>
      <c r="O674" s="4" t="str">
        <f>IF(OR(Customers!G674="",Customers!M674=""),"Missing value","")</f>
        <v/>
      </c>
      <c r="P674" s="4">
        <f t="shared" si="10"/>
        <v>0</v>
      </c>
    </row>
    <row r="675" spans="1:16" x14ac:dyDescent="0.25">
      <c r="A675" s="4" t="str">
        <f>Customers!A675</f>
        <v>CL00669</v>
      </c>
      <c r="B675" s="20">
        <f>IF(Customers!G675="","",(Customers!G675-Statistics!$C$7)/Statistics!$C$9)</f>
        <v>-4.7218334489718952E-4</v>
      </c>
      <c r="C675" s="4" t="str">
        <f>IF(Customers!G675="","",IF(OR(Customers!G675&lt;Statistics!$C$15,Customers!G675&gt;Statistics!$C$16),"Outside 1.5·IQR",""))</f>
        <v/>
      </c>
      <c r="D675" s="4" t="str">
        <f>IF(OR(Customers!B675&lt;18,Customers!B675&gt;100),"Implausible age","")</f>
        <v/>
      </c>
      <c r="E675" s="4" t="str">
        <f>IF(Customers!H675&gt;Customers!B675-18,"Tenure &gt; age-18","")</f>
        <v/>
      </c>
      <c r="F675" s="4" t="str">
        <f>IF(Customers!R675&gt;Customers!Q675,"Card spend &gt; limit","")</f>
        <v/>
      </c>
      <c r="G675" s="4" t="str">
        <f>IF(OR(AND(Customers!S675&gt;0,Customers!T675=0),AND(Customers!S675=0,Customers!T675&gt;0)),"Mortgage/payment inconsistent","")</f>
        <v/>
      </c>
      <c r="H675" s="4" t="str">
        <f>IF(AND(Customers!G675&lt;&gt;"",Customers!G675&gt;0,Customers!T675&gt;Customers!G675/12),"Payment &gt; monthly income","")</f>
        <v/>
      </c>
      <c r="I675" s="4" t="str">
        <f>IF(OR(Customers!I675&gt;DATE(2026,9,13),YEAR(Customers!I675)&lt;1980),"Implausible date","")</f>
        <v/>
      </c>
      <c r="J675" s="4" t="str">
        <f>IF(Customers!I675&gt;DATE(2026,9,13),"",IF(ABS(INT((DATE(2026,9,13)-Customers!I675)/365.25)-Customers!H675)&gt;1,"Date/tenure inconsistent",""))</f>
        <v/>
      </c>
      <c r="K675" s="4" t="str">
        <f>IF(COUNTIF(Customers!$A$2:$A$1001,Customers!A675)&gt;1,"Duplicate ID","")</f>
        <v/>
      </c>
      <c r="L675" s="4" t="str">
        <f>IF(COUNTIFS(Customers!$B$2:$B$1001,Customers!B675,Customers!$D$2:$D$1001,Customers!D675,Customers!$G$2:$G$1001,Customers!G675,Customers!$I$2:$I$1001,Customers!I675,Customers!$L$2:$L$1001,Customers!L675)&gt;1,"Duplicate record","")</f>
        <v/>
      </c>
      <c r="M675" s="4" t="str">
        <f>IF(OR(Customers!U675&lt;300,Customers!U675&gt;850),"Score out of range","")</f>
        <v/>
      </c>
      <c r="N675" s="4" t="str">
        <f>IF(AND(Customers!G675&lt;&gt;"",Customers!G675&lt;=0),"Income ≤ 0","")</f>
        <v/>
      </c>
      <c r="O675" s="4" t="str">
        <f>IF(OR(Customers!G675="",Customers!M675=""),"Missing value","")</f>
        <v/>
      </c>
      <c r="P675" s="4">
        <f t="shared" si="10"/>
        <v>0</v>
      </c>
    </row>
    <row r="676" spans="1:16" x14ac:dyDescent="0.25">
      <c r="A676" s="4" t="str">
        <f>Customers!A676</f>
        <v>CL00670</v>
      </c>
      <c r="B676" s="20">
        <f>IF(Customers!G676="","",(Customers!G676-Statistics!$C$7)/Statistics!$C$9)</f>
        <v>-5.1097246383881433E-2</v>
      </c>
      <c r="C676" s="4" t="str">
        <f>IF(Customers!G676="","",IF(OR(Customers!G676&lt;Statistics!$C$15,Customers!G676&gt;Statistics!$C$16),"Outside 1.5·IQR",""))</f>
        <v/>
      </c>
      <c r="D676" s="4" t="str">
        <f>IF(OR(Customers!B676&lt;18,Customers!B676&gt;100),"Implausible age","")</f>
        <v/>
      </c>
      <c r="E676" s="4" t="str">
        <f>IF(Customers!H676&gt;Customers!B676-18,"Tenure &gt; age-18","")</f>
        <v/>
      </c>
      <c r="F676" s="4" t="str">
        <f>IF(Customers!R676&gt;Customers!Q676,"Card spend &gt; limit","")</f>
        <v/>
      </c>
      <c r="G676" s="4" t="str">
        <f>IF(OR(AND(Customers!S676&gt;0,Customers!T676=0),AND(Customers!S676=0,Customers!T676&gt;0)),"Mortgage/payment inconsistent","")</f>
        <v/>
      </c>
      <c r="H676" s="4" t="str">
        <f>IF(AND(Customers!G676&lt;&gt;"",Customers!G676&gt;0,Customers!T676&gt;Customers!G676/12),"Payment &gt; monthly income","")</f>
        <v/>
      </c>
      <c r="I676" s="4" t="str">
        <f>IF(OR(Customers!I676&gt;DATE(2026,9,13),YEAR(Customers!I676)&lt;1980),"Implausible date","")</f>
        <v/>
      </c>
      <c r="J676" s="4" t="str">
        <f>IF(Customers!I676&gt;DATE(2026,9,13),"",IF(ABS(INT((DATE(2026,9,13)-Customers!I676)/365.25)-Customers!H676)&gt;1,"Date/tenure inconsistent",""))</f>
        <v/>
      </c>
      <c r="K676" s="4" t="str">
        <f>IF(COUNTIF(Customers!$A$2:$A$1001,Customers!A676)&gt;1,"Duplicate ID","")</f>
        <v/>
      </c>
      <c r="L676" s="4" t="str">
        <f>IF(COUNTIFS(Customers!$B$2:$B$1001,Customers!B676,Customers!$D$2:$D$1001,Customers!D676,Customers!$G$2:$G$1001,Customers!G676,Customers!$I$2:$I$1001,Customers!I676,Customers!$L$2:$L$1001,Customers!L676)&gt;1,"Duplicate record","")</f>
        <v/>
      </c>
      <c r="M676" s="4" t="str">
        <f>IF(OR(Customers!U676&lt;300,Customers!U676&gt;850),"Score out of range","")</f>
        <v/>
      </c>
      <c r="N676" s="4" t="str">
        <f>IF(AND(Customers!G676&lt;&gt;"",Customers!G676&lt;=0),"Income ≤ 0","")</f>
        <v/>
      </c>
      <c r="O676" s="4" t="str">
        <f>IF(OR(Customers!G676="",Customers!M676=""),"Missing value","")</f>
        <v/>
      </c>
      <c r="P676" s="4">
        <f t="shared" si="10"/>
        <v>0</v>
      </c>
    </row>
    <row r="677" spans="1:16" x14ac:dyDescent="0.25">
      <c r="A677" s="4" t="str">
        <f>Customers!A677</f>
        <v>CL00671</v>
      </c>
      <c r="B677" s="20">
        <f>IF(Customers!G677="","",(Customers!G677-Statistics!$C$7)/Statistics!$C$9)</f>
        <v>-6.1340449800329606E-2</v>
      </c>
      <c r="C677" s="4" t="str">
        <f>IF(Customers!G677="","",IF(OR(Customers!G677&lt;Statistics!$C$15,Customers!G677&gt;Statistics!$C$16),"Outside 1.5·IQR",""))</f>
        <v/>
      </c>
      <c r="D677" s="4" t="str">
        <f>IF(OR(Customers!B677&lt;18,Customers!B677&gt;100),"Implausible age","")</f>
        <v/>
      </c>
      <c r="E677" s="4" t="str">
        <f>IF(Customers!H677&gt;Customers!B677-18,"Tenure &gt; age-18","")</f>
        <v/>
      </c>
      <c r="F677" s="4" t="str">
        <f>IF(Customers!R677&gt;Customers!Q677,"Card spend &gt; limit","")</f>
        <v/>
      </c>
      <c r="G677" s="4" t="str">
        <f>IF(OR(AND(Customers!S677&gt;0,Customers!T677=0),AND(Customers!S677=0,Customers!T677&gt;0)),"Mortgage/payment inconsistent","")</f>
        <v/>
      </c>
      <c r="H677" s="4" t="str">
        <f>IF(AND(Customers!G677&lt;&gt;"",Customers!G677&gt;0,Customers!T677&gt;Customers!G677/12),"Payment &gt; monthly income","")</f>
        <v/>
      </c>
      <c r="I677" s="4" t="str">
        <f>IF(OR(Customers!I677&gt;DATE(2026,9,13),YEAR(Customers!I677)&lt;1980),"Implausible date","")</f>
        <v/>
      </c>
      <c r="J677" s="4" t="str">
        <f>IF(Customers!I677&gt;DATE(2026,9,13),"",IF(ABS(INT((DATE(2026,9,13)-Customers!I677)/365.25)-Customers!H677)&gt;1,"Date/tenure inconsistent",""))</f>
        <v/>
      </c>
      <c r="K677" s="4" t="str">
        <f>IF(COUNTIF(Customers!$A$2:$A$1001,Customers!A677)&gt;1,"Duplicate ID","")</f>
        <v/>
      </c>
      <c r="L677" s="4" t="str">
        <f>IF(COUNTIFS(Customers!$B$2:$B$1001,Customers!B677,Customers!$D$2:$D$1001,Customers!D677,Customers!$G$2:$G$1001,Customers!G677,Customers!$I$2:$I$1001,Customers!I677,Customers!$L$2:$L$1001,Customers!L677)&gt;1,"Duplicate record","")</f>
        <v/>
      </c>
      <c r="M677" s="4" t="str">
        <f>IF(OR(Customers!U677&lt;300,Customers!U677&gt;850),"Score out of range","")</f>
        <v/>
      </c>
      <c r="N677" s="4" t="str">
        <f>IF(AND(Customers!G677&lt;&gt;"",Customers!G677&lt;=0),"Income ≤ 0","")</f>
        <v/>
      </c>
      <c r="O677" s="4" t="str">
        <f>IF(OR(Customers!G677="",Customers!M677=""),"Missing value","")</f>
        <v/>
      </c>
      <c r="P677" s="4">
        <f t="shared" si="10"/>
        <v>0</v>
      </c>
    </row>
    <row r="678" spans="1:16" x14ac:dyDescent="0.25">
      <c r="A678" s="4" t="str">
        <f>Customers!A678</f>
        <v>CL00672</v>
      </c>
      <c r="B678" s="20">
        <f>IF(Customers!G678="","",(Customers!G678-Statistics!$C$7)/Statistics!$C$9)</f>
        <v>-5.1491215746052511E-2</v>
      </c>
      <c r="C678" s="4" t="str">
        <f>IF(Customers!G678="","",IF(OR(Customers!G678&lt;Statistics!$C$15,Customers!G678&gt;Statistics!$C$16),"Outside 1.5·IQR",""))</f>
        <v/>
      </c>
      <c r="D678" s="4" t="str">
        <f>IF(OR(Customers!B678&lt;18,Customers!B678&gt;100),"Implausible age","")</f>
        <v/>
      </c>
      <c r="E678" s="4" t="str">
        <f>IF(Customers!H678&gt;Customers!B678-18,"Tenure &gt; age-18","")</f>
        <v/>
      </c>
      <c r="F678" s="4" t="str">
        <f>IF(Customers!R678&gt;Customers!Q678,"Card spend &gt; limit","")</f>
        <v/>
      </c>
      <c r="G678" s="4" t="str">
        <f>IF(OR(AND(Customers!S678&gt;0,Customers!T678=0),AND(Customers!S678=0,Customers!T678&gt;0)),"Mortgage/payment inconsistent","")</f>
        <v/>
      </c>
      <c r="H678" s="4" t="str">
        <f>IF(AND(Customers!G678&lt;&gt;"",Customers!G678&gt;0,Customers!T678&gt;Customers!G678/12),"Payment &gt; monthly income","")</f>
        <v/>
      </c>
      <c r="I678" s="4" t="str">
        <f>IF(OR(Customers!I678&gt;DATE(2026,9,13),YEAR(Customers!I678)&lt;1980),"Implausible date","")</f>
        <v/>
      </c>
      <c r="J678" s="4" t="str">
        <f>IF(Customers!I678&gt;DATE(2026,9,13),"",IF(ABS(INT((DATE(2026,9,13)-Customers!I678)/365.25)-Customers!H678)&gt;1,"Date/tenure inconsistent",""))</f>
        <v/>
      </c>
      <c r="K678" s="4" t="str">
        <f>IF(COUNTIF(Customers!$A$2:$A$1001,Customers!A678)&gt;1,"Duplicate ID","")</f>
        <v/>
      </c>
      <c r="L678" s="4" t="str">
        <f>IF(COUNTIFS(Customers!$B$2:$B$1001,Customers!B678,Customers!$D$2:$D$1001,Customers!D678,Customers!$G$2:$G$1001,Customers!G678,Customers!$I$2:$I$1001,Customers!I678,Customers!$L$2:$L$1001,Customers!L678)&gt;1,"Duplicate record","")</f>
        <v/>
      </c>
      <c r="M678" s="4" t="str">
        <f>IF(OR(Customers!U678&lt;300,Customers!U678&gt;850),"Score out of range","")</f>
        <v/>
      </c>
      <c r="N678" s="4" t="str">
        <f>IF(AND(Customers!G678&lt;&gt;"",Customers!G678&lt;=0),"Income ≤ 0","")</f>
        <v/>
      </c>
      <c r="O678" s="4" t="str">
        <f>IF(OR(Customers!G678="",Customers!M678=""),"Missing value","")</f>
        <v/>
      </c>
      <c r="P678" s="4">
        <f t="shared" si="10"/>
        <v>0</v>
      </c>
    </row>
    <row r="679" spans="1:16" x14ac:dyDescent="0.25">
      <c r="A679" s="4" t="str">
        <f>Customers!A679</f>
        <v>CL00673</v>
      </c>
      <c r="B679" s="20">
        <f>IF(Customers!G679="","",(Customers!G679-Statistics!$C$7)/Statistics!$C$9)</f>
        <v>-3.9376657859291696E-2</v>
      </c>
      <c r="C679" s="4" t="str">
        <f>IF(Customers!G679="","",IF(OR(Customers!G679&lt;Statistics!$C$15,Customers!G679&gt;Statistics!$C$16),"Outside 1.5·IQR",""))</f>
        <v/>
      </c>
      <c r="D679" s="4" t="str">
        <f>IF(OR(Customers!B679&lt;18,Customers!B679&gt;100),"Implausible age","")</f>
        <v/>
      </c>
      <c r="E679" s="4" t="str">
        <f>IF(Customers!H679&gt;Customers!B679-18,"Tenure &gt; age-18","")</f>
        <v/>
      </c>
      <c r="F679" s="4" t="str">
        <f>IF(Customers!R679&gt;Customers!Q679,"Card spend &gt; limit","")</f>
        <v/>
      </c>
      <c r="G679" s="4" t="str">
        <f>IF(OR(AND(Customers!S679&gt;0,Customers!T679=0),AND(Customers!S679=0,Customers!T679&gt;0)),"Mortgage/payment inconsistent","")</f>
        <v/>
      </c>
      <c r="H679" s="4" t="str">
        <f>IF(AND(Customers!G679&lt;&gt;"",Customers!G679&gt;0,Customers!T679&gt;Customers!G679/12),"Payment &gt; monthly income","")</f>
        <v/>
      </c>
      <c r="I679" s="4" t="str">
        <f>IF(OR(Customers!I679&gt;DATE(2026,9,13),YEAR(Customers!I679)&lt;1980),"Implausible date","")</f>
        <v/>
      </c>
      <c r="J679" s="4" t="str">
        <f>IF(Customers!I679&gt;DATE(2026,9,13),"",IF(ABS(INT((DATE(2026,9,13)-Customers!I679)/365.25)-Customers!H679)&gt;1,"Date/tenure inconsistent",""))</f>
        <v/>
      </c>
      <c r="K679" s="4" t="str">
        <f>IF(COUNTIF(Customers!$A$2:$A$1001,Customers!A679)&gt;1,"Duplicate ID","")</f>
        <v/>
      </c>
      <c r="L679" s="4" t="str">
        <f>IF(COUNTIFS(Customers!$B$2:$B$1001,Customers!B679,Customers!$D$2:$D$1001,Customers!D679,Customers!$G$2:$G$1001,Customers!G679,Customers!$I$2:$I$1001,Customers!I679,Customers!$L$2:$L$1001,Customers!L679)&gt;1,"Duplicate record","")</f>
        <v/>
      </c>
      <c r="M679" s="4" t="str">
        <f>IF(OR(Customers!U679&lt;300,Customers!U679&gt;850),"Score out of range","")</f>
        <v/>
      </c>
      <c r="N679" s="4" t="str">
        <f>IF(AND(Customers!G679&lt;&gt;"",Customers!G679&lt;=0),"Income ≤ 0","")</f>
        <v/>
      </c>
      <c r="O679" s="4" t="str">
        <f>IF(OR(Customers!G679="",Customers!M679=""),"Missing value","")</f>
        <v/>
      </c>
      <c r="P679" s="4">
        <f t="shared" si="10"/>
        <v>0</v>
      </c>
    </row>
    <row r="680" spans="1:16" x14ac:dyDescent="0.25">
      <c r="A680" s="4" t="str">
        <f>Customers!A680</f>
        <v>CL00674</v>
      </c>
      <c r="B680" s="20">
        <f>IF(Customers!G680="","",(Customers!G680-Statistics!$C$7)/Statistics!$C$9)</f>
        <v>-6.8037928957238022E-2</v>
      </c>
      <c r="C680" s="4" t="str">
        <f>IF(Customers!G680="","",IF(OR(Customers!G680&lt;Statistics!$C$15,Customers!G680&gt;Statistics!$C$16),"Outside 1.5·IQR",""))</f>
        <v/>
      </c>
      <c r="D680" s="4" t="str">
        <f>IF(OR(Customers!B680&lt;18,Customers!B680&gt;100),"Implausible age","")</f>
        <v/>
      </c>
      <c r="E680" s="4" t="str">
        <f>IF(Customers!H680&gt;Customers!B680-18,"Tenure &gt; age-18","")</f>
        <v/>
      </c>
      <c r="F680" s="4" t="str">
        <f>IF(Customers!R680&gt;Customers!Q680,"Card spend &gt; limit","")</f>
        <v/>
      </c>
      <c r="G680" s="4" t="str">
        <f>IF(OR(AND(Customers!S680&gt;0,Customers!T680=0),AND(Customers!S680=0,Customers!T680&gt;0)),"Mortgage/payment inconsistent","")</f>
        <v/>
      </c>
      <c r="H680" s="4" t="str">
        <f>IF(AND(Customers!G680&lt;&gt;"",Customers!G680&gt;0,Customers!T680&gt;Customers!G680/12),"Payment &gt; monthly income","")</f>
        <v/>
      </c>
      <c r="I680" s="4" t="str">
        <f>IF(OR(Customers!I680&gt;DATE(2026,9,13),YEAR(Customers!I680)&lt;1980),"Implausible date","")</f>
        <v/>
      </c>
      <c r="J680" s="4" t="str">
        <f>IF(Customers!I680&gt;DATE(2026,9,13),"",IF(ABS(INT((DATE(2026,9,13)-Customers!I680)/365.25)-Customers!H680)&gt;1,"Date/tenure inconsistent",""))</f>
        <v/>
      </c>
      <c r="K680" s="4" t="str">
        <f>IF(COUNTIF(Customers!$A$2:$A$1001,Customers!A680)&gt;1,"Duplicate ID","")</f>
        <v/>
      </c>
      <c r="L680" s="4" t="str">
        <f>IF(COUNTIFS(Customers!$B$2:$B$1001,Customers!B680,Customers!$D$2:$D$1001,Customers!D680,Customers!$G$2:$G$1001,Customers!G680,Customers!$I$2:$I$1001,Customers!I680,Customers!$L$2:$L$1001,Customers!L680)&gt;1,"Duplicate record","")</f>
        <v/>
      </c>
      <c r="M680" s="4" t="str">
        <f>IF(OR(Customers!U680&lt;300,Customers!U680&gt;850),"Score out of range","")</f>
        <v/>
      </c>
      <c r="N680" s="4" t="str">
        <f>IF(AND(Customers!G680&lt;&gt;"",Customers!G680&lt;=0),"Income ≤ 0","")</f>
        <v/>
      </c>
      <c r="O680" s="4" t="str">
        <f>IF(OR(Customers!G680="",Customers!M680=""),"Missing value","")</f>
        <v/>
      </c>
      <c r="P680" s="4">
        <f t="shared" si="10"/>
        <v>0</v>
      </c>
    </row>
    <row r="681" spans="1:16" x14ac:dyDescent="0.25">
      <c r="A681" s="4" t="str">
        <f>Customers!A681</f>
        <v>CL00675</v>
      </c>
      <c r="B681" s="20">
        <f>IF(Customers!G681="","",(Customers!G681-Statistics!$C$7)/Statistics!$C$9)</f>
        <v>-3.8490226794406758E-2</v>
      </c>
      <c r="C681" s="4" t="str">
        <f>IF(Customers!G681="","",IF(OR(Customers!G681&lt;Statistics!$C$15,Customers!G681&gt;Statistics!$C$16),"Outside 1.5·IQR",""))</f>
        <v/>
      </c>
      <c r="D681" s="4" t="str">
        <f>IF(OR(Customers!B681&lt;18,Customers!B681&gt;100),"Implausible age","")</f>
        <v/>
      </c>
      <c r="E681" s="4" t="str">
        <f>IF(Customers!H681&gt;Customers!B681-18,"Tenure &gt; age-18","")</f>
        <v/>
      </c>
      <c r="F681" s="4" t="str">
        <f>IF(Customers!R681&gt;Customers!Q681,"Card spend &gt; limit","")</f>
        <v/>
      </c>
      <c r="G681" s="4" t="str">
        <f>IF(OR(AND(Customers!S681&gt;0,Customers!T681=0),AND(Customers!S681=0,Customers!T681&gt;0)),"Mortgage/payment inconsistent","")</f>
        <v/>
      </c>
      <c r="H681" s="4" t="str">
        <f>IF(AND(Customers!G681&lt;&gt;"",Customers!G681&gt;0,Customers!T681&gt;Customers!G681/12),"Payment &gt; monthly income","")</f>
        <v/>
      </c>
      <c r="I681" s="4" t="str">
        <f>IF(OR(Customers!I681&gt;DATE(2026,9,13),YEAR(Customers!I681)&lt;1980),"Implausible date","")</f>
        <v/>
      </c>
      <c r="J681" s="4" t="str">
        <f>IF(Customers!I681&gt;DATE(2026,9,13),"",IF(ABS(INT((DATE(2026,9,13)-Customers!I681)/365.25)-Customers!H681)&gt;1,"Date/tenure inconsistent",""))</f>
        <v/>
      </c>
      <c r="K681" s="4" t="str">
        <f>IF(COUNTIF(Customers!$A$2:$A$1001,Customers!A681)&gt;1,"Duplicate ID","")</f>
        <v/>
      </c>
      <c r="L681" s="4" t="str">
        <f>IF(COUNTIFS(Customers!$B$2:$B$1001,Customers!B681,Customers!$D$2:$D$1001,Customers!D681,Customers!$G$2:$G$1001,Customers!G681,Customers!$I$2:$I$1001,Customers!I681,Customers!$L$2:$L$1001,Customers!L681)&gt;1,"Duplicate record","")</f>
        <v/>
      </c>
      <c r="M681" s="4" t="str">
        <f>IF(OR(Customers!U681&lt;300,Customers!U681&gt;850),"Score out of range","")</f>
        <v/>
      </c>
      <c r="N681" s="4" t="str">
        <f>IF(AND(Customers!G681&lt;&gt;"",Customers!G681&lt;=0),"Income ≤ 0","")</f>
        <v/>
      </c>
      <c r="O681" s="4" t="str">
        <f>IF(OR(Customers!G681="",Customers!M681=""),"Missing value","")</f>
        <v/>
      </c>
      <c r="P681" s="4">
        <f t="shared" si="10"/>
        <v>0</v>
      </c>
    </row>
    <row r="682" spans="1:16" x14ac:dyDescent="0.25">
      <c r="A682" s="4" t="str">
        <f>Customers!A682</f>
        <v>CL00676</v>
      </c>
      <c r="B682" s="20">
        <f>IF(Customers!G682="","",(Customers!G682-Statistics!$C$7)/Statistics!$C$9)</f>
        <v>-6.1931403843586232E-2</v>
      </c>
      <c r="C682" s="4" t="str">
        <f>IF(Customers!G682="","",IF(OR(Customers!G682&lt;Statistics!$C$15,Customers!G682&gt;Statistics!$C$16),"Outside 1.5·IQR",""))</f>
        <v/>
      </c>
      <c r="D682" s="4" t="str">
        <f>IF(OR(Customers!B682&lt;18,Customers!B682&gt;100),"Implausible age","")</f>
        <v/>
      </c>
      <c r="E682" s="4" t="str">
        <f>IF(Customers!H682&gt;Customers!B682-18,"Tenure &gt; age-18","")</f>
        <v/>
      </c>
      <c r="F682" s="4" t="str">
        <f>IF(Customers!R682&gt;Customers!Q682,"Card spend &gt; limit","")</f>
        <v/>
      </c>
      <c r="G682" s="4" t="str">
        <f>IF(OR(AND(Customers!S682&gt;0,Customers!T682=0),AND(Customers!S682=0,Customers!T682&gt;0)),"Mortgage/payment inconsistent","")</f>
        <v/>
      </c>
      <c r="H682" s="4" t="str">
        <f>IF(AND(Customers!G682&lt;&gt;"",Customers!G682&gt;0,Customers!T682&gt;Customers!G682/12),"Payment &gt; monthly income","")</f>
        <v/>
      </c>
      <c r="I682" s="4" t="str">
        <f>IF(OR(Customers!I682&gt;DATE(2026,9,13),YEAR(Customers!I682)&lt;1980),"Implausible date","")</f>
        <v/>
      </c>
      <c r="J682" s="4" t="str">
        <f>IF(Customers!I682&gt;DATE(2026,9,13),"",IF(ABS(INT((DATE(2026,9,13)-Customers!I682)/365.25)-Customers!H682)&gt;1,"Date/tenure inconsistent",""))</f>
        <v/>
      </c>
      <c r="K682" s="4" t="str">
        <f>IF(COUNTIF(Customers!$A$2:$A$1001,Customers!A682)&gt;1,"Duplicate ID","")</f>
        <v/>
      </c>
      <c r="L682" s="4" t="str">
        <f>IF(COUNTIFS(Customers!$B$2:$B$1001,Customers!B682,Customers!$D$2:$D$1001,Customers!D682,Customers!$G$2:$G$1001,Customers!G682,Customers!$I$2:$I$1001,Customers!I682,Customers!$L$2:$L$1001,Customers!L682)&gt;1,"Duplicate record","")</f>
        <v/>
      </c>
      <c r="M682" s="4" t="str">
        <f>IF(OR(Customers!U682&lt;300,Customers!U682&gt;850),"Score out of range","")</f>
        <v/>
      </c>
      <c r="N682" s="4" t="str">
        <f>IF(AND(Customers!G682&lt;&gt;"",Customers!G682&lt;=0),"Income ≤ 0","")</f>
        <v/>
      </c>
      <c r="O682" s="4" t="str">
        <f>IF(OR(Customers!G682="",Customers!M682=""),"Missing value","")</f>
        <v/>
      </c>
      <c r="P682" s="4">
        <f t="shared" si="10"/>
        <v>0</v>
      </c>
    </row>
    <row r="683" spans="1:16" x14ac:dyDescent="0.25">
      <c r="A683" s="4" t="str">
        <f>Customers!A683</f>
        <v>CL00677</v>
      </c>
      <c r="B683" s="20">
        <f>IF(Customers!G683="","",(Customers!G683-Statistics!$C$7)/Statistics!$C$9)</f>
        <v>-8.2530782477760901E-3</v>
      </c>
      <c r="C683" s="4" t="str">
        <f>IF(Customers!G683="","",IF(OR(Customers!G683&lt;Statistics!$C$15,Customers!G683&gt;Statistics!$C$16),"Outside 1.5·IQR",""))</f>
        <v/>
      </c>
      <c r="D683" s="4" t="str">
        <f>IF(OR(Customers!B683&lt;18,Customers!B683&gt;100),"Implausible age","")</f>
        <v/>
      </c>
      <c r="E683" s="4" t="str">
        <f>IF(Customers!H683&gt;Customers!B683-18,"Tenure &gt; age-18","")</f>
        <v/>
      </c>
      <c r="F683" s="4" t="str">
        <f>IF(Customers!R683&gt;Customers!Q683,"Card spend &gt; limit","")</f>
        <v/>
      </c>
      <c r="G683" s="4" t="str">
        <f>IF(OR(AND(Customers!S683&gt;0,Customers!T683=0),AND(Customers!S683=0,Customers!T683&gt;0)),"Mortgage/payment inconsistent","")</f>
        <v/>
      </c>
      <c r="H683" s="4" t="str">
        <f>IF(AND(Customers!G683&lt;&gt;"",Customers!G683&gt;0,Customers!T683&gt;Customers!G683/12),"Payment &gt; monthly income","")</f>
        <v/>
      </c>
      <c r="I683" s="4" t="str">
        <f>IF(OR(Customers!I683&gt;DATE(2026,9,13),YEAR(Customers!I683)&lt;1980),"Implausible date","")</f>
        <v/>
      </c>
      <c r="J683" s="4" t="str">
        <f>IF(Customers!I683&gt;DATE(2026,9,13),"",IF(ABS(INT((DATE(2026,9,13)-Customers!I683)/365.25)-Customers!H683)&gt;1,"Date/tenure inconsistent",""))</f>
        <v/>
      </c>
      <c r="K683" s="4" t="str">
        <f>IF(COUNTIF(Customers!$A$2:$A$1001,Customers!A683)&gt;1,"Duplicate ID","")</f>
        <v/>
      </c>
      <c r="L683" s="4" t="str">
        <f>IF(COUNTIFS(Customers!$B$2:$B$1001,Customers!B683,Customers!$D$2:$D$1001,Customers!D683,Customers!$G$2:$G$1001,Customers!G683,Customers!$I$2:$I$1001,Customers!I683,Customers!$L$2:$L$1001,Customers!L683)&gt;1,"Duplicate record","")</f>
        <v/>
      </c>
      <c r="M683" s="4" t="str">
        <f>IF(OR(Customers!U683&lt;300,Customers!U683&gt;850),"Score out of range","")</f>
        <v/>
      </c>
      <c r="N683" s="4" t="str">
        <f>IF(AND(Customers!G683&lt;&gt;"",Customers!G683&lt;=0),"Income ≤ 0","")</f>
        <v/>
      </c>
      <c r="O683" s="4" t="str">
        <f>IF(OR(Customers!G683="",Customers!M683=""),"Missing value","")</f>
        <v/>
      </c>
      <c r="P683" s="4">
        <f t="shared" si="10"/>
        <v>0</v>
      </c>
    </row>
    <row r="684" spans="1:16" x14ac:dyDescent="0.25">
      <c r="A684" s="4" t="str">
        <f>Customers!A684</f>
        <v>CL00678</v>
      </c>
      <c r="B684" s="20">
        <f>IF(Customers!G684="","",(Customers!G684-Statistics!$C$7)/Statistics!$C$9)</f>
        <v>-2.5686222523846541E-2</v>
      </c>
      <c r="C684" s="4" t="str">
        <f>IF(Customers!G684="","",IF(OR(Customers!G684&lt;Statistics!$C$15,Customers!G684&gt;Statistics!$C$16),"Outside 1.5·IQR",""))</f>
        <v/>
      </c>
      <c r="D684" s="4" t="str">
        <f>IF(OR(Customers!B684&lt;18,Customers!B684&gt;100),"Implausible age","")</f>
        <v/>
      </c>
      <c r="E684" s="4" t="str">
        <f>IF(Customers!H684&gt;Customers!B684-18,"Tenure &gt; age-18","")</f>
        <v/>
      </c>
      <c r="F684" s="4" t="str">
        <f>IF(Customers!R684&gt;Customers!Q684,"Card spend &gt; limit","")</f>
        <v/>
      </c>
      <c r="G684" s="4" t="str">
        <f>IF(OR(AND(Customers!S684&gt;0,Customers!T684=0),AND(Customers!S684=0,Customers!T684&gt;0)),"Mortgage/payment inconsistent","")</f>
        <v/>
      </c>
      <c r="H684" s="4" t="str">
        <f>IF(AND(Customers!G684&lt;&gt;"",Customers!G684&gt;0,Customers!T684&gt;Customers!G684/12),"Payment &gt; monthly income","")</f>
        <v/>
      </c>
      <c r="I684" s="4" t="str">
        <f>IF(OR(Customers!I684&gt;DATE(2026,9,13),YEAR(Customers!I684)&lt;1980),"Implausible date","")</f>
        <v/>
      </c>
      <c r="J684" s="4" t="str">
        <f>IF(Customers!I684&gt;DATE(2026,9,13),"",IF(ABS(INT((DATE(2026,9,13)-Customers!I684)/365.25)-Customers!H684)&gt;1,"Date/tenure inconsistent",""))</f>
        <v/>
      </c>
      <c r="K684" s="4" t="str">
        <f>IF(COUNTIF(Customers!$A$2:$A$1001,Customers!A684)&gt;1,"Duplicate ID","")</f>
        <v/>
      </c>
      <c r="L684" s="4" t="str">
        <f>IF(COUNTIFS(Customers!$B$2:$B$1001,Customers!B684,Customers!$D$2:$D$1001,Customers!D684,Customers!$G$2:$G$1001,Customers!G684,Customers!$I$2:$I$1001,Customers!I684,Customers!$L$2:$L$1001,Customers!L684)&gt;1,"Duplicate record","")</f>
        <v/>
      </c>
      <c r="M684" s="4" t="str">
        <f>IF(OR(Customers!U684&lt;300,Customers!U684&gt;850),"Score out of range","")</f>
        <v/>
      </c>
      <c r="N684" s="4" t="str">
        <f>IF(AND(Customers!G684&lt;&gt;"",Customers!G684&lt;=0),"Income ≤ 0","")</f>
        <v/>
      </c>
      <c r="O684" s="4" t="str">
        <f>IF(OR(Customers!G684="",Customers!M684=""),"Missing value","")</f>
        <v/>
      </c>
      <c r="P684" s="4">
        <f t="shared" si="10"/>
        <v>0</v>
      </c>
    </row>
    <row r="685" spans="1:16" x14ac:dyDescent="0.25">
      <c r="A685" s="4" t="str">
        <f>Customers!A685</f>
        <v>CL00679</v>
      </c>
      <c r="B685" s="20">
        <f>IF(Customers!G685="","",(Customers!G685-Statistics!$C$7)/Statistics!$C$9)</f>
        <v>-6.6856020870724772E-2</v>
      </c>
      <c r="C685" s="4" t="str">
        <f>IF(Customers!G685="","",IF(OR(Customers!G685&lt;Statistics!$C$15,Customers!G685&gt;Statistics!$C$16),"Outside 1.5·IQR",""))</f>
        <v/>
      </c>
      <c r="D685" s="4" t="str">
        <f>IF(OR(Customers!B685&lt;18,Customers!B685&gt;100),"Implausible age","")</f>
        <v/>
      </c>
      <c r="E685" s="4" t="str">
        <f>IF(Customers!H685&gt;Customers!B685-18,"Tenure &gt; age-18","")</f>
        <v/>
      </c>
      <c r="F685" s="4" t="str">
        <f>IF(Customers!R685&gt;Customers!Q685,"Card spend &gt; limit","")</f>
        <v/>
      </c>
      <c r="G685" s="4" t="str">
        <f>IF(OR(AND(Customers!S685&gt;0,Customers!T685=0),AND(Customers!S685=0,Customers!T685&gt;0)),"Mortgage/payment inconsistent","")</f>
        <v/>
      </c>
      <c r="H685" s="4" t="str">
        <f>IF(AND(Customers!G685&lt;&gt;"",Customers!G685&gt;0,Customers!T685&gt;Customers!G685/12),"Payment &gt; monthly income","")</f>
        <v/>
      </c>
      <c r="I685" s="4" t="str">
        <f>IF(OR(Customers!I685&gt;DATE(2026,9,13),YEAR(Customers!I685)&lt;1980),"Implausible date","")</f>
        <v/>
      </c>
      <c r="J685" s="4" t="str">
        <f>IF(Customers!I685&gt;DATE(2026,9,13),"",IF(ABS(INT((DATE(2026,9,13)-Customers!I685)/365.25)-Customers!H685)&gt;1,"Date/tenure inconsistent",""))</f>
        <v/>
      </c>
      <c r="K685" s="4" t="str">
        <f>IF(COUNTIF(Customers!$A$2:$A$1001,Customers!A685)&gt;1,"Duplicate ID","")</f>
        <v/>
      </c>
      <c r="L685" s="4" t="str">
        <f>IF(COUNTIFS(Customers!$B$2:$B$1001,Customers!B685,Customers!$D$2:$D$1001,Customers!D685,Customers!$G$2:$G$1001,Customers!G685,Customers!$I$2:$I$1001,Customers!I685,Customers!$L$2:$L$1001,Customers!L685)&gt;1,"Duplicate record","")</f>
        <v/>
      </c>
      <c r="M685" s="4" t="str">
        <f>IF(OR(Customers!U685&lt;300,Customers!U685&gt;850),"Score out of range","")</f>
        <v/>
      </c>
      <c r="N685" s="4" t="str">
        <f>IF(AND(Customers!G685&lt;&gt;"",Customers!G685&lt;=0),"Income ≤ 0","")</f>
        <v/>
      </c>
      <c r="O685" s="4" t="str">
        <f>IF(OR(Customers!G685="",Customers!M685=""),"Missing value","")</f>
        <v/>
      </c>
      <c r="P685" s="4">
        <f t="shared" si="10"/>
        <v>0</v>
      </c>
    </row>
    <row r="686" spans="1:16" x14ac:dyDescent="0.25">
      <c r="A686" s="4" t="str">
        <f>Customers!A686</f>
        <v>CL00680</v>
      </c>
      <c r="B686" s="20">
        <f>IF(Customers!G686="","",(Customers!G686-Statistics!$C$7)/Statistics!$C$9)</f>
        <v>-6.5969589805839834E-2</v>
      </c>
      <c r="C686" s="4" t="str">
        <f>IF(Customers!G686="","",IF(OR(Customers!G686&lt;Statistics!$C$15,Customers!G686&gt;Statistics!$C$16),"Outside 1.5·IQR",""))</f>
        <v/>
      </c>
      <c r="D686" s="4" t="str">
        <f>IF(OR(Customers!B686&lt;18,Customers!B686&gt;100),"Implausible age","")</f>
        <v/>
      </c>
      <c r="E686" s="4" t="str">
        <f>IF(Customers!H686&gt;Customers!B686-18,"Tenure &gt; age-18","")</f>
        <v>Tenure &gt; age-18</v>
      </c>
      <c r="F686" s="4" t="str">
        <f>IF(Customers!R686&gt;Customers!Q686,"Card spend &gt; limit","")</f>
        <v/>
      </c>
      <c r="G686" s="4" t="str">
        <f>IF(OR(AND(Customers!S686&gt;0,Customers!T686=0),AND(Customers!S686=0,Customers!T686&gt;0)),"Mortgage/payment inconsistent","")</f>
        <v/>
      </c>
      <c r="H686" s="4" t="str">
        <f>IF(AND(Customers!G686&lt;&gt;"",Customers!G686&gt;0,Customers!T686&gt;Customers!G686/12),"Payment &gt; monthly income","")</f>
        <v/>
      </c>
      <c r="I686" s="4" t="str">
        <f>IF(OR(Customers!I686&gt;DATE(2026,9,13),YEAR(Customers!I686)&lt;1980),"Implausible date","")</f>
        <v/>
      </c>
      <c r="J686" s="4" t="str">
        <f>IF(Customers!I686&gt;DATE(2026,9,13),"",IF(ABS(INT((DATE(2026,9,13)-Customers!I686)/365.25)-Customers!H686)&gt;1,"Date/tenure inconsistent",""))</f>
        <v/>
      </c>
      <c r="K686" s="4" t="str">
        <f>IF(COUNTIF(Customers!$A$2:$A$1001,Customers!A686)&gt;1,"Duplicate ID","")</f>
        <v/>
      </c>
      <c r="L686" s="4" t="str">
        <f>IF(COUNTIFS(Customers!$B$2:$B$1001,Customers!B686,Customers!$D$2:$D$1001,Customers!D686,Customers!$G$2:$G$1001,Customers!G686,Customers!$I$2:$I$1001,Customers!I686,Customers!$L$2:$L$1001,Customers!L686)&gt;1,"Duplicate record","")</f>
        <v/>
      </c>
      <c r="M686" s="4" t="str">
        <f>IF(OR(Customers!U686&lt;300,Customers!U686&gt;850),"Score out of range","")</f>
        <v/>
      </c>
      <c r="N686" s="4" t="str">
        <f>IF(AND(Customers!G686&lt;&gt;"",Customers!G686&lt;=0),"Income ≤ 0","")</f>
        <v/>
      </c>
      <c r="O686" s="4" t="str">
        <f>IF(OR(Customers!G686="",Customers!M686=""),"Missing value","")</f>
        <v/>
      </c>
      <c r="P686" s="4">
        <f t="shared" si="10"/>
        <v>1</v>
      </c>
    </row>
    <row r="687" spans="1:16" x14ac:dyDescent="0.25">
      <c r="A687" s="4" t="str">
        <f>Customers!A687</f>
        <v>CL00681</v>
      </c>
      <c r="B687" s="20">
        <f>IF(Customers!G687="","",(Customers!G687-Statistics!$C$7)/Statistics!$C$9)</f>
        <v>-4.4990721270229635E-2</v>
      </c>
      <c r="C687" s="4" t="str">
        <f>IF(Customers!G687="","",IF(OR(Customers!G687&lt;Statistics!$C$15,Customers!G687&gt;Statistics!$C$16),"Outside 1.5·IQR",""))</f>
        <v/>
      </c>
      <c r="D687" s="4" t="str">
        <f>IF(OR(Customers!B687&lt;18,Customers!B687&gt;100),"Implausible age","")</f>
        <v/>
      </c>
      <c r="E687" s="4" t="str">
        <f>IF(Customers!H687&gt;Customers!B687-18,"Tenure &gt; age-18","")</f>
        <v/>
      </c>
      <c r="F687" s="4" t="str">
        <f>IF(Customers!R687&gt;Customers!Q687,"Card spend &gt; limit","")</f>
        <v/>
      </c>
      <c r="G687" s="4" t="str">
        <f>IF(OR(AND(Customers!S687&gt;0,Customers!T687=0),AND(Customers!S687=0,Customers!T687&gt;0)),"Mortgage/payment inconsistent","")</f>
        <v/>
      </c>
      <c r="H687" s="4" t="str">
        <f>IF(AND(Customers!G687&lt;&gt;"",Customers!G687&gt;0,Customers!T687&gt;Customers!G687/12),"Payment &gt; monthly income","")</f>
        <v/>
      </c>
      <c r="I687" s="4" t="str">
        <f>IF(OR(Customers!I687&gt;DATE(2026,9,13),YEAR(Customers!I687)&lt;1980),"Implausible date","")</f>
        <v/>
      </c>
      <c r="J687" s="4" t="str">
        <f>IF(Customers!I687&gt;DATE(2026,9,13),"",IF(ABS(INT((DATE(2026,9,13)-Customers!I687)/365.25)-Customers!H687)&gt;1,"Date/tenure inconsistent",""))</f>
        <v/>
      </c>
      <c r="K687" s="4" t="str">
        <f>IF(COUNTIF(Customers!$A$2:$A$1001,Customers!A687)&gt;1,"Duplicate ID","")</f>
        <v/>
      </c>
      <c r="L687" s="4" t="str">
        <f>IF(COUNTIFS(Customers!$B$2:$B$1001,Customers!B687,Customers!$D$2:$D$1001,Customers!D687,Customers!$G$2:$G$1001,Customers!G687,Customers!$I$2:$I$1001,Customers!I687,Customers!$L$2:$L$1001,Customers!L687)&gt;1,"Duplicate record","")</f>
        <v/>
      </c>
      <c r="M687" s="4" t="str">
        <f>IF(OR(Customers!U687&lt;300,Customers!U687&gt;850),"Score out of range","")</f>
        <v/>
      </c>
      <c r="N687" s="4" t="str">
        <f>IF(AND(Customers!G687&lt;&gt;"",Customers!G687&lt;=0),"Income ≤ 0","")</f>
        <v/>
      </c>
      <c r="O687" s="4" t="str">
        <f>IF(OR(Customers!G687="",Customers!M687=""),"Missing value","")</f>
        <v/>
      </c>
      <c r="P687" s="4">
        <f t="shared" si="10"/>
        <v>0</v>
      </c>
    </row>
    <row r="688" spans="1:16" x14ac:dyDescent="0.25">
      <c r="A688" s="4" t="str">
        <f>Customers!A688</f>
        <v>CL00682</v>
      </c>
      <c r="B688" s="20">
        <f>IF(Customers!G688="","",(Customers!G688-Statistics!$C$7)/Statistics!$C$9)</f>
        <v>-4.5877152335114572E-2</v>
      </c>
      <c r="C688" s="4" t="str">
        <f>IF(Customers!G688="","",IF(OR(Customers!G688&lt;Statistics!$C$15,Customers!G688&gt;Statistics!$C$16),"Outside 1.5·IQR",""))</f>
        <v/>
      </c>
      <c r="D688" s="4" t="str">
        <f>IF(OR(Customers!B688&lt;18,Customers!B688&gt;100),"Implausible age","")</f>
        <v/>
      </c>
      <c r="E688" s="4" t="str">
        <f>IF(Customers!H688&gt;Customers!B688-18,"Tenure &gt; age-18","")</f>
        <v/>
      </c>
      <c r="F688" s="4" t="str">
        <f>IF(Customers!R688&gt;Customers!Q688,"Card spend &gt; limit","")</f>
        <v/>
      </c>
      <c r="G688" s="4" t="str">
        <f>IF(OR(AND(Customers!S688&gt;0,Customers!T688=0),AND(Customers!S688=0,Customers!T688&gt;0)),"Mortgage/payment inconsistent","")</f>
        <v/>
      </c>
      <c r="H688" s="4" t="str">
        <f>IF(AND(Customers!G688&lt;&gt;"",Customers!G688&gt;0,Customers!T688&gt;Customers!G688/12),"Payment &gt; monthly income","")</f>
        <v/>
      </c>
      <c r="I688" s="4" t="str">
        <f>IF(OR(Customers!I688&gt;DATE(2026,9,13),YEAR(Customers!I688)&lt;1980),"Implausible date","")</f>
        <v/>
      </c>
      <c r="J688" s="4" t="str">
        <f>IF(Customers!I688&gt;DATE(2026,9,13),"",IF(ABS(INT((DATE(2026,9,13)-Customers!I688)/365.25)-Customers!H688)&gt;1,"Date/tenure inconsistent",""))</f>
        <v/>
      </c>
      <c r="K688" s="4" t="str">
        <f>IF(COUNTIF(Customers!$A$2:$A$1001,Customers!A688)&gt;1,"Duplicate ID","")</f>
        <v/>
      </c>
      <c r="L688" s="4" t="str">
        <f>IF(COUNTIFS(Customers!$B$2:$B$1001,Customers!B688,Customers!$D$2:$D$1001,Customers!D688,Customers!$G$2:$G$1001,Customers!G688,Customers!$I$2:$I$1001,Customers!I688,Customers!$L$2:$L$1001,Customers!L688)&gt;1,"Duplicate record","")</f>
        <v/>
      </c>
      <c r="M688" s="4" t="str">
        <f>IF(OR(Customers!U688&lt;300,Customers!U688&gt;850),"Score out of range","")</f>
        <v/>
      </c>
      <c r="N688" s="4" t="str">
        <f>IF(AND(Customers!G688&lt;&gt;"",Customers!G688&lt;=0),"Income ≤ 0","")</f>
        <v/>
      </c>
      <c r="O688" s="4" t="str">
        <f>IF(OR(Customers!G688="",Customers!M688=""),"Missing value","")</f>
        <v/>
      </c>
      <c r="P688" s="4">
        <f t="shared" si="10"/>
        <v>0</v>
      </c>
    </row>
    <row r="689" spans="1:16" x14ac:dyDescent="0.25">
      <c r="A689" s="4" t="str">
        <f>Customers!A689</f>
        <v>CL00683</v>
      </c>
      <c r="B689" s="20">
        <f>IF(Customers!G689="","",(Customers!G689-Statistics!$C$7)/Statistics!$C$9)</f>
        <v>-3.2974655724011585E-2</v>
      </c>
      <c r="C689" s="4" t="str">
        <f>IF(Customers!G689="","",IF(OR(Customers!G689&lt;Statistics!$C$15,Customers!G689&gt;Statistics!$C$16),"Outside 1.5·IQR",""))</f>
        <v/>
      </c>
      <c r="D689" s="4" t="str">
        <f>IF(OR(Customers!B689&lt;18,Customers!B689&gt;100),"Implausible age","")</f>
        <v/>
      </c>
      <c r="E689" s="4" t="str">
        <f>IF(Customers!H689&gt;Customers!B689-18,"Tenure &gt; age-18","")</f>
        <v/>
      </c>
      <c r="F689" s="4" t="str">
        <f>IF(Customers!R689&gt;Customers!Q689,"Card spend &gt; limit","")</f>
        <v/>
      </c>
      <c r="G689" s="4" t="str">
        <f>IF(OR(AND(Customers!S689&gt;0,Customers!T689=0),AND(Customers!S689=0,Customers!T689&gt;0)),"Mortgage/payment inconsistent","")</f>
        <v/>
      </c>
      <c r="H689" s="4" t="str">
        <f>IF(AND(Customers!G689&lt;&gt;"",Customers!G689&gt;0,Customers!T689&gt;Customers!G689/12),"Payment &gt; monthly income","")</f>
        <v/>
      </c>
      <c r="I689" s="4" t="str">
        <f>IF(OR(Customers!I689&gt;DATE(2026,9,13),YEAR(Customers!I689)&lt;1980),"Implausible date","")</f>
        <v/>
      </c>
      <c r="J689" s="4" t="str">
        <f>IF(Customers!I689&gt;DATE(2026,9,13),"",IF(ABS(INT((DATE(2026,9,13)-Customers!I689)/365.25)-Customers!H689)&gt;1,"Date/tenure inconsistent",""))</f>
        <v/>
      </c>
      <c r="K689" s="4" t="str">
        <f>IF(COUNTIF(Customers!$A$2:$A$1001,Customers!A689)&gt;1,"Duplicate ID","")</f>
        <v/>
      </c>
      <c r="L689" s="4" t="str">
        <f>IF(COUNTIFS(Customers!$B$2:$B$1001,Customers!B689,Customers!$D$2:$D$1001,Customers!D689,Customers!$G$2:$G$1001,Customers!G689,Customers!$I$2:$I$1001,Customers!I689,Customers!$L$2:$L$1001,Customers!L689)&gt;1,"Duplicate record","")</f>
        <v/>
      </c>
      <c r="M689" s="4" t="str">
        <f>IF(OR(Customers!U689&lt;300,Customers!U689&gt;850),"Score out of range","")</f>
        <v/>
      </c>
      <c r="N689" s="4" t="str">
        <f>IF(AND(Customers!G689&lt;&gt;"",Customers!G689&lt;=0),"Income ≤ 0","")</f>
        <v/>
      </c>
      <c r="O689" s="4" t="str">
        <f>IF(OR(Customers!G689="",Customers!M689=""),"Missing value","")</f>
        <v/>
      </c>
      <c r="P689" s="4">
        <f t="shared" si="10"/>
        <v>0</v>
      </c>
    </row>
    <row r="690" spans="1:16" x14ac:dyDescent="0.25">
      <c r="A690" s="4" t="str">
        <f>Customers!A690</f>
        <v>CL00684</v>
      </c>
      <c r="B690" s="20">
        <f>IF(Customers!G690="","",(Customers!G690-Statistics!$C$7)/Statistics!$C$9)</f>
        <v>-6.5772605124754288E-2</v>
      </c>
      <c r="C690" s="4" t="str">
        <f>IF(Customers!G690="","",IF(OR(Customers!G690&lt;Statistics!$C$15,Customers!G690&gt;Statistics!$C$16),"Outside 1.5·IQR",""))</f>
        <v/>
      </c>
      <c r="D690" s="4" t="str">
        <f>IF(OR(Customers!B690&lt;18,Customers!B690&gt;100),"Implausible age","")</f>
        <v/>
      </c>
      <c r="E690" s="4" t="str">
        <f>IF(Customers!H690&gt;Customers!B690-18,"Tenure &gt; age-18","")</f>
        <v/>
      </c>
      <c r="F690" s="4" t="str">
        <f>IF(Customers!R690&gt;Customers!Q690,"Card spend &gt; limit","")</f>
        <v/>
      </c>
      <c r="G690" s="4" t="str">
        <f>IF(OR(AND(Customers!S690&gt;0,Customers!T690=0),AND(Customers!S690=0,Customers!T690&gt;0)),"Mortgage/payment inconsistent","")</f>
        <v/>
      </c>
      <c r="H690" s="4" t="str">
        <f>IF(AND(Customers!G690&lt;&gt;"",Customers!G690&gt;0,Customers!T690&gt;Customers!G690/12),"Payment &gt; monthly income","")</f>
        <v/>
      </c>
      <c r="I690" s="4" t="str">
        <f>IF(OR(Customers!I690&gt;DATE(2026,9,13),YEAR(Customers!I690)&lt;1980),"Implausible date","")</f>
        <v/>
      </c>
      <c r="J690" s="4" t="str">
        <f>IF(Customers!I690&gt;DATE(2026,9,13),"",IF(ABS(INT((DATE(2026,9,13)-Customers!I690)/365.25)-Customers!H690)&gt;1,"Date/tenure inconsistent",""))</f>
        <v/>
      </c>
      <c r="K690" s="4" t="str">
        <f>IF(COUNTIF(Customers!$A$2:$A$1001,Customers!A690)&gt;1,"Duplicate ID","")</f>
        <v/>
      </c>
      <c r="L690" s="4" t="str">
        <f>IF(COUNTIFS(Customers!$B$2:$B$1001,Customers!B690,Customers!$D$2:$D$1001,Customers!D690,Customers!$G$2:$G$1001,Customers!G690,Customers!$I$2:$I$1001,Customers!I690,Customers!$L$2:$L$1001,Customers!L690)&gt;1,"Duplicate record","")</f>
        <v/>
      </c>
      <c r="M690" s="4" t="str">
        <f>IF(OR(Customers!U690&lt;300,Customers!U690&gt;850),"Score out of range","")</f>
        <v/>
      </c>
      <c r="N690" s="4" t="str">
        <f>IF(AND(Customers!G690&lt;&gt;"",Customers!G690&lt;=0),"Income ≤ 0","")</f>
        <v/>
      </c>
      <c r="O690" s="4" t="str">
        <f>IF(OR(Customers!G690="",Customers!M690=""),"Missing value","")</f>
        <v/>
      </c>
      <c r="P690" s="4">
        <f t="shared" si="10"/>
        <v>0</v>
      </c>
    </row>
    <row r="691" spans="1:16" x14ac:dyDescent="0.25">
      <c r="A691" s="4" t="str">
        <f>Customers!A691</f>
        <v>CL00995</v>
      </c>
      <c r="B691" s="20">
        <f>IF(Customers!G691="","",(Customers!G691-Statistics!$C$7)/Statistics!$C$9)</f>
        <v>-3.8490226794406758E-2</v>
      </c>
      <c r="C691" s="4" t="str">
        <f>IF(Customers!G691="","",IF(OR(Customers!G691&lt;Statistics!$C$15,Customers!G691&gt;Statistics!$C$16),"Outside 1.5·IQR",""))</f>
        <v/>
      </c>
      <c r="D691" s="4" t="str">
        <f>IF(OR(Customers!B691&lt;18,Customers!B691&gt;100),"Implausible age","")</f>
        <v/>
      </c>
      <c r="E691" s="4" t="str">
        <f>IF(Customers!H691&gt;Customers!B691-18,"Tenure &gt; age-18","")</f>
        <v/>
      </c>
      <c r="F691" s="4" t="str">
        <f>IF(Customers!R691&gt;Customers!Q691,"Card spend &gt; limit","")</f>
        <v/>
      </c>
      <c r="G691" s="4" t="str">
        <f>IF(OR(AND(Customers!S691&gt;0,Customers!T691=0),AND(Customers!S691=0,Customers!T691&gt;0)),"Mortgage/payment inconsistent","")</f>
        <v/>
      </c>
      <c r="H691" s="4" t="str">
        <f>IF(AND(Customers!G691&lt;&gt;"",Customers!G691&gt;0,Customers!T691&gt;Customers!G691/12),"Payment &gt; monthly income","")</f>
        <v/>
      </c>
      <c r="I691" s="4" t="str">
        <f>IF(OR(Customers!I691&gt;DATE(2026,9,13),YEAR(Customers!I691)&lt;1980),"Implausible date","")</f>
        <v/>
      </c>
      <c r="J691" s="4" t="str">
        <f>IF(Customers!I691&gt;DATE(2026,9,13),"",IF(ABS(INT((DATE(2026,9,13)-Customers!I691)/365.25)-Customers!H691)&gt;1,"Date/tenure inconsistent",""))</f>
        <v/>
      </c>
      <c r="K691" s="4" t="str">
        <f>IF(COUNTIF(Customers!$A$2:$A$1001,Customers!A691)&gt;1,"Duplicate ID","")</f>
        <v/>
      </c>
      <c r="L691" s="4" t="str">
        <f>IF(COUNTIFS(Customers!$B$2:$B$1001,Customers!B691,Customers!$D$2:$D$1001,Customers!D691,Customers!$G$2:$G$1001,Customers!G691,Customers!$I$2:$I$1001,Customers!I691,Customers!$L$2:$L$1001,Customers!L691)&gt;1,"Duplicate record","")</f>
        <v>Duplicate record</v>
      </c>
      <c r="M691" s="4" t="str">
        <f>IF(OR(Customers!U691&lt;300,Customers!U691&gt;850),"Score out of range","")</f>
        <v/>
      </c>
      <c r="N691" s="4" t="str">
        <f>IF(AND(Customers!G691&lt;&gt;"",Customers!G691&lt;=0),"Income ≤ 0","")</f>
        <v/>
      </c>
      <c r="O691" s="4" t="str">
        <f>IF(OR(Customers!G691="",Customers!M691=""),"Missing value","")</f>
        <v/>
      </c>
      <c r="P691" s="4">
        <f t="shared" si="10"/>
        <v>1</v>
      </c>
    </row>
    <row r="692" spans="1:16" x14ac:dyDescent="0.25">
      <c r="A692" s="4" t="str">
        <f>Customers!A692</f>
        <v>CL00685</v>
      </c>
      <c r="B692" s="20">
        <f>IF(Customers!G692="","",(Customers!G692-Statistics!$C$7)/Statistics!$C$9)</f>
        <v>-1.7314373577711012E-2</v>
      </c>
      <c r="C692" s="4" t="str">
        <f>IF(Customers!G692="","",IF(OR(Customers!G692&lt;Statistics!$C$15,Customers!G692&gt;Statistics!$C$16),"Outside 1.5·IQR",""))</f>
        <v/>
      </c>
      <c r="D692" s="4" t="str">
        <f>IF(OR(Customers!B692&lt;18,Customers!B692&gt;100),"Implausible age","")</f>
        <v/>
      </c>
      <c r="E692" s="4" t="str">
        <f>IF(Customers!H692&gt;Customers!B692-18,"Tenure &gt; age-18","")</f>
        <v/>
      </c>
      <c r="F692" s="4" t="str">
        <f>IF(Customers!R692&gt;Customers!Q692,"Card spend &gt; limit","")</f>
        <v/>
      </c>
      <c r="G692" s="4" t="str">
        <f>IF(OR(AND(Customers!S692&gt;0,Customers!T692=0),AND(Customers!S692=0,Customers!T692&gt;0)),"Mortgage/payment inconsistent","")</f>
        <v/>
      </c>
      <c r="H692" s="4" t="str">
        <f>IF(AND(Customers!G692&lt;&gt;"",Customers!G692&gt;0,Customers!T692&gt;Customers!G692/12),"Payment &gt; monthly income","")</f>
        <v/>
      </c>
      <c r="I692" s="4" t="str">
        <f>IF(OR(Customers!I692&gt;DATE(2026,9,13),YEAR(Customers!I692)&lt;1980),"Implausible date","")</f>
        <v/>
      </c>
      <c r="J692" s="4" t="str">
        <f>IF(Customers!I692&gt;DATE(2026,9,13),"",IF(ABS(INT((DATE(2026,9,13)-Customers!I692)/365.25)-Customers!H692)&gt;1,"Date/tenure inconsistent",""))</f>
        <v/>
      </c>
      <c r="K692" s="4" t="str">
        <f>IF(COUNTIF(Customers!$A$2:$A$1001,Customers!A692)&gt;1,"Duplicate ID","")</f>
        <v/>
      </c>
      <c r="L692" s="4" t="str">
        <f>IF(COUNTIFS(Customers!$B$2:$B$1001,Customers!B692,Customers!$D$2:$D$1001,Customers!D692,Customers!$G$2:$G$1001,Customers!G692,Customers!$I$2:$I$1001,Customers!I692,Customers!$L$2:$L$1001,Customers!L692)&gt;1,"Duplicate record","")</f>
        <v/>
      </c>
      <c r="M692" s="4" t="str">
        <f>IF(OR(Customers!U692&lt;300,Customers!U692&gt;850),"Score out of range","")</f>
        <v/>
      </c>
      <c r="N692" s="4" t="str">
        <f>IF(AND(Customers!G692&lt;&gt;"",Customers!G692&lt;=0),"Income ≤ 0","")</f>
        <v/>
      </c>
      <c r="O692" s="4" t="str">
        <f>IF(OR(Customers!G692="",Customers!M692=""),"Missing value","")</f>
        <v/>
      </c>
      <c r="P692" s="4">
        <f t="shared" si="10"/>
        <v>0</v>
      </c>
    </row>
    <row r="693" spans="1:16" x14ac:dyDescent="0.25">
      <c r="A693" s="4" t="str">
        <f>Customers!A693</f>
        <v>CL00686</v>
      </c>
      <c r="B693" s="20">
        <f>IF(Customers!G693="","",(Customers!G693-Statistics!$C$7)/Statistics!$C$9)</f>
        <v>-5.5135432346135035E-2</v>
      </c>
      <c r="C693" s="4" t="str">
        <f>IF(Customers!G693="","",IF(OR(Customers!G693&lt;Statistics!$C$15,Customers!G693&gt;Statistics!$C$16),"Outside 1.5·IQR",""))</f>
        <v/>
      </c>
      <c r="D693" s="4" t="str">
        <f>IF(OR(Customers!B693&lt;18,Customers!B693&gt;100),"Implausible age","")</f>
        <v/>
      </c>
      <c r="E693" s="4" t="str">
        <f>IF(Customers!H693&gt;Customers!B693-18,"Tenure &gt; age-18","")</f>
        <v/>
      </c>
      <c r="F693" s="4" t="str">
        <f>IF(Customers!R693&gt;Customers!Q693,"Card spend &gt; limit","")</f>
        <v/>
      </c>
      <c r="G693" s="4" t="str">
        <f>IF(OR(AND(Customers!S693&gt;0,Customers!T693=0),AND(Customers!S693=0,Customers!T693&gt;0)),"Mortgage/payment inconsistent","")</f>
        <v/>
      </c>
      <c r="H693" s="4" t="str">
        <f>IF(AND(Customers!G693&lt;&gt;"",Customers!G693&gt;0,Customers!T693&gt;Customers!G693/12),"Payment &gt; monthly income","")</f>
        <v/>
      </c>
      <c r="I693" s="4" t="str">
        <f>IF(OR(Customers!I693&gt;DATE(2026,9,13),YEAR(Customers!I693)&lt;1980),"Implausible date","")</f>
        <v/>
      </c>
      <c r="J693" s="4" t="str">
        <f>IF(Customers!I693&gt;DATE(2026,9,13),"",IF(ABS(INT((DATE(2026,9,13)-Customers!I693)/365.25)-Customers!H693)&gt;1,"Date/tenure inconsistent",""))</f>
        <v/>
      </c>
      <c r="K693" s="4" t="str">
        <f>IF(COUNTIF(Customers!$A$2:$A$1001,Customers!A693)&gt;1,"Duplicate ID","")</f>
        <v/>
      </c>
      <c r="L693" s="4" t="str">
        <f>IF(COUNTIFS(Customers!$B$2:$B$1001,Customers!B693,Customers!$D$2:$D$1001,Customers!D693,Customers!$G$2:$G$1001,Customers!G693,Customers!$I$2:$I$1001,Customers!I693,Customers!$L$2:$L$1001,Customers!L693)&gt;1,"Duplicate record","")</f>
        <v/>
      </c>
      <c r="M693" s="4" t="str">
        <f>IF(OR(Customers!U693&lt;300,Customers!U693&gt;850),"Score out of range","")</f>
        <v/>
      </c>
      <c r="N693" s="4" t="str">
        <f>IF(AND(Customers!G693&lt;&gt;"",Customers!G693&lt;=0),"Income ≤ 0","")</f>
        <v/>
      </c>
      <c r="O693" s="4" t="str">
        <f>IF(OR(Customers!G693="",Customers!M693=""),"Missing value","")</f>
        <v/>
      </c>
      <c r="P693" s="4">
        <f t="shared" si="10"/>
        <v>0</v>
      </c>
    </row>
    <row r="694" spans="1:16" x14ac:dyDescent="0.25">
      <c r="A694" s="4" t="str">
        <f>Customers!A694</f>
        <v>CL00687</v>
      </c>
      <c r="B694" s="20" t="str">
        <f>IF(Customers!G694="","",(Customers!G694-Statistics!$C$7)/Statistics!$C$9)</f>
        <v/>
      </c>
      <c r="C694" s="4" t="str">
        <f>IF(Customers!G694="","",IF(OR(Customers!G694&lt;Statistics!$C$15,Customers!G694&gt;Statistics!$C$16),"Outside 1.5·IQR",""))</f>
        <v/>
      </c>
      <c r="D694" s="4" t="str">
        <f>IF(OR(Customers!B694&lt;18,Customers!B694&gt;100),"Implausible age","")</f>
        <v/>
      </c>
      <c r="E694" s="4" t="str">
        <f>IF(Customers!H694&gt;Customers!B694-18,"Tenure &gt; age-18","")</f>
        <v/>
      </c>
      <c r="F694" s="4" t="str">
        <f>IF(Customers!R694&gt;Customers!Q694,"Card spend &gt; limit","")</f>
        <v/>
      </c>
      <c r="G694" s="4" t="str">
        <f>IF(OR(AND(Customers!S694&gt;0,Customers!T694=0),AND(Customers!S694=0,Customers!T694&gt;0)),"Mortgage/payment inconsistent","")</f>
        <v/>
      </c>
      <c r="H694" s="4" t="str">
        <f>IF(AND(Customers!G694&lt;&gt;"",Customers!G694&gt;0,Customers!T694&gt;Customers!G694/12),"Payment &gt; monthly income","")</f>
        <v/>
      </c>
      <c r="I694" s="4" t="str">
        <f>IF(OR(Customers!I694&gt;DATE(2026,9,13),YEAR(Customers!I694)&lt;1980),"Implausible date","")</f>
        <v/>
      </c>
      <c r="J694" s="4" t="str">
        <f>IF(Customers!I694&gt;DATE(2026,9,13),"",IF(ABS(INT((DATE(2026,9,13)-Customers!I694)/365.25)-Customers!H694)&gt;1,"Date/tenure inconsistent",""))</f>
        <v/>
      </c>
      <c r="K694" s="4" t="str">
        <f>IF(COUNTIF(Customers!$A$2:$A$1001,Customers!A694)&gt;1,"Duplicate ID","")</f>
        <v/>
      </c>
      <c r="L694" s="4" t="str">
        <f>IF(COUNTIFS(Customers!$B$2:$B$1001,Customers!B694,Customers!$D$2:$D$1001,Customers!D694,Customers!$G$2:$G$1001,Customers!G694,Customers!$I$2:$I$1001,Customers!I694,Customers!$L$2:$L$1001,Customers!L694)&gt;1,"Duplicate record","")</f>
        <v/>
      </c>
      <c r="M694" s="4" t="str">
        <f>IF(OR(Customers!U694&lt;300,Customers!U694&gt;850),"Score out of range","")</f>
        <v/>
      </c>
      <c r="N694" s="4" t="str">
        <f>IF(AND(Customers!G694&lt;&gt;"",Customers!G694&lt;=0),"Income ≤ 0","")</f>
        <v/>
      </c>
      <c r="O694" s="4" t="str">
        <f>IF(OR(Customers!G694="",Customers!M694=""),"Missing value","")</f>
        <v>Missing value</v>
      </c>
      <c r="P694" s="4">
        <f t="shared" si="10"/>
        <v>1</v>
      </c>
    </row>
    <row r="695" spans="1:16" x14ac:dyDescent="0.25">
      <c r="A695" s="4" t="str">
        <f>Customers!A695</f>
        <v>CL00688</v>
      </c>
      <c r="B695" s="20">
        <f>IF(Customers!G695="","",(Customers!G695-Statistics!$C$7)/Statistics!$C$9)</f>
        <v>1.1877069835943588E-4</v>
      </c>
      <c r="C695" s="4" t="str">
        <f>IF(Customers!G695="","",IF(OR(Customers!G695&lt;Statistics!$C$15,Customers!G695&gt;Statistics!$C$16),"Outside 1.5·IQR",""))</f>
        <v/>
      </c>
      <c r="D695" s="4" t="str">
        <f>IF(OR(Customers!B695&lt;18,Customers!B695&gt;100),"Implausible age","")</f>
        <v/>
      </c>
      <c r="E695" s="4" t="str">
        <f>IF(Customers!H695&gt;Customers!B695-18,"Tenure &gt; age-18","")</f>
        <v/>
      </c>
      <c r="F695" s="4" t="str">
        <f>IF(Customers!R695&gt;Customers!Q695,"Card spend &gt; limit","")</f>
        <v/>
      </c>
      <c r="G695" s="4" t="str">
        <f>IF(OR(AND(Customers!S695&gt;0,Customers!T695=0),AND(Customers!S695=0,Customers!T695&gt;0)),"Mortgage/payment inconsistent","")</f>
        <v/>
      </c>
      <c r="H695" s="4" t="str">
        <f>IF(AND(Customers!G695&lt;&gt;"",Customers!G695&gt;0,Customers!T695&gt;Customers!G695/12),"Payment &gt; monthly income","")</f>
        <v/>
      </c>
      <c r="I695" s="4" t="str">
        <f>IF(OR(Customers!I695&gt;DATE(2026,9,13),YEAR(Customers!I695)&lt;1980),"Implausible date","")</f>
        <v/>
      </c>
      <c r="J695" s="4" t="str">
        <f>IF(Customers!I695&gt;DATE(2026,9,13),"",IF(ABS(INT((DATE(2026,9,13)-Customers!I695)/365.25)-Customers!H695)&gt;1,"Date/tenure inconsistent",""))</f>
        <v/>
      </c>
      <c r="K695" s="4" t="str">
        <f>IF(COUNTIF(Customers!$A$2:$A$1001,Customers!A695)&gt;1,"Duplicate ID","")</f>
        <v/>
      </c>
      <c r="L695" s="4" t="str">
        <f>IF(COUNTIFS(Customers!$B$2:$B$1001,Customers!B695,Customers!$D$2:$D$1001,Customers!D695,Customers!$G$2:$G$1001,Customers!G695,Customers!$I$2:$I$1001,Customers!I695,Customers!$L$2:$L$1001,Customers!L695)&gt;1,"Duplicate record","")</f>
        <v/>
      </c>
      <c r="M695" s="4" t="str">
        <f>IF(OR(Customers!U695&lt;300,Customers!U695&gt;850),"Score out of range","")</f>
        <v/>
      </c>
      <c r="N695" s="4" t="str">
        <f>IF(AND(Customers!G695&lt;&gt;"",Customers!G695&lt;=0),"Income ≤ 0","")</f>
        <v/>
      </c>
      <c r="O695" s="4" t="str">
        <f>IF(OR(Customers!G695="",Customers!M695=""),"Missing value","")</f>
        <v/>
      </c>
      <c r="P695" s="4">
        <f t="shared" si="10"/>
        <v>0</v>
      </c>
    </row>
    <row r="696" spans="1:16" x14ac:dyDescent="0.25">
      <c r="A696" s="4" t="str">
        <f>Customers!A696</f>
        <v>CL00689</v>
      </c>
      <c r="B696" s="20">
        <f>IF(Customers!G696="","",(Customers!G696-Statistics!$C$7)/Statistics!$C$9)</f>
        <v>3.1720332551853337E-3</v>
      </c>
      <c r="C696" s="4" t="str">
        <f>IF(Customers!G696="","",IF(OR(Customers!G696&lt;Statistics!$C$15,Customers!G696&gt;Statistics!$C$16),"Outside 1.5·IQR",""))</f>
        <v/>
      </c>
      <c r="D696" s="4" t="str">
        <f>IF(OR(Customers!B696&lt;18,Customers!B696&gt;100),"Implausible age","")</f>
        <v/>
      </c>
      <c r="E696" s="4" t="str">
        <f>IF(Customers!H696&gt;Customers!B696-18,"Tenure &gt; age-18","")</f>
        <v/>
      </c>
      <c r="F696" s="4" t="str">
        <f>IF(Customers!R696&gt;Customers!Q696,"Card spend &gt; limit","")</f>
        <v/>
      </c>
      <c r="G696" s="4" t="str">
        <f>IF(OR(AND(Customers!S696&gt;0,Customers!T696=0),AND(Customers!S696=0,Customers!T696&gt;0)),"Mortgage/payment inconsistent","")</f>
        <v/>
      </c>
      <c r="H696" s="4" t="str">
        <f>IF(AND(Customers!G696&lt;&gt;"",Customers!G696&gt;0,Customers!T696&gt;Customers!G696/12),"Payment &gt; monthly income","")</f>
        <v/>
      </c>
      <c r="I696" s="4" t="str">
        <f>IF(OR(Customers!I696&gt;DATE(2026,9,13),YEAR(Customers!I696)&lt;1980),"Implausible date","")</f>
        <v/>
      </c>
      <c r="J696" s="4" t="str">
        <f>IF(Customers!I696&gt;DATE(2026,9,13),"",IF(ABS(INT((DATE(2026,9,13)-Customers!I696)/365.25)-Customers!H696)&gt;1,"Date/tenure inconsistent",""))</f>
        <v/>
      </c>
      <c r="K696" s="4" t="str">
        <f>IF(COUNTIF(Customers!$A$2:$A$1001,Customers!A696)&gt;1,"Duplicate ID","")</f>
        <v/>
      </c>
      <c r="L696" s="4" t="str">
        <f>IF(COUNTIFS(Customers!$B$2:$B$1001,Customers!B696,Customers!$D$2:$D$1001,Customers!D696,Customers!$G$2:$G$1001,Customers!G696,Customers!$I$2:$I$1001,Customers!I696,Customers!$L$2:$L$1001,Customers!L696)&gt;1,"Duplicate record","")</f>
        <v/>
      </c>
      <c r="M696" s="4" t="str">
        <f>IF(OR(Customers!U696&lt;300,Customers!U696&gt;850),"Score out of range","")</f>
        <v/>
      </c>
      <c r="N696" s="4" t="str">
        <f>IF(AND(Customers!G696&lt;&gt;"",Customers!G696&lt;=0),"Income ≤ 0","")</f>
        <v/>
      </c>
      <c r="O696" s="4" t="str">
        <f>IF(OR(Customers!G696="",Customers!M696=""),"Missing value","")</f>
        <v/>
      </c>
      <c r="P696" s="4">
        <f t="shared" si="10"/>
        <v>0</v>
      </c>
    </row>
    <row r="697" spans="1:16" x14ac:dyDescent="0.25">
      <c r="A697" s="4" t="str">
        <f>Customers!A697</f>
        <v>CL00690</v>
      </c>
      <c r="B697" s="20">
        <f>IF(Customers!G697="","",(Customers!G697-Statistics!$C$7)/Statistics!$C$9)</f>
        <v>-4.696056808108505E-2</v>
      </c>
      <c r="C697" s="4" t="str">
        <f>IF(Customers!G697="","",IF(OR(Customers!G697&lt;Statistics!$C$15,Customers!G697&gt;Statistics!$C$16),"Outside 1.5·IQR",""))</f>
        <v/>
      </c>
      <c r="D697" s="4" t="str">
        <f>IF(OR(Customers!B697&lt;18,Customers!B697&gt;100),"Implausible age","")</f>
        <v/>
      </c>
      <c r="E697" s="4" t="str">
        <f>IF(Customers!H697&gt;Customers!B697-18,"Tenure &gt; age-18","")</f>
        <v/>
      </c>
      <c r="F697" s="4" t="str">
        <f>IF(Customers!R697&gt;Customers!Q697,"Card spend &gt; limit","")</f>
        <v/>
      </c>
      <c r="G697" s="4" t="str">
        <f>IF(OR(AND(Customers!S697&gt;0,Customers!T697=0),AND(Customers!S697=0,Customers!T697&gt;0)),"Mortgage/payment inconsistent","")</f>
        <v/>
      </c>
      <c r="H697" s="4" t="str">
        <f>IF(AND(Customers!G697&lt;&gt;"",Customers!G697&gt;0,Customers!T697&gt;Customers!G697/12),"Payment &gt; monthly income","")</f>
        <v/>
      </c>
      <c r="I697" s="4" t="str">
        <f>IF(OR(Customers!I697&gt;DATE(2026,9,13),YEAR(Customers!I697)&lt;1980),"Implausible date","")</f>
        <v/>
      </c>
      <c r="J697" s="4" t="str">
        <f>IF(Customers!I697&gt;DATE(2026,9,13),"",IF(ABS(INT((DATE(2026,9,13)-Customers!I697)/365.25)-Customers!H697)&gt;1,"Date/tenure inconsistent",""))</f>
        <v/>
      </c>
      <c r="K697" s="4" t="str">
        <f>IF(COUNTIF(Customers!$A$2:$A$1001,Customers!A697)&gt;1,"Duplicate ID","")</f>
        <v/>
      </c>
      <c r="L697" s="4" t="str">
        <f>IF(COUNTIFS(Customers!$B$2:$B$1001,Customers!B697,Customers!$D$2:$D$1001,Customers!D697,Customers!$G$2:$G$1001,Customers!G697,Customers!$I$2:$I$1001,Customers!I697,Customers!$L$2:$L$1001,Customers!L697)&gt;1,"Duplicate record","")</f>
        <v/>
      </c>
      <c r="M697" s="4" t="str">
        <f>IF(OR(Customers!U697&lt;300,Customers!U697&gt;850),"Score out of range","")</f>
        <v/>
      </c>
      <c r="N697" s="4" t="str">
        <f>IF(AND(Customers!G697&lt;&gt;"",Customers!G697&lt;=0),"Income ≤ 0","")</f>
        <v/>
      </c>
      <c r="O697" s="4" t="str">
        <f>IF(OR(Customers!G697="",Customers!M697=""),"Missing value","")</f>
        <v/>
      </c>
      <c r="P697" s="4">
        <f t="shared" si="10"/>
        <v>0</v>
      </c>
    </row>
    <row r="698" spans="1:16" x14ac:dyDescent="0.25">
      <c r="A698" s="4" t="str">
        <f>Customers!A698</f>
        <v>CL00691</v>
      </c>
      <c r="B698" s="20">
        <f>IF(Customers!G698="","",(Customers!G698-Statistics!$C$7)/Statistics!$C$9)</f>
        <v>4.7198109477803923E-2</v>
      </c>
      <c r="C698" s="4" t="str">
        <f>IF(Customers!G698="","",IF(OR(Customers!G698&lt;Statistics!$C$15,Customers!G698&gt;Statistics!$C$16),"Outside 1.5·IQR",""))</f>
        <v>Outside 1.5·IQR</v>
      </c>
      <c r="D698" s="4" t="str">
        <f>IF(OR(Customers!B698&lt;18,Customers!B698&gt;100),"Implausible age","")</f>
        <v/>
      </c>
      <c r="E698" s="4" t="str">
        <f>IF(Customers!H698&gt;Customers!B698-18,"Tenure &gt; age-18","")</f>
        <v/>
      </c>
      <c r="F698" s="4" t="str">
        <f>IF(Customers!R698&gt;Customers!Q698,"Card spend &gt; limit","")</f>
        <v/>
      </c>
      <c r="G698" s="4" t="str">
        <f>IF(OR(AND(Customers!S698&gt;0,Customers!T698=0),AND(Customers!S698=0,Customers!T698&gt;0)),"Mortgage/payment inconsistent","")</f>
        <v/>
      </c>
      <c r="H698" s="4" t="str">
        <f>IF(AND(Customers!G698&lt;&gt;"",Customers!G698&gt;0,Customers!T698&gt;Customers!G698/12),"Payment &gt; monthly income","")</f>
        <v/>
      </c>
      <c r="I698" s="4" t="str">
        <f>IF(OR(Customers!I698&gt;DATE(2026,9,13),YEAR(Customers!I698)&lt;1980),"Implausible date","")</f>
        <v/>
      </c>
      <c r="J698" s="4" t="str">
        <f>IF(Customers!I698&gt;DATE(2026,9,13),"",IF(ABS(INT((DATE(2026,9,13)-Customers!I698)/365.25)-Customers!H698)&gt;1,"Date/tenure inconsistent",""))</f>
        <v/>
      </c>
      <c r="K698" s="4" t="str">
        <f>IF(COUNTIF(Customers!$A$2:$A$1001,Customers!A698)&gt;1,"Duplicate ID","")</f>
        <v/>
      </c>
      <c r="L698" s="4" t="str">
        <f>IF(COUNTIFS(Customers!$B$2:$B$1001,Customers!B698,Customers!$D$2:$D$1001,Customers!D698,Customers!$G$2:$G$1001,Customers!G698,Customers!$I$2:$I$1001,Customers!I698,Customers!$L$2:$L$1001,Customers!L698)&gt;1,"Duplicate record","")</f>
        <v/>
      </c>
      <c r="M698" s="4" t="str">
        <f>IF(OR(Customers!U698&lt;300,Customers!U698&gt;850),"Score out of range","")</f>
        <v/>
      </c>
      <c r="N698" s="4" t="str">
        <f>IF(AND(Customers!G698&lt;&gt;"",Customers!G698&lt;=0),"Income ≤ 0","")</f>
        <v/>
      </c>
      <c r="O698" s="4" t="str">
        <f>IF(OR(Customers!G698="",Customers!M698=""),"Missing value","")</f>
        <v/>
      </c>
      <c r="P698" s="4">
        <f t="shared" si="10"/>
        <v>1</v>
      </c>
    </row>
    <row r="699" spans="1:16" x14ac:dyDescent="0.25">
      <c r="A699" s="4" t="str">
        <f>Customers!A699</f>
        <v>CL00692</v>
      </c>
      <c r="B699" s="20">
        <f>IF(Customers!G699="","",(Customers!G699-Statistics!$C$7)/Statistics!$C$9)</f>
        <v>-4.8142476167598307E-2</v>
      </c>
      <c r="C699" s="4" t="str">
        <f>IF(Customers!G699="","",IF(OR(Customers!G699&lt;Statistics!$C$15,Customers!G699&gt;Statistics!$C$16),"Outside 1.5·IQR",""))</f>
        <v/>
      </c>
      <c r="D699" s="4" t="str">
        <f>IF(OR(Customers!B699&lt;18,Customers!B699&gt;100),"Implausible age","")</f>
        <v/>
      </c>
      <c r="E699" s="4" t="str">
        <f>IF(Customers!H699&gt;Customers!B699-18,"Tenure &gt; age-18","")</f>
        <v/>
      </c>
      <c r="F699" s="4" t="str">
        <f>IF(Customers!R699&gt;Customers!Q699,"Card spend &gt; limit","")</f>
        <v/>
      </c>
      <c r="G699" s="4" t="str">
        <f>IF(OR(AND(Customers!S699&gt;0,Customers!T699=0),AND(Customers!S699=0,Customers!T699&gt;0)),"Mortgage/payment inconsistent","")</f>
        <v/>
      </c>
      <c r="H699" s="4" t="str">
        <f>IF(AND(Customers!G699&lt;&gt;"",Customers!G699&gt;0,Customers!T699&gt;Customers!G699/12),"Payment &gt; monthly income","")</f>
        <v/>
      </c>
      <c r="I699" s="4" t="str">
        <f>IF(OR(Customers!I699&gt;DATE(2026,9,13),YEAR(Customers!I699)&lt;1980),"Implausible date","")</f>
        <v/>
      </c>
      <c r="J699" s="4" t="str">
        <f>IF(Customers!I699&gt;DATE(2026,9,13),"",IF(ABS(INT((DATE(2026,9,13)-Customers!I699)/365.25)-Customers!H699)&gt;1,"Date/tenure inconsistent",""))</f>
        <v/>
      </c>
      <c r="K699" s="4" t="str">
        <f>IF(COUNTIF(Customers!$A$2:$A$1001,Customers!A699)&gt;1,"Duplicate ID","")</f>
        <v/>
      </c>
      <c r="L699" s="4" t="str">
        <f>IF(COUNTIFS(Customers!$B$2:$B$1001,Customers!B699,Customers!$D$2:$D$1001,Customers!D699,Customers!$G$2:$G$1001,Customers!G699,Customers!$I$2:$I$1001,Customers!I699,Customers!$L$2:$L$1001,Customers!L699)&gt;1,"Duplicate record","")</f>
        <v/>
      </c>
      <c r="M699" s="4" t="str">
        <f>IF(OR(Customers!U699&lt;300,Customers!U699&gt;850),"Score out of range","")</f>
        <v/>
      </c>
      <c r="N699" s="4" t="str">
        <f>IF(AND(Customers!G699&lt;&gt;"",Customers!G699&lt;=0),"Income ≤ 0","")</f>
        <v/>
      </c>
      <c r="O699" s="4" t="str">
        <f>IF(OR(Customers!G699="",Customers!M699=""),"Missing value","")</f>
        <v/>
      </c>
      <c r="P699" s="4">
        <f t="shared" si="10"/>
        <v>0</v>
      </c>
    </row>
    <row r="700" spans="1:16" x14ac:dyDescent="0.25">
      <c r="A700" s="4" t="str">
        <f>Customers!A700</f>
        <v>CL00693</v>
      </c>
      <c r="B700" s="20">
        <f>IF(Customers!G700="","",(Customers!G700-Statistics!$C$7)/Statistics!$C$9)</f>
        <v>-4.5089213610772408E-2</v>
      </c>
      <c r="C700" s="4" t="str">
        <f>IF(Customers!G700="","",IF(OR(Customers!G700&lt;Statistics!$C$15,Customers!G700&gt;Statistics!$C$16),"Outside 1.5·IQR",""))</f>
        <v/>
      </c>
      <c r="D700" s="4" t="str">
        <f>IF(OR(Customers!B700&lt;18,Customers!B700&gt;100),"Implausible age","")</f>
        <v>Implausible age</v>
      </c>
      <c r="E700" s="4" t="str">
        <f>IF(Customers!H700&gt;Customers!B700-18,"Tenure &gt; age-18","")</f>
        <v>Tenure &gt; age-18</v>
      </c>
      <c r="F700" s="4" t="str">
        <f>IF(Customers!R700&gt;Customers!Q700,"Card spend &gt; limit","")</f>
        <v/>
      </c>
      <c r="G700" s="4" t="str">
        <f>IF(OR(AND(Customers!S700&gt;0,Customers!T700=0),AND(Customers!S700=0,Customers!T700&gt;0)),"Mortgage/payment inconsistent","")</f>
        <v/>
      </c>
      <c r="H700" s="4" t="str">
        <f>IF(AND(Customers!G700&lt;&gt;"",Customers!G700&gt;0,Customers!T700&gt;Customers!G700/12),"Payment &gt; monthly income","")</f>
        <v/>
      </c>
      <c r="I700" s="4" t="str">
        <f>IF(OR(Customers!I700&gt;DATE(2026,9,13),YEAR(Customers!I700)&lt;1980),"Implausible date","")</f>
        <v/>
      </c>
      <c r="J700" s="4" t="str">
        <f>IF(Customers!I700&gt;DATE(2026,9,13),"",IF(ABS(INT((DATE(2026,9,13)-Customers!I700)/365.25)-Customers!H700)&gt;1,"Date/tenure inconsistent",""))</f>
        <v/>
      </c>
      <c r="K700" s="4" t="str">
        <f>IF(COUNTIF(Customers!$A$2:$A$1001,Customers!A700)&gt;1,"Duplicate ID","")</f>
        <v/>
      </c>
      <c r="L700" s="4" t="str">
        <f>IF(COUNTIFS(Customers!$B$2:$B$1001,Customers!B700,Customers!$D$2:$D$1001,Customers!D700,Customers!$G$2:$G$1001,Customers!G700,Customers!$I$2:$I$1001,Customers!I700,Customers!$L$2:$L$1001,Customers!L700)&gt;1,"Duplicate record","")</f>
        <v/>
      </c>
      <c r="M700" s="4" t="str">
        <f>IF(OR(Customers!U700&lt;300,Customers!U700&gt;850),"Score out of range","")</f>
        <v/>
      </c>
      <c r="N700" s="4" t="str">
        <f>IF(AND(Customers!G700&lt;&gt;"",Customers!G700&lt;=0),"Income ≤ 0","")</f>
        <v/>
      </c>
      <c r="O700" s="4" t="str">
        <f>IF(OR(Customers!G700="",Customers!M700=""),"Missing value","")</f>
        <v/>
      </c>
      <c r="P700" s="4">
        <f t="shared" si="10"/>
        <v>2</v>
      </c>
    </row>
    <row r="701" spans="1:16" x14ac:dyDescent="0.25">
      <c r="A701" s="4" t="str">
        <f>Customers!A701</f>
        <v>CL00694</v>
      </c>
      <c r="B701" s="20">
        <f>IF(Customers!G701="","",(Customers!G701-Statistics!$C$7)/Statistics!$C$9)</f>
        <v>-6.0946480438158521E-2</v>
      </c>
      <c r="C701" s="4" t="str">
        <f>IF(Customers!G701="","",IF(OR(Customers!G701&lt;Statistics!$C$15,Customers!G701&gt;Statistics!$C$16),"Outside 1.5·IQR",""))</f>
        <v/>
      </c>
      <c r="D701" s="4" t="str">
        <f>IF(OR(Customers!B701&lt;18,Customers!B701&gt;100),"Implausible age","")</f>
        <v/>
      </c>
      <c r="E701" s="4" t="str">
        <f>IF(Customers!H701&gt;Customers!B701-18,"Tenure &gt; age-18","")</f>
        <v/>
      </c>
      <c r="F701" s="4" t="str">
        <f>IF(Customers!R701&gt;Customers!Q701,"Card spend &gt; limit","")</f>
        <v>Card spend &gt; limit</v>
      </c>
      <c r="G701" s="4" t="str">
        <f>IF(OR(AND(Customers!S701&gt;0,Customers!T701=0),AND(Customers!S701=0,Customers!T701&gt;0)),"Mortgage/payment inconsistent","")</f>
        <v/>
      </c>
      <c r="H701" s="4" t="str">
        <f>IF(AND(Customers!G701&lt;&gt;"",Customers!G701&gt;0,Customers!T701&gt;Customers!G701/12),"Payment &gt; monthly income","")</f>
        <v/>
      </c>
      <c r="I701" s="4" t="str">
        <f>IF(OR(Customers!I701&gt;DATE(2026,9,13),YEAR(Customers!I701)&lt;1980),"Implausible date","")</f>
        <v/>
      </c>
      <c r="J701" s="4" t="str">
        <f>IF(Customers!I701&gt;DATE(2026,9,13),"",IF(ABS(INT((DATE(2026,9,13)-Customers!I701)/365.25)-Customers!H701)&gt;1,"Date/tenure inconsistent",""))</f>
        <v/>
      </c>
      <c r="K701" s="4" t="str">
        <f>IF(COUNTIF(Customers!$A$2:$A$1001,Customers!A701)&gt;1,"Duplicate ID","")</f>
        <v/>
      </c>
      <c r="L701" s="4" t="str">
        <f>IF(COUNTIFS(Customers!$B$2:$B$1001,Customers!B701,Customers!$D$2:$D$1001,Customers!D701,Customers!$G$2:$G$1001,Customers!G701,Customers!$I$2:$I$1001,Customers!I701,Customers!$L$2:$L$1001,Customers!L701)&gt;1,"Duplicate record","")</f>
        <v/>
      </c>
      <c r="M701" s="4" t="str">
        <f>IF(OR(Customers!U701&lt;300,Customers!U701&gt;850),"Score out of range","")</f>
        <v/>
      </c>
      <c r="N701" s="4" t="str">
        <f>IF(AND(Customers!G701&lt;&gt;"",Customers!G701&lt;=0),"Income ≤ 0","")</f>
        <v/>
      </c>
      <c r="O701" s="4" t="str">
        <f>IF(OR(Customers!G701="",Customers!M701=""),"Missing value","")</f>
        <v/>
      </c>
      <c r="P701" s="4">
        <f t="shared" si="10"/>
        <v>1</v>
      </c>
    </row>
    <row r="702" spans="1:16" x14ac:dyDescent="0.25">
      <c r="A702" s="4" t="str">
        <f>Customers!A702</f>
        <v>CL00695</v>
      </c>
      <c r="B702" s="20">
        <f>IF(Customers!G702="","",(Customers!G702-Statistics!$C$7)/Statistics!$C$9)</f>
        <v>-6.4590697038241038E-2</v>
      </c>
      <c r="C702" s="4" t="str">
        <f>IF(Customers!G702="","",IF(OR(Customers!G702&lt;Statistics!$C$15,Customers!G702&gt;Statistics!$C$16),"Outside 1.5·IQR",""))</f>
        <v/>
      </c>
      <c r="D702" s="4" t="str">
        <f>IF(OR(Customers!B702&lt;18,Customers!B702&gt;100),"Implausible age","")</f>
        <v/>
      </c>
      <c r="E702" s="4" t="str">
        <f>IF(Customers!H702&gt;Customers!B702-18,"Tenure &gt; age-18","")</f>
        <v/>
      </c>
      <c r="F702" s="4" t="str">
        <f>IF(Customers!R702&gt;Customers!Q702,"Card spend &gt; limit","")</f>
        <v/>
      </c>
      <c r="G702" s="4" t="str">
        <f>IF(OR(AND(Customers!S702&gt;0,Customers!T702=0),AND(Customers!S702=0,Customers!T702&gt;0)),"Mortgage/payment inconsistent","")</f>
        <v/>
      </c>
      <c r="H702" s="4" t="str">
        <f>IF(AND(Customers!G702&lt;&gt;"",Customers!G702&gt;0,Customers!T702&gt;Customers!G702/12),"Payment &gt; monthly income","")</f>
        <v/>
      </c>
      <c r="I702" s="4" t="str">
        <f>IF(OR(Customers!I702&gt;DATE(2026,9,13),YEAR(Customers!I702)&lt;1980),"Implausible date","")</f>
        <v/>
      </c>
      <c r="J702" s="4" t="str">
        <f>IF(Customers!I702&gt;DATE(2026,9,13),"",IF(ABS(INT((DATE(2026,9,13)-Customers!I702)/365.25)-Customers!H702)&gt;1,"Date/tenure inconsistent",""))</f>
        <v/>
      </c>
      <c r="K702" s="4" t="str">
        <f>IF(COUNTIF(Customers!$A$2:$A$1001,Customers!A702)&gt;1,"Duplicate ID","")</f>
        <v/>
      </c>
      <c r="L702" s="4" t="str">
        <f>IF(COUNTIFS(Customers!$B$2:$B$1001,Customers!B702,Customers!$D$2:$D$1001,Customers!D702,Customers!$G$2:$G$1001,Customers!G702,Customers!$I$2:$I$1001,Customers!I702,Customers!$L$2:$L$1001,Customers!L702)&gt;1,"Duplicate record","")</f>
        <v/>
      </c>
      <c r="M702" s="4" t="str">
        <f>IF(OR(Customers!U702&lt;300,Customers!U702&gt;850),"Score out of range","")</f>
        <v/>
      </c>
      <c r="N702" s="4" t="str">
        <f>IF(AND(Customers!G702&lt;&gt;"",Customers!G702&lt;=0),"Income ≤ 0","")</f>
        <v/>
      </c>
      <c r="O702" s="4" t="str">
        <f>IF(OR(Customers!G702="",Customers!M702=""),"Missing value","")</f>
        <v/>
      </c>
      <c r="P702" s="4">
        <f t="shared" si="10"/>
        <v>0</v>
      </c>
    </row>
    <row r="703" spans="1:16" x14ac:dyDescent="0.25">
      <c r="A703" s="4" t="str">
        <f>Customers!A703</f>
        <v>CL00696</v>
      </c>
      <c r="B703" s="20">
        <f>IF(Customers!G703="","",(Customers!G703-Statistics!$C$7)/Statistics!$C$9)</f>
        <v>-4.9225891913568784E-2</v>
      </c>
      <c r="C703" s="4" t="str">
        <f>IF(Customers!G703="","",IF(OR(Customers!G703&lt;Statistics!$C$15,Customers!G703&gt;Statistics!$C$16),"Outside 1.5·IQR",""))</f>
        <v/>
      </c>
      <c r="D703" s="4" t="str">
        <f>IF(OR(Customers!B703&lt;18,Customers!B703&gt;100),"Implausible age","")</f>
        <v/>
      </c>
      <c r="E703" s="4" t="str">
        <f>IF(Customers!H703&gt;Customers!B703-18,"Tenure &gt; age-18","")</f>
        <v/>
      </c>
      <c r="F703" s="4" t="str">
        <f>IF(Customers!R703&gt;Customers!Q703,"Card spend &gt; limit","")</f>
        <v/>
      </c>
      <c r="G703" s="4" t="str">
        <f>IF(OR(AND(Customers!S703&gt;0,Customers!T703=0),AND(Customers!S703=0,Customers!T703&gt;0)),"Mortgage/payment inconsistent","")</f>
        <v/>
      </c>
      <c r="H703" s="4" t="str">
        <f>IF(AND(Customers!G703&lt;&gt;"",Customers!G703&gt;0,Customers!T703&gt;Customers!G703/12),"Payment &gt; monthly income","")</f>
        <v/>
      </c>
      <c r="I703" s="4" t="str">
        <f>IF(OR(Customers!I703&gt;DATE(2026,9,13),YEAR(Customers!I703)&lt;1980),"Implausible date","")</f>
        <v/>
      </c>
      <c r="J703" s="4" t="str">
        <f>IF(Customers!I703&gt;DATE(2026,9,13),"",IF(ABS(INT((DATE(2026,9,13)-Customers!I703)/365.25)-Customers!H703)&gt;1,"Date/tenure inconsistent",""))</f>
        <v/>
      </c>
      <c r="K703" s="4" t="str">
        <f>IF(COUNTIF(Customers!$A$2:$A$1001,Customers!A703)&gt;1,"Duplicate ID","")</f>
        <v/>
      </c>
      <c r="L703" s="4" t="str">
        <f>IF(COUNTIFS(Customers!$B$2:$B$1001,Customers!B703,Customers!$D$2:$D$1001,Customers!D703,Customers!$G$2:$G$1001,Customers!G703,Customers!$I$2:$I$1001,Customers!I703,Customers!$L$2:$L$1001,Customers!L703)&gt;1,"Duplicate record","")</f>
        <v/>
      </c>
      <c r="M703" s="4" t="str">
        <f>IF(OR(Customers!U703&lt;300,Customers!U703&gt;850),"Score out of range","")</f>
        <v/>
      </c>
      <c r="N703" s="4" t="str">
        <f>IF(AND(Customers!G703&lt;&gt;"",Customers!G703&lt;=0),"Income ≤ 0","")</f>
        <v/>
      </c>
      <c r="O703" s="4" t="str">
        <f>IF(OR(Customers!G703="",Customers!M703=""),"Missing value","")</f>
        <v/>
      </c>
      <c r="P703" s="4">
        <f t="shared" si="10"/>
        <v>0</v>
      </c>
    </row>
    <row r="704" spans="1:16" x14ac:dyDescent="0.25">
      <c r="A704" s="4" t="str">
        <f>Customers!A704</f>
        <v>CL00697</v>
      </c>
      <c r="B704" s="20">
        <f>IF(Customers!G704="","",(Customers!G704-Statistics!$C$7)/Statistics!$C$9)</f>
        <v>-6.1635926821957919E-2</v>
      </c>
      <c r="C704" s="4" t="str">
        <f>IF(Customers!G704="","",IF(OR(Customers!G704&lt;Statistics!$C$15,Customers!G704&gt;Statistics!$C$16),"Outside 1.5·IQR",""))</f>
        <v/>
      </c>
      <c r="D704" s="4" t="str">
        <f>IF(OR(Customers!B704&lt;18,Customers!B704&gt;100),"Implausible age","")</f>
        <v/>
      </c>
      <c r="E704" s="4" t="str">
        <f>IF(Customers!H704&gt;Customers!B704-18,"Tenure &gt; age-18","")</f>
        <v/>
      </c>
      <c r="F704" s="4" t="str">
        <f>IF(Customers!R704&gt;Customers!Q704,"Card spend &gt; limit","")</f>
        <v/>
      </c>
      <c r="G704" s="4" t="str">
        <f>IF(OR(AND(Customers!S704&gt;0,Customers!T704=0),AND(Customers!S704=0,Customers!T704&gt;0)),"Mortgage/payment inconsistent","")</f>
        <v/>
      </c>
      <c r="H704" s="4" t="str">
        <f>IF(AND(Customers!G704&lt;&gt;"",Customers!G704&gt;0,Customers!T704&gt;Customers!G704/12),"Payment &gt; monthly income","")</f>
        <v/>
      </c>
      <c r="I704" s="4" t="str">
        <f>IF(OR(Customers!I704&gt;DATE(2026,9,13),YEAR(Customers!I704)&lt;1980),"Implausible date","")</f>
        <v/>
      </c>
      <c r="J704" s="4" t="str">
        <f>IF(Customers!I704&gt;DATE(2026,9,13),"",IF(ABS(INT((DATE(2026,9,13)-Customers!I704)/365.25)-Customers!H704)&gt;1,"Date/tenure inconsistent",""))</f>
        <v/>
      </c>
      <c r="K704" s="4" t="str">
        <f>IF(COUNTIF(Customers!$A$2:$A$1001,Customers!A704)&gt;1,"Duplicate ID","")</f>
        <v/>
      </c>
      <c r="L704" s="4" t="str">
        <f>IF(COUNTIFS(Customers!$B$2:$B$1001,Customers!B704,Customers!$D$2:$D$1001,Customers!D704,Customers!$G$2:$G$1001,Customers!G704,Customers!$I$2:$I$1001,Customers!I704,Customers!$L$2:$L$1001,Customers!L704)&gt;1,"Duplicate record","")</f>
        <v/>
      </c>
      <c r="M704" s="4" t="str">
        <f>IF(OR(Customers!U704&lt;300,Customers!U704&gt;850),"Score out of range","")</f>
        <v/>
      </c>
      <c r="N704" s="4" t="str">
        <f>IF(AND(Customers!G704&lt;&gt;"",Customers!G704&lt;=0),"Income ≤ 0","")</f>
        <v/>
      </c>
      <c r="O704" s="4" t="str">
        <f>IF(OR(Customers!G704="",Customers!M704=""),"Missing value","")</f>
        <v/>
      </c>
      <c r="P704" s="4">
        <f t="shared" si="10"/>
        <v>0</v>
      </c>
    </row>
    <row r="705" spans="1:16" x14ac:dyDescent="0.25">
      <c r="A705" s="4" t="str">
        <f>Customers!A705</f>
        <v>CL00698</v>
      </c>
      <c r="B705" s="20">
        <f>IF(Customers!G705="","",(Customers!G705-Statistics!$C$7)/Statistics!$C$9)</f>
        <v>-3.898268849712061E-2</v>
      </c>
      <c r="C705" s="4" t="str">
        <f>IF(Customers!G705="","",IF(OR(Customers!G705&lt;Statistics!$C$15,Customers!G705&gt;Statistics!$C$16),"Outside 1.5·IQR",""))</f>
        <v/>
      </c>
      <c r="D705" s="4" t="str">
        <f>IF(OR(Customers!B705&lt;18,Customers!B705&gt;100),"Implausible age","")</f>
        <v/>
      </c>
      <c r="E705" s="4" t="str">
        <f>IF(Customers!H705&gt;Customers!B705-18,"Tenure &gt; age-18","")</f>
        <v/>
      </c>
      <c r="F705" s="4" t="str">
        <f>IF(Customers!R705&gt;Customers!Q705,"Card spend &gt; limit","")</f>
        <v/>
      </c>
      <c r="G705" s="4" t="str">
        <f>IF(OR(AND(Customers!S705&gt;0,Customers!T705=0),AND(Customers!S705=0,Customers!T705&gt;0)),"Mortgage/payment inconsistent","")</f>
        <v/>
      </c>
      <c r="H705" s="4" t="str">
        <f>IF(AND(Customers!G705&lt;&gt;"",Customers!G705&gt;0,Customers!T705&gt;Customers!G705/12),"Payment &gt; monthly income","")</f>
        <v/>
      </c>
      <c r="I705" s="4" t="str">
        <f>IF(OR(Customers!I705&gt;DATE(2026,9,13),YEAR(Customers!I705)&lt;1980),"Implausible date","")</f>
        <v/>
      </c>
      <c r="J705" s="4" t="str">
        <f>IF(Customers!I705&gt;DATE(2026,9,13),"",IF(ABS(INT((DATE(2026,9,13)-Customers!I705)/365.25)-Customers!H705)&gt;1,"Date/tenure inconsistent",""))</f>
        <v/>
      </c>
      <c r="K705" s="4" t="str">
        <f>IF(COUNTIF(Customers!$A$2:$A$1001,Customers!A705)&gt;1,"Duplicate ID","")</f>
        <v/>
      </c>
      <c r="L705" s="4" t="str">
        <f>IF(COUNTIFS(Customers!$B$2:$B$1001,Customers!B705,Customers!$D$2:$D$1001,Customers!D705,Customers!$G$2:$G$1001,Customers!G705,Customers!$I$2:$I$1001,Customers!I705,Customers!$L$2:$L$1001,Customers!L705)&gt;1,"Duplicate record","")</f>
        <v/>
      </c>
      <c r="M705" s="4" t="str">
        <f>IF(OR(Customers!U705&lt;300,Customers!U705&gt;850),"Score out of range","")</f>
        <v/>
      </c>
      <c r="N705" s="4" t="str">
        <f>IF(AND(Customers!G705&lt;&gt;"",Customers!G705&lt;=0),"Income ≤ 0","")</f>
        <v/>
      </c>
      <c r="O705" s="4" t="str">
        <f>IF(OR(Customers!G705="",Customers!M705=""),"Missing value","")</f>
        <v/>
      </c>
      <c r="P705" s="4">
        <f t="shared" si="10"/>
        <v>0</v>
      </c>
    </row>
    <row r="706" spans="1:16" x14ac:dyDescent="0.25">
      <c r="A706" s="4" t="str">
        <f>Customers!A706</f>
        <v>CL00699</v>
      </c>
      <c r="B706" s="20">
        <f>IF(Customers!G706="","",(Customers!G706-Statistics!$C$7)/Statistics!$C$9)</f>
        <v>-4.0755550626890485E-2</v>
      </c>
      <c r="C706" s="4" t="str">
        <f>IF(Customers!G706="","",IF(OR(Customers!G706&lt;Statistics!$C$15,Customers!G706&gt;Statistics!$C$16),"Outside 1.5·IQR",""))</f>
        <v/>
      </c>
      <c r="D706" s="4" t="str">
        <f>IF(OR(Customers!B706&lt;18,Customers!B706&gt;100),"Implausible age","")</f>
        <v/>
      </c>
      <c r="E706" s="4" t="str">
        <f>IF(Customers!H706&gt;Customers!B706-18,"Tenure &gt; age-18","")</f>
        <v/>
      </c>
      <c r="F706" s="4" t="str">
        <f>IF(Customers!R706&gt;Customers!Q706,"Card spend &gt; limit","")</f>
        <v/>
      </c>
      <c r="G706" s="4" t="str">
        <f>IF(OR(AND(Customers!S706&gt;0,Customers!T706=0),AND(Customers!S706=0,Customers!T706&gt;0)),"Mortgage/payment inconsistent","")</f>
        <v/>
      </c>
      <c r="H706" s="4" t="str">
        <f>IF(AND(Customers!G706&lt;&gt;"",Customers!G706&gt;0,Customers!T706&gt;Customers!G706/12),"Payment &gt; monthly income","")</f>
        <v/>
      </c>
      <c r="I706" s="4" t="str">
        <f>IF(OR(Customers!I706&gt;DATE(2026,9,13),YEAR(Customers!I706)&lt;1980),"Implausible date","")</f>
        <v/>
      </c>
      <c r="J706" s="4" t="str">
        <f>IF(Customers!I706&gt;DATE(2026,9,13),"",IF(ABS(INT((DATE(2026,9,13)-Customers!I706)/365.25)-Customers!H706)&gt;1,"Date/tenure inconsistent",""))</f>
        <v/>
      </c>
      <c r="K706" s="4" t="str">
        <f>IF(COUNTIF(Customers!$A$2:$A$1001,Customers!A706)&gt;1,"Duplicate ID","")</f>
        <v/>
      </c>
      <c r="L706" s="4" t="str">
        <f>IF(COUNTIFS(Customers!$B$2:$B$1001,Customers!B706,Customers!$D$2:$D$1001,Customers!D706,Customers!$G$2:$G$1001,Customers!G706,Customers!$I$2:$I$1001,Customers!I706,Customers!$L$2:$L$1001,Customers!L706)&gt;1,"Duplicate record","")</f>
        <v/>
      </c>
      <c r="M706" s="4" t="str">
        <f>IF(OR(Customers!U706&lt;300,Customers!U706&gt;850),"Score out of range","")</f>
        <v/>
      </c>
      <c r="N706" s="4" t="str">
        <f>IF(AND(Customers!G706&lt;&gt;"",Customers!G706&lt;=0),"Income ≤ 0","")</f>
        <v/>
      </c>
      <c r="O706" s="4" t="str">
        <f>IF(OR(Customers!G706="",Customers!M706=""),"Missing value","")</f>
        <v/>
      </c>
      <c r="P706" s="4">
        <f t="shared" ref="P706:P769" si="11">SUMPRODUCT(--(C706:O706&lt;&gt;""))</f>
        <v>0</v>
      </c>
    </row>
    <row r="707" spans="1:16" x14ac:dyDescent="0.25">
      <c r="A707" s="4" t="str">
        <f>Customers!A707</f>
        <v>CL00700</v>
      </c>
      <c r="B707" s="20">
        <f>IF(Customers!G707="","",(Customers!G707-Statistics!$C$7)/Statistics!$C$9)</f>
        <v>-4.5483182972943487E-2</v>
      </c>
      <c r="C707" s="4" t="str">
        <f>IF(Customers!G707="","",IF(OR(Customers!G707&lt;Statistics!$C$15,Customers!G707&gt;Statistics!$C$16),"Outside 1.5·IQR",""))</f>
        <v/>
      </c>
      <c r="D707" s="4" t="str">
        <f>IF(OR(Customers!B707&lt;18,Customers!B707&gt;100),"Implausible age","")</f>
        <v/>
      </c>
      <c r="E707" s="4" t="str">
        <f>IF(Customers!H707&gt;Customers!B707-18,"Tenure &gt; age-18","")</f>
        <v/>
      </c>
      <c r="F707" s="4" t="str">
        <f>IF(Customers!R707&gt;Customers!Q707,"Card spend &gt; limit","")</f>
        <v/>
      </c>
      <c r="G707" s="4" t="str">
        <f>IF(OR(AND(Customers!S707&gt;0,Customers!T707=0),AND(Customers!S707=0,Customers!T707&gt;0)),"Mortgage/payment inconsistent","")</f>
        <v/>
      </c>
      <c r="H707" s="4" t="str">
        <f>IF(AND(Customers!G707&lt;&gt;"",Customers!G707&gt;0,Customers!T707&gt;Customers!G707/12),"Payment &gt; monthly income","")</f>
        <v/>
      </c>
      <c r="I707" s="4" t="str">
        <f>IF(OR(Customers!I707&gt;DATE(2026,9,13),YEAR(Customers!I707)&lt;1980),"Implausible date","")</f>
        <v/>
      </c>
      <c r="J707" s="4" t="str">
        <f>IF(Customers!I707&gt;DATE(2026,9,13),"",IF(ABS(INT((DATE(2026,9,13)-Customers!I707)/365.25)-Customers!H707)&gt;1,"Date/tenure inconsistent",""))</f>
        <v/>
      </c>
      <c r="K707" s="4" t="str">
        <f>IF(COUNTIF(Customers!$A$2:$A$1001,Customers!A707)&gt;1,"Duplicate ID","")</f>
        <v/>
      </c>
      <c r="L707" s="4" t="str">
        <f>IF(COUNTIFS(Customers!$B$2:$B$1001,Customers!B707,Customers!$D$2:$D$1001,Customers!D707,Customers!$G$2:$G$1001,Customers!G707,Customers!$I$2:$I$1001,Customers!I707,Customers!$L$2:$L$1001,Customers!L707)&gt;1,"Duplicate record","")</f>
        <v/>
      </c>
      <c r="M707" s="4" t="str">
        <f>IF(OR(Customers!U707&lt;300,Customers!U707&gt;850),"Score out of range","")</f>
        <v/>
      </c>
      <c r="N707" s="4" t="str">
        <f>IF(AND(Customers!G707&lt;&gt;"",Customers!G707&lt;=0),"Income ≤ 0","")</f>
        <v/>
      </c>
      <c r="O707" s="4" t="str">
        <f>IF(OR(Customers!G707="",Customers!M707=""),"Missing value","")</f>
        <v/>
      </c>
      <c r="P707" s="4">
        <f t="shared" si="11"/>
        <v>0</v>
      </c>
    </row>
    <row r="708" spans="1:16" x14ac:dyDescent="0.25">
      <c r="A708" s="4" t="str">
        <f>Customers!A708</f>
        <v>CL00701</v>
      </c>
      <c r="B708" s="20">
        <f>IF(Customers!G708="","",(Customers!G708-Statistics!$C$7)/Statistics!$C$9)</f>
        <v>-4.302087445937422E-2</v>
      </c>
      <c r="C708" s="4" t="str">
        <f>IF(Customers!G708="","",IF(OR(Customers!G708&lt;Statistics!$C$15,Customers!G708&gt;Statistics!$C$16),"Outside 1.5·IQR",""))</f>
        <v/>
      </c>
      <c r="D708" s="4" t="str">
        <f>IF(OR(Customers!B708&lt;18,Customers!B708&gt;100),"Implausible age","")</f>
        <v/>
      </c>
      <c r="E708" s="4" t="str">
        <f>IF(Customers!H708&gt;Customers!B708-18,"Tenure &gt; age-18","")</f>
        <v/>
      </c>
      <c r="F708" s="4" t="str">
        <f>IF(Customers!R708&gt;Customers!Q708,"Card spend &gt; limit","")</f>
        <v/>
      </c>
      <c r="G708" s="4" t="str">
        <f>IF(OR(AND(Customers!S708&gt;0,Customers!T708=0),AND(Customers!S708=0,Customers!T708&gt;0)),"Mortgage/payment inconsistent","")</f>
        <v/>
      </c>
      <c r="H708" s="4" t="str">
        <f>IF(AND(Customers!G708&lt;&gt;"",Customers!G708&gt;0,Customers!T708&gt;Customers!G708/12),"Payment &gt; monthly income","")</f>
        <v/>
      </c>
      <c r="I708" s="4" t="str">
        <f>IF(OR(Customers!I708&gt;DATE(2026,9,13),YEAR(Customers!I708)&lt;1980),"Implausible date","")</f>
        <v/>
      </c>
      <c r="J708" s="4" t="str">
        <f>IF(Customers!I708&gt;DATE(2026,9,13),"",IF(ABS(INT((DATE(2026,9,13)-Customers!I708)/365.25)-Customers!H708)&gt;1,"Date/tenure inconsistent",""))</f>
        <v/>
      </c>
      <c r="K708" s="4" t="str">
        <f>IF(COUNTIF(Customers!$A$2:$A$1001,Customers!A708)&gt;1,"Duplicate ID","")</f>
        <v/>
      </c>
      <c r="L708" s="4" t="str">
        <f>IF(COUNTIFS(Customers!$B$2:$B$1001,Customers!B708,Customers!$D$2:$D$1001,Customers!D708,Customers!$G$2:$G$1001,Customers!G708,Customers!$I$2:$I$1001,Customers!I708,Customers!$L$2:$L$1001,Customers!L708)&gt;1,"Duplicate record","")</f>
        <v/>
      </c>
      <c r="M708" s="4" t="str">
        <f>IF(OR(Customers!U708&lt;300,Customers!U708&gt;850),"Score out of range","")</f>
        <v/>
      </c>
      <c r="N708" s="4" t="str">
        <f>IF(AND(Customers!G708&lt;&gt;"",Customers!G708&lt;=0),"Income ≤ 0","")</f>
        <v/>
      </c>
      <c r="O708" s="4" t="str">
        <f>IF(OR(Customers!G708="",Customers!M708=""),"Missing value","")</f>
        <v/>
      </c>
      <c r="P708" s="4">
        <f t="shared" si="11"/>
        <v>0</v>
      </c>
    </row>
    <row r="709" spans="1:16" x14ac:dyDescent="0.25">
      <c r="A709" s="4" t="str">
        <f>Customers!A709</f>
        <v>CL00702</v>
      </c>
      <c r="B709" s="20">
        <f>IF(Customers!G709="","",(Customers!G709-Statistics!$C$7)/Statistics!$C$9)</f>
        <v>-3.2777671042926046E-2</v>
      </c>
      <c r="C709" s="4" t="str">
        <f>IF(Customers!G709="","",IF(OR(Customers!G709&lt;Statistics!$C$15,Customers!G709&gt;Statistics!$C$16),"Outside 1.5·IQR",""))</f>
        <v/>
      </c>
      <c r="D709" s="4" t="str">
        <f>IF(OR(Customers!B709&lt;18,Customers!B709&gt;100),"Implausible age","")</f>
        <v/>
      </c>
      <c r="E709" s="4" t="str">
        <f>IF(Customers!H709&gt;Customers!B709-18,"Tenure &gt; age-18","")</f>
        <v/>
      </c>
      <c r="F709" s="4" t="str">
        <f>IF(Customers!R709&gt;Customers!Q709,"Card spend &gt; limit","")</f>
        <v/>
      </c>
      <c r="G709" s="4" t="str">
        <f>IF(OR(AND(Customers!S709&gt;0,Customers!T709=0),AND(Customers!S709=0,Customers!T709&gt;0)),"Mortgage/payment inconsistent","")</f>
        <v/>
      </c>
      <c r="H709" s="4" t="str">
        <f>IF(AND(Customers!G709&lt;&gt;"",Customers!G709&gt;0,Customers!T709&gt;Customers!G709/12),"Payment &gt; monthly income","")</f>
        <v/>
      </c>
      <c r="I709" s="4" t="str">
        <f>IF(OR(Customers!I709&gt;DATE(2026,9,13),YEAR(Customers!I709)&lt;1980),"Implausible date","")</f>
        <v/>
      </c>
      <c r="J709" s="4" t="str">
        <f>IF(Customers!I709&gt;DATE(2026,9,13),"",IF(ABS(INT((DATE(2026,9,13)-Customers!I709)/365.25)-Customers!H709)&gt;1,"Date/tenure inconsistent",""))</f>
        <v/>
      </c>
      <c r="K709" s="4" t="str">
        <f>IF(COUNTIF(Customers!$A$2:$A$1001,Customers!A709)&gt;1,"Duplicate ID","")</f>
        <v/>
      </c>
      <c r="L709" s="4" t="str">
        <f>IF(COUNTIFS(Customers!$B$2:$B$1001,Customers!B709,Customers!$D$2:$D$1001,Customers!D709,Customers!$G$2:$G$1001,Customers!G709,Customers!$I$2:$I$1001,Customers!I709,Customers!$L$2:$L$1001,Customers!L709)&gt;1,"Duplicate record","")</f>
        <v/>
      </c>
      <c r="M709" s="4" t="str">
        <f>IF(OR(Customers!U709&lt;300,Customers!U709&gt;850),"Score out of range","")</f>
        <v/>
      </c>
      <c r="N709" s="4" t="str">
        <f>IF(AND(Customers!G709&lt;&gt;"",Customers!G709&lt;=0),"Income ≤ 0","")</f>
        <v/>
      </c>
      <c r="O709" s="4" t="str">
        <f>IF(OR(Customers!G709="",Customers!M709=""),"Missing value","")</f>
        <v/>
      </c>
      <c r="P709" s="4">
        <f t="shared" si="11"/>
        <v>0</v>
      </c>
    </row>
    <row r="710" spans="1:16" x14ac:dyDescent="0.25">
      <c r="A710" s="4" t="str">
        <f>Customers!A710</f>
        <v>CL00703</v>
      </c>
      <c r="B710" s="20">
        <f>IF(Customers!G710="","",(Customers!G710-Statistics!$C$7)/Statistics!$C$9)</f>
        <v>-3.1989732318583874E-2</v>
      </c>
      <c r="C710" s="4" t="str">
        <f>IF(Customers!G710="","",IF(OR(Customers!G710&lt;Statistics!$C$15,Customers!G710&gt;Statistics!$C$16),"Outside 1.5·IQR",""))</f>
        <v/>
      </c>
      <c r="D710" s="4" t="str">
        <f>IF(OR(Customers!B710&lt;18,Customers!B710&gt;100),"Implausible age","")</f>
        <v/>
      </c>
      <c r="E710" s="4" t="str">
        <f>IF(Customers!H710&gt;Customers!B710-18,"Tenure &gt; age-18","")</f>
        <v/>
      </c>
      <c r="F710" s="4" t="str">
        <f>IF(Customers!R710&gt;Customers!Q710,"Card spend &gt; limit","")</f>
        <v/>
      </c>
      <c r="G710" s="4" t="str">
        <f>IF(OR(AND(Customers!S710&gt;0,Customers!T710=0),AND(Customers!S710=0,Customers!T710&gt;0)),"Mortgage/payment inconsistent","")</f>
        <v/>
      </c>
      <c r="H710" s="4" t="str">
        <f>IF(AND(Customers!G710&lt;&gt;"",Customers!G710&gt;0,Customers!T710&gt;Customers!G710/12),"Payment &gt; monthly income","")</f>
        <v/>
      </c>
      <c r="I710" s="4" t="str">
        <f>IF(OR(Customers!I710&gt;DATE(2026,9,13),YEAR(Customers!I710)&lt;1980),"Implausible date","")</f>
        <v/>
      </c>
      <c r="J710" s="4" t="str">
        <f>IF(Customers!I710&gt;DATE(2026,9,13),"",IF(ABS(INT((DATE(2026,9,13)-Customers!I710)/365.25)-Customers!H710)&gt;1,"Date/tenure inconsistent",""))</f>
        <v/>
      </c>
      <c r="K710" s="4" t="str">
        <f>IF(COUNTIF(Customers!$A$2:$A$1001,Customers!A710)&gt;1,"Duplicate ID","")</f>
        <v/>
      </c>
      <c r="L710" s="4" t="str">
        <f>IF(COUNTIFS(Customers!$B$2:$B$1001,Customers!B710,Customers!$D$2:$D$1001,Customers!D710,Customers!$G$2:$G$1001,Customers!G710,Customers!$I$2:$I$1001,Customers!I710,Customers!$L$2:$L$1001,Customers!L710)&gt;1,"Duplicate record","")</f>
        <v/>
      </c>
      <c r="M710" s="4" t="str">
        <f>IF(OR(Customers!U710&lt;300,Customers!U710&gt;850),"Score out of range","")</f>
        <v/>
      </c>
      <c r="N710" s="4" t="str">
        <f>IF(AND(Customers!G710&lt;&gt;"",Customers!G710&lt;=0),"Income ≤ 0","")</f>
        <v/>
      </c>
      <c r="O710" s="4" t="str">
        <f>IF(OR(Customers!G710="",Customers!M710=""),"Missing value","")</f>
        <v/>
      </c>
      <c r="P710" s="4">
        <f t="shared" si="11"/>
        <v>0</v>
      </c>
    </row>
    <row r="711" spans="1:16" x14ac:dyDescent="0.25">
      <c r="A711" s="4" t="str">
        <f>Customers!A711</f>
        <v>CL00704</v>
      </c>
      <c r="B711" s="20">
        <f>IF(Customers!G711="","",(Customers!G711-Statistics!$C$7)/Statistics!$C$9)</f>
        <v>-4.6172629356742885E-2</v>
      </c>
      <c r="C711" s="4" t="str">
        <f>IF(Customers!G711="","",IF(OR(Customers!G711&lt;Statistics!$C$15,Customers!G711&gt;Statistics!$C$16),"Outside 1.5·IQR",""))</f>
        <v/>
      </c>
      <c r="D711" s="4" t="str">
        <f>IF(OR(Customers!B711&lt;18,Customers!B711&gt;100),"Implausible age","")</f>
        <v/>
      </c>
      <c r="E711" s="4" t="str">
        <f>IF(Customers!H711&gt;Customers!B711-18,"Tenure &gt; age-18","")</f>
        <v/>
      </c>
      <c r="F711" s="4" t="str">
        <f>IF(Customers!R711&gt;Customers!Q711,"Card spend &gt; limit","")</f>
        <v/>
      </c>
      <c r="G711" s="4" t="str">
        <f>IF(OR(AND(Customers!S711&gt;0,Customers!T711=0),AND(Customers!S711=0,Customers!T711&gt;0)),"Mortgage/payment inconsistent","")</f>
        <v/>
      </c>
      <c r="H711" s="4" t="str">
        <f>IF(AND(Customers!G711&lt;&gt;"",Customers!G711&gt;0,Customers!T711&gt;Customers!G711/12),"Payment &gt; monthly income","")</f>
        <v/>
      </c>
      <c r="I711" s="4" t="str">
        <f>IF(OR(Customers!I711&gt;DATE(2026,9,13),YEAR(Customers!I711)&lt;1980),"Implausible date","")</f>
        <v/>
      </c>
      <c r="J711" s="4" t="str">
        <f>IF(Customers!I711&gt;DATE(2026,9,13),"",IF(ABS(INT((DATE(2026,9,13)-Customers!I711)/365.25)-Customers!H711)&gt;1,"Date/tenure inconsistent",""))</f>
        <v/>
      </c>
      <c r="K711" s="4" t="str">
        <f>IF(COUNTIF(Customers!$A$2:$A$1001,Customers!A711)&gt;1,"Duplicate ID","")</f>
        <v/>
      </c>
      <c r="L711" s="4" t="str">
        <f>IF(COUNTIFS(Customers!$B$2:$B$1001,Customers!B711,Customers!$D$2:$D$1001,Customers!D711,Customers!$G$2:$G$1001,Customers!G711,Customers!$I$2:$I$1001,Customers!I711,Customers!$L$2:$L$1001,Customers!L711)&gt;1,"Duplicate record","")</f>
        <v/>
      </c>
      <c r="M711" s="4" t="str">
        <f>IF(OR(Customers!U711&lt;300,Customers!U711&gt;850),"Score out of range","")</f>
        <v/>
      </c>
      <c r="N711" s="4" t="str">
        <f>IF(AND(Customers!G711&lt;&gt;"",Customers!G711&lt;=0),"Income ≤ 0","")</f>
        <v/>
      </c>
      <c r="O711" s="4" t="str">
        <f>IF(OR(Customers!G711="",Customers!M711=""),"Missing value","")</f>
        <v/>
      </c>
      <c r="P711" s="4">
        <f t="shared" si="11"/>
        <v>0</v>
      </c>
    </row>
    <row r="712" spans="1:16" x14ac:dyDescent="0.25">
      <c r="A712" s="4" t="str">
        <f>Customers!A712</f>
        <v>CL00705</v>
      </c>
      <c r="B712" s="20">
        <f>IF(Customers!G712="","",(Customers!G712-Statistics!$C$7)/Statistics!$C$9)</f>
        <v>-4.1444997010689884E-2</v>
      </c>
      <c r="C712" s="4" t="str">
        <f>IF(Customers!G712="","",IF(OR(Customers!G712&lt;Statistics!$C$15,Customers!G712&gt;Statistics!$C$16),"Outside 1.5·IQR",""))</f>
        <v/>
      </c>
      <c r="D712" s="4" t="str">
        <f>IF(OR(Customers!B712&lt;18,Customers!B712&gt;100),"Implausible age","")</f>
        <v/>
      </c>
      <c r="E712" s="4" t="str">
        <f>IF(Customers!H712&gt;Customers!B712-18,"Tenure &gt; age-18","")</f>
        <v/>
      </c>
      <c r="F712" s="4" t="str">
        <f>IF(Customers!R712&gt;Customers!Q712,"Card spend &gt; limit","")</f>
        <v/>
      </c>
      <c r="G712" s="4" t="str">
        <f>IF(OR(AND(Customers!S712&gt;0,Customers!T712=0),AND(Customers!S712=0,Customers!T712&gt;0)),"Mortgage/payment inconsistent","")</f>
        <v/>
      </c>
      <c r="H712" s="4" t="str">
        <f>IF(AND(Customers!G712&lt;&gt;"",Customers!G712&gt;0,Customers!T712&gt;Customers!G712/12),"Payment &gt; monthly income","")</f>
        <v/>
      </c>
      <c r="I712" s="4" t="str">
        <f>IF(OR(Customers!I712&gt;DATE(2026,9,13),YEAR(Customers!I712)&lt;1980),"Implausible date","")</f>
        <v/>
      </c>
      <c r="J712" s="4" t="str">
        <f>IF(Customers!I712&gt;DATE(2026,9,13),"",IF(ABS(INT((DATE(2026,9,13)-Customers!I712)/365.25)-Customers!H712)&gt;1,"Date/tenure inconsistent",""))</f>
        <v/>
      </c>
      <c r="K712" s="4" t="str">
        <f>IF(COUNTIF(Customers!$A$2:$A$1001,Customers!A712)&gt;1,"Duplicate ID","")</f>
        <v/>
      </c>
      <c r="L712" s="4" t="str">
        <f>IF(COUNTIFS(Customers!$B$2:$B$1001,Customers!B712,Customers!$D$2:$D$1001,Customers!D712,Customers!$G$2:$G$1001,Customers!G712,Customers!$I$2:$I$1001,Customers!I712,Customers!$L$2:$L$1001,Customers!L712)&gt;1,"Duplicate record","")</f>
        <v/>
      </c>
      <c r="M712" s="4" t="str">
        <f>IF(OR(Customers!U712&lt;300,Customers!U712&gt;850),"Score out of range","")</f>
        <v/>
      </c>
      <c r="N712" s="4" t="str">
        <f>IF(AND(Customers!G712&lt;&gt;"",Customers!G712&lt;=0),"Income ≤ 0","")</f>
        <v/>
      </c>
      <c r="O712" s="4" t="str">
        <f>IF(OR(Customers!G712="",Customers!M712=""),"Missing value","")</f>
        <v/>
      </c>
      <c r="P712" s="4">
        <f t="shared" si="11"/>
        <v>0</v>
      </c>
    </row>
    <row r="713" spans="1:16" x14ac:dyDescent="0.25">
      <c r="A713" s="4" t="str">
        <f>Customers!A713</f>
        <v>CL00706</v>
      </c>
      <c r="B713" s="20">
        <f>IF(Customers!G713="","",(Customers!G713-Statistics!$C$7)/Statistics!$C$9)</f>
        <v>-3.5141487215952547E-2</v>
      </c>
      <c r="C713" s="4" t="str">
        <f>IF(Customers!G713="","",IF(OR(Customers!G713&lt;Statistics!$C$15,Customers!G713&gt;Statistics!$C$16),"Outside 1.5·IQR",""))</f>
        <v/>
      </c>
      <c r="D713" s="4" t="str">
        <f>IF(OR(Customers!B713&lt;18,Customers!B713&gt;100),"Implausible age","")</f>
        <v/>
      </c>
      <c r="E713" s="4" t="str">
        <f>IF(Customers!H713&gt;Customers!B713-18,"Tenure &gt; age-18","")</f>
        <v/>
      </c>
      <c r="F713" s="4" t="str">
        <f>IF(Customers!R713&gt;Customers!Q713,"Card spend &gt; limit","")</f>
        <v/>
      </c>
      <c r="G713" s="4" t="str">
        <f>IF(OR(AND(Customers!S713&gt;0,Customers!T713=0),AND(Customers!S713=0,Customers!T713&gt;0)),"Mortgage/payment inconsistent","")</f>
        <v/>
      </c>
      <c r="H713" s="4" t="str">
        <f>IF(AND(Customers!G713&lt;&gt;"",Customers!G713&gt;0,Customers!T713&gt;Customers!G713/12),"Payment &gt; monthly income","")</f>
        <v/>
      </c>
      <c r="I713" s="4" t="str">
        <f>IF(OR(Customers!I713&gt;DATE(2026,9,13),YEAR(Customers!I713)&lt;1980),"Implausible date","")</f>
        <v/>
      </c>
      <c r="J713" s="4" t="str">
        <f>IF(Customers!I713&gt;DATE(2026,9,13),"",IF(ABS(INT((DATE(2026,9,13)-Customers!I713)/365.25)-Customers!H713)&gt;1,"Date/tenure inconsistent",""))</f>
        <v/>
      </c>
      <c r="K713" s="4" t="str">
        <f>IF(COUNTIF(Customers!$A$2:$A$1001,Customers!A713)&gt;1,"Duplicate ID","")</f>
        <v/>
      </c>
      <c r="L713" s="4" t="str">
        <f>IF(COUNTIFS(Customers!$B$2:$B$1001,Customers!B713,Customers!$D$2:$D$1001,Customers!D713,Customers!$G$2:$G$1001,Customers!G713,Customers!$I$2:$I$1001,Customers!I713,Customers!$L$2:$L$1001,Customers!L713)&gt;1,"Duplicate record","")</f>
        <v/>
      </c>
      <c r="M713" s="4" t="str">
        <f>IF(OR(Customers!U713&lt;300,Customers!U713&gt;850),"Score out of range","")</f>
        <v/>
      </c>
      <c r="N713" s="4" t="str">
        <f>IF(AND(Customers!G713&lt;&gt;"",Customers!G713&lt;=0),"Income ≤ 0","")</f>
        <v/>
      </c>
      <c r="O713" s="4" t="str">
        <f>IF(OR(Customers!G713="",Customers!M713=""),"Missing value","")</f>
        <v/>
      </c>
      <c r="P713" s="4">
        <f t="shared" si="11"/>
        <v>0</v>
      </c>
    </row>
    <row r="714" spans="1:16" x14ac:dyDescent="0.25">
      <c r="A714" s="4" t="str">
        <f>Customers!A714</f>
        <v>CL00707</v>
      </c>
      <c r="B714" s="20">
        <f>IF(Customers!G714="","",(Customers!G714-Statistics!$C$7)/Statistics!$C$9)</f>
        <v>-5.0998754043338659E-2</v>
      </c>
      <c r="C714" s="4" t="str">
        <f>IF(Customers!G714="","",IF(OR(Customers!G714&lt;Statistics!$C$15,Customers!G714&gt;Statistics!$C$16),"Outside 1.5·IQR",""))</f>
        <v/>
      </c>
      <c r="D714" s="4" t="str">
        <f>IF(OR(Customers!B714&lt;18,Customers!B714&gt;100),"Implausible age","")</f>
        <v/>
      </c>
      <c r="E714" s="4" t="str">
        <f>IF(Customers!H714&gt;Customers!B714-18,"Tenure &gt; age-18","")</f>
        <v/>
      </c>
      <c r="F714" s="4" t="str">
        <f>IF(Customers!R714&gt;Customers!Q714,"Card spend &gt; limit","")</f>
        <v/>
      </c>
      <c r="G714" s="4" t="str">
        <f>IF(OR(AND(Customers!S714&gt;0,Customers!T714=0),AND(Customers!S714=0,Customers!T714&gt;0)),"Mortgage/payment inconsistent","")</f>
        <v/>
      </c>
      <c r="H714" s="4" t="str">
        <f>IF(AND(Customers!G714&lt;&gt;"",Customers!G714&gt;0,Customers!T714&gt;Customers!G714/12),"Payment &gt; monthly income","")</f>
        <v/>
      </c>
      <c r="I714" s="4" t="str">
        <f>IF(OR(Customers!I714&gt;DATE(2026,9,13),YEAR(Customers!I714)&lt;1980),"Implausible date","")</f>
        <v/>
      </c>
      <c r="J714" s="4" t="str">
        <f>IF(Customers!I714&gt;DATE(2026,9,13),"",IF(ABS(INT((DATE(2026,9,13)-Customers!I714)/365.25)-Customers!H714)&gt;1,"Date/tenure inconsistent",""))</f>
        <v/>
      </c>
      <c r="K714" s="4" t="str">
        <f>IF(COUNTIF(Customers!$A$2:$A$1001,Customers!A714)&gt;1,"Duplicate ID","")</f>
        <v/>
      </c>
      <c r="L714" s="4" t="str">
        <f>IF(COUNTIFS(Customers!$B$2:$B$1001,Customers!B714,Customers!$D$2:$D$1001,Customers!D714,Customers!$G$2:$G$1001,Customers!G714,Customers!$I$2:$I$1001,Customers!I714,Customers!$L$2:$L$1001,Customers!L714)&gt;1,"Duplicate record","")</f>
        <v/>
      </c>
      <c r="M714" s="4" t="str">
        <f>IF(OR(Customers!U714&lt;300,Customers!U714&gt;850),"Score out of range","")</f>
        <v/>
      </c>
      <c r="N714" s="4" t="str">
        <f>IF(AND(Customers!G714&lt;&gt;"",Customers!G714&lt;=0),"Income ≤ 0","")</f>
        <v/>
      </c>
      <c r="O714" s="4" t="str">
        <f>IF(OR(Customers!G714="",Customers!M714=""),"Missing value","")</f>
        <v/>
      </c>
      <c r="P714" s="4">
        <f t="shared" si="11"/>
        <v>0</v>
      </c>
    </row>
    <row r="715" spans="1:16" x14ac:dyDescent="0.25">
      <c r="A715" s="4" t="str">
        <f>Customers!A715</f>
        <v>CL00708</v>
      </c>
      <c r="B715" s="20">
        <f>IF(Customers!G715="","",(Customers!G715-Statistics!$C$7)/Statistics!$C$9)</f>
        <v>-3.8588719134949524E-2</v>
      </c>
      <c r="C715" s="4" t="str">
        <f>IF(Customers!G715="","",IF(OR(Customers!G715&lt;Statistics!$C$15,Customers!G715&gt;Statistics!$C$16),"Outside 1.5·IQR",""))</f>
        <v/>
      </c>
      <c r="D715" s="4" t="str">
        <f>IF(OR(Customers!B715&lt;18,Customers!B715&gt;100),"Implausible age","")</f>
        <v/>
      </c>
      <c r="E715" s="4" t="str">
        <f>IF(Customers!H715&gt;Customers!B715-18,"Tenure &gt; age-18","")</f>
        <v/>
      </c>
      <c r="F715" s="4" t="str">
        <f>IF(Customers!R715&gt;Customers!Q715,"Card spend &gt; limit","")</f>
        <v/>
      </c>
      <c r="G715" s="4" t="str">
        <f>IF(OR(AND(Customers!S715&gt;0,Customers!T715=0),AND(Customers!S715=0,Customers!T715&gt;0)),"Mortgage/payment inconsistent","")</f>
        <v/>
      </c>
      <c r="H715" s="4" t="str">
        <f>IF(AND(Customers!G715&lt;&gt;"",Customers!G715&gt;0,Customers!T715&gt;Customers!G715/12),"Payment &gt; monthly income","")</f>
        <v/>
      </c>
      <c r="I715" s="4" t="str">
        <f>IF(OR(Customers!I715&gt;DATE(2026,9,13),YEAR(Customers!I715)&lt;1980),"Implausible date","")</f>
        <v/>
      </c>
      <c r="J715" s="4" t="str">
        <f>IF(Customers!I715&gt;DATE(2026,9,13),"",IF(ABS(INT((DATE(2026,9,13)-Customers!I715)/365.25)-Customers!H715)&gt;1,"Date/tenure inconsistent",""))</f>
        <v/>
      </c>
      <c r="K715" s="4" t="str">
        <f>IF(COUNTIF(Customers!$A$2:$A$1001,Customers!A715)&gt;1,"Duplicate ID","")</f>
        <v/>
      </c>
      <c r="L715" s="4" t="str">
        <f>IF(COUNTIFS(Customers!$B$2:$B$1001,Customers!B715,Customers!$D$2:$D$1001,Customers!D715,Customers!$G$2:$G$1001,Customers!G715,Customers!$I$2:$I$1001,Customers!I715,Customers!$L$2:$L$1001,Customers!L715)&gt;1,"Duplicate record","")</f>
        <v/>
      </c>
      <c r="M715" s="4" t="str">
        <f>IF(OR(Customers!U715&lt;300,Customers!U715&gt;850),"Score out of range","")</f>
        <v/>
      </c>
      <c r="N715" s="4" t="str">
        <f>IF(AND(Customers!G715&lt;&gt;"",Customers!G715&lt;=0),"Income ≤ 0","")</f>
        <v/>
      </c>
      <c r="O715" s="4" t="str">
        <f>IF(OR(Customers!G715="",Customers!M715=""),"Missing value","")</f>
        <v/>
      </c>
      <c r="P715" s="4">
        <f t="shared" si="11"/>
        <v>0</v>
      </c>
    </row>
    <row r="716" spans="1:16" x14ac:dyDescent="0.25">
      <c r="A716" s="4" t="str">
        <f>Customers!A716</f>
        <v>CL00709</v>
      </c>
      <c r="B716" s="20">
        <f>IF(Customers!G716="","",(Customers!G716-Statistics!$C$7)/Statistics!$C$9)</f>
        <v>-3.5239979556495313E-2</v>
      </c>
      <c r="C716" s="4" t="str">
        <f>IF(Customers!G716="","",IF(OR(Customers!G716&lt;Statistics!$C$15,Customers!G716&gt;Statistics!$C$16),"Outside 1.5·IQR",""))</f>
        <v/>
      </c>
      <c r="D716" s="4" t="str">
        <f>IF(OR(Customers!B716&lt;18,Customers!B716&gt;100),"Implausible age","")</f>
        <v/>
      </c>
      <c r="E716" s="4" t="str">
        <f>IF(Customers!H716&gt;Customers!B716-18,"Tenure &gt; age-18","")</f>
        <v/>
      </c>
      <c r="F716" s="4" t="str">
        <f>IF(Customers!R716&gt;Customers!Q716,"Card spend &gt; limit","")</f>
        <v/>
      </c>
      <c r="G716" s="4" t="str">
        <f>IF(OR(AND(Customers!S716&gt;0,Customers!T716=0),AND(Customers!S716=0,Customers!T716&gt;0)),"Mortgage/payment inconsistent","")</f>
        <v/>
      </c>
      <c r="H716" s="4" t="str">
        <f>IF(AND(Customers!G716&lt;&gt;"",Customers!G716&gt;0,Customers!T716&gt;Customers!G716/12),"Payment &gt; monthly income","")</f>
        <v/>
      </c>
      <c r="I716" s="4" t="str">
        <f>IF(OR(Customers!I716&gt;DATE(2026,9,13),YEAR(Customers!I716)&lt;1980),"Implausible date","")</f>
        <v/>
      </c>
      <c r="J716" s="4" t="str">
        <f>IF(Customers!I716&gt;DATE(2026,9,13),"",IF(ABS(INT((DATE(2026,9,13)-Customers!I716)/365.25)-Customers!H716)&gt;1,"Date/tenure inconsistent",""))</f>
        <v/>
      </c>
      <c r="K716" s="4" t="str">
        <f>IF(COUNTIF(Customers!$A$2:$A$1001,Customers!A716)&gt;1,"Duplicate ID","")</f>
        <v/>
      </c>
      <c r="L716" s="4" t="str">
        <f>IF(COUNTIFS(Customers!$B$2:$B$1001,Customers!B716,Customers!$D$2:$D$1001,Customers!D716,Customers!$G$2:$G$1001,Customers!G716,Customers!$I$2:$I$1001,Customers!I716,Customers!$L$2:$L$1001,Customers!L716)&gt;1,"Duplicate record","")</f>
        <v/>
      </c>
      <c r="M716" s="4" t="str">
        <f>IF(OR(Customers!U716&lt;300,Customers!U716&gt;850),"Score out of range","")</f>
        <v/>
      </c>
      <c r="N716" s="4" t="str">
        <f>IF(AND(Customers!G716&lt;&gt;"",Customers!G716&lt;=0),"Income ≤ 0","")</f>
        <v/>
      </c>
      <c r="O716" s="4" t="str">
        <f>IF(OR(Customers!G716="",Customers!M716=""),"Missing value","")</f>
        <v/>
      </c>
      <c r="P716" s="4">
        <f t="shared" si="11"/>
        <v>0</v>
      </c>
    </row>
    <row r="717" spans="1:16" x14ac:dyDescent="0.25">
      <c r="A717" s="4" t="str">
        <f>Customers!A717</f>
        <v>CL00710</v>
      </c>
      <c r="B717" s="20">
        <f>IF(Customers!G717="","",(Customers!G717-Statistics!$C$7)/Statistics!$C$9)</f>
        <v>-5.4249001281250098E-2</v>
      </c>
      <c r="C717" s="4" t="str">
        <f>IF(Customers!G717="","",IF(OR(Customers!G717&lt;Statistics!$C$15,Customers!G717&gt;Statistics!$C$16),"Outside 1.5·IQR",""))</f>
        <v/>
      </c>
      <c r="D717" s="4" t="str">
        <f>IF(OR(Customers!B717&lt;18,Customers!B717&gt;100),"Implausible age","")</f>
        <v/>
      </c>
      <c r="E717" s="4" t="str">
        <f>IF(Customers!H717&gt;Customers!B717-18,"Tenure &gt; age-18","")</f>
        <v/>
      </c>
      <c r="F717" s="4" t="str">
        <f>IF(Customers!R717&gt;Customers!Q717,"Card spend &gt; limit","")</f>
        <v/>
      </c>
      <c r="G717" s="4" t="str">
        <f>IF(OR(AND(Customers!S717&gt;0,Customers!T717=0),AND(Customers!S717=0,Customers!T717&gt;0)),"Mortgage/payment inconsistent","")</f>
        <v/>
      </c>
      <c r="H717" s="4" t="str">
        <f>IF(AND(Customers!G717&lt;&gt;"",Customers!G717&gt;0,Customers!T717&gt;Customers!G717/12),"Payment &gt; monthly income","")</f>
        <v/>
      </c>
      <c r="I717" s="4" t="str">
        <f>IF(OR(Customers!I717&gt;DATE(2026,9,13),YEAR(Customers!I717)&lt;1980),"Implausible date","")</f>
        <v/>
      </c>
      <c r="J717" s="4" t="str">
        <f>IF(Customers!I717&gt;DATE(2026,9,13),"",IF(ABS(INT((DATE(2026,9,13)-Customers!I717)/365.25)-Customers!H717)&gt;1,"Date/tenure inconsistent",""))</f>
        <v/>
      </c>
      <c r="K717" s="4" t="str">
        <f>IF(COUNTIF(Customers!$A$2:$A$1001,Customers!A717)&gt;1,"Duplicate ID","")</f>
        <v/>
      </c>
      <c r="L717" s="4" t="str">
        <f>IF(COUNTIFS(Customers!$B$2:$B$1001,Customers!B717,Customers!$D$2:$D$1001,Customers!D717,Customers!$G$2:$G$1001,Customers!G717,Customers!$I$2:$I$1001,Customers!I717,Customers!$L$2:$L$1001,Customers!L717)&gt;1,"Duplicate record","")</f>
        <v/>
      </c>
      <c r="M717" s="4" t="str">
        <f>IF(OR(Customers!U717&lt;300,Customers!U717&gt;850),"Score out of range","")</f>
        <v/>
      </c>
      <c r="N717" s="4" t="str">
        <f>IF(AND(Customers!G717&lt;&gt;"",Customers!G717&lt;=0),"Income ≤ 0","")</f>
        <v/>
      </c>
      <c r="O717" s="4" t="str">
        <f>IF(OR(Customers!G717="",Customers!M717=""),"Missing value","")</f>
        <v/>
      </c>
      <c r="P717" s="4">
        <f t="shared" si="11"/>
        <v>0</v>
      </c>
    </row>
    <row r="718" spans="1:16" x14ac:dyDescent="0.25">
      <c r="A718" s="4" t="str">
        <f>Customers!A718</f>
        <v>CL00711</v>
      </c>
      <c r="B718" s="20">
        <f>IF(Customers!G718="","",(Customers!G718-Statistics!$C$7)/Statistics!$C$9)</f>
        <v>-4.1444997010689884E-2</v>
      </c>
      <c r="C718" s="4" t="str">
        <f>IF(Customers!G718="","",IF(OR(Customers!G718&lt;Statistics!$C$15,Customers!G718&gt;Statistics!$C$16),"Outside 1.5·IQR",""))</f>
        <v/>
      </c>
      <c r="D718" s="4" t="str">
        <f>IF(OR(Customers!B718&lt;18,Customers!B718&gt;100),"Implausible age","")</f>
        <v/>
      </c>
      <c r="E718" s="4" t="str">
        <f>IF(Customers!H718&gt;Customers!B718-18,"Tenure &gt; age-18","")</f>
        <v/>
      </c>
      <c r="F718" s="4" t="str">
        <f>IF(Customers!R718&gt;Customers!Q718,"Card spend &gt; limit","")</f>
        <v/>
      </c>
      <c r="G718" s="4" t="str">
        <f>IF(OR(AND(Customers!S718&gt;0,Customers!T718=0),AND(Customers!S718=0,Customers!T718&gt;0)),"Mortgage/payment inconsistent","")</f>
        <v/>
      </c>
      <c r="H718" s="4" t="str">
        <f>IF(AND(Customers!G718&lt;&gt;"",Customers!G718&gt;0,Customers!T718&gt;Customers!G718/12),"Payment &gt; monthly income","")</f>
        <v/>
      </c>
      <c r="I718" s="4" t="str">
        <f>IF(OR(Customers!I718&gt;DATE(2026,9,13),YEAR(Customers!I718)&lt;1980),"Implausible date","")</f>
        <v/>
      </c>
      <c r="J718" s="4" t="str">
        <f>IF(Customers!I718&gt;DATE(2026,9,13),"",IF(ABS(INT((DATE(2026,9,13)-Customers!I718)/365.25)-Customers!H718)&gt;1,"Date/tenure inconsistent",""))</f>
        <v/>
      </c>
      <c r="K718" s="4" t="str">
        <f>IF(COUNTIF(Customers!$A$2:$A$1001,Customers!A718)&gt;1,"Duplicate ID","")</f>
        <v/>
      </c>
      <c r="L718" s="4" t="str">
        <f>IF(COUNTIFS(Customers!$B$2:$B$1001,Customers!B718,Customers!$D$2:$D$1001,Customers!D718,Customers!$G$2:$G$1001,Customers!G718,Customers!$I$2:$I$1001,Customers!I718,Customers!$L$2:$L$1001,Customers!L718)&gt;1,"Duplicate record","")</f>
        <v/>
      </c>
      <c r="M718" s="4" t="str">
        <f>IF(OR(Customers!U718&lt;300,Customers!U718&gt;850),"Score out of range","")</f>
        <v/>
      </c>
      <c r="N718" s="4" t="str">
        <f>IF(AND(Customers!G718&lt;&gt;"",Customers!G718&lt;=0),"Income ≤ 0","")</f>
        <v/>
      </c>
      <c r="O718" s="4" t="str">
        <f>IF(OR(Customers!G718="",Customers!M718=""),"Missing value","")</f>
        <v/>
      </c>
      <c r="P718" s="4">
        <f t="shared" si="11"/>
        <v>0</v>
      </c>
    </row>
    <row r="719" spans="1:16" x14ac:dyDescent="0.25">
      <c r="A719" s="4" t="str">
        <f>Customers!A719</f>
        <v>CL00712</v>
      </c>
      <c r="B719" s="20">
        <f>IF(Customers!G719="","",(Customers!G719-Statistics!$C$7)/Statistics!$C$9)</f>
        <v>-3.5929425940294711E-2</v>
      </c>
      <c r="C719" s="4" t="str">
        <f>IF(Customers!G719="","",IF(OR(Customers!G719&lt;Statistics!$C$15,Customers!G719&gt;Statistics!$C$16),"Outside 1.5·IQR",""))</f>
        <v/>
      </c>
      <c r="D719" s="4" t="str">
        <f>IF(OR(Customers!B719&lt;18,Customers!B719&gt;100),"Implausible age","")</f>
        <v/>
      </c>
      <c r="E719" s="4" t="str">
        <f>IF(Customers!H719&gt;Customers!B719-18,"Tenure &gt; age-18","")</f>
        <v/>
      </c>
      <c r="F719" s="4" t="str">
        <f>IF(Customers!R719&gt;Customers!Q719,"Card spend &gt; limit","")</f>
        <v/>
      </c>
      <c r="G719" s="4" t="str">
        <f>IF(OR(AND(Customers!S719&gt;0,Customers!T719=0),AND(Customers!S719=0,Customers!T719&gt;0)),"Mortgage/payment inconsistent","")</f>
        <v>Mortgage/payment inconsistent</v>
      </c>
      <c r="H719" s="4" t="str">
        <f>IF(AND(Customers!G719&lt;&gt;"",Customers!G719&gt;0,Customers!T719&gt;Customers!G719/12),"Payment &gt; monthly income","")</f>
        <v/>
      </c>
      <c r="I719" s="4" t="str">
        <f>IF(OR(Customers!I719&gt;DATE(2026,9,13),YEAR(Customers!I719)&lt;1980),"Implausible date","")</f>
        <v/>
      </c>
      <c r="J719" s="4" t="str">
        <f>IF(Customers!I719&gt;DATE(2026,9,13),"",IF(ABS(INT((DATE(2026,9,13)-Customers!I719)/365.25)-Customers!H719)&gt;1,"Date/tenure inconsistent",""))</f>
        <v/>
      </c>
      <c r="K719" s="4" t="str">
        <f>IF(COUNTIF(Customers!$A$2:$A$1001,Customers!A719)&gt;1,"Duplicate ID","")</f>
        <v/>
      </c>
      <c r="L719" s="4" t="str">
        <f>IF(COUNTIFS(Customers!$B$2:$B$1001,Customers!B719,Customers!$D$2:$D$1001,Customers!D719,Customers!$G$2:$G$1001,Customers!G719,Customers!$I$2:$I$1001,Customers!I719,Customers!$L$2:$L$1001,Customers!L719)&gt;1,"Duplicate record","")</f>
        <v/>
      </c>
      <c r="M719" s="4" t="str">
        <f>IF(OR(Customers!U719&lt;300,Customers!U719&gt;850),"Score out of range","")</f>
        <v/>
      </c>
      <c r="N719" s="4" t="str">
        <f>IF(AND(Customers!G719&lt;&gt;"",Customers!G719&lt;=0),"Income ≤ 0","")</f>
        <v/>
      </c>
      <c r="O719" s="4" t="str">
        <f>IF(OR(Customers!G719="",Customers!M719=""),"Missing value","")</f>
        <v/>
      </c>
      <c r="P719" s="4">
        <f t="shared" si="11"/>
        <v>1</v>
      </c>
    </row>
    <row r="720" spans="1:16" x14ac:dyDescent="0.25">
      <c r="A720" s="4" t="str">
        <f>Customers!A720</f>
        <v>CL00713</v>
      </c>
      <c r="B720" s="20">
        <f>IF(Customers!G720="","",(Customers!G720-Statistics!$C$7)/Statistics!$C$9)</f>
        <v>-2.7262099972530873E-2</v>
      </c>
      <c r="C720" s="4" t="str">
        <f>IF(Customers!G720="","",IF(OR(Customers!G720&lt;Statistics!$C$15,Customers!G720&gt;Statistics!$C$16),"Outside 1.5·IQR",""))</f>
        <v/>
      </c>
      <c r="D720" s="4" t="str">
        <f>IF(OR(Customers!B720&lt;18,Customers!B720&gt;100),"Implausible age","")</f>
        <v/>
      </c>
      <c r="E720" s="4" t="str">
        <f>IF(Customers!H720&gt;Customers!B720-18,"Tenure &gt; age-18","")</f>
        <v/>
      </c>
      <c r="F720" s="4" t="str">
        <f>IF(Customers!R720&gt;Customers!Q720,"Card spend &gt; limit","")</f>
        <v/>
      </c>
      <c r="G720" s="4" t="str">
        <f>IF(OR(AND(Customers!S720&gt;0,Customers!T720=0),AND(Customers!S720=0,Customers!T720&gt;0)),"Mortgage/payment inconsistent","")</f>
        <v/>
      </c>
      <c r="H720" s="4" t="str">
        <f>IF(AND(Customers!G720&lt;&gt;"",Customers!G720&gt;0,Customers!T720&gt;Customers!G720/12),"Payment &gt; monthly income","")</f>
        <v/>
      </c>
      <c r="I720" s="4" t="str">
        <f>IF(OR(Customers!I720&gt;DATE(2026,9,13),YEAR(Customers!I720)&lt;1980),"Implausible date","")</f>
        <v/>
      </c>
      <c r="J720" s="4" t="str">
        <f>IF(Customers!I720&gt;DATE(2026,9,13),"",IF(ABS(INT((DATE(2026,9,13)-Customers!I720)/365.25)-Customers!H720)&gt;1,"Date/tenure inconsistent",""))</f>
        <v/>
      </c>
      <c r="K720" s="4" t="str">
        <f>IF(COUNTIF(Customers!$A$2:$A$1001,Customers!A720)&gt;1,"Duplicate ID","")</f>
        <v/>
      </c>
      <c r="L720" s="4" t="str">
        <f>IF(COUNTIFS(Customers!$B$2:$B$1001,Customers!B720,Customers!$D$2:$D$1001,Customers!D720,Customers!$G$2:$G$1001,Customers!G720,Customers!$I$2:$I$1001,Customers!I720,Customers!$L$2:$L$1001,Customers!L720)&gt;1,"Duplicate record","")</f>
        <v/>
      </c>
      <c r="M720" s="4" t="str">
        <f>IF(OR(Customers!U720&lt;300,Customers!U720&gt;850),"Score out of range","")</f>
        <v/>
      </c>
      <c r="N720" s="4" t="str">
        <f>IF(AND(Customers!G720&lt;&gt;"",Customers!G720&lt;=0),"Income ≤ 0","")</f>
        <v/>
      </c>
      <c r="O720" s="4" t="str">
        <f>IF(OR(Customers!G720="",Customers!M720=""),"Missing value","")</f>
        <v/>
      </c>
      <c r="P720" s="4">
        <f t="shared" si="11"/>
        <v>0</v>
      </c>
    </row>
    <row r="721" spans="1:16" x14ac:dyDescent="0.25">
      <c r="A721" s="4" t="str">
        <f>Customers!A721</f>
        <v>CL00714</v>
      </c>
      <c r="B721" s="20">
        <f>IF(Customers!G721="","",(Customers!G721-Statistics!$C$7)/Statistics!$C$9)</f>
        <v>-2.6769638269817018E-2</v>
      </c>
      <c r="C721" s="4" t="str">
        <f>IF(Customers!G721="","",IF(OR(Customers!G721&lt;Statistics!$C$15,Customers!G721&gt;Statistics!$C$16),"Outside 1.5·IQR",""))</f>
        <v/>
      </c>
      <c r="D721" s="4" t="str">
        <f>IF(OR(Customers!B721&lt;18,Customers!B721&gt;100),"Implausible age","")</f>
        <v/>
      </c>
      <c r="E721" s="4" t="str">
        <f>IF(Customers!H721&gt;Customers!B721-18,"Tenure &gt; age-18","")</f>
        <v/>
      </c>
      <c r="F721" s="4" t="str">
        <f>IF(Customers!R721&gt;Customers!Q721,"Card spend &gt; limit","")</f>
        <v/>
      </c>
      <c r="G721" s="4" t="str">
        <f>IF(OR(AND(Customers!S721&gt;0,Customers!T721=0),AND(Customers!S721=0,Customers!T721&gt;0)),"Mortgage/payment inconsistent","")</f>
        <v/>
      </c>
      <c r="H721" s="4" t="str">
        <f>IF(AND(Customers!G721&lt;&gt;"",Customers!G721&gt;0,Customers!T721&gt;Customers!G721/12),"Payment &gt; monthly income","")</f>
        <v/>
      </c>
      <c r="I721" s="4" t="str">
        <f>IF(OR(Customers!I721&gt;DATE(2026,9,13),YEAR(Customers!I721)&lt;1980),"Implausible date","")</f>
        <v/>
      </c>
      <c r="J721" s="4" t="str">
        <f>IF(Customers!I721&gt;DATE(2026,9,13),"",IF(ABS(INT((DATE(2026,9,13)-Customers!I721)/365.25)-Customers!H721)&gt;1,"Date/tenure inconsistent",""))</f>
        <v/>
      </c>
      <c r="K721" s="4" t="str">
        <f>IF(COUNTIF(Customers!$A$2:$A$1001,Customers!A721)&gt;1,"Duplicate ID","")</f>
        <v/>
      </c>
      <c r="L721" s="4" t="str">
        <f>IF(COUNTIFS(Customers!$B$2:$B$1001,Customers!B721,Customers!$D$2:$D$1001,Customers!D721,Customers!$G$2:$G$1001,Customers!G721,Customers!$I$2:$I$1001,Customers!I721,Customers!$L$2:$L$1001,Customers!L721)&gt;1,"Duplicate record","")</f>
        <v/>
      </c>
      <c r="M721" s="4" t="str">
        <f>IF(OR(Customers!U721&lt;300,Customers!U721&gt;850),"Score out of range","")</f>
        <v/>
      </c>
      <c r="N721" s="4" t="str">
        <f>IF(AND(Customers!G721&lt;&gt;"",Customers!G721&lt;=0),"Income ≤ 0","")</f>
        <v/>
      </c>
      <c r="O721" s="4" t="str">
        <f>IF(OR(Customers!G721="",Customers!M721=""),"Missing value","")</f>
        <v/>
      </c>
      <c r="P721" s="4">
        <f t="shared" si="11"/>
        <v>0</v>
      </c>
    </row>
    <row r="722" spans="1:16" x14ac:dyDescent="0.25">
      <c r="A722" s="4" t="str">
        <f>Customers!A722</f>
        <v>CL00715</v>
      </c>
      <c r="B722" s="20">
        <f>IF(Customers!G722="","",(Customers!G722-Statistics!$C$7)/Statistics!$C$9)</f>
        <v>-6.8628883000494648E-2</v>
      </c>
      <c r="C722" s="4" t="str">
        <f>IF(Customers!G722="","",IF(OR(Customers!G722&lt;Statistics!$C$15,Customers!G722&gt;Statistics!$C$16),"Outside 1.5·IQR",""))</f>
        <v/>
      </c>
      <c r="D722" s="4" t="str">
        <f>IF(OR(Customers!B722&lt;18,Customers!B722&gt;100),"Implausible age","")</f>
        <v/>
      </c>
      <c r="E722" s="4" t="str">
        <f>IF(Customers!H722&gt;Customers!B722-18,"Tenure &gt; age-18","")</f>
        <v/>
      </c>
      <c r="F722" s="4" t="str">
        <f>IF(Customers!R722&gt;Customers!Q722,"Card spend &gt; limit","")</f>
        <v/>
      </c>
      <c r="G722" s="4" t="str">
        <f>IF(OR(AND(Customers!S722&gt;0,Customers!T722=0),AND(Customers!S722=0,Customers!T722&gt;0)),"Mortgage/payment inconsistent","")</f>
        <v/>
      </c>
      <c r="H722" s="4" t="str">
        <f>IF(AND(Customers!G722&lt;&gt;"",Customers!G722&gt;0,Customers!T722&gt;Customers!G722/12),"Payment &gt; monthly income","")</f>
        <v/>
      </c>
      <c r="I722" s="4" t="str">
        <f>IF(OR(Customers!I722&gt;DATE(2026,9,13),YEAR(Customers!I722)&lt;1980),"Implausible date","")</f>
        <v/>
      </c>
      <c r="J722" s="4" t="str">
        <f>IF(Customers!I722&gt;DATE(2026,9,13),"",IF(ABS(INT((DATE(2026,9,13)-Customers!I722)/365.25)-Customers!H722)&gt;1,"Date/tenure inconsistent",""))</f>
        <v/>
      </c>
      <c r="K722" s="4" t="str">
        <f>IF(COUNTIF(Customers!$A$2:$A$1001,Customers!A722)&gt;1,"Duplicate ID","")</f>
        <v/>
      </c>
      <c r="L722" s="4" t="str">
        <f>IF(COUNTIFS(Customers!$B$2:$B$1001,Customers!B722,Customers!$D$2:$D$1001,Customers!D722,Customers!$G$2:$G$1001,Customers!G722,Customers!$I$2:$I$1001,Customers!I722,Customers!$L$2:$L$1001,Customers!L722)&gt;1,"Duplicate record","")</f>
        <v/>
      </c>
      <c r="M722" s="4" t="str">
        <f>IF(OR(Customers!U722&lt;300,Customers!U722&gt;850),"Score out of range","")</f>
        <v/>
      </c>
      <c r="N722" s="4" t="str">
        <f>IF(AND(Customers!G722&lt;&gt;"",Customers!G722&lt;=0),"Income ≤ 0","")</f>
        <v/>
      </c>
      <c r="O722" s="4" t="str">
        <f>IF(OR(Customers!G722="",Customers!M722=""),"Missing value","")</f>
        <v/>
      </c>
      <c r="P722" s="4">
        <f t="shared" si="11"/>
        <v>0</v>
      </c>
    </row>
    <row r="723" spans="1:16" x14ac:dyDescent="0.25">
      <c r="A723" s="4" t="str">
        <f>Customers!A723</f>
        <v>CL00716</v>
      </c>
      <c r="B723" s="20">
        <f>IF(Customers!G723="","",(Customers!G723-Statistics!$C$7)/Statistics!$C$9)</f>
        <v>-4.2232935735032048E-2</v>
      </c>
      <c r="C723" s="4" t="str">
        <f>IF(Customers!G723="","",IF(OR(Customers!G723&lt;Statistics!$C$15,Customers!G723&gt;Statistics!$C$16),"Outside 1.5·IQR",""))</f>
        <v/>
      </c>
      <c r="D723" s="4" t="str">
        <f>IF(OR(Customers!B723&lt;18,Customers!B723&gt;100),"Implausible age","")</f>
        <v/>
      </c>
      <c r="E723" s="4" t="str">
        <f>IF(Customers!H723&gt;Customers!B723-18,"Tenure &gt; age-18","")</f>
        <v/>
      </c>
      <c r="F723" s="4" t="str">
        <f>IF(Customers!R723&gt;Customers!Q723,"Card spend &gt; limit","")</f>
        <v/>
      </c>
      <c r="G723" s="4" t="str">
        <f>IF(OR(AND(Customers!S723&gt;0,Customers!T723=0),AND(Customers!S723=0,Customers!T723&gt;0)),"Mortgage/payment inconsistent","")</f>
        <v/>
      </c>
      <c r="H723" s="4" t="str">
        <f>IF(AND(Customers!G723&lt;&gt;"",Customers!G723&gt;0,Customers!T723&gt;Customers!G723/12),"Payment &gt; monthly income","")</f>
        <v/>
      </c>
      <c r="I723" s="4" t="str">
        <f>IF(OR(Customers!I723&gt;DATE(2026,9,13),YEAR(Customers!I723)&lt;1980),"Implausible date","")</f>
        <v/>
      </c>
      <c r="J723" s="4" t="str">
        <f>IF(Customers!I723&gt;DATE(2026,9,13),"",IF(ABS(INT((DATE(2026,9,13)-Customers!I723)/365.25)-Customers!H723)&gt;1,"Date/tenure inconsistent",""))</f>
        <v/>
      </c>
      <c r="K723" s="4" t="str">
        <f>IF(COUNTIF(Customers!$A$2:$A$1001,Customers!A723)&gt;1,"Duplicate ID","")</f>
        <v/>
      </c>
      <c r="L723" s="4" t="str">
        <f>IF(COUNTIFS(Customers!$B$2:$B$1001,Customers!B723,Customers!$D$2:$D$1001,Customers!D723,Customers!$G$2:$G$1001,Customers!G723,Customers!$I$2:$I$1001,Customers!I723,Customers!$L$2:$L$1001,Customers!L723)&gt;1,"Duplicate record","")</f>
        <v/>
      </c>
      <c r="M723" s="4" t="str">
        <f>IF(OR(Customers!U723&lt;300,Customers!U723&gt;850),"Score out of range","")</f>
        <v/>
      </c>
      <c r="N723" s="4" t="str">
        <f>IF(AND(Customers!G723&lt;&gt;"",Customers!G723&lt;=0),"Income ≤ 0","")</f>
        <v/>
      </c>
      <c r="O723" s="4" t="str">
        <f>IF(OR(Customers!G723="",Customers!M723=""),"Missing value","")</f>
        <v/>
      </c>
      <c r="P723" s="4">
        <f t="shared" si="11"/>
        <v>0</v>
      </c>
    </row>
    <row r="724" spans="1:16" x14ac:dyDescent="0.25">
      <c r="A724" s="4" t="str">
        <f>Customers!A724</f>
        <v>CL00717</v>
      </c>
      <c r="B724" s="20">
        <f>IF(Customers!G724="","",(Customers!G724-Statistics!$C$7)/Statistics!$C$9)</f>
        <v>-4.794549148651276E-2</v>
      </c>
      <c r="C724" s="4" t="str">
        <f>IF(Customers!G724="","",IF(OR(Customers!G724&lt;Statistics!$C$15,Customers!G724&gt;Statistics!$C$16),"Outside 1.5·IQR",""))</f>
        <v/>
      </c>
      <c r="D724" s="4" t="str">
        <f>IF(OR(Customers!B724&lt;18,Customers!B724&gt;100),"Implausible age","")</f>
        <v/>
      </c>
      <c r="E724" s="4" t="str">
        <f>IF(Customers!H724&gt;Customers!B724-18,"Tenure &gt; age-18","")</f>
        <v/>
      </c>
      <c r="F724" s="4" t="str">
        <f>IF(Customers!R724&gt;Customers!Q724,"Card spend &gt; limit","")</f>
        <v/>
      </c>
      <c r="G724" s="4" t="str">
        <f>IF(OR(AND(Customers!S724&gt;0,Customers!T724=0),AND(Customers!S724=0,Customers!T724&gt;0)),"Mortgage/payment inconsistent","")</f>
        <v/>
      </c>
      <c r="H724" s="4" t="str">
        <f>IF(AND(Customers!G724&lt;&gt;"",Customers!G724&gt;0,Customers!T724&gt;Customers!G724/12),"Payment &gt; monthly income","")</f>
        <v/>
      </c>
      <c r="I724" s="4" t="str">
        <f>IF(OR(Customers!I724&gt;DATE(2026,9,13),YEAR(Customers!I724)&lt;1980),"Implausible date","")</f>
        <v/>
      </c>
      <c r="J724" s="4" t="str">
        <f>IF(Customers!I724&gt;DATE(2026,9,13),"",IF(ABS(INT((DATE(2026,9,13)-Customers!I724)/365.25)-Customers!H724)&gt;1,"Date/tenure inconsistent",""))</f>
        <v/>
      </c>
      <c r="K724" s="4" t="str">
        <f>IF(COUNTIF(Customers!$A$2:$A$1001,Customers!A724)&gt;1,"Duplicate ID","")</f>
        <v/>
      </c>
      <c r="L724" s="4" t="str">
        <f>IF(COUNTIFS(Customers!$B$2:$B$1001,Customers!B724,Customers!$D$2:$D$1001,Customers!D724,Customers!$G$2:$G$1001,Customers!G724,Customers!$I$2:$I$1001,Customers!I724,Customers!$L$2:$L$1001,Customers!L724)&gt;1,"Duplicate record","")</f>
        <v/>
      </c>
      <c r="M724" s="4" t="str">
        <f>IF(OR(Customers!U724&lt;300,Customers!U724&gt;850),"Score out of range","")</f>
        <v/>
      </c>
      <c r="N724" s="4" t="str">
        <f>IF(AND(Customers!G724&lt;&gt;"",Customers!G724&lt;=0),"Income ≤ 0","")</f>
        <v/>
      </c>
      <c r="O724" s="4" t="str">
        <f>IF(OR(Customers!G724="",Customers!M724=""),"Missing value","")</f>
        <v/>
      </c>
      <c r="P724" s="4">
        <f t="shared" si="11"/>
        <v>0</v>
      </c>
    </row>
    <row r="725" spans="1:16" x14ac:dyDescent="0.25">
      <c r="A725" s="4" t="str">
        <f>Customers!A725</f>
        <v>CL00718</v>
      </c>
      <c r="B725" s="20">
        <f>IF(Customers!G725="","",(Customers!G725-Statistics!$C$7)/Statistics!$C$9)</f>
        <v>-6.6856020870724772E-2</v>
      </c>
      <c r="C725" s="4" t="str">
        <f>IF(Customers!G725="","",IF(OR(Customers!G725&lt;Statistics!$C$15,Customers!G725&gt;Statistics!$C$16),"Outside 1.5·IQR",""))</f>
        <v/>
      </c>
      <c r="D725" s="4" t="str">
        <f>IF(OR(Customers!B725&lt;18,Customers!B725&gt;100),"Implausible age","")</f>
        <v/>
      </c>
      <c r="E725" s="4" t="str">
        <f>IF(Customers!H725&gt;Customers!B725-18,"Tenure &gt; age-18","")</f>
        <v/>
      </c>
      <c r="F725" s="4" t="str">
        <f>IF(Customers!R725&gt;Customers!Q725,"Card spend &gt; limit","")</f>
        <v/>
      </c>
      <c r="G725" s="4" t="str">
        <f>IF(OR(AND(Customers!S725&gt;0,Customers!T725=0),AND(Customers!S725=0,Customers!T725&gt;0)),"Mortgage/payment inconsistent","")</f>
        <v/>
      </c>
      <c r="H725" s="4" t="str">
        <f>IF(AND(Customers!G725&lt;&gt;"",Customers!G725&gt;0,Customers!T725&gt;Customers!G725/12),"Payment &gt; monthly income","")</f>
        <v/>
      </c>
      <c r="I725" s="4" t="str">
        <f>IF(OR(Customers!I725&gt;DATE(2026,9,13),YEAR(Customers!I725)&lt;1980),"Implausible date","")</f>
        <v/>
      </c>
      <c r="J725" s="4" t="str">
        <f>IF(Customers!I725&gt;DATE(2026,9,13),"",IF(ABS(INT((DATE(2026,9,13)-Customers!I725)/365.25)-Customers!H725)&gt;1,"Date/tenure inconsistent",""))</f>
        <v/>
      </c>
      <c r="K725" s="4" t="str">
        <f>IF(COUNTIF(Customers!$A$2:$A$1001,Customers!A725)&gt;1,"Duplicate ID","")</f>
        <v/>
      </c>
      <c r="L725" s="4" t="str">
        <f>IF(COUNTIFS(Customers!$B$2:$B$1001,Customers!B725,Customers!$D$2:$D$1001,Customers!D725,Customers!$G$2:$G$1001,Customers!G725,Customers!$I$2:$I$1001,Customers!I725,Customers!$L$2:$L$1001,Customers!L725)&gt;1,"Duplicate record","")</f>
        <v/>
      </c>
      <c r="M725" s="4" t="str">
        <f>IF(OR(Customers!U725&lt;300,Customers!U725&gt;850),"Score out of range","")</f>
        <v/>
      </c>
      <c r="N725" s="4" t="str">
        <f>IF(AND(Customers!G725&lt;&gt;"",Customers!G725&lt;=0),"Income ≤ 0","")</f>
        <v/>
      </c>
      <c r="O725" s="4" t="str">
        <f>IF(OR(Customers!G725="",Customers!M725=""),"Missing value","")</f>
        <v/>
      </c>
      <c r="P725" s="4">
        <f t="shared" si="11"/>
        <v>0</v>
      </c>
    </row>
    <row r="726" spans="1:16" x14ac:dyDescent="0.25">
      <c r="A726" s="4" t="str">
        <f>Customers!A726</f>
        <v>CL00719</v>
      </c>
      <c r="B726" s="20">
        <f>IF(Customers!G726="","",(Customers!G726-Statistics!$C$7)/Statistics!$C$9)</f>
        <v>-6.7643959595066944E-2</v>
      </c>
      <c r="C726" s="4" t="str">
        <f>IF(Customers!G726="","",IF(OR(Customers!G726&lt;Statistics!$C$15,Customers!G726&gt;Statistics!$C$16),"Outside 1.5·IQR",""))</f>
        <v/>
      </c>
      <c r="D726" s="4" t="str">
        <f>IF(OR(Customers!B726&lt;18,Customers!B726&gt;100),"Implausible age","")</f>
        <v/>
      </c>
      <c r="E726" s="4" t="str">
        <f>IF(Customers!H726&gt;Customers!B726-18,"Tenure &gt; age-18","")</f>
        <v/>
      </c>
      <c r="F726" s="4" t="str">
        <f>IF(Customers!R726&gt;Customers!Q726,"Card spend &gt; limit","")</f>
        <v/>
      </c>
      <c r="G726" s="4" t="str">
        <f>IF(OR(AND(Customers!S726&gt;0,Customers!T726=0),AND(Customers!S726=0,Customers!T726&gt;0)),"Mortgage/payment inconsistent","")</f>
        <v/>
      </c>
      <c r="H726" s="4" t="str">
        <f>IF(AND(Customers!G726&lt;&gt;"",Customers!G726&gt;0,Customers!T726&gt;Customers!G726/12),"Payment &gt; monthly income","")</f>
        <v/>
      </c>
      <c r="I726" s="4" t="str">
        <f>IF(OR(Customers!I726&gt;DATE(2026,9,13),YEAR(Customers!I726)&lt;1980),"Implausible date","")</f>
        <v/>
      </c>
      <c r="J726" s="4" t="str">
        <f>IF(Customers!I726&gt;DATE(2026,9,13),"",IF(ABS(INT((DATE(2026,9,13)-Customers!I726)/365.25)-Customers!H726)&gt;1,"Date/tenure inconsistent",""))</f>
        <v/>
      </c>
      <c r="K726" s="4" t="str">
        <f>IF(COUNTIF(Customers!$A$2:$A$1001,Customers!A726)&gt;1,"Duplicate ID","")</f>
        <v/>
      </c>
      <c r="L726" s="4" t="str">
        <f>IF(COUNTIFS(Customers!$B$2:$B$1001,Customers!B726,Customers!$D$2:$D$1001,Customers!D726,Customers!$G$2:$G$1001,Customers!G726,Customers!$I$2:$I$1001,Customers!I726,Customers!$L$2:$L$1001,Customers!L726)&gt;1,"Duplicate record","")</f>
        <v/>
      </c>
      <c r="M726" s="4" t="str">
        <f>IF(OR(Customers!U726&lt;300,Customers!U726&gt;850),"Score out of range","")</f>
        <v/>
      </c>
      <c r="N726" s="4" t="str">
        <f>IF(AND(Customers!G726&lt;&gt;"",Customers!G726&lt;=0),"Income ≤ 0","")</f>
        <v/>
      </c>
      <c r="O726" s="4" t="str">
        <f>IF(OR(Customers!G726="",Customers!M726=""),"Missing value","")</f>
        <v/>
      </c>
      <c r="P726" s="4">
        <f t="shared" si="11"/>
        <v>0</v>
      </c>
    </row>
    <row r="727" spans="1:16" x14ac:dyDescent="0.25">
      <c r="A727" s="4" t="str">
        <f>Customers!A727</f>
        <v>CL00720</v>
      </c>
      <c r="B727" s="20">
        <f>IF(Customers!G727="","",(Customers!G727-Statistics!$C$7)/Statistics!$C$9)</f>
        <v>-3.4255056151067609E-2</v>
      </c>
      <c r="C727" s="4" t="str">
        <f>IF(Customers!G727="","",IF(OR(Customers!G727&lt;Statistics!$C$15,Customers!G727&gt;Statistics!$C$16),"Outside 1.5·IQR",""))</f>
        <v/>
      </c>
      <c r="D727" s="4" t="str">
        <f>IF(OR(Customers!B727&lt;18,Customers!B727&gt;100),"Implausible age","")</f>
        <v/>
      </c>
      <c r="E727" s="4" t="str">
        <f>IF(Customers!H727&gt;Customers!B727-18,"Tenure &gt; age-18","")</f>
        <v/>
      </c>
      <c r="F727" s="4" t="str">
        <f>IF(Customers!R727&gt;Customers!Q727,"Card spend &gt; limit","")</f>
        <v/>
      </c>
      <c r="G727" s="4" t="str">
        <f>IF(OR(AND(Customers!S727&gt;0,Customers!T727=0),AND(Customers!S727=0,Customers!T727&gt;0)),"Mortgage/payment inconsistent","")</f>
        <v/>
      </c>
      <c r="H727" s="4" t="str">
        <f>IF(AND(Customers!G727&lt;&gt;"",Customers!G727&gt;0,Customers!T727&gt;Customers!G727/12),"Payment &gt; monthly income","")</f>
        <v/>
      </c>
      <c r="I727" s="4" t="str">
        <f>IF(OR(Customers!I727&gt;DATE(2026,9,13),YEAR(Customers!I727)&lt;1980),"Implausible date","")</f>
        <v/>
      </c>
      <c r="J727" s="4" t="str">
        <f>IF(Customers!I727&gt;DATE(2026,9,13),"",IF(ABS(INT((DATE(2026,9,13)-Customers!I727)/365.25)-Customers!H727)&gt;1,"Date/tenure inconsistent",""))</f>
        <v/>
      </c>
      <c r="K727" s="4" t="str">
        <f>IF(COUNTIF(Customers!$A$2:$A$1001,Customers!A727)&gt;1,"Duplicate ID","")</f>
        <v/>
      </c>
      <c r="L727" s="4" t="str">
        <f>IF(COUNTIFS(Customers!$B$2:$B$1001,Customers!B727,Customers!$D$2:$D$1001,Customers!D727,Customers!$G$2:$G$1001,Customers!G727,Customers!$I$2:$I$1001,Customers!I727,Customers!$L$2:$L$1001,Customers!L727)&gt;1,"Duplicate record","")</f>
        <v/>
      </c>
      <c r="M727" s="4" t="str">
        <f>IF(OR(Customers!U727&lt;300,Customers!U727&gt;850),"Score out of range","")</f>
        <v/>
      </c>
      <c r="N727" s="4" t="str">
        <f>IF(AND(Customers!G727&lt;&gt;"",Customers!G727&lt;=0),"Income ≤ 0","")</f>
        <v/>
      </c>
      <c r="O727" s="4" t="str">
        <f>IF(OR(Customers!G727="",Customers!M727=""),"Missing value","")</f>
        <v/>
      </c>
      <c r="P727" s="4">
        <f t="shared" si="11"/>
        <v>0</v>
      </c>
    </row>
    <row r="728" spans="1:16" x14ac:dyDescent="0.25">
      <c r="A728" s="4" t="str">
        <f>Customers!A728</f>
        <v>CL00721</v>
      </c>
      <c r="B728" s="20">
        <f>IF(Customers!G728="","",(Customers!G728-Statistics!$C$7)/Statistics!$C$9)</f>
        <v>-4.2528412756660361E-2</v>
      </c>
      <c r="C728" s="4" t="str">
        <f>IF(Customers!G728="","",IF(OR(Customers!G728&lt;Statistics!$C$15,Customers!G728&gt;Statistics!$C$16),"Outside 1.5·IQR",""))</f>
        <v/>
      </c>
      <c r="D728" s="4" t="str">
        <f>IF(OR(Customers!B728&lt;18,Customers!B728&gt;100),"Implausible age","")</f>
        <v/>
      </c>
      <c r="E728" s="4" t="str">
        <f>IF(Customers!H728&gt;Customers!B728-18,"Tenure &gt; age-18","")</f>
        <v/>
      </c>
      <c r="F728" s="4" t="str">
        <f>IF(Customers!R728&gt;Customers!Q728,"Card spend &gt; limit","")</f>
        <v/>
      </c>
      <c r="G728" s="4" t="str">
        <f>IF(OR(AND(Customers!S728&gt;0,Customers!T728=0),AND(Customers!S728=0,Customers!T728&gt;0)),"Mortgage/payment inconsistent","")</f>
        <v/>
      </c>
      <c r="H728" s="4" t="str">
        <f>IF(AND(Customers!G728&lt;&gt;"",Customers!G728&gt;0,Customers!T728&gt;Customers!G728/12),"Payment &gt; monthly income","")</f>
        <v/>
      </c>
      <c r="I728" s="4" t="str">
        <f>IF(OR(Customers!I728&gt;DATE(2026,9,13),YEAR(Customers!I728)&lt;1980),"Implausible date","")</f>
        <v/>
      </c>
      <c r="J728" s="4" t="str">
        <f>IF(Customers!I728&gt;DATE(2026,9,13),"",IF(ABS(INT((DATE(2026,9,13)-Customers!I728)/365.25)-Customers!H728)&gt;1,"Date/tenure inconsistent",""))</f>
        <v/>
      </c>
      <c r="K728" s="4" t="str">
        <f>IF(COUNTIF(Customers!$A$2:$A$1001,Customers!A728)&gt;1,"Duplicate ID","")</f>
        <v/>
      </c>
      <c r="L728" s="4" t="str">
        <f>IF(COUNTIFS(Customers!$B$2:$B$1001,Customers!B728,Customers!$D$2:$D$1001,Customers!D728,Customers!$G$2:$G$1001,Customers!G728,Customers!$I$2:$I$1001,Customers!I728,Customers!$L$2:$L$1001,Customers!L728)&gt;1,"Duplicate record","")</f>
        <v/>
      </c>
      <c r="M728" s="4" t="str">
        <f>IF(OR(Customers!U728&lt;300,Customers!U728&gt;850),"Score out of range","")</f>
        <v/>
      </c>
      <c r="N728" s="4" t="str">
        <f>IF(AND(Customers!G728&lt;&gt;"",Customers!G728&lt;=0),"Income ≤ 0","")</f>
        <v/>
      </c>
      <c r="O728" s="4" t="str">
        <f>IF(OR(Customers!G728="",Customers!M728=""),"Missing value","")</f>
        <v/>
      </c>
      <c r="P728" s="4">
        <f t="shared" si="11"/>
        <v>0</v>
      </c>
    </row>
    <row r="729" spans="1:16" x14ac:dyDescent="0.25">
      <c r="A729" s="4" t="str">
        <f>Customers!A729</f>
        <v>CL00722</v>
      </c>
      <c r="B729" s="20">
        <f>IF(Customers!G729="","",(Customers!G729-Statistics!$C$7)/Statistics!$C$9)</f>
        <v>-2.1057082518336306E-2</v>
      </c>
      <c r="C729" s="4" t="str">
        <f>IF(Customers!G729="","",IF(OR(Customers!G729&lt;Statistics!$C$15,Customers!G729&gt;Statistics!$C$16),"Outside 1.5·IQR",""))</f>
        <v/>
      </c>
      <c r="D729" s="4" t="str">
        <f>IF(OR(Customers!B729&lt;18,Customers!B729&gt;100),"Implausible age","")</f>
        <v/>
      </c>
      <c r="E729" s="4" t="str">
        <f>IF(Customers!H729&gt;Customers!B729-18,"Tenure &gt; age-18","")</f>
        <v/>
      </c>
      <c r="F729" s="4" t="str">
        <f>IF(Customers!R729&gt;Customers!Q729,"Card spend &gt; limit","")</f>
        <v/>
      </c>
      <c r="G729" s="4" t="str">
        <f>IF(OR(AND(Customers!S729&gt;0,Customers!T729=0),AND(Customers!S729=0,Customers!T729&gt;0)),"Mortgage/payment inconsistent","")</f>
        <v/>
      </c>
      <c r="H729" s="4" t="str">
        <f>IF(AND(Customers!G729&lt;&gt;"",Customers!G729&gt;0,Customers!T729&gt;Customers!G729/12),"Payment &gt; monthly income","")</f>
        <v/>
      </c>
      <c r="I729" s="4" t="str">
        <f>IF(OR(Customers!I729&gt;DATE(2026,9,13),YEAR(Customers!I729)&lt;1980),"Implausible date","")</f>
        <v/>
      </c>
      <c r="J729" s="4" t="str">
        <f>IF(Customers!I729&gt;DATE(2026,9,13),"",IF(ABS(INT((DATE(2026,9,13)-Customers!I729)/365.25)-Customers!H729)&gt;1,"Date/tenure inconsistent",""))</f>
        <v/>
      </c>
      <c r="K729" s="4" t="str">
        <f>IF(COUNTIF(Customers!$A$2:$A$1001,Customers!A729)&gt;1,"Duplicate ID","")</f>
        <v/>
      </c>
      <c r="L729" s="4" t="str">
        <f>IF(COUNTIFS(Customers!$B$2:$B$1001,Customers!B729,Customers!$D$2:$D$1001,Customers!D729,Customers!$G$2:$G$1001,Customers!G729,Customers!$I$2:$I$1001,Customers!I729,Customers!$L$2:$L$1001,Customers!L729)&gt;1,"Duplicate record","")</f>
        <v/>
      </c>
      <c r="M729" s="4" t="str">
        <f>IF(OR(Customers!U729&lt;300,Customers!U729&gt;850),"Score out of range","")</f>
        <v/>
      </c>
      <c r="N729" s="4" t="str">
        <f>IF(AND(Customers!G729&lt;&gt;"",Customers!G729&lt;=0),"Income ≤ 0","")</f>
        <v/>
      </c>
      <c r="O729" s="4" t="str">
        <f>IF(OR(Customers!G729="",Customers!M729=""),"Missing value","")</f>
        <v>Missing value</v>
      </c>
      <c r="P729" s="4">
        <f t="shared" si="11"/>
        <v>1</v>
      </c>
    </row>
    <row r="730" spans="1:16" x14ac:dyDescent="0.25">
      <c r="A730" s="4" t="str">
        <f>Customers!A730</f>
        <v>CL00723</v>
      </c>
      <c r="B730" s="20">
        <f>IF(Customers!G730="","",(Customers!G730-Statistics!$C$7)/Statistics!$C$9)</f>
        <v>-2.1845021242678474E-2</v>
      </c>
      <c r="C730" s="4" t="str">
        <f>IF(Customers!G730="","",IF(OR(Customers!G730&lt;Statistics!$C$15,Customers!G730&gt;Statistics!$C$16),"Outside 1.5·IQR",""))</f>
        <v/>
      </c>
      <c r="D730" s="4" t="str">
        <f>IF(OR(Customers!B730&lt;18,Customers!B730&gt;100),"Implausible age","")</f>
        <v/>
      </c>
      <c r="E730" s="4" t="str">
        <f>IF(Customers!H730&gt;Customers!B730-18,"Tenure &gt; age-18","")</f>
        <v/>
      </c>
      <c r="F730" s="4" t="str">
        <f>IF(Customers!R730&gt;Customers!Q730,"Card spend &gt; limit","")</f>
        <v/>
      </c>
      <c r="G730" s="4" t="str">
        <f>IF(OR(AND(Customers!S730&gt;0,Customers!T730=0),AND(Customers!S730=0,Customers!T730&gt;0)),"Mortgage/payment inconsistent","")</f>
        <v/>
      </c>
      <c r="H730" s="4" t="str">
        <f>IF(AND(Customers!G730&lt;&gt;"",Customers!G730&gt;0,Customers!T730&gt;Customers!G730/12),"Payment &gt; monthly income","")</f>
        <v/>
      </c>
      <c r="I730" s="4" t="str">
        <f>IF(OR(Customers!I730&gt;DATE(2026,9,13),YEAR(Customers!I730)&lt;1980),"Implausible date","")</f>
        <v/>
      </c>
      <c r="J730" s="4" t="str">
        <f>IF(Customers!I730&gt;DATE(2026,9,13),"",IF(ABS(INT((DATE(2026,9,13)-Customers!I730)/365.25)-Customers!H730)&gt;1,"Date/tenure inconsistent",""))</f>
        <v/>
      </c>
      <c r="K730" s="4" t="str">
        <f>IF(COUNTIF(Customers!$A$2:$A$1001,Customers!A730)&gt;1,"Duplicate ID","")</f>
        <v/>
      </c>
      <c r="L730" s="4" t="str">
        <f>IF(COUNTIFS(Customers!$B$2:$B$1001,Customers!B730,Customers!$D$2:$D$1001,Customers!D730,Customers!$G$2:$G$1001,Customers!G730,Customers!$I$2:$I$1001,Customers!I730,Customers!$L$2:$L$1001,Customers!L730)&gt;1,"Duplicate record","")</f>
        <v/>
      </c>
      <c r="M730" s="4" t="str">
        <f>IF(OR(Customers!U730&lt;300,Customers!U730&gt;850),"Score out of range","")</f>
        <v/>
      </c>
      <c r="N730" s="4" t="str">
        <f>IF(AND(Customers!G730&lt;&gt;"",Customers!G730&lt;=0),"Income ≤ 0","")</f>
        <v/>
      </c>
      <c r="O730" s="4" t="str">
        <f>IF(OR(Customers!G730="",Customers!M730=""),"Missing value","")</f>
        <v/>
      </c>
      <c r="P730" s="4">
        <f t="shared" si="11"/>
        <v>0</v>
      </c>
    </row>
    <row r="731" spans="1:16" x14ac:dyDescent="0.25">
      <c r="A731" s="4" t="str">
        <f>Customers!A731</f>
        <v>CL00724</v>
      </c>
      <c r="B731" s="20">
        <f>IF(Customers!G731="","",(Customers!G731-Statistics!$C$7)/Statistics!$C$9)</f>
        <v>1.3415236671633506E-2</v>
      </c>
      <c r="C731" s="4" t="str">
        <f>IF(Customers!G731="","",IF(OR(Customers!G731&lt;Statistics!$C$15,Customers!G731&gt;Statistics!$C$16),"Outside 1.5·IQR",""))</f>
        <v>Outside 1.5·IQR</v>
      </c>
      <c r="D731" s="4" t="str">
        <f>IF(OR(Customers!B731&lt;18,Customers!B731&gt;100),"Implausible age","")</f>
        <v/>
      </c>
      <c r="E731" s="4" t="str">
        <f>IF(Customers!H731&gt;Customers!B731-18,"Tenure &gt; age-18","")</f>
        <v/>
      </c>
      <c r="F731" s="4" t="str">
        <f>IF(Customers!R731&gt;Customers!Q731,"Card spend &gt; limit","")</f>
        <v/>
      </c>
      <c r="G731" s="4" t="str">
        <f>IF(OR(AND(Customers!S731&gt;0,Customers!T731=0),AND(Customers!S731=0,Customers!T731&gt;0)),"Mortgage/payment inconsistent","")</f>
        <v/>
      </c>
      <c r="H731" s="4" t="str">
        <f>IF(AND(Customers!G731&lt;&gt;"",Customers!G731&gt;0,Customers!T731&gt;Customers!G731/12),"Payment &gt; monthly income","")</f>
        <v/>
      </c>
      <c r="I731" s="4" t="str">
        <f>IF(OR(Customers!I731&gt;DATE(2026,9,13),YEAR(Customers!I731)&lt;1980),"Implausible date","")</f>
        <v/>
      </c>
      <c r="J731" s="4" t="str">
        <f>IF(Customers!I731&gt;DATE(2026,9,13),"",IF(ABS(INT((DATE(2026,9,13)-Customers!I731)/365.25)-Customers!H731)&gt;1,"Date/tenure inconsistent",""))</f>
        <v/>
      </c>
      <c r="K731" s="4" t="str">
        <f>IF(COUNTIF(Customers!$A$2:$A$1001,Customers!A731)&gt;1,"Duplicate ID","")</f>
        <v/>
      </c>
      <c r="L731" s="4" t="str">
        <f>IF(COUNTIFS(Customers!$B$2:$B$1001,Customers!B731,Customers!$D$2:$D$1001,Customers!D731,Customers!$G$2:$G$1001,Customers!G731,Customers!$I$2:$I$1001,Customers!I731,Customers!$L$2:$L$1001,Customers!L731)&gt;1,"Duplicate record","")</f>
        <v/>
      </c>
      <c r="M731" s="4" t="str">
        <f>IF(OR(Customers!U731&lt;300,Customers!U731&gt;850),"Score out of range","")</f>
        <v/>
      </c>
      <c r="N731" s="4" t="str">
        <f>IF(AND(Customers!G731&lt;&gt;"",Customers!G731&lt;=0),"Income ≤ 0","")</f>
        <v/>
      </c>
      <c r="O731" s="4" t="str">
        <f>IF(OR(Customers!G731="",Customers!M731=""),"Missing value","")</f>
        <v/>
      </c>
      <c r="P731" s="4">
        <f t="shared" si="11"/>
        <v>1</v>
      </c>
    </row>
    <row r="732" spans="1:16" x14ac:dyDescent="0.25">
      <c r="A732" s="4" t="str">
        <f>Customers!A732</f>
        <v>CL00725</v>
      </c>
      <c r="B732" s="20">
        <f>IF(Customers!G732="","",(Customers!G732-Statistics!$C$7)/Statistics!$C$9)</f>
        <v>-3.780078041060736E-2</v>
      </c>
      <c r="C732" s="4" t="str">
        <f>IF(Customers!G732="","",IF(OR(Customers!G732&lt;Statistics!$C$15,Customers!G732&gt;Statistics!$C$16),"Outside 1.5·IQR",""))</f>
        <v/>
      </c>
      <c r="D732" s="4" t="str">
        <f>IF(OR(Customers!B732&lt;18,Customers!B732&gt;100),"Implausible age","")</f>
        <v/>
      </c>
      <c r="E732" s="4" t="str">
        <f>IF(Customers!H732&gt;Customers!B732-18,"Tenure &gt; age-18","")</f>
        <v/>
      </c>
      <c r="F732" s="4" t="str">
        <f>IF(Customers!R732&gt;Customers!Q732,"Card spend &gt; limit","")</f>
        <v/>
      </c>
      <c r="G732" s="4" t="str">
        <f>IF(OR(AND(Customers!S732&gt;0,Customers!T732=0),AND(Customers!S732=0,Customers!T732&gt;0)),"Mortgage/payment inconsistent","")</f>
        <v/>
      </c>
      <c r="H732" s="4" t="str">
        <f>IF(AND(Customers!G732&lt;&gt;"",Customers!G732&gt;0,Customers!T732&gt;Customers!G732/12),"Payment &gt; monthly income","")</f>
        <v/>
      </c>
      <c r="I732" s="4" t="str">
        <f>IF(OR(Customers!I732&gt;DATE(2026,9,13),YEAR(Customers!I732)&lt;1980),"Implausible date","")</f>
        <v/>
      </c>
      <c r="J732" s="4" t="str">
        <f>IF(Customers!I732&gt;DATE(2026,9,13),"",IF(ABS(INT((DATE(2026,9,13)-Customers!I732)/365.25)-Customers!H732)&gt;1,"Date/tenure inconsistent",""))</f>
        <v/>
      </c>
      <c r="K732" s="4" t="str">
        <f>IF(COUNTIF(Customers!$A$2:$A$1001,Customers!A732)&gt;1,"Duplicate ID","")</f>
        <v/>
      </c>
      <c r="L732" s="4" t="str">
        <f>IF(COUNTIFS(Customers!$B$2:$B$1001,Customers!B732,Customers!$D$2:$D$1001,Customers!D732,Customers!$G$2:$G$1001,Customers!G732,Customers!$I$2:$I$1001,Customers!I732,Customers!$L$2:$L$1001,Customers!L732)&gt;1,"Duplicate record","")</f>
        <v/>
      </c>
      <c r="M732" s="4" t="str">
        <f>IF(OR(Customers!U732&lt;300,Customers!U732&gt;850),"Score out of range","")</f>
        <v/>
      </c>
      <c r="N732" s="4" t="str">
        <f>IF(AND(Customers!G732&lt;&gt;"",Customers!G732&lt;=0),"Income ≤ 0","")</f>
        <v/>
      </c>
      <c r="O732" s="4" t="str">
        <f>IF(OR(Customers!G732="",Customers!M732=""),"Missing value","")</f>
        <v/>
      </c>
      <c r="P732" s="4">
        <f t="shared" si="11"/>
        <v>0</v>
      </c>
    </row>
    <row r="733" spans="1:16" x14ac:dyDescent="0.25">
      <c r="A733" s="4" t="str">
        <f>Customers!A733</f>
        <v>CL00726</v>
      </c>
      <c r="B733" s="20">
        <f>IF(Customers!G733="","",(Customers!G733-Statistics!$C$7)/Statistics!$C$9)</f>
        <v>-2.6966622950902561E-2</v>
      </c>
      <c r="C733" s="4" t="str">
        <f>IF(Customers!G733="","",IF(OR(Customers!G733&lt;Statistics!$C$15,Customers!G733&gt;Statistics!$C$16),"Outside 1.5·IQR",""))</f>
        <v/>
      </c>
      <c r="D733" s="4" t="str">
        <f>IF(OR(Customers!B733&lt;18,Customers!B733&gt;100),"Implausible age","")</f>
        <v/>
      </c>
      <c r="E733" s="4" t="str">
        <f>IF(Customers!H733&gt;Customers!B733-18,"Tenure &gt; age-18","")</f>
        <v/>
      </c>
      <c r="F733" s="4" t="str">
        <f>IF(Customers!R733&gt;Customers!Q733,"Card spend &gt; limit","")</f>
        <v/>
      </c>
      <c r="G733" s="4" t="str">
        <f>IF(OR(AND(Customers!S733&gt;0,Customers!T733=0),AND(Customers!S733=0,Customers!T733&gt;0)),"Mortgage/payment inconsistent","")</f>
        <v/>
      </c>
      <c r="H733" s="4" t="str">
        <f>IF(AND(Customers!G733&lt;&gt;"",Customers!G733&gt;0,Customers!T733&gt;Customers!G733/12),"Payment &gt; monthly income","")</f>
        <v/>
      </c>
      <c r="I733" s="4" t="str">
        <f>IF(OR(Customers!I733&gt;DATE(2026,9,13),YEAR(Customers!I733)&lt;1980),"Implausible date","")</f>
        <v/>
      </c>
      <c r="J733" s="4" t="str">
        <f>IF(Customers!I733&gt;DATE(2026,9,13),"",IF(ABS(INT((DATE(2026,9,13)-Customers!I733)/365.25)-Customers!H733)&gt;1,"Date/tenure inconsistent",""))</f>
        <v/>
      </c>
      <c r="K733" s="4" t="str">
        <f>IF(COUNTIF(Customers!$A$2:$A$1001,Customers!A733)&gt;1,"Duplicate ID","")</f>
        <v/>
      </c>
      <c r="L733" s="4" t="str">
        <f>IF(COUNTIFS(Customers!$B$2:$B$1001,Customers!B733,Customers!$D$2:$D$1001,Customers!D733,Customers!$G$2:$G$1001,Customers!G733,Customers!$I$2:$I$1001,Customers!I733,Customers!$L$2:$L$1001,Customers!L733)&gt;1,"Duplicate record","")</f>
        <v/>
      </c>
      <c r="M733" s="4" t="str">
        <f>IF(OR(Customers!U733&lt;300,Customers!U733&gt;850),"Score out of range","")</f>
        <v/>
      </c>
      <c r="N733" s="4" t="str">
        <f>IF(AND(Customers!G733&lt;&gt;"",Customers!G733&lt;=0),"Income ≤ 0","")</f>
        <v/>
      </c>
      <c r="O733" s="4" t="str">
        <f>IF(OR(Customers!G733="",Customers!M733=""),"Missing value","")</f>
        <v/>
      </c>
      <c r="P733" s="4">
        <f t="shared" si="11"/>
        <v>0</v>
      </c>
    </row>
    <row r="734" spans="1:16" x14ac:dyDescent="0.25">
      <c r="A734" s="4" t="str">
        <f>Customers!A734</f>
        <v>CL00727</v>
      </c>
      <c r="B734" s="20">
        <f>IF(Customers!G734="","",(Customers!G734-Statistics!$C$7)/Statistics!$C$9)</f>
        <v>-3.8490226794406758E-2</v>
      </c>
      <c r="C734" s="4" t="str">
        <f>IF(Customers!G734="","",IF(OR(Customers!G734&lt;Statistics!$C$15,Customers!G734&gt;Statistics!$C$16),"Outside 1.5·IQR",""))</f>
        <v/>
      </c>
      <c r="D734" s="4" t="str">
        <f>IF(OR(Customers!B734&lt;18,Customers!B734&gt;100),"Implausible age","")</f>
        <v/>
      </c>
      <c r="E734" s="4" t="str">
        <f>IF(Customers!H734&gt;Customers!B734-18,"Tenure &gt; age-18","")</f>
        <v/>
      </c>
      <c r="F734" s="4" t="str">
        <f>IF(Customers!R734&gt;Customers!Q734,"Card spend &gt; limit","")</f>
        <v/>
      </c>
      <c r="G734" s="4" t="str">
        <f>IF(OR(AND(Customers!S734&gt;0,Customers!T734=0),AND(Customers!S734=0,Customers!T734&gt;0)),"Mortgage/payment inconsistent","")</f>
        <v/>
      </c>
      <c r="H734" s="4" t="str">
        <f>IF(AND(Customers!G734&lt;&gt;"",Customers!G734&gt;0,Customers!T734&gt;Customers!G734/12),"Payment &gt; monthly income","")</f>
        <v/>
      </c>
      <c r="I734" s="4" t="str">
        <f>IF(OR(Customers!I734&gt;DATE(2026,9,13),YEAR(Customers!I734)&lt;1980),"Implausible date","")</f>
        <v/>
      </c>
      <c r="J734" s="4" t="str">
        <f>IF(Customers!I734&gt;DATE(2026,9,13),"",IF(ABS(INT((DATE(2026,9,13)-Customers!I734)/365.25)-Customers!H734)&gt;1,"Date/tenure inconsistent",""))</f>
        <v/>
      </c>
      <c r="K734" s="4" t="str">
        <f>IF(COUNTIF(Customers!$A$2:$A$1001,Customers!A734)&gt;1,"Duplicate ID","")</f>
        <v/>
      </c>
      <c r="L734" s="4" t="str">
        <f>IF(COUNTIFS(Customers!$B$2:$B$1001,Customers!B734,Customers!$D$2:$D$1001,Customers!D734,Customers!$G$2:$G$1001,Customers!G734,Customers!$I$2:$I$1001,Customers!I734,Customers!$L$2:$L$1001,Customers!L734)&gt;1,"Duplicate record","")</f>
        <v/>
      </c>
      <c r="M734" s="4" t="str">
        <f>IF(OR(Customers!U734&lt;300,Customers!U734&gt;850),"Score out of range","")</f>
        <v/>
      </c>
      <c r="N734" s="4" t="str">
        <f>IF(AND(Customers!G734&lt;&gt;"",Customers!G734&lt;=0),"Income ≤ 0","")</f>
        <v/>
      </c>
      <c r="O734" s="4" t="str">
        <f>IF(OR(Customers!G734="",Customers!M734=""),"Missing value","")</f>
        <v/>
      </c>
      <c r="P734" s="4">
        <f t="shared" si="11"/>
        <v>0</v>
      </c>
    </row>
    <row r="735" spans="1:16" x14ac:dyDescent="0.25">
      <c r="A735" s="4" t="str">
        <f>Customers!A735</f>
        <v>CL00728</v>
      </c>
      <c r="B735" s="20">
        <f>IF(Customers!G735="","",(Customers!G735-Statistics!$C$7)/Statistics!$C$9)</f>
        <v>-1.6132465491197762E-2</v>
      </c>
      <c r="C735" s="4" t="str">
        <f>IF(Customers!G735="","",IF(OR(Customers!G735&lt;Statistics!$C$15,Customers!G735&gt;Statistics!$C$16),"Outside 1.5·IQR",""))</f>
        <v/>
      </c>
      <c r="D735" s="4" t="str">
        <f>IF(OR(Customers!B735&lt;18,Customers!B735&gt;100),"Implausible age","")</f>
        <v/>
      </c>
      <c r="E735" s="4" t="str">
        <f>IF(Customers!H735&gt;Customers!B735-18,"Tenure &gt; age-18","")</f>
        <v/>
      </c>
      <c r="F735" s="4" t="str">
        <f>IF(Customers!R735&gt;Customers!Q735,"Card spend &gt; limit","")</f>
        <v/>
      </c>
      <c r="G735" s="4" t="str">
        <f>IF(OR(AND(Customers!S735&gt;0,Customers!T735=0),AND(Customers!S735=0,Customers!T735&gt;0)),"Mortgage/payment inconsistent","")</f>
        <v/>
      </c>
      <c r="H735" s="4" t="str">
        <f>IF(AND(Customers!G735&lt;&gt;"",Customers!G735&gt;0,Customers!T735&gt;Customers!G735/12),"Payment &gt; monthly income","")</f>
        <v/>
      </c>
      <c r="I735" s="4" t="str">
        <f>IF(OR(Customers!I735&gt;DATE(2026,9,13),YEAR(Customers!I735)&lt;1980),"Implausible date","")</f>
        <v/>
      </c>
      <c r="J735" s="4" t="str">
        <f>IF(Customers!I735&gt;DATE(2026,9,13),"",IF(ABS(INT((DATE(2026,9,13)-Customers!I735)/365.25)-Customers!H735)&gt;1,"Date/tenure inconsistent",""))</f>
        <v/>
      </c>
      <c r="K735" s="4" t="str">
        <f>IF(COUNTIF(Customers!$A$2:$A$1001,Customers!A735)&gt;1,"Duplicate ID","")</f>
        <v/>
      </c>
      <c r="L735" s="4" t="str">
        <f>IF(COUNTIFS(Customers!$B$2:$B$1001,Customers!B735,Customers!$D$2:$D$1001,Customers!D735,Customers!$G$2:$G$1001,Customers!G735,Customers!$I$2:$I$1001,Customers!I735,Customers!$L$2:$L$1001,Customers!L735)&gt;1,"Duplicate record","")</f>
        <v/>
      </c>
      <c r="M735" s="4" t="str">
        <f>IF(OR(Customers!U735&lt;300,Customers!U735&gt;850),"Score out of range","")</f>
        <v/>
      </c>
      <c r="N735" s="4" t="str">
        <f>IF(AND(Customers!G735&lt;&gt;"",Customers!G735&lt;=0),"Income ≤ 0","")</f>
        <v/>
      </c>
      <c r="O735" s="4" t="str">
        <f>IF(OR(Customers!G735="",Customers!M735=""),"Missing value","")</f>
        <v/>
      </c>
      <c r="P735" s="4">
        <f t="shared" si="11"/>
        <v>0</v>
      </c>
    </row>
    <row r="736" spans="1:16" x14ac:dyDescent="0.25">
      <c r="A736" s="4" t="str">
        <f>Customers!A736</f>
        <v>CL00729</v>
      </c>
      <c r="B736" s="20">
        <f>IF(Customers!G736="","",(Customers!G736-Statistics!$C$7)/Statistics!$C$9)</f>
        <v>-4.5089213610772408E-2</v>
      </c>
      <c r="C736" s="4" t="str">
        <f>IF(Customers!G736="","",IF(OR(Customers!G736&lt;Statistics!$C$15,Customers!G736&gt;Statistics!$C$16),"Outside 1.5·IQR",""))</f>
        <v/>
      </c>
      <c r="D736" s="4" t="str">
        <f>IF(OR(Customers!B736&lt;18,Customers!B736&gt;100),"Implausible age","")</f>
        <v/>
      </c>
      <c r="E736" s="4" t="str">
        <f>IF(Customers!H736&gt;Customers!B736-18,"Tenure &gt; age-18","")</f>
        <v/>
      </c>
      <c r="F736" s="4" t="str">
        <f>IF(Customers!R736&gt;Customers!Q736,"Card spend &gt; limit","")</f>
        <v/>
      </c>
      <c r="G736" s="4" t="str">
        <f>IF(OR(AND(Customers!S736&gt;0,Customers!T736=0),AND(Customers!S736=0,Customers!T736&gt;0)),"Mortgage/payment inconsistent","")</f>
        <v/>
      </c>
      <c r="H736" s="4" t="str">
        <f>IF(AND(Customers!G736&lt;&gt;"",Customers!G736&gt;0,Customers!T736&gt;Customers!G736/12),"Payment &gt; monthly income","")</f>
        <v/>
      </c>
      <c r="I736" s="4" t="str">
        <f>IF(OR(Customers!I736&gt;DATE(2026,9,13),YEAR(Customers!I736)&lt;1980),"Implausible date","")</f>
        <v/>
      </c>
      <c r="J736" s="4" t="str">
        <f>IF(Customers!I736&gt;DATE(2026,9,13),"",IF(ABS(INT((DATE(2026,9,13)-Customers!I736)/365.25)-Customers!H736)&gt;1,"Date/tenure inconsistent",""))</f>
        <v/>
      </c>
      <c r="K736" s="4" t="str">
        <f>IF(COUNTIF(Customers!$A$2:$A$1001,Customers!A736)&gt;1,"Duplicate ID","")</f>
        <v/>
      </c>
      <c r="L736" s="4" t="str">
        <f>IF(COUNTIFS(Customers!$B$2:$B$1001,Customers!B736,Customers!$D$2:$D$1001,Customers!D736,Customers!$G$2:$G$1001,Customers!G736,Customers!$I$2:$I$1001,Customers!I736,Customers!$L$2:$L$1001,Customers!L736)&gt;1,"Duplicate record","")</f>
        <v/>
      </c>
      <c r="M736" s="4" t="str">
        <f>IF(OR(Customers!U736&lt;300,Customers!U736&gt;850),"Score out of range","")</f>
        <v/>
      </c>
      <c r="N736" s="4" t="str">
        <f>IF(AND(Customers!G736&lt;&gt;"",Customers!G736&lt;=0),"Income ≤ 0","")</f>
        <v/>
      </c>
      <c r="O736" s="4" t="str">
        <f>IF(OR(Customers!G736="",Customers!M736=""),"Missing value","")</f>
        <v/>
      </c>
      <c r="P736" s="4">
        <f t="shared" si="11"/>
        <v>0</v>
      </c>
    </row>
    <row r="737" spans="1:16" x14ac:dyDescent="0.25">
      <c r="A737" s="4" t="str">
        <f>Customers!A737</f>
        <v>CL00730</v>
      </c>
      <c r="B737" s="20">
        <f>IF(Customers!G737="","",(Customers!G737-Statistics!$C$7)/Statistics!$C$9)</f>
        <v>-4.8831922551397698E-2</v>
      </c>
      <c r="C737" s="4" t="str">
        <f>IF(Customers!G737="","",IF(OR(Customers!G737&lt;Statistics!$C$15,Customers!G737&gt;Statistics!$C$16),"Outside 1.5·IQR",""))</f>
        <v/>
      </c>
      <c r="D737" s="4" t="str">
        <f>IF(OR(Customers!B737&lt;18,Customers!B737&gt;100),"Implausible age","")</f>
        <v/>
      </c>
      <c r="E737" s="4" t="str">
        <f>IF(Customers!H737&gt;Customers!B737-18,"Tenure &gt; age-18","")</f>
        <v/>
      </c>
      <c r="F737" s="4" t="str">
        <f>IF(Customers!R737&gt;Customers!Q737,"Card spend &gt; limit","")</f>
        <v/>
      </c>
      <c r="G737" s="4" t="str">
        <f>IF(OR(AND(Customers!S737&gt;0,Customers!T737=0),AND(Customers!S737=0,Customers!T737&gt;0)),"Mortgage/payment inconsistent","")</f>
        <v/>
      </c>
      <c r="H737" s="4" t="str">
        <f>IF(AND(Customers!G737&lt;&gt;"",Customers!G737&gt;0,Customers!T737&gt;Customers!G737/12),"Payment &gt; monthly income","")</f>
        <v/>
      </c>
      <c r="I737" s="4" t="str">
        <f>IF(OR(Customers!I737&gt;DATE(2026,9,13),YEAR(Customers!I737)&lt;1980),"Implausible date","")</f>
        <v/>
      </c>
      <c r="J737" s="4" t="str">
        <f>IF(Customers!I737&gt;DATE(2026,9,13),"",IF(ABS(INT((DATE(2026,9,13)-Customers!I737)/365.25)-Customers!H737)&gt;1,"Date/tenure inconsistent",""))</f>
        <v/>
      </c>
      <c r="K737" s="4" t="str">
        <f>IF(COUNTIF(Customers!$A$2:$A$1001,Customers!A737)&gt;1,"Duplicate ID","")</f>
        <v/>
      </c>
      <c r="L737" s="4" t="str">
        <f>IF(COUNTIFS(Customers!$B$2:$B$1001,Customers!B737,Customers!$D$2:$D$1001,Customers!D737,Customers!$G$2:$G$1001,Customers!G737,Customers!$I$2:$I$1001,Customers!I737,Customers!$L$2:$L$1001,Customers!L737)&gt;1,"Duplicate record","")</f>
        <v/>
      </c>
      <c r="M737" s="4" t="str">
        <f>IF(OR(Customers!U737&lt;300,Customers!U737&gt;850),"Score out of range","")</f>
        <v/>
      </c>
      <c r="N737" s="4" t="str">
        <f>IF(AND(Customers!G737&lt;&gt;"",Customers!G737&lt;=0),"Income ≤ 0","")</f>
        <v/>
      </c>
      <c r="O737" s="4" t="str">
        <f>IF(OR(Customers!G737="",Customers!M737=""),"Missing value","")</f>
        <v/>
      </c>
      <c r="P737" s="4">
        <f t="shared" si="11"/>
        <v>0</v>
      </c>
    </row>
    <row r="738" spans="1:16" x14ac:dyDescent="0.25">
      <c r="A738" s="4" t="str">
        <f>Customers!A738</f>
        <v>CL00731</v>
      </c>
      <c r="B738" s="20">
        <f>IF(Customers!G738="","",(Customers!G738-Statistics!$C$7)/Statistics!$C$9)</f>
        <v>-5.2870108513651308E-2</v>
      </c>
      <c r="C738" s="4" t="str">
        <f>IF(Customers!G738="","",IF(OR(Customers!G738&lt;Statistics!$C$15,Customers!G738&gt;Statistics!$C$16),"Outside 1.5·IQR",""))</f>
        <v/>
      </c>
      <c r="D738" s="4" t="str">
        <f>IF(OR(Customers!B738&lt;18,Customers!B738&gt;100),"Implausible age","")</f>
        <v/>
      </c>
      <c r="E738" s="4" t="str">
        <f>IF(Customers!H738&gt;Customers!B738-18,"Tenure &gt; age-18","")</f>
        <v/>
      </c>
      <c r="F738" s="4" t="str">
        <f>IF(Customers!R738&gt;Customers!Q738,"Card spend &gt; limit","")</f>
        <v/>
      </c>
      <c r="G738" s="4" t="str">
        <f>IF(OR(AND(Customers!S738&gt;0,Customers!T738=0),AND(Customers!S738=0,Customers!T738&gt;0)),"Mortgage/payment inconsistent","")</f>
        <v/>
      </c>
      <c r="H738" s="4" t="str">
        <f>IF(AND(Customers!G738&lt;&gt;"",Customers!G738&gt;0,Customers!T738&gt;Customers!G738/12),"Payment &gt; monthly income","")</f>
        <v/>
      </c>
      <c r="I738" s="4" t="str">
        <f>IF(OR(Customers!I738&gt;DATE(2026,9,13),YEAR(Customers!I738)&lt;1980),"Implausible date","")</f>
        <v/>
      </c>
      <c r="J738" s="4" t="str">
        <f>IF(Customers!I738&gt;DATE(2026,9,13),"",IF(ABS(INT((DATE(2026,9,13)-Customers!I738)/365.25)-Customers!H738)&gt;1,"Date/tenure inconsistent",""))</f>
        <v/>
      </c>
      <c r="K738" s="4" t="str">
        <f>IF(COUNTIF(Customers!$A$2:$A$1001,Customers!A738)&gt;1,"Duplicate ID","")</f>
        <v/>
      </c>
      <c r="L738" s="4" t="str">
        <f>IF(COUNTIFS(Customers!$B$2:$B$1001,Customers!B738,Customers!$D$2:$D$1001,Customers!D738,Customers!$G$2:$G$1001,Customers!G738,Customers!$I$2:$I$1001,Customers!I738,Customers!$L$2:$L$1001,Customers!L738)&gt;1,"Duplicate record","")</f>
        <v/>
      </c>
      <c r="M738" s="4" t="str">
        <f>IF(OR(Customers!U738&lt;300,Customers!U738&gt;850),"Score out of range","")</f>
        <v/>
      </c>
      <c r="N738" s="4" t="str">
        <f>IF(AND(Customers!G738&lt;&gt;"",Customers!G738&lt;=0),"Income ≤ 0","")</f>
        <v/>
      </c>
      <c r="O738" s="4" t="str">
        <f>IF(OR(Customers!G738="",Customers!M738=""),"Missing value","")</f>
        <v/>
      </c>
      <c r="P738" s="4">
        <f t="shared" si="11"/>
        <v>0</v>
      </c>
    </row>
    <row r="739" spans="1:16" x14ac:dyDescent="0.25">
      <c r="A739" s="4" t="str">
        <f>Customers!A739</f>
        <v>CL00732</v>
      </c>
      <c r="B739" s="20">
        <f>IF(Customers!G739="","",(Customers!G739-Statistics!$C$7)/Statistics!$C$9)</f>
        <v>-8.9425246315754867E-3</v>
      </c>
      <c r="C739" s="4" t="str">
        <f>IF(Customers!G739="","",IF(OR(Customers!G739&lt;Statistics!$C$15,Customers!G739&gt;Statistics!$C$16),"Outside 1.5·IQR",""))</f>
        <v/>
      </c>
      <c r="D739" s="4" t="str">
        <f>IF(OR(Customers!B739&lt;18,Customers!B739&gt;100),"Implausible age","")</f>
        <v/>
      </c>
      <c r="E739" s="4" t="str">
        <f>IF(Customers!H739&gt;Customers!B739-18,"Tenure &gt; age-18","")</f>
        <v/>
      </c>
      <c r="F739" s="4" t="str">
        <f>IF(Customers!R739&gt;Customers!Q739,"Card spend &gt; limit","")</f>
        <v/>
      </c>
      <c r="G739" s="4" t="str">
        <f>IF(OR(AND(Customers!S739&gt;0,Customers!T739=0),AND(Customers!S739=0,Customers!T739&gt;0)),"Mortgage/payment inconsistent","")</f>
        <v/>
      </c>
      <c r="H739" s="4" t="str">
        <f>IF(AND(Customers!G739&lt;&gt;"",Customers!G739&gt;0,Customers!T739&gt;Customers!G739/12),"Payment &gt; monthly income","")</f>
        <v/>
      </c>
      <c r="I739" s="4" t="str">
        <f>IF(OR(Customers!I739&gt;DATE(2026,9,13),YEAR(Customers!I739)&lt;1980),"Implausible date","")</f>
        <v/>
      </c>
      <c r="J739" s="4" t="str">
        <f>IF(Customers!I739&gt;DATE(2026,9,13),"",IF(ABS(INT((DATE(2026,9,13)-Customers!I739)/365.25)-Customers!H739)&gt;1,"Date/tenure inconsistent",""))</f>
        <v/>
      </c>
      <c r="K739" s="4" t="str">
        <f>IF(COUNTIF(Customers!$A$2:$A$1001,Customers!A739)&gt;1,"Duplicate ID","")</f>
        <v/>
      </c>
      <c r="L739" s="4" t="str">
        <f>IF(COUNTIFS(Customers!$B$2:$B$1001,Customers!B739,Customers!$D$2:$D$1001,Customers!D739,Customers!$G$2:$G$1001,Customers!G739,Customers!$I$2:$I$1001,Customers!I739,Customers!$L$2:$L$1001,Customers!L739)&gt;1,"Duplicate record","")</f>
        <v/>
      </c>
      <c r="M739" s="4" t="str">
        <f>IF(OR(Customers!U739&lt;300,Customers!U739&gt;850),"Score out of range","")</f>
        <v/>
      </c>
      <c r="N739" s="4" t="str">
        <f>IF(AND(Customers!G739&lt;&gt;"",Customers!G739&lt;=0),"Income ≤ 0","")</f>
        <v/>
      </c>
      <c r="O739" s="4" t="str">
        <f>IF(OR(Customers!G739="",Customers!M739=""),"Missing value","")</f>
        <v/>
      </c>
      <c r="P739" s="4">
        <f t="shared" si="11"/>
        <v>0</v>
      </c>
    </row>
    <row r="740" spans="1:16" x14ac:dyDescent="0.25">
      <c r="A740" s="4" t="str">
        <f>Customers!A740</f>
        <v>CL00733</v>
      </c>
      <c r="B740" s="20">
        <f>IF(Customers!G740="","",(Customers!G740-Statistics!$C$7)/Statistics!$C$9)</f>
        <v>3.2325766055845521E-2</v>
      </c>
      <c r="C740" s="4" t="str">
        <f>IF(Customers!G740="","",IF(OR(Customers!G740&lt;Statistics!$C$15,Customers!G740&gt;Statistics!$C$16),"Outside 1.5·IQR",""))</f>
        <v>Outside 1.5·IQR</v>
      </c>
      <c r="D740" s="4" t="str">
        <f>IF(OR(Customers!B740&lt;18,Customers!B740&gt;100),"Implausible age","")</f>
        <v/>
      </c>
      <c r="E740" s="4" t="str">
        <f>IF(Customers!H740&gt;Customers!B740-18,"Tenure &gt; age-18","")</f>
        <v/>
      </c>
      <c r="F740" s="4" t="str">
        <f>IF(Customers!R740&gt;Customers!Q740,"Card spend &gt; limit","")</f>
        <v/>
      </c>
      <c r="G740" s="4" t="str">
        <f>IF(OR(AND(Customers!S740&gt;0,Customers!T740=0),AND(Customers!S740=0,Customers!T740&gt;0)),"Mortgage/payment inconsistent","")</f>
        <v/>
      </c>
      <c r="H740" s="4" t="str">
        <f>IF(AND(Customers!G740&lt;&gt;"",Customers!G740&gt;0,Customers!T740&gt;Customers!G740/12),"Payment &gt; monthly income","")</f>
        <v/>
      </c>
      <c r="I740" s="4" t="str">
        <f>IF(OR(Customers!I740&gt;DATE(2026,9,13),YEAR(Customers!I740)&lt;1980),"Implausible date","")</f>
        <v/>
      </c>
      <c r="J740" s="4" t="str">
        <f>IF(Customers!I740&gt;DATE(2026,9,13),"",IF(ABS(INT((DATE(2026,9,13)-Customers!I740)/365.25)-Customers!H740)&gt;1,"Date/tenure inconsistent",""))</f>
        <v/>
      </c>
      <c r="K740" s="4" t="str">
        <f>IF(COUNTIF(Customers!$A$2:$A$1001,Customers!A740)&gt;1,"Duplicate ID","")</f>
        <v/>
      </c>
      <c r="L740" s="4" t="str">
        <f>IF(COUNTIFS(Customers!$B$2:$B$1001,Customers!B740,Customers!$D$2:$D$1001,Customers!D740,Customers!$G$2:$G$1001,Customers!G740,Customers!$I$2:$I$1001,Customers!I740,Customers!$L$2:$L$1001,Customers!L740)&gt;1,"Duplicate record","")</f>
        <v/>
      </c>
      <c r="M740" s="4" t="str">
        <f>IF(OR(Customers!U740&lt;300,Customers!U740&gt;850),"Score out of range","")</f>
        <v/>
      </c>
      <c r="N740" s="4" t="str">
        <f>IF(AND(Customers!G740&lt;&gt;"",Customers!G740&lt;=0),"Income ≤ 0","")</f>
        <v/>
      </c>
      <c r="O740" s="4" t="str">
        <f>IF(OR(Customers!G740="",Customers!M740=""),"Missing value","")</f>
        <v/>
      </c>
      <c r="P740" s="4">
        <f t="shared" si="11"/>
        <v>1</v>
      </c>
    </row>
    <row r="741" spans="1:16" x14ac:dyDescent="0.25">
      <c r="A741" s="4" t="str">
        <f>Customers!A741</f>
        <v>CL00734</v>
      </c>
      <c r="B741" s="20">
        <f>IF(Customers!G741="","",(Customers!G741-Statistics!$C$7)/Statistics!$C$9)</f>
        <v>-3.376259444835375E-2</v>
      </c>
      <c r="C741" s="4" t="str">
        <f>IF(Customers!G741="","",IF(OR(Customers!G741&lt;Statistics!$C$15,Customers!G741&gt;Statistics!$C$16),"Outside 1.5·IQR",""))</f>
        <v/>
      </c>
      <c r="D741" s="4" t="str">
        <f>IF(OR(Customers!B741&lt;18,Customers!B741&gt;100),"Implausible age","")</f>
        <v/>
      </c>
      <c r="E741" s="4" t="str">
        <f>IF(Customers!H741&gt;Customers!B741-18,"Tenure &gt; age-18","")</f>
        <v/>
      </c>
      <c r="F741" s="4" t="str">
        <f>IF(Customers!R741&gt;Customers!Q741,"Card spend &gt; limit","")</f>
        <v/>
      </c>
      <c r="G741" s="4" t="str">
        <f>IF(OR(AND(Customers!S741&gt;0,Customers!T741=0),AND(Customers!S741=0,Customers!T741&gt;0)),"Mortgage/payment inconsistent","")</f>
        <v/>
      </c>
      <c r="H741" s="4" t="str">
        <f>IF(AND(Customers!G741&lt;&gt;"",Customers!G741&gt;0,Customers!T741&gt;Customers!G741/12),"Payment &gt; monthly income","")</f>
        <v/>
      </c>
      <c r="I741" s="4" t="str">
        <f>IF(OR(Customers!I741&gt;DATE(2026,9,13),YEAR(Customers!I741)&lt;1980),"Implausible date","")</f>
        <v/>
      </c>
      <c r="J741" s="4" t="str">
        <f>IF(Customers!I741&gt;DATE(2026,9,13),"",IF(ABS(INT((DATE(2026,9,13)-Customers!I741)/365.25)-Customers!H741)&gt;1,"Date/tenure inconsistent",""))</f>
        <v/>
      </c>
      <c r="K741" s="4" t="str">
        <f>IF(COUNTIF(Customers!$A$2:$A$1001,Customers!A741)&gt;1,"Duplicate ID","")</f>
        <v/>
      </c>
      <c r="L741" s="4" t="str">
        <f>IF(COUNTIFS(Customers!$B$2:$B$1001,Customers!B741,Customers!$D$2:$D$1001,Customers!D741,Customers!$G$2:$G$1001,Customers!G741,Customers!$I$2:$I$1001,Customers!I741,Customers!$L$2:$L$1001,Customers!L741)&gt;1,"Duplicate record","")</f>
        <v/>
      </c>
      <c r="M741" s="4" t="str">
        <f>IF(OR(Customers!U741&lt;300,Customers!U741&gt;850),"Score out of range","")</f>
        <v/>
      </c>
      <c r="N741" s="4" t="str">
        <f>IF(AND(Customers!G741&lt;&gt;"",Customers!G741&lt;=0),"Income ≤ 0","")</f>
        <v/>
      </c>
      <c r="O741" s="4" t="str">
        <f>IF(OR(Customers!G741="",Customers!M741=""),"Missing value","")</f>
        <v/>
      </c>
      <c r="P741" s="4">
        <f t="shared" si="11"/>
        <v>0</v>
      </c>
    </row>
    <row r="742" spans="1:16" x14ac:dyDescent="0.25">
      <c r="A742" s="4" t="str">
        <f>Customers!A742</f>
        <v>CL00735</v>
      </c>
      <c r="B742" s="20">
        <f>IF(Customers!G742="","",(Customers!G742-Statistics!$C$7)/Statistics!$C$9)</f>
        <v>-3.5633948918666399E-2</v>
      </c>
      <c r="C742" s="4" t="str">
        <f>IF(Customers!G742="","",IF(OR(Customers!G742&lt;Statistics!$C$15,Customers!G742&gt;Statistics!$C$16),"Outside 1.5·IQR",""))</f>
        <v/>
      </c>
      <c r="D742" s="4" t="str">
        <f>IF(OR(Customers!B742&lt;18,Customers!B742&gt;100),"Implausible age","")</f>
        <v/>
      </c>
      <c r="E742" s="4" t="str">
        <f>IF(Customers!H742&gt;Customers!B742-18,"Tenure &gt; age-18","")</f>
        <v/>
      </c>
      <c r="F742" s="4" t="str">
        <f>IF(Customers!R742&gt;Customers!Q742,"Card spend &gt; limit","")</f>
        <v/>
      </c>
      <c r="G742" s="4" t="str">
        <f>IF(OR(AND(Customers!S742&gt;0,Customers!T742=0),AND(Customers!S742=0,Customers!T742&gt;0)),"Mortgage/payment inconsistent","")</f>
        <v/>
      </c>
      <c r="H742" s="4" t="str">
        <f>IF(AND(Customers!G742&lt;&gt;"",Customers!G742&gt;0,Customers!T742&gt;Customers!G742/12),"Payment &gt; monthly income","")</f>
        <v/>
      </c>
      <c r="I742" s="4" t="str">
        <f>IF(OR(Customers!I742&gt;DATE(2026,9,13),YEAR(Customers!I742)&lt;1980),"Implausible date","")</f>
        <v/>
      </c>
      <c r="J742" s="4" t="str">
        <f>IF(Customers!I742&gt;DATE(2026,9,13),"",IF(ABS(INT((DATE(2026,9,13)-Customers!I742)/365.25)-Customers!H742)&gt;1,"Date/tenure inconsistent",""))</f>
        <v/>
      </c>
      <c r="K742" s="4" t="str">
        <f>IF(COUNTIF(Customers!$A$2:$A$1001,Customers!A742)&gt;1,"Duplicate ID","")</f>
        <v/>
      </c>
      <c r="L742" s="4" t="str">
        <f>IF(COUNTIFS(Customers!$B$2:$B$1001,Customers!B742,Customers!$D$2:$D$1001,Customers!D742,Customers!$G$2:$G$1001,Customers!G742,Customers!$I$2:$I$1001,Customers!I742,Customers!$L$2:$L$1001,Customers!L742)&gt;1,"Duplicate record","")</f>
        <v/>
      </c>
      <c r="M742" s="4" t="str">
        <f>IF(OR(Customers!U742&lt;300,Customers!U742&gt;850),"Score out of range","")</f>
        <v/>
      </c>
      <c r="N742" s="4" t="str">
        <f>IF(AND(Customers!G742&lt;&gt;"",Customers!G742&lt;=0),"Income ≤ 0","")</f>
        <v/>
      </c>
      <c r="O742" s="4" t="str">
        <f>IF(OR(Customers!G742="",Customers!M742=""),"Missing value","")</f>
        <v/>
      </c>
      <c r="P742" s="4">
        <f t="shared" si="11"/>
        <v>0</v>
      </c>
    </row>
    <row r="743" spans="1:16" x14ac:dyDescent="0.25">
      <c r="A743" s="4" t="str">
        <f>Customers!A743</f>
        <v>CL00736</v>
      </c>
      <c r="B743" s="20">
        <f>IF(Customers!G743="","",(Customers!G743-Statistics!$C$7)/Statistics!$C$9)</f>
        <v>-6.498466640041213E-2</v>
      </c>
      <c r="C743" s="4" t="str">
        <f>IF(Customers!G743="","",IF(OR(Customers!G743&lt;Statistics!$C$15,Customers!G743&gt;Statistics!$C$16),"Outside 1.5·IQR",""))</f>
        <v/>
      </c>
      <c r="D743" s="4" t="str">
        <f>IF(OR(Customers!B743&lt;18,Customers!B743&gt;100),"Implausible age","")</f>
        <v/>
      </c>
      <c r="E743" s="4" t="str">
        <f>IF(Customers!H743&gt;Customers!B743-18,"Tenure &gt; age-18","")</f>
        <v/>
      </c>
      <c r="F743" s="4" t="str">
        <f>IF(Customers!R743&gt;Customers!Q743,"Card spend &gt; limit","")</f>
        <v/>
      </c>
      <c r="G743" s="4" t="str">
        <f>IF(OR(AND(Customers!S743&gt;0,Customers!T743=0),AND(Customers!S743=0,Customers!T743&gt;0)),"Mortgage/payment inconsistent","")</f>
        <v/>
      </c>
      <c r="H743" s="4" t="str">
        <f>IF(AND(Customers!G743&lt;&gt;"",Customers!G743&gt;0,Customers!T743&gt;Customers!G743/12),"Payment &gt; monthly income","")</f>
        <v/>
      </c>
      <c r="I743" s="4" t="str">
        <f>IF(OR(Customers!I743&gt;DATE(2026,9,13),YEAR(Customers!I743)&lt;1980),"Implausible date","")</f>
        <v/>
      </c>
      <c r="J743" s="4" t="str">
        <f>IF(Customers!I743&gt;DATE(2026,9,13),"",IF(ABS(INT((DATE(2026,9,13)-Customers!I743)/365.25)-Customers!H743)&gt;1,"Date/tenure inconsistent",""))</f>
        <v/>
      </c>
      <c r="K743" s="4" t="str">
        <f>IF(COUNTIF(Customers!$A$2:$A$1001,Customers!A743)&gt;1,"Duplicate ID","")</f>
        <v/>
      </c>
      <c r="L743" s="4" t="str">
        <f>IF(COUNTIFS(Customers!$B$2:$B$1001,Customers!B743,Customers!$D$2:$D$1001,Customers!D743,Customers!$G$2:$G$1001,Customers!G743,Customers!$I$2:$I$1001,Customers!I743,Customers!$L$2:$L$1001,Customers!L743)&gt;1,"Duplicate record","")</f>
        <v/>
      </c>
      <c r="M743" s="4" t="str">
        <f>IF(OR(Customers!U743&lt;300,Customers!U743&gt;850),"Score out of range","")</f>
        <v/>
      </c>
      <c r="N743" s="4" t="str">
        <f>IF(AND(Customers!G743&lt;&gt;"",Customers!G743&lt;=0),"Income ≤ 0","")</f>
        <v/>
      </c>
      <c r="O743" s="4" t="str">
        <f>IF(OR(Customers!G743="",Customers!M743=""),"Missing value","")</f>
        <v/>
      </c>
      <c r="P743" s="4">
        <f t="shared" si="11"/>
        <v>0</v>
      </c>
    </row>
    <row r="744" spans="1:16" x14ac:dyDescent="0.25">
      <c r="A744" s="4" t="str">
        <f>Customers!A744</f>
        <v>CL00737</v>
      </c>
      <c r="B744" s="20">
        <f>IF(Customers!G744="","",(Customers!G744-Statistics!$C$7)/Statistics!$C$9)</f>
        <v>-3.3861086788896523E-2</v>
      </c>
      <c r="C744" s="4" t="str">
        <f>IF(Customers!G744="","",IF(OR(Customers!G744&lt;Statistics!$C$15,Customers!G744&gt;Statistics!$C$16),"Outside 1.5·IQR",""))</f>
        <v/>
      </c>
      <c r="D744" s="4" t="str">
        <f>IF(OR(Customers!B744&lt;18,Customers!B744&gt;100),"Implausible age","")</f>
        <v/>
      </c>
      <c r="E744" s="4" t="str">
        <f>IF(Customers!H744&gt;Customers!B744-18,"Tenure &gt; age-18","")</f>
        <v/>
      </c>
      <c r="F744" s="4" t="str">
        <f>IF(Customers!R744&gt;Customers!Q744,"Card spend &gt; limit","")</f>
        <v/>
      </c>
      <c r="G744" s="4" t="str">
        <f>IF(OR(AND(Customers!S744&gt;0,Customers!T744=0),AND(Customers!S744=0,Customers!T744&gt;0)),"Mortgage/payment inconsistent","")</f>
        <v/>
      </c>
      <c r="H744" s="4" t="str">
        <f>IF(AND(Customers!G744&lt;&gt;"",Customers!G744&gt;0,Customers!T744&gt;Customers!G744/12),"Payment &gt; monthly income","")</f>
        <v/>
      </c>
      <c r="I744" s="4" t="str">
        <f>IF(OR(Customers!I744&gt;DATE(2026,9,13),YEAR(Customers!I744)&lt;1980),"Implausible date","")</f>
        <v/>
      </c>
      <c r="J744" s="4" t="str">
        <f>IF(Customers!I744&gt;DATE(2026,9,13),"",IF(ABS(INT((DATE(2026,9,13)-Customers!I744)/365.25)-Customers!H744)&gt;1,"Date/tenure inconsistent",""))</f>
        <v/>
      </c>
      <c r="K744" s="4" t="str">
        <f>IF(COUNTIF(Customers!$A$2:$A$1001,Customers!A744)&gt;1,"Duplicate ID","")</f>
        <v/>
      </c>
      <c r="L744" s="4" t="str">
        <f>IF(COUNTIFS(Customers!$B$2:$B$1001,Customers!B744,Customers!$D$2:$D$1001,Customers!D744,Customers!$G$2:$G$1001,Customers!G744,Customers!$I$2:$I$1001,Customers!I744,Customers!$L$2:$L$1001,Customers!L744)&gt;1,"Duplicate record","")</f>
        <v/>
      </c>
      <c r="M744" s="4" t="str">
        <f>IF(OR(Customers!U744&lt;300,Customers!U744&gt;850),"Score out of range","")</f>
        <v/>
      </c>
      <c r="N744" s="4" t="str">
        <f>IF(AND(Customers!G744&lt;&gt;"",Customers!G744&lt;=0),"Income ≤ 0","")</f>
        <v/>
      </c>
      <c r="O744" s="4" t="str">
        <f>IF(OR(Customers!G744="",Customers!M744=""),"Missing value","")</f>
        <v/>
      </c>
      <c r="P744" s="4">
        <f t="shared" si="11"/>
        <v>0</v>
      </c>
    </row>
    <row r="745" spans="1:16" x14ac:dyDescent="0.25">
      <c r="A745" s="4" t="str">
        <f>Customers!A745</f>
        <v>CL00738</v>
      </c>
      <c r="B745" s="20">
        <f>IF(Customers!G745="","",(Customers!G745-Statistics!$C$7)/Statistics!$C$9)</f>
        <v>-6.5083158740954897E-2</v>
      </c>
      <c r="C745" s="4" t="str">
        <f>IF(Customers!G745="","",IF(OR(Customers!G745&lt;Statistics!$C$15,Customers!G745&gt;Statistics!$C$16),"Outside 1.5·IQR",""))</f>
        <v/>
      </c>
      <c r="D745" s="4" t="str">
        <f>IF(OR(Customers!B745&lt;18,Customers!B745&gt;100),"Implausible age","")</f>
        <v/>
      </c>
      <c r="E745" s="4" t="str">
        <f>IF(Customers!H745&gt;Customers!B745-18,"Tenure &gt; age-18","")</f>
        <v/>
      </c>
      <c r="F745" s="4" t="str">
        <f>IF(Customers!R745&gt;Customers!Q745,"Card spend &gt; limit","")</f>
        <v/>
      </c>
      <c r="G745" s="4" t="str">
        <f>IF(OR(AND(Customers!S745&gt;0,Customers!T745=0),AND(Customers!S745=0,Customers!T745&gt;0)),"Mortgage/payment inconsistent","")</f>
        <v/>
      </c>
      <c r="H745" s="4" t="str">
        <f>IF(AND(Customers!G745&lt;&gt;"",Customers!G745&gt;0,Customers!T745&gt;Customers!G745/12),"Payment &gt; monthly income","")</f>
        <v/>
      </c>
      <c r="I745" s="4" t="str">
        <f>IF(OR(Customers!I745&gt;DATE(2026,9,13),YEAR(Customers!I745)&lt;1980),"Implausible date","")</f>
        <v/>
      </c>
      <c r="J745" s="4" t="str">
        <f>IF(Customers!I745&gt;DATE(2026,9,13),"",IF(ABS(INT((DATE(2026,9,13)-Customers!I745)/365.25)-Customers!H745)&gt;1,"Date/tenure inconsistent",""))</f>
        <v/>
      </c>
      <c r="K745" s="4" t="str">
        <f>IF(COUNTIF(Customers!$A$2:$A$1001,Customers!A745)&gt;1,"Duplicate ID","")</f>
        <v/>
      </c>
      <c r="L745" s="4" t="str">
        <f>IF(COUNTIFS(Customers!$B$2:$B$1001,Customers!B745,Customers!$D$2:$D$1001,Customers!D745,Customers!$G$2:$G$1001,Customers!G745,Customers!$I$2:$I$1001,Customers!I745,Customers!$L$2:$L$1001,Customers!L745)&gt;1,"Duplicate record","")</f>
        <v/>
      </c>
      <c r="M745" s="4" t="str">
        <f>IF(OR(Customers!U745&lt;300,Customers!U745&gt;850),"Score out of range","")</f>
        <v/>
      </c>
      <c r="N745" s="4" t="str">
        <f>IF(AND(Customers!G745&lt;&gt;"",Customers!G745&lt;=0),"Income ≤ 0","")</f>
        <v/>
      </c>
      <c r="O745" s="4" t="str">
        <f>IF(OR(Customers!G745="",Customers!M745=""),"Missing value","")</f>
        <v/>
      </c>
      <c r="P745" s="4">
        <f t="shared" si="11"/>
        <v>0</v>
      </c>
    </row>
    <row r="746" spans="1:16" x14ac:dyDescent="0.25">
      <c r="A746" s="4" t="str">
        <f>Customers!A746</f>
        <v>CL00739</v>
      </c>
      <c r="B746" s="20">
        <f>IF(Customers!G746="","",(Customers!G746-Statistics!$C$7)/Statistics!$C$9)</f>
        <v>-4.016459658363386E-2</v>
      </c>
      <c r="C746" s="4" t="str">
        <f>IF(Customers!G746="","",IF(OR(Customers!G746&lt;Statistics!$C$15,Customers!G746&gt;Statistics!$C$16),"Outside 1.5·IQR",""))</f>
        <v/>
      </c>
      <c r="D746" s="4" t="str">
        <f>IF(OR(Customers!B746&lt;18,Customers!B746&gt;100),"Implausible age","")</f>
        <v/>
      </c>
      <c r="E746" s="4" t="str">
        <f>IF(Customers!H746&gt;Customers!B746-18,"Tenure &gt; age-18","")</f>
        <v/>
      </c>
      <c r="F746" s="4" t="str">
        <f>IF(Customers!R746&gt;Customers!Q746,"Card spend &gt; limit","")</f>
        <v/>
      </c>
      <c r="G746" s="4" t="str">
        <f>IF(OR(AND(Customers!S746&gt;0,Customers!T746=0),AND(Customers!S746=0,Customers!T746&gt;0)),"Mortgage/payment inconsistent","")</f>
        <v/>
      </c>
      <c r="H746" s="4" t="str">
        <f>IF(AND(Customers!G746&lt;&gt;"",Customers!G746&gt;0,Customers!T746&gt;Customers!G746/12),"Payment &gt; monthly income","")</f>
        <v/>
      </c>
      <c r="I746" s="4" t="str">
        <f>IF(OR(Customers!I746&gt;DATE(2026,9,13),YEAR(Customers!I746)&lt;1980),"Implausible date","")</f>
        <v/>
      </c>
      <c r="J746" s="4" t="str">
        <f>IF(Customers!I746&gt;DATE(2026,9,13),"",IF(ABS(INT((DATE(2026,9,13)-Customers!I746)/365.25)-Customers!H746)&gt;1,"Date/tenure inconsistent",""))</f>
        <v/>
      </c>
      <c r="K746" s="4" t="str">
        <f>IF(COUNTIF(Customers!$A$2:$A$1001,Customers!A746)&gt;1,"Duplicate ID","")</f>
        <v/>
      </c>
      <c r="L746" s="4" t="str">
        <f>IF(COUNTIFS(Customers!$B$2:$B$1001,Customers!B746,Customers!$D$2:$D$1001,Customers!D746,Customers!$G$2:$G$1001,Customers!G746,Customers!$I$2:$I$1001,Customers!I746,Customers!$L$2:$L$1001,Customers!L746)&gt;1,"Duplicate record","")</f>
        <v/>
      </c>
      <c r="M746" s="4" t="str">
        <f>IF(OR(Customers!U746&lt;300,Customers!U746&gt;850),"Score out of range","")</f>
        <v/>
      </c>
      <c r="N746" s="4" t="str">
        <f>IF(AND(Customers!G746&lt;&gt;"",Customers!G746&lt;=0),"Income ≤ 0","")</f>
        <v/>
      </c>
      <c r="O746" s="4" t="str">
        <f>IF(OR(Customers!G746="",Customers!M746=""),"Missing value","")</f>
        <v/>
      </c>
      <c r="P746" s="4">
        <f t="shared" si="11"/>
        <v>0</v>
      </c>
    </row>
    <row r="747" spans="1:16" x14ac:dyDescent="0.25">
      <c r="A747" s="4" t="str">
        <f>Customers!A747</f>
        <v>CL00740</v>
      </c>
      <c r="B747" s="20">
        <f>IF(Customers!G747="","",(Customers!G747-Statistics!$C$7)/Statistics!$C$9)</f>
        <v>-6.6772007990917558E-3</v>
      </c>
      <c r="C747" s="4" t="str">
        <f>IF(Customers!G747="","",IF(OR(Customers!G747&lt;Statistics!$C$15,Customers!G747&gt;Statistics!$C$16),"Outside 1.5·IQR",""))</f>
        <v/>
      </c>
      <c r="D747" s="4" t="str">
        <f>IF(OR(Customers!B747&lt;18,Customers!B747&gt;100),"Implausible age","")</f>
        <v/>
      </c>
      <c r="E747" s="4" t="str">
        <f>IF(Customers!H747&gt;Customers!B747-18,"Tenure &gt; age-18","")</f>
        <v/>
      </c>
      <c r="F747" s="4" t="str">
        <f>IF(Customers!R747&gt;Customers!Q747,"Card spend &gt; limit","")</f>
        <v/>
      </c>
      <c r="G747" s="4" t="str">
        <f>IF(OR(AND(Customers!S747&gt;0,Customers!T747=0),AND(Customers!S747=0,Customers!T747&gt;0)),"Mortgage/payment inconsistent","")</f>
        <v/>
      </c>
      <c r="H747" s="4" t="str">
        <f>IF(AND(Customers!G747&lt;&gt;"",Customers!G747&gt;0,Customers!T747&gt;Customers!G747/12),"Payment &gt; monthly income","")</f>
        <v/>
      </c>
      <c r="I747" s="4" t="str">
        <f>IF(OR(Customers!I747&gt;DATE(2026,9,13),YEAR(Customers!I747)&lt;1980),"Implausible date","")</f>
        <v/>
      </c>
      <c r="J747" s="4" t="str">
        <f>IF(Customers!I747&gt;DATE(2026,9,13),"",IF(ABS(INT((DATE(2026,9,13)-Customers!I747)/365.25)-Customers!H747)&gt;1,"Date/tenure inconsistent",""))</f>
        <v/>
      </c>
      <c r="K747" s="4" t="str">
        <f>IF(COUNTIF(Customers!$A$2:$A$1001,Customers!A747)&gt;1,"Duplicate ID","")</f>
        <v/>
      </c>
      <c r="L747" s="4" t="str">
        <f>IF(COUNTIFS(Customers!$B$2:$B$1001,Customers!B747,Customers!$D$2:$D$1001,Customers!D747,Customers!$G$2:$G$1001,Customers!G747,Customers!$I$2:$I$1001,Customers!I747,Customers!$L$2:$L$1001,Customers!L747)&gt;1,"Duplicate record","")</f>
        <v/>
      </c>
      <c r="M747" s="4" t="str">
        <f>IF(OR(Customers!U747&lt;300,Customers!U747&gt;850),"Score out of range","")</f>
        <v/>
      </c>
      <c r="N747" s="4" t="str">
        <f>IF(AND(Customers!G747&lt;&gt;"",Customers!G747&lt;=0),"Income ≤ 0","")</f>
        <v/>
      </c>
      <c r="O747" s="4" t="str">
        <f>IF(OR(Customers!G747="",Customers!M747=""),"Missing value","")</f>
        <v/>
      </c>
      <c r="P747" s="4">
        <f t="shared" si="11"/>
        <v>0</v>
      </c>
    </row>
    <row r="748" spans="1:16" x14ac:dyDescent="0.25">
      <c r="A748" s="4" t="str">
        <f>Customers!A748</f>
        <v>CL00741</v>
      </c>
      <c r="B748" s="20">
        <f>IF(Customers!G748="","",(Customers!G748-Statistics!$C$7)/Statistics!$C$9)</f>
        <v>-6.6265066827468147E-2</v>
      </c>
      <c r="C748" s="4" t="str">
        <f>IF(Customers!G748="","",IF(OR(Customers!G748&lt;Statistics!$C$15,Customers!G748&gt;Statistics!$C$16),"Outside 1.5·IQR",""))</f>
        <v/>
      </c>
      <c r="D748" s="4" t="str">
        <f>IF(OR(Customers!B748&lt;18,Customers!B748&gt;100),"Implausible age","")</f>
        <v/>
      </c>
      <c r="E748" s="4" t="str">
        <f>IF(Customers!H748&gt;Customers!B748-18,"Tenure &gt; age-18","")</f>
        <v/>
      </c>
      <c r="F748" s="4" t="str">
        <f>IF(Customers!R748&gt;Customers!Q748,"Card spend &gt; limit","")</f>
        <v/>
      </c>
      <c r="G748" s="4" t="str">
        <f>IF(OR(AND(Customers!S748&gt;0,Customers!T748=0),AND(Customers!S748=0,Customers!T748&gt;0)),"Mortgage/payment inconsistent","")</f>
        <v/>
      </c>
      <c r="H748" s="4" t="str">
        <f>IF(AND(Customers!G748&lt;&gt;"",Customers!G748&gt;0,Customers!T748&gt;Customers!G748/12),"Payment &gt; monthly income","")</f>
        <v/>
      </c>
      <c r="I748" s="4" t="str">
        <f>IF(OR(Customers!I748&gt;DATE(2026,9,13),YEAR(Customers!I748)&lt;1980),"Implausible date","")</f>
        <v/>
      </c>
      <c r="J748" s="4" t="str">
        <f>IF(Customers!I748&gt;DATE(2026,9,13),"",IF(ABS(INT((DATE(2026,9,13)-Customers!I748)/365.25)-Customers!H748)&gt;1,"Date/tenure inconsistent",""))</f>
        <v/>
      </c>
      <c r="K748" s="4" t="str">
        <f>IF(COUNTIF(Customers!$A$2:$A$1001,Customers!A748)&gt;1,"Duplicate ID","")</f>
        <v/>
      </c>
      <c r="L748" s="4" t="str">
        <f>IF(COUNTIFS(Customers!$B$2:$B$1001,Customers!B748,Customers!$D$2:$D$1001,Customers!D748,Customers!$G$2:$G$1001,Customers!G748,Customers!$I$2:$I$1001,Customers!I748,Customers!$L$2:$L$1001,Customers!L748)&gt;1,"Duplicate record","")</f>
        <v/>
      </c>
      <c r="M748" s="4" t="str">
        <f>IF(OR(Customers!U748&lt;300,Customers!U748&gt;850),"Score out of range","")</f>
        <v/>
      </c>
      <c r="N748" s="4" t="str">
        <f>IF(AND(Customers!G748&lt;&gt;"",Customers!G748&lt;=0),"Income ≤ 0","")</f>
        <v/>
      </c>
      <c r="O748" s="4" t="str">
        <f>IF(OR(Customers!G748="",Customers!M748=""),"Missing value","")</f>
        <v/>
      </c>
      <c r="P748" s="4">
        <f t="shared" si="11"/>
        <v>0</v>
      </c>
    </row>
    <row r="749" spans="1:16" x14ac:dyDescent="0.25">
      <c r="A749" s="4" t="str">
        <f>Customers!A749</f>
        <v>CL00742</v>
      </c>
      <c r="B749" s="20">
        <f>IF(Customers!G749="","",(Customers!G749-Statistics!$C$7)/Statistics!$C$9)</f>
        <v>-4.1346504670147111E-2</v>
      </c>
      <c r="C749" s="4" t="str">
        <f>IF(Customers!G749="","",IF(OR(Customers!G749&lt;Statistics!$C$15,Customers!G749&gt;Statistics!$C$16),"Outside 1.5·IQR",""))</f>
        <v/>
      </c>
      <c r="D749" s="4" t="str">
        <f>IF(OR(Customers!B749&lt;18,Customers!B749&gt;100),"Implausible age","")</f>
        <v/>
      </c>
      <c r="E749" s="4" t="str">
        <f>IF(Customers!H749&gt;Customers!B749-18,"Tenure &gt; age-18","")</f>
        <v/>
      </c>
      <c r="F749" s="4" t="str">
        <f>IF(Customers!R749&gt;Customers!Q749,"Card spend &gt; limit","")</f>
        <v/>
      </c>
      <c r="G749" s="4" t="str">
        <f>IF(OR(AND(Customers!S749&gt;0,Customers!T749=0),AND(Customers!S749=0,Customers!T749&gt;0)),"Mortgage/payment inconsistent","")</f>
        <v/>
      </c>
      <c r="H749" s="4" t="str">
        <f>IF(AND(Customers!G749&lt;&gt;"",Customers!G749&gt;0,Customers!T749&gt;Customers!G749/12),"Payment &gt; monthly income","")</f>
        <v/>
      </c>
      <c r="I749" s="4" t="str">
        <f>IF(OR(Customers!I749&gt;DATE(2026,9,13),YEAR(Customers!I749)&lt;1980),"Implausible date","")</f>
        <v/>
      </c>
      <c r="J749" s="4" t="str">
        <f>IF(Customers!I749&gt;DATE(2026,9,13),"",IF(ABS(INT((DATE(2026,9,13)-Customers!I749)/365.25)-Customers!H749)&gt;1,"Date/tenure inconsistent",""))</f>
        <v/>
      </c>
      <c r="K749" s="4" t="str">
        <f>IF(COUNTIF(Customers!$A$2:$A$1001,Customers!A749)&gt;1,"Duplicate ID","")</f>
        <v/>
      </c>
      <c r="L749" s="4" t="str">
        <f>IF(COUNTIFS(Customers!$B$2:$B$1001,Customers!B749,Customers!$D$2:$D$1001,Customers!D749,Customers!$G$2:$G$1001,Customers!G749,Customers!$I$2:$I$1001,Customers!I749,Customers!$L$2:$L$1001,Customers!L749)&gt;1,"Duplicate record","")</f>
        <v/>
      </c>
      <c r="M749" s="4" t="str">
        <f>IF(OR(Customers!U749&lt;300,Customers!U749&gt;850),"Score out of range","")</f>
        <v/>
      </c>
      <c r="N749" s="4" t="str">
        <f>IF(AND(Customers!G749&lt;&gt;"",Customers!G749&lt;=0),"Income ≤ 0","")</f>
        <v/>
      </c>
      <c r="O749" s="4" t="str">
        <f>IF(OR(Customers!G749="",Customers!M749=""),"Missing value","")</f>
        <v/>
      </c>
      <c r="P749" s="4">
        <f t="shared" si="11"/>
        <v>0</v>
      </c>
    </row>
    <row r="750" spans="1:16" x14ac:dyDescent="0.25">
      <c r="A750" s="4" t="str">
        <f>Customers!A750</f>
        <v>CL00743</v>
      </c>
      <c r="B750" s="20">
        <f>IF(Customers!G750="","",(Customers!G750-Statistics!$C$7)/Statistics!$C$9)</f>
        <v>-5.2574631492022995E-2</v>
      </c>
      <c r="C750" s="4" t="str">
        <f>IF(Customers!G750="","",IF(OR(Customers!G750&lt;Statistics!$C$15,Customers!G750&gt;Statistics!$C$16),"Outside 1.5·IQR",""))</f>
        <v/>
      </c>
      <c r="D750" s="4" t="str">
        <f>IF(OR(Customers!B750&lt;18,Customers!B750&gt;100),"Implausible age","")</f>
        <v/>
      </c>
      <c r="E750" s="4" t="str">
        <f>IF(Customers!H750&gt;Customers!B750-18,"Tenure &gt; age-18","")</f>
        <v/>
      </c>
      <c r="F750" s="4" t="str">
        <f>IF(Customers!R750&gt;Customers!Q750,"Card spend &gt; limit","")</f>
        <v/>
      </c>
      <c r="G750" s="4" t="str">
        <f>IF(OR(AND(Customers!S750&gt;0,Customers!T750=0),AND(Customers!S750=0,Customers!T750&gt;0)),"Mortgage/payment inconsistent","")</f>
        <v/>
      </c>
      <c r="H750" s="4" t="str">
        <f>IF(AND(Customers!G750&lt;&gt;"",Customers!G750&gt;0,Customers!T750&gt;Customers!G750/12),"Payment &gt; monthly income","")</f>
        <v/>
      </c>
      <c r="I750" s="4" t="str">
        <f>IF(OR(Customers!I750&gt;DATE(2026,9,13),YEAR(Customers!I750)&lt;1980),"Implausible date","")</f>
        <v/>
      </c>
      <c r="J750" s="4" t="str">
        <f>IF(Customers!I750&gt;DATE(2026,9,13),"",IF(ABS(INT((DATE(2026,9,13)-Customers!I750)/365.25)-Customers!H750)&gt;1,"Date/tenure inconsistent",""))</f>
        <v/>
      </c>
      <c r="K750" s="4" t="str">
        <f>IF(COUNTIF(Customers!$A$2:$A$1001,Customers!A750)&gt;1,"Duplicate ID","")</f>
        <v/>
      </c>
      <c r="L750" s="4" t="str">
        <f>IF(COUNTIFS(Customers!$B$2:$B$1001,Customers!B750,Customers!$D$2:$D$1001,Customers!D750,Customers!$G$2:$G$1001,Customers!G750,Customers!$I$2:$I$1001,Customers!I750,Customers!$L$2:$L$1001,Customers!L750)&gt;1,"Duplicate record","")</f>
        <v/>
      </c>
      <c r="M750" s="4" t="str">
        <f>IF(OR(Customers!U750&lt;300,Customers!U750&gt;850),"Score out of range","")</f>
        <v/>
      </c>
      <c r="N750" s="4" t="str">
        <f>IF(AND(Customers!G750&lt;&gt;"",Customers!G750&lt;=0),"Income ≤ 0","")</f>
        <v/>
      </c>
      <c r="O750" s="4" t="str">
        <f>IF(OR(Customers!G750="",Customers!M750=""),"Missing value","")</f>
        <v/>
      </c>
      <c r="P750" s="4">
        <f t="shared" si="11"/>
        <v>0</v>
      </c>
    </row>
    <row r="751" spans="1:16" x14ac:dyDescent="0.25">
      <c r="A751" s="4" t="str">
        <f>Customers!A751</f>
        <v>CL00744</v>
      </c>
      <c r="B751" s="20">
        <f>IF(Customers!G751="","",(Customers!G751-Statistics!$C$7)/Statistics!$C$9)</f>
        <v>-4.7354537443256135E-2</v>
      </c>
      <c r="C751" s="4" t="str">
        <f>IF(Customers!G751="","",IF(OR(Customers!G751&lt;Statistics!$C$15,Customers!G751&gt;Statistics!$C$16),"Outside 1.5·IQR",""))</f>
        <v/>
      </c>
      <c r="D751" s="4" t="str">
        <f>IF(OR(Customers!B751&lt;18,Customers!B751&gt;100),"Implausible age","")</f>
        <v/>
      </c>
      <c r="E751" s="4" t="str">
        <f>IF(Customers!H751&gt;Customers!B751-18,"Tenure &gt; age-18","")</f>
        <v/>
      </c>
      <c r="F751" s="4" t="str">
        <f>IF(Customers!R751&gt;Customers!Q751,"Card spend &gt; limit","")</f>
        <v/>
      </c>
      <c r="G751" s="4" t="str">
        <f>IF(OR(AND(Customers!S751&gt;0,Customers!T751=0),AND(Customers!S751=0,Customers!T751&gt;0)),"Mortgage/payment inconsistent","")</f>
        <v/>
      </c>
      <c r="H751" s="4" t="str">
        <f>IF(AND(Customers!G751&lt;&gt;"",Customers!G751&gt;0,Customers!T751&gt;Customers!G751/12),"Payment &gt; monthly income","")</f>
        <v/>
      </c>
      <c r="I751" s="4" t="str">
        <f>IF(OR(Customers!I751&gt;DATE(2026,9,13),YEAR(Customers!I751)&lt;1980),"Implausible date","")</f>
        <v/>
      </c>
      <c r="J751" s="4" t="str">
        <f>IF(Customers!I751&gt;DATE(2026,9,13),"",IF(ABS(INT((DATE(2026,9,13)-Customers!I751)/365.25)-Customers!H751)&gt;1,"Date/tenure inconsistent",""))</f>
        <v/>
      </c>
      <c r="K751" s="4" t="str">
        <f>IF(COUNTIF(Customers!$A$2:$A$1001,Customers!A751)&gt;1,"Duplicate ID","")</f>
        <v/>
      </c>
      <c r="L751" s="4" t="str">
        <f>IF(COUNTIFS(Customers!$B$2:$B$1001,Customers!B751,Customers!$D$2:$D$1001,Customers!D751,Customers!$G$2:$G$1001,Customers!G751,Customers!$I$2:$I$1001,Customers!I751,Customers!$L$2:$L$1001,Customers!L751)&gt;1,"Duplicate record","")</f>
        <v/>
      </c>
      <c r="M751" s="4" t="str">
        <f>IF(OR(Customers!U751&lt;300,Customers!U751&gt;850),"Score out of range","")</f>
        <v/>
      </c>
      <c r="N751" s="4" t="str">
        <f>IF(AND(Customers!G751&lt;&gt;"",Customers!G751&lt;=0),"Income ≤ 0","")</f>
        <v/>
      </c>
      <c r="O751" s="4" t="str">
        <f>IF(OR(Customers!G751="",Customers!M751=""),"Missing value","")</f>
        <v/>
      </c>
      <c r="P751" s="4">
        <f t="shared" si="11"/>
        <v>0</v>
      </c>
    </row>
    <row r="752" spans="1:16" x14ac:dyDescent="0.25">
      <c r="A752" s="4" t="str">
        <f>Customers!A752</f>
        <v>CL00745</v>
      </c>
      <c r="B752" s="20">
        <f>IF(Customers!G752="","",(Customers!G752-Statistics!$C$7)/Statistics!$C$9)</f>
        <v>-3.1694255296955562E-2</v>
      </c>
      <c r="C752" s="4" t="str">
        <f>IF(Customers!G752="","",IF(OR(Customers!G752&lt;Statistics!$C$15,Customers!G752&gt;Statistics!$C$16),"Outside 1.5·IQR",""))</f>
        <v/>
      </c>
      <c r="D752" s="4" t="str">
        <f>IF(OR(Customers!B752&lt;18,Customers!B752&gt;100),"Implausible age","")</f>
        <v/>
      </c>
      <c r="E752" s="4" t="str">
        <f>IF(Customers!H752&gt;Customers!B752-18,"Tenure &gt; age-18","")</f>
        <v/>
      </c>
      <c r="F752" s="4" t="str">
        <f>IF(Customers!R752&gt;Customers!Q752,"Card spend &gt; limit","")</f>
        <v/>
      </c>
      <c r="G752" s="4" t="str">
        <f>IF(OR(AND(Customers!S752&gt;0,Customers!T752=0),AND(Customers!S752=0,Customers!T752&gt;0)),"Mortgage/payment inconsistent","")</f>
        <v/>
      </c>
      <c r="H752" s="4" t="str">
        <f>IF(AND(Customers!G752&lt;&gt;"",Customers!G752&gt;0,Customers!T752&gt;Customers!G752/12),"Payment &gt; monthly income","")</f>
        <v/>
      </c>
      <c r="I752" s="4" t="str">
        <f>IF(OR(Customers!I752&gt;DATE(2026,9,13),YEAR(Customers!I752)&lt;1980),"Implausible date","")</f>
        <v/>
      </c>
      <c r="J752" s="4" t="str">
        <f>IF(Customers!I752&gt;DATE(2026,9,13),"",IF(ABS(INT((DATE(2026,9,13)-Customers!I752)/365.25)-Customers!H752)&gt;1,"Date/tenure inconsistent",""))</f>
        <v/>
      </c>
      <c r="K752" s="4" t="str">
        <f>IF(COUNTIF(Customers!$A$2:$A$1001,Customers!A752)&gt;1,"Duplicate ID","")</f>
        <v/>
      </c>
      <c r="L752" s="4" t="str">
        <f>IF(COUNTIFS(Customers!$B$2:$B$1001,Customers!B752,Customers!$D$2:$D$1001,Customers!D752,Customers!$G$2:$G$1001,Customers!G752,Customers!$I$2:$I$1001,Customers!I752,Customers!$L$2:$L$1001,Customers!L752)&gt;1,"Duplicate record","")</f>
        <v/>
      </c>
      <c r="M752" s="4" t="str">
        <f>IF(OR(Customers!U752&lt;300,Customers!U752&gt;850),"Score out of range","")</f>
        <v/>
      </c>
      <c r="N752" s="4" t="str">
        <f>IF(AND(Customers!G752&lt;&gt;"",Customers!G752&lt;=0),"Income ≤ 0","")</f>
        <v/>
      </c>
      <c r="O752" s="4" t="str">
        <f>IF(OR(Customers!G752="",Customers!M752=""),"Missing value","")</f>
        <v/>
      </c>
      <c r="P752" s="4">
        <f t="shared" si="11"/>
        <v>0</v>
      </c>
    </row>
    <row r="753" spans="1:16" x14ac:dyDescent="0.25">
      <c r="A753" s="4" t="str">
        <f>Customers!A753</f>
        <v>CL00746</v>
      </c>
      <c r="B753" s="20">
        <f>IF(Customers!G753="","",(Customers!G753-Statistics!$C$7)/Statistics!$C$9)</f>
        <v>-5.7597740859704309E-2</v>
      </c>
      <c r="C753" s="4" t="str">
        <f>IF(Customers!G753="","",IF(OR(Customers!G753&lt;Statistics!$C$15,Customers!G753&gt;Statistics!$C$16),"Outside 1.5·IQR",""))</f>
        <v/>
      </c>
      <c r="D753" s="4" t="str">
        <f>IF(OR(Customers!B753&lt;18,Customers!B753&gt;100),"Implausible age","")</f>
        <v/>
      </c>
      <c r="E753" s="4" t="str">
        <f>IF(Customers!H753&gt;Customers!B753-18,"Tenure &gt; age-18","")</f>
        <v/>
      </c>
      <c r="F753" s="4" t="str">
        <f>IF(Customers!R753&gt;Customers!Q753,"Card spend &gt; limit","")</f>
        <v/>
      </c>
      <c r="G753" s="4" t="str">
        <f>IF(OR(AND(Customers!S753&gt;0,Customers!T753=0),AND(Customers!S753=0,Customers!T753&gt;0)),"Mortgage/payment inconsistent","")</f>
        <v/>
      </c>
      <c r="H753" s="4" t="str">
        <f>IF(AND(Customers!G753&lt;&gt;"",Customers!G753&gt;0,Customers!T753&gt;Customers!G753/12),"Payment &gt; monthly income","")</f>
        <v/>
      </c>
      <c r="I753" s="4" t="str">
        <f>IF(OR(Customers!I753&gt;DATE(2026,9,13),YEAR(Customers!I753)&lt;1980),"Implausible date","")</f>
        <v/>
      </c>
      <c r="J753" s="4" t="str">
        <f>IF(Customers!I753&gt;DATE(2026,9,13),"",IF(ABS(INT((DATE(2026,9,13)-Customers!I753)/365.25)-Customers!H753)&gt;1,"Date/tenure inconsistent",""))</f>
        <v/>
      </c>
      <c r="K753" s="4" t="str">
        <f>IF(COUNTIF(Customers!$A$2:$A$1001,Customers!A753)&gt;1,"Duplicate ID","")</f>
        <v/>
      </c>
      <c r="L753" s="4" t="str">
        <f>IF(COUNTIFS(Customers!$B$2:$B$1001,Customers!B753,Customers!$D$2:$D$1001,Customers!D753,Customers!$G$2:$G$1001,Customers!G753,Customers!$I$2:$I$1001,Customers!I753,Customers!$L$2:$L$1001,Customers!L753)&gt;1,"Duplicate record","")</f>
        <v/>
      </c>
      <c r="M753" s="4" t="str">
        <f>IF(OR(Customers!U753&lt;300,Customers!U753&gt;850),"Score out of range","")</f>
        <v/>
      </c>
      <c r="N753" s="4" t="str">
        <f>IF(AND(Customers!G753&lt;&gt;"",Customers!G753&lt;=0),"Income ≤ 0","")</f>
        <v/>
      </c>
      <c r="O753" s="4" t="str">
        <f>IF(OR(Customers!G753="",Customers!M753=""),"Missing value","")</f>
        <v/>
      </c>
      <c r="P753" s="4">
        <f t="shared" si="11"/>
        <v>0</v>
      </c>
    </row>
    <row r="754" spans="1:16" x14ac:dyDescent="0.25">
      <c r="A754" s="4" t="str">
        <f>Customers!A754</f>
        <v>CL00747</v>
      </c>
      <c r="B754" s="20">
        <f>IF(Customers!G754="","",(Customers!G754-Statistics!$C$7)/Statistics!$C$9)</f>
        <v>-4.5483182972943487E-2</v>
      </c>
      <c r="C754" s="4" t="str">
        <f>IF(Customers!G754="","",IF(OR(Customers!G754&lt;Statistics!$C$15,Customers!G754&gt;Statistics!$C$16),"Outside 1.5·IQR",""))</f>
        <v/>
      </c>
      <c r="D754" s="4" t="str">
        <f>IF(OR(Customers!B754&lt;18,Customers!B754&gt;100),"Implausible age","")</f>
        <v/>
      </c>
      <c r="E754" s="4" t="str">
        <f>IF(Customers!H754&gt;Customers!B754-18,"Tenure &gt; age-18","")</f>
        <v/>
      </c>
      <c r="F754" s="4" t="str">
        <f>IF(Customers!R754&gt;Customers!Q754,"Card spend &gt; limit","")</f>
        <v/>
      </c>
      <c r="G754" s="4" t="str">
        <f>IF(OR(AND(Customers!S754&gt;0,Customers!T754=0),AND(Customers!S754=0,Customers!T754&gt;0)),"Mortgage/payment inconsistent","")</f>
        <v/>
      </c>
      <c r="H754" s="4" t="str">
        <f>IF(AND(Customers!G754&lt;&gt;"",Customers!G754&gt;0,Customers!T754&gt;Customers!G754/12),"Payment &gt; monthly income","")</f>
        <v/>
      </c>
      <c r="I754" s="4" t="str">
        <f>IF(OR(Customers!I754&gt;DATE(2026,9,13),YEAR(Customers!I754)&lt;1980),"Implausible date","")</f>
        <v/>
      </c>
      <c r="J754" s="4" t="str">
        <f>IF(Customers!I754&gt;DATE(2026,9,13),"",IF(ABS(INT((DATE(2026,9,13)-Customers!I754)/365.25)-Customers!H754)&gt;1,"Date/tenure inconsistent",""))</f>
        <v/>
      </c>
      <c r="K754" s="4" t="str">
        <f>IF(COUNTIF(Customers!$A$2:$A$1001,Customers!A754)&gt;1,"Duplicate ID","")</f>
        <v/>
      </c>
      <c r="L754" s="4" t="str">
        <f>IF(COUNTIFS(Customers!$B$2:$B$1001,Customers!B754,Customers!$D$2:$D$1001,Customers!D754,Customers!$G$2:$G$1001,Customers!G754,Customers!$I$2:$I$1001,Customers!I754,Customers!$L$2:$L$1001,Customers!L754)&gt;1,"Duplicate record","")</f>
        <v/>
      </c>
      <c r="M754" s="4" t="str">
        <f>IF(OR(Customers!U754&lt;300,Customers!U754&gt;850),"Score out of range","")</f>
        <v/>
      </c>
      <c r="N754" s="4" t="str">
        <f>IF(AND(Customers!G754&lt;&gt;"",Customers!G754&lt;=0),"Income ≤ 0","")</f>
        <v/>
      </c>
      <c r="O754" s="4" t="str">
        <f>IF(OR(Customers!G754="",Customers!M754=""),"Missing value","")</f>
        <v/>
      </c>
      <c r="P754" s="4">
        <f t="shared" si="11"/>
        <v>0</v>
      </c>
    </row>
    <row r="755" spans="1:16" x14ac:dyDescent="0.25">
      <c r="A755" s="4" t="str">
        <f>Customers!A755</f>
        <v>CL00748</v>
      </c>
      <c r="B755" s="20">
        <f>IF(Customers!G755="","",(Customers!G755-Statistics!$C$7)/Statistics!$C$9)</f>
        <v>5.1827249483314158E-2</v>
      </c>
      <c r="C755" s="4" t="str">
        <f>IF(Customers!G755="","",IF(OR(Customers!G755&lt;Statistics!$C$15,Customers!G755&gt;Statistics!$C$16),"Outside 1.5·IQR",""))</f>
        <v>Outside 1.5·IQR</v>
      </c>
      <c r="D755" s="4" t="str">
        <f>IF(OR(Customers!B755&lt;18,Customers!B755&gt;100),"Implausible age","")</f>
        <v/>
      </c>
      <c r="E755" s="4" t="str">
        <f>IF(Customers!H755&gt;Customers!B755-18,"Tenure &gt; age-18","")</f>
        <v/>
      </c>
      <c r="F755" s="4" t="str">
        <f>IF(Customers!R755&gt;Customers!Q755,"Card spend &gt; limit","")</f>
        <v/>
      </c>
      <c r="G755" s="4" t="str">
        <f>IF(OR(AND(Customers!S755&gt;0,Customers!T755=0),AND(Customers!S755=0,Customers!T755&gt;0)),"Mortgage/payment inconsistent","")</f>
        <v/>
      </c>
      <c r="H755" s="4" t="str">
        <f>IF(AND(Customers!G755&lt;&gt;"",Customers!G755&gt;0,Customers!T755&gt;Customers!G755/12),"Payment &gt; monthly income","")</f>
        <v/>
      </c>
      <c r="I755" s="4" t="str">
        <f>IF(OR(Customers!I755&gt;DATE(2026,9,13),YEAR(Customers!I755)&lt;1980),"Implausible date","")</f>
        <v/>
      </c>
      <c r="J755" s="4" t="str">
        <f>IF(Customers!I755&gt;DATE(2026,9,13),"",IF(ABS(INT((DATE(2026,9,13)-Customers!I755)/365.25)-Customers!H755)&gt;1,"Date/tenure inconsistent",""))</f>
        <v/>
      </c>
      <c r="K755" s="4" t="str">
        <f>IF(COUNTIF(Customers!$A$2:$A$1001,Customers!A755)&gt;1,"Duplicate ID","")</f>
        <v/>
      </c>
      <c r="L755" s="4" t="str">
        <f>IF(COUNTIFS(Customers!$B$2:$B$1001,Customers!B755,Customers!$D$2:$D$1001,Customers!D755,Customers!$G$2:$G$1001,Customers!G755,Customers!$I$2:$I$1001,Customers!I755,Customers!$L$2:$L$1001,Customers!L755)&gt;1,"Duplicate record","")</f>
        <v/>
      </c>
      <c r="M755" s="4" t="str">
        <f>IF(OR(Customers!U755&lt;300,Customers!U755&gt;850),"Score out of range","")</f>
        <v/>
      </c>
      <c r="N755" s="4" t="str">
        <f>IF(AND(Customers!G755&lt;&gt;"",Customers!G755&lt;=0),"Income ≤ 0","")</f>
        <v/>
      </c>
      <c r="O755" s="4" t="str">
        <f>IF(OR(Customers!G755="",Customers!M755=""),"Missing value","")</f>
        <v/>
      </c>
      <c r="P755" s="4">
        <f t="shared" si="11"/>
        <v>1</v>
      </c>
    </row>
    <row r="756" spans="1:16" x14ac:dyDescent="0.25">
      <c r="A756" s="4" t="str">
        <f>Customers!A756</f>
        <v>CL00749</v>
      </c>
      <c r="B756" s="20">
        <f>IF(Customers!G756="","",(Customers!G756-Statistics!$C$7)/Statistics!$C$9)</f>
        <v>8.8845890066660462E-3</v>
      </c>
      <c r="C756" s="4" t="str">
        <f>IF(Customers!G756="","",IF(OR(Customers!G756&lt;Statistics!$C$15,Customers!G756&gt;Statistics!$C$16),"Outside 1.5·IQR",""))</f>
        <v>Outside 1.5·IQR</v>
      </c>
      <c r="D756" s="4" t="str">
        <f>IF(OR(Customers!B756&lt;18,Customers!B756&gt;100),"Implausible age","")</f>
        <v/>
      </c>
      <c r="E756" s="4" t="str">
        <f>IF(Customers!H756&gt;Customers!B756-18,"Tenure &gt; age-18","")</f>
        <v/>
      </c>
      <c r="F756" s="4" t="str">
        <f>IF(Customers!R756&gt;Customers!Q756,"Card spend &gt; limit","")</f>
        <v/>
      </c>
      <c r="G756" s="4" t="str">
        <f>IF(OR(AND(Customers!S756&gt;0,Customers!T756=0),AND(Customers!S756=0,Customers!T756&gt;0)),"Mortgage/payment inconsistent","")</f>
        <v/>
      </c>
      <c r="H756" s="4" t="str">
        <f>IF(AND(Customers!G756&lt;&gt;"",Customers!G756&gt;0,Customers!T756&gt;Customers!G756/12),"Payment &gt; monthly income","")</f>
        <v/>
      </c>
      <c r="I756" s="4" t="str">
        <f>IF(OR(Customers!I756&gt;DATE(2026,9,13),YEAR(Customers!I756)&lt;1980),"Implausible date","")</f>
        <v/>
      </c>
      <c r="J756" s="4" t="str">
        <f>IF(Customers!I756&gt;DATE(2026,9,13),"",IF(ABS(INT((DATE(2026,9,13)-Customers!I756)/365.25)-Customers!H756)&gt;1,"Date/tenure inconsistent",""))</f>
        <v/>
      </c>
      <c r="K756" s="4" t="str">
        <f>IF(COUNTIF(Customers!$A$2:$A$1001,Customers!A756)&gt;1,"Duplicate ID","")</f>
        <v/>
      </c>
      <c r="L756" s="4" t="str">
        <f>IF(COUNTIFS(Customers!$B$2:$B$1001,Customers!B756,Customers!$D$2:$D$1001,Customers!D756,Customers!$G$2:$G$1001,Customers!G756,Customers!$I$2:$I$1001,Customers!I756,Customers!$L$2:$L$1001,Customers!L756)&gt;1,"Duplicate record","")</f>
        <v/>
      </c>
      <c r="M756" s="4" t="str">
        <f>IF(OR(Customers!U756&lt;300,Customers!U756&gt;850),"Score out of range","")</f>
        <v/>
      </c>
      <c r="N756" s="4" t="str">
        <f>IF(AND(Customers!G756&lt;&gt;"",Customers!G756&lt;=0),"Income ≤ 0","")</f>
        <v/>
      </c>
      <c r="O756" s="4" t="str">
        <f>IF(OR(Customers!G756="",Customers!M756=""),"Missing value","")</f>
        <v/>
      </c>
      <c r="P756" s="4">
        <f t="shared" si="11"/>
        <v>1</v>
      </c>
    </row>
    <row r="757" spans="1:16" x14ac:dyDescent="0.25">
      <c r="A757" s="4" t="str">
        <f>Customers!A757</f>
        <v>CL00750</v>
      </c>
      <c r="B757" s="20">
        <f>IF(Customers!G757="","",(Customers!G757-Statistics!$C$7)/Statistics!$C$9)</f>
        <v>-3.3664102107810984E-2</v>
      </c>
      <c r="C757" s="4" t="str">
        <f>IF(Customers!G757="","",IF(OR(Customers!G757&lt;Statistics!$C$15,Customers!G757&gt;Statistics!$C$16),"Outside 1.5·IQR",""))</f>
        <v/>
      </c>
      <c r="D757" s="4" t="str">
        <f>IF(OR(Customers!B757&lt;18,Customers!B757&gt;100),"Implausible age","")</f>
        <v/>
      </c>
      <c r="E757" s="4" t="str">
        <f>IF(Customers!H757&gt;Customers!B757-18,"Tenure &gt; age-18","")</f>
        <v/>
      </c>
      <c r="F757" s="4" t="str">
        <f>IF(Customers!R757&gt;Customers!Q757,"Card spend &gt; limit","")</f>
        <v/>
      </c>
      <c r="G757" s="4" t="str">
        <f>IF(OR(AND(Customers!S757&gt;0,Customers!T757=0),AND(Customers!S757=0,Customers!T757&gt;0)),"Mortgage/payment inconsistent","")</f>
        <v/>
      </c>
      <c r="H757" s="4" t="str">
        <f>IF(AND(Customers!G757&lt;&gt;"",Customers!G757&gt;0,Customers!T757&gt;Customers!G757/12),"Payment &gt; monthly income","")</f>
        <v/>
      </c>
      <c r="I757" s="4" t="str">
        <f>IF(OR(Customers!I757&gt;DATE(2026,9,13),YEAR(Customers!I757)&lt;1980),"Implausible date","")</f>
        <v/>
      </c>
      <c r="J757" s="4" t="str">
        <f>IF(Customers!I757&gt;DATE(2026,9,13),"",IF(ABS(INT((DATE(2026,9,13)-Customers!I757)/365.25)-Customers!H757)&gt;1,"Date/tenure inconsistent",""))</f>
        <v/>
      </c>
      <c r="K757" s="4" t="str">
        <f>IF(COUNTIF(Customers!$A$2:$A$1001,Customers!A757)&gt;1,"Duplicate ID","")</f>
        <v/>
      </c>
      <c r="L757" s="4" t="str">
        <f>IF(COUNTIFS(Customers!$B$2:$B$1001,Customers!B757,Customers!$D$2:$D$1001,Customers!D757,Customers!$G$2:$G$1001,Customers!G757,Customers!$I$2:$I$1001,Customers!I757,Customers!$L$2:$L$1001,Customers!L757)&gt;1,"Duplicate record","")</f>
        <v/>
      </c>
      <c r="M757" s="4" t="str">
        <f>IF(OR(Customers!U757&lt;300,Customers!U757&gt;850),"Score out of range","")</f>
        <v/>
      </c>
      <c r="N757" s="4" t="str">
        <f>IF(AND(Customers!G757&lt;&gt;"",Customers!G757&lt;=0),"Income ≤ 0","")</f>
        <v/>
      </c>
      <c r="O757" s="4" t="str">
        <f>IF(OR(Customers!G757="",Customers!M757=""),"Missing value","")</f>
        <v/>
      </c>
      <c r="P757" s="4">
        <f t="shared" si="11"/>
        <v>0</v>
      </c>
    </row>
    <row r="758" spans="1:16" x14ac:dyDescent="0.25">
      <c r="A758" s="4" t="str">
        <f>Customers!A758</f>
        <v>CL00751</v>
      </c>
      <c r="B758" s="20">
        <f>IF(Customers!G758="","",(Customers!G758-Statistics!$C$7)/Statistics!$C$9)</f>
        <v>-4.2626905097203134E-2</v>
      </c>
      <c r="C758" s="4" t="str">
        <f>IF(Customers!G758="","",IF(OR(Customers!G758&lt;Statistics!$C$15,Customers!G758&gt;Statistics!$C$16),"Outside 1.5·IQR",""))</f>
        <v/>
      </c>
      <c r="D758" s="4" t="str">
        <f>IF(OR(Customers!B758&lt;18,Customers!B758&gt;100),"Implausible age","")</f>
        <v/>
      </c>
      <c r="E758" s="4" t="str">
        <f>IF(Customers!H758&gt;Customers!B758-18,"Tenure &gt; age-18","")</f>
        <v/>
      </c>
      <c r="F758" s="4" t="str">
        <f>IF(Customers!R758&gt;Customers!Q758,"Card spend &gt; limit","")</f>
        <v/>
      </c>
      <c r="G758" s="4" t="str">
        <f>IF(OR(AND(Customers!S758&gt;0,Customers!T758=0),AND(Customers!S758=0,Customers!T758&gt;0)),"Mortgage/payment inconsistent","")</f>
        <v/>
      </c>
      <c r="H758" s="4" t="str">
        <f>IF(AND(Customers!G758&lt;&gt;"",Customers!G758&gt;0,Customers!T758&gt;Customers!G758/12),"Payment &gt; monthly income","")</f>
        <v/>
      </c>
      <c r="I758" s="4" t="str">
        <f>IF(OR(Customers!I758&gt;DATE(2026,9,13),YEAR(Customers!I758)&lt;1980),"Implausible date","")</f>
        <v/>
      </c>
      <c r="J758" s="4" t="str">
        <f>IF(Customers!I758&gt;DATE(2026,9,13),"",IF(ABS(INT((DATE(2026,9,13)-Customers!I758)/365.25)-Customers!H758)&gt;1,"Date/tenure inconsistent",""))</f>
        <v/>
      </c>
      <c r="K758" s="4" t="str">
        <f>IF(COUNTIF(Customers!$A$2:$A$1001,Customers!A758)&gt;1,"Duplicate ID","")</f>
        <v/>
      </c>
      <c r="L758" s="4" t="str">
        <f>IF(COUNTIFS(Customers!$B$2:$B$1001,Customers!B758,Customers!$D$2:$D$1001,Customers!D758,Customers!$G$2:$G$1001,Customers!G758,Customers!$I$2:$I$1001,Customers!I758,Customers!$L$2:$L$1001,Customers!L758)&gt;1,"Duplicate record","")</f>
        <v/>
      </c>
      <c r="M758" s="4" t="str">
        <f>IF(OR(Customers!U758&lt;300,Customers!U758&gt;850),"Score out of range","")</f>
        <v/>
      </c>
      <c r="N758" s="4" t="str">
        <f>IF(AND(Customers!G758&lt;&gt;"",Customers!G758&lt;=0),"Income ≤ 0","")</f>
        <v/>
      </c>
      <c r="O758" s="4" t="str">
        <f>IF(OR(Customers!G758="",Customers!M758=""),"Missing value","")</f>
        <v/>
      </c>
      <c r="P758" s="4">
        <f t="shared" si="11"/>
        <v>0</v>
      </c>
    </row>
    <row r="759" spans="1:16" x14ac:dyDescent="0.25">
      <c r="A759" s="4" t="str">
        <f>Customers!A759</f>
        <v>CL00752</v>
      </c>
      <c r="B759" s="20">
        <f>IF(Customers!G759="","",(Customers!G759-Statistics!$C$7)/Statistics!$C$9)</f>
        <v>-7.2370607017714514E-2</v>
      </c>
      <c r="C759" s="4" t="str">
        <f>IF(Customers!G759="","",IF(OR(Customers!G759&lt;Statistics!$C$15,Customers!G759&gt;Statistics!$C$16),"Outside 1.5·IQR",""))</f>
        <v/>
      </c>
      <c r="D759" s="4" t="str">
        <f>IF(OR(Customers!B759&lt;18,Customers!B759&gt;100),"Implausible age","")</f>
        <v/>
      </c>
      <c r="E759" s="4" t="str">
        <f>IF(Customers!H759&gt;Customers!B759-18,"Tenure &gt; age-18","")</f>
        <v/>
      </c>
      <c r="F759" s="4" t="str">
        <f>IF(Customers!R759&gt;Customers!Q759,"Card spend &gt; limit","")</f>
        <v/>
      </c>
      <c r="G759" s="4" t="str">
        <f>IF(OR(AND(Customers!S759&gt;0,Customers!T759=0),AND(Customers!S759=0,Customers!T759&gt;0)),"Mortgage/payment inconsistent","")</f>
        <v/>
      </c>
      <c r="H759" s="4" t="str">
        <f>IF(AND(Customers!G759&lt;&gt;"",Customers!G759&gt;0,Customers!T759&gt;Customers!G759/12),"Payment &gt; monthly income","")</f>
        <v/>
      </c>
      <c r="I759" s="4" t="str">
        <f>IF(OR(Customers!I759&gt;DATE(2026,9,13),YEAR(Customers!I759)&lt;1980),"Implausible date","")</f>
        <v/>
      </c>
      <c r="J759" s="4" t="str">
        <f>IF(Customers!I759&gt;DATE(2026,9,13),"",IF(ABS(INT((DATE(2026,9,13)-Customers!I759)/365.25)-Customers!H759)&gt;1,"Date/tenure inconsistent",""))</f>
        <v/>
      </c>
      <c r="K759" s="4" t="str">
        <f>IF(COUNTIF(Customers!$A$2:$A$1001,Customers!A759)&gt;1,"Duplicate ID","")</f>
        <v/>
      </c>
      <c r="L759" s="4" t="str">
        <f>IF(COUNTIFS(Customers!$B$2:$B$1001,Customers!B759,Customers!$D$2:$D$1001,Customers!D759,Customers!$G$2:$G$1001,Customers!G759,Customers!$I$2:$I$1001,Customers!I759,Customers!$L$2:$L$1001,Customers!L759)&gt;1,"Duplicate record","")</f>
        <v/>
      </c>
      <c r="M759" s="4" t="str">
        <f>IF(OR(Customers!U759&lt;300,Customers!U759&gt;850),"Score out of range","")</f>
        <v/>
      </c>
      <c r="N759" s="4" t="str">
        <f>IF(AND(Customers!G759&lt;&gt;"",Customers!G759&lt;=0),"Income ≤ 0","")</f>
        <v>Income ≤ 0</v>
      </c>
      <c r="O759" s="4" t="str">
        <f>IF(OR(Customers!G759="",Customers!M759=""),"Missing value","")</f>
        <v/>
      </c>
      <c r="P759" s="4">
        <f t="shared" si="11"/>
        <v>1</v>
      </c>
    </row>
    <row r="760" spans="1:16" x14ac:dyDescent="0.25">
      <c r="A760" s="4" t="str">
        <f>Customers!A760</f>
        <v>CL00753</v>
      </c>
      <c r="B760" s="20">
        <f>IF(Customers!G760="","",(Customers!G760-Statistics!$C$7)/Statistics!$C$9)</f>
        <v>-1.9875174431823055E-2</v>
      </c>
      <c r="C760" s="4" t="str">
        <f>IF(Customers!G760="","",IF(OR(Customers!G760&lt;Statistics!$C$15,Customers!G760&gt;Statistics!$C$16),"Outside 1.5·IQR",""))</f>
        <v/>
      </c>
      <c r="D760" s="4" t="str">
        <f>IF(OR(Customers!B760&lt;18,Customers!B760&gt;100),"Implausible age","")</f>
        <v/>
      </c>
      <c r="E760" s="4" t="str">
        <f>IF(Customers!H760&gt;Customers!B760-18,"Tenure &gt; age-18","")</f>
        <v/>
      </c>
      <c r="F760" s="4" t="str">
        <f>IF(Customers!R760&gt;Customers!Q760,"Card spend &gt; limit","")</f>
        <v/>
      </c>
      <c r="G760" s="4" t="str">
        <f>IF(OR(AND(Customers!S760&gt;0,Customers!T760=0),AND(Customers!S760=0,Customers!T760&gt;0)),"Mortgage/payment inconsistent","")</f>
        <v/>
      </c>
      <c r="H760" s="4" t="str">
        <f>IF(AND(Customers!G760&lt;&gt;"",Customers!G760&gt;0,Customers!T760&gt;Customers!G760/12),"Payment &gt; monthly income","")</f>
        <v/>
      </c>
      <c r="I760" s="4" t="str">
        <f>IF(OR(Customers!I760&gt;DATE(2026,9,13),YEAR(Customers!I760)&lt;1980),"Implausible date","")</f>
        <v/>
      </c>
      <c r="J760" s="4" t="str">
        <f>IF(Customers!I760&gt;DATE(2026,9,13),"",IF(ABS(INT((DATE(2026,9,13)-Customers!I760)/365.25)-Customers!H760)&gt;1,"Date/tenure inconsistent",""))</f>
        <v/>
      </c>
      <c r="K760" s="4" t="str">
        <f>IF(COUNTIF(Customers!$A$2:$A$1001,Customers!A760)&gt;1,"Duplicate ID","")</f>
        <v/>
      </c>
      <c r="L760" s="4" t="str">
        <f>IF(COUNTIFS(Customers!$B$2:$B$1001,Customers!B760,Customers!$D$2:$D$1001,Customers!D760,Customers!$G$2:$G$1001,Customers!G760,Customers!$I$2:$I$1001,Customers!I760,Customers!$L$2:$L$1001,Customers!L760)&gt;1,"Duplicate record","")</f>
        <v/>
      </c>
      <c r="M760" s="4" t="str">
        <f>IF(OR(Customers!U760&lt;300,Customers!U760&gt;850),"Score out of range","")</f>
        <v/>
      </c>
      <c r="N760" s="4" t="str">
        <f>IF(AND(Customers!G760&lt;&gt;"",Customers!G760&lt;=0),"Income ≤ 0","")</f>
        <v/>
      </c>
      <c r="O760" s="4" t="str">
        <f>IF(OR(Customers!G760="",Customers!M760=""),"Missing value","")</f>
        <v/>
      </c>
      <c r="P760" s="4">
        <f t="shared" si="11"/>
        <v>0</v>
      </c>
    </row>
    <row r="761" spans="1:16" x14ac:dyDescent="0.25">
      <c r="A761" s="4" t="str">
        <f>Customers!A761</f>
        <v>CL00754</v>
      </c>
      <c r="B761" s="20">
        <f>IF(Customers!G761="","",(Customers!G761-Statistics!$C$7)/Statistics!$C$9)</f>
        <v>-1.3473172296542948E-2</v>
      </c>
      <c r="C761" s="4" t="str">
        <f>IF(Customers!G761="","",IF(OR(Customers!G761&lt;Statistics!$C$15,Customers!G761&gt;Statistics!$C$16),"Outside 1.5·IQR",""))</f>
        <v/>
      </c>
      <c r="D761" s="4" t="str">
        <f>IF(OR(Customers!B761&lt;18,Customers!B761&gt;100),"Implausible age","")</f>
        <v/>
      </c>
      <c r="E761" s="4" t="str">
        <f>IF(Customers!H761&gt;Customers!B761-18,"Tenure &gt; age-18","")</f>
        <v/>
      </c>
      <c r="F761" s="4" t="str">
        <f>IF(Customers!R761&gt;Customers!Q761,"Card spend &gt; limit","")</f>
        <v/>
      </c>
      <c r="G761" s="4" t="str">
        <f>IF(OR(AND(Customers!S761&gt;0,Customers!T761=0),AND(Customers!S761=0,Customers!T761&gt;0)),"Mortgage/payment inconsistent","")</f>
        <v/>
      </c>
      <c r="H761" s="4" t="str">
        <f>IF(AND(Customers!G761&lt;&gt;"",Customers!G761&gt;0,Customers!T761&gt;Customers!G761/12),"Payment &gt; monthly income","")</f>
        <v/>
      </c>
      <c r="I761" s="4" t="str">
        <f>IF(OR(Customers!I761&gt;DATE(2026,9,13),YEAR(Customers!I761)&lt;1980),"Implausible date","")</f>
        <v/>
      </c>
      <c r="J761" s="4" t="str">
        <f>IF(Customers!I761&gt;DATE(2026,9,13),"",IF(ABS(INT((DATE(2026,9,13)-Customers!I761)/365.25)-Customers!H761)&gt;1,"Date/tenure inconsistent",""))</f>
        <v/>
      </c>
      <c r="K761" s="4" t="str">
        <f>IF(COUNTIF(Customers!$A$2:$A$1001,Customers!A761)&gt;1,"Duplicate ID","")</f>
        <v/>
      </c>
      <c r="L761" s="4" t="str">
        <f>IF(COUNTIFS(Customers!$B$2:$B$1001,Customers!B761,Customers!$D$2:$D$1001,Customers!D761,Customers!$G$2:$G$1001,Customers!G761,Customers!$I$2:$I$1001,Customers!I761,Customers!$L$2:$L$1001,Customers!L761)&gt;1,"Duplicate record","")</f>
        <v/>
      </c>
      <c r="M761" s="4" t="str">
        <f>IF(OR(Customers!U761&lt;300,Customers!U761&gt;850),"Score out of range","")</f>
        <v/>
      </c>
      <c r="N761" s="4" t="str">
        <f>IF(AND(Customers!G761&lt;&gt;"",Customers!G761&lt;=0),"Income ≤ 0","")</f>
        <v/>
      </c>
      <c r="O761" s="4" t="str">
        <f>IF(OR(Customers!G761="",Customers!M761=""),"Missing value","")</f>
        <v/>
      </c>
      <c r="P761" s="4">
        <f t="shared" si="11"/>
        <v>0</v>
      </c>
    </row>
    <row r="762" spans="1:16" x14ac:dyDescent="0.25">
      <c r="A762" s="4" t="str">
        <f>Customers!A762</f>
        <v>CL00755</v>
      </c>
      <c r="B762" s="20">
        <f>IF(Customers!G762="","",(Customers!G762-Statistics!$C$7)/Statistics!$C$9)</f>
        <v>-6.2817834908471162E-2</v>
      </c>
      <c r="C762" s="4" t="str">
        <f>IF(Customers!G762="","",IF(OR(Customers!G762&lt;Statistics!$C$15,Customers!G762&gt;Statistics!$C$16),"Outside 1.5·IQR",""))</f>
        <v/>
      </c>
      <c r="D762" s="4" t="str">
        <f>IF(OR(Customers!B762&lt;18,Customers!B762&gt;100),"Implausible age","")</f>
        <v/>
      </c>
      <c r="E762" s="4" t="str">
        <f>IF(Customers!H762&gt;Customers!B762-18,"Tenure &gt; age-18","")</f>
        <v/>
      </c>
      <c r="F762" s="4" t="str">
        <f>IF(Customers!R762&gt;Customers!Q762,"Card spend &gt; limit","")</f>
        <v/>
      </c>
      <c r="G762" s="4" t="str">
        <f>IF(OR(AND(Customers!S762&gt;0,Customers!T762=0),AND(Customers!S762=0,Customers!T762&gt;0)),"Mortgage/payment inconsistent","")</f>
        <v/>
      </c>
      <c r="H762" s="4" t="str">
        <f>IF(AND(Customers!G762&lt;&gt;"",Customers!G762&gt;0,Customers!T762&gt;Customers!G762/12),"Payment &gt; monthly income","")</f>
        <v/>
      </c>
      <c r="I762" s="4" t="str">
        <f>IF(OR(Customers!I762&gt;DATE(2026,9,13),YEAR(Customers!I762)&lt;1980),"Implausible date","")</f>
        <v/>
      </c>
      <c r="J762" s="4" t="str">
        <f>IF(Customers!I762&gt;DATE(2026,9,13),"",IF(ABS(INT((DATE(2026,9,13)-Customers!I762)/365.25)-Customers!H762)&gt;1,"Date/tenure inconsistent",""))</f>
        <v/>
      </c>
      <c r="K762" s="4" t="str">
        <f>IF(COUNTIF(Customers!$A$2:$A$1001,Customers!A762)&gt;1,"Duplicate ID","")</f>
        <v/>
      </c>
      <c r="L762" s="4" t="str">
        <f>IF(COUNTIFS(Customers!$B$2:$B$1001,Customers!B762,Customers!$D$2:$D$1001,Customers!D762,Customers!$G$2:$G$1001,Customers!G762,Customers!$I$2:$I$1001,Customers!I762,Customers!$L$2:$L$1001,Customers!L762)&gt;1,"Duplicate record","")</f>
        <v/>
      </c>
      <c r="M762" s="4" t="str">
        <f>IF(OR(Customers!U762&lt;300,Customers!U762&gt;850),"Score out of range","")</f>
        <v/>
      </c>
      <c r="N762" s="4" t="str">
        <f>IF(AND(Customers!G762&lt;&gt;"",Customers!G762&lt;=0),"Income ≤ 0","")</f>
        <v/>
      </c>
      <c r="O762" s="4" t="str">
        <f>IF(OR(Customers!G762="",Customers!M762=""),"Missing value","")</f>
        <v/>
      </c>
      <c r="P762" s="4">
        <f t="shared" si="11"/>
        <v>0</v>
      </c>
    </row>
    <row r="763" spans="1:16" x14ac:dyDescent="0.25">
      <c r="A763" s="4" t="str">
        <f>Customers!A763</f>
        <v>CL00756</v>
      </c>
      <c r="B763" s="20">
        <f>IF(Customers!G763="","",(Customers!G763-Statistics!$C$7)/Statistics!$C$9)</f>
        <v>-4.1149519989061571E-2</v>
      </c>
      <c r="C763" s="4" t="str">
        <f>IF(Customers!G763="","",IF(OR(Customers!G763&lt;Statistics!$C$15,Customers!G763&gt;Statistics!$C$16),"Outside 1.5·IQR",""))</f>
        <v/>
      </c>
      <c r="D763" s="4" t="str">
        <f>IF(OR(Customers!B763&lt;18,Customers!B763&gt;100),"Implausible age","")</f>
        <v/>
      </c>
      <c r="E763" s="4" t="str">
        <f>IF(Customers!H763&gt;Customers!B763-18,"Tenure &gt; age-18","")</f>
        <v/>
      </c>
      <c r="F763" s="4" t="str">
        <f>IF(Customers!R763&gt;Customers!Q763,"Card spend &gt; limit","")</f>
        <v/>
      </c>
      <c r="G763" s="4" t="str">
        <f>IF(OR(AND(Customers!S763&gt;0,Customers!T763=0),AND(Customers!S763=0,Customers!T763&gt;0)),"Mortgage/payment inconsistent","")</f>
        <v/>
      </c>
      <c r="H763" s="4" t="str">
        <f>IF(AND(Customers!G763&lt;&gt;"",Customers!G763&gt;0,Customers!T763&gt;Customers!G763/12),"Payment &gt; monthly income","")</f>
        <v/>
      </c>
      <c r="I763" s="4" t="str">
        <f>IF(OR(Customers!I763&gt;DATE(2026,9,13),YEAR(Customers!I763)&lt;1980),"Implausible date","")</f>
        <v/>
      </c>
      <c r="J763" s="4" t="str">
        <f>IF(Customers!I763&gt;DATE(2026,9,13),"",IF(ABS(INT((DATE(2026,9,13)-Customers!I763)/365.25)-Customers!H763)&gt;1,"Date/tenure inconsistent",""))</f>
        <v/>
      </c>
      <c r="K763" s="4" t="str">
        <f>IF(COUNTIF(Customers!$A$2:$A$1001,Customers!A763)&gt;1,"Duplicate ID","")</f>
        <v/>
      </c>
      <c r="L763" s="4" t="str">
        <f>IF(COUNTIFS(Customers!$B$2:$B$1001,Customers!B763,Customers!$D$2:$D$1001,Customers!D763,Customers!$G$2:$G$1001,Customers!G763,Customers!$I$2:$I$1001,Customers!I763,Customers!$L$2:$L$1001,Customers!L763)&gt;1,"Duplicate record","")</f>
        <v/>
      </c>
      <c r="M763" s="4" t="str">
        <f>IF(OR(Customers!U763&lt;300,Customers!U763&gt;850),"Score out of range","")</f>
        <v/>
      </c>
      <c r="N763" s="4" t="str">
        <f>IF(AND(Customers!G763&lt;&gt;"",Customers!G763&lt;=0),"Income ≤ 0","")</f>
        <v/>
      </c>
      <c r="O763" s="4" t="str">
        <f>IF(OR(Customers!G763="",Customers!M763=""),"Missing value","")</f>
        <v/>
      </c>
      <c r="P763" s="4">
        <f t="shared" si="11"/>
        <v>0</v>
      </c>
    </row>
    <row r="764" spans="1:16" x14ac:dyDescent="0.25">
      <c r="A764" s="4" t="str">
        <f>Customers!A764</f>
        <v>CL00757</v>
      </c>
      <c r="B764" s="20">
        <f>IF(Customers!G764="","",(Customers!G764-Statistics!$C$7)/Statistics!$C$9)</f>
        <v>-3.9179673178206149E-2</v>
      </c>
      <c r="C764" s="4" t="str">
        <f>IF(Customers!G764="","",IF(OR(Customers!G764&lt;Statistics!$C$15,Customers!G764&gt;Statistics!$C$16),"Outside 1.5·IQR",""))</f>
        <v/>
      </c>
      <c r="D764" s="4" t="str">
        <f>IF(OR(Customers!B764&lt;18,Customers!B764&gt;100),"Implausible age","")</f>
        <v/>
      </c>
      <c r="E764" s="4" t="str">
        <f>IF(Customers!H764&gt;Customers!B764-18,"Tenure &gt; age-18","")</f>
        <v/>
      </c>
      <c r="F764" s="4" t="str">
        <f>IF(Customers!R764&gt;Customers!Q764,"Card spend &gt; limit","")</f>
        <v/>
      </c>
      <c r="G764" s="4" t="str">
        <f>IF(OR(AND(Customers!S764&gt;0,Customers!T764=0),AND(Customers!S764=0,Customers!T764&gt;0)),"Mortgage/payment inconsistent","")</f>
        <v/>
      </c>
      <c r="H764" s="4" t="str">
        <f>IF(AND(Customers!G764&lt;&gt;"",Customers!G764&gt;0,Customers!T764&gt;Customers!G764/12),"Payment &gt; monthly income","")</f>
        <v/>
      </c>
      <c r="I764" s="4" t="str">
        <f>IF(OR(Customers!I764&gt;DATE(2026,9,13),YEAR(Customers!I764)&lt;1980),"Implausible date","")</f>
        <v/>
      </c>
      <c r="J764" s="4" t="str">
        <f>IF(Customers!I764&gt;DATE(2026,9,13),"",IF(ABS(INT((DATE(2026,9,13)-Customers!I764)/365.25)-Customers!H764)&gt;1,"Date/tenure inconsistent",""))</f>
        <v/>
      </c>
      <c r="K764" s="4" t="str">
        <f>IF(COUNTIF(Customers!$A$2:$A$1001,Customers!A764)&gt;1,"Duplicate ID","")</f>
        <v/>
      </c>
      <c r="L764" s="4" t="str">
        <f>IF(COUNTIFS(Customers!$B$2:$B$1001,Customers!B764,Customers!$D$2:$D$1001,Customers!D764,Customers!$G$2:$G$1001,Customers!G764,Customers!$I$2:$I$1001,Customers!I764,Customers!$L$2:$L$1001,Customers!L764)&gt;1,"Duplicate record","")</f>
        <v/>
      </c>
      <c r="M764" s="4" t="str">
        <f>IF(OR(Customers!U764&lt;300,Customers!U764&gt;850),"Score out of range","")</f>
        <v/>
      </c>
      <c r="N764" s="4" t="str">
        <f>IF(AND(Customers!G764&lt;&gt;"",Customers!G764&lt;=0),"Income ≤ 0","")</f>
        <v/>
      </c>
      <c r="O764" s="4" t="str">
        <f>IF(OR(Customers!G764="",Customers!M764=""),"Missing value","")</f>
        <v/>
      </c>
      <c r="P764" s="4">
        <f t="shared" si="11"/>
        <v>0</v>
      </c>
    </row>
    <row r="765" spans="1:16" x14ac:dyDescent="0.25">
      <c r="A765" s="4" t="str">
        <f>Customers!A765</f>
        <v>CL00758</v>
      </c>
      <c r="B765" s="20">
        <f>IF(Customers!G765="","",(Customers!G765-Statistics!$C$7)/Statistics!$C$9)</f>
        <v>6.0593067791620769E-2</v>
      </c>
      <c r="C765" s="4" t="str">
        <f>IF(Customers!G765="","",IF(OR(Customers!G765&lt;Statistics!$C$15,Customers!G765&gt;Statistics!$C$16),"Outside 1.5·IQR",""))</f>
        <v>Outside 1.5·IQR</v>
      </c>
      <c r="D765" s="4" t="str">
        <f>IF(OR(Customers!B765&lt;18,Customers!B765&gt;100),"Implausible age","")</f>
        <v/>
      </c>
      <c r="E765" s="4" t="str">
        <f>IF(Customers!H765&gt;Customers!B765-18,"Tenure &gt; age-18","")</f>
        <v/>
      </c>
      <c r="F765" s="4" t="str">
        <f>IF(Customers!R765&gt;Customers!Q765,"Card spend &gt; limit","")</f>
        <v/>
      </c>
      <c r="G765" s="4" t="str">
        <f>IF(OR(AND(Customers!S765&gt;0,Customers!T765=0),AND(Customers!S765=0,Customers!T765&gt;0)),"Mortgage/payment inconsistent","")</f>
        <v/>
      </c>
      <c r="H765" s="4" t="str">
        <f>IF(AND(Customers!G765&lt;&gt;"",Customers!G765&gt;0,Customers!T765&gt;Customers!G765/12),"Payment &gt; monthly income","")</f>
        <v/>
      </c>
      <c r="I765" s="4" t="str">
        <f>IF(OR(Customers!I765&gt;DATE(2026,9,13),YEAR(Customers!I765)&lt;1980),"Implausible date","")</f>
        <v/>
      </c>
      <c r="J765" s="4" t="str">
        <f>IF(Customers!I765&gt;DATE(2026,9,13),"",IF(ABS(INT((DATE(2026,9,13)-Customers!I765)/365.25)-Customers!H765)&gt;1,"Date/tenure inconsistent",""))</f>
        <v/>
      </c>
      <c r="K765" s="4" t="str">
        <f>IF(COUNTIF(Customers!$A$2:$A$1001,Customers!A765)&gt;1,"Duplicate ID","")</f>
        <v/>
      </c>
      <c r="L765" s="4" t="str">
        <f>IF(COUNTIFS(Customers!$B$2:$B$1001,Customers!B765,Customers!$D$2:$D$1001,Customers!D765,Customers!$G$2:$G$1001,Customers!G765,Customers!$I$2:$I$1001,Customers!I765,Customers!$L$2:$L$1001,Customers!L765)&gt;1,"Duplicate record","")</f>
        <v/>
      </c>
      <c r="M765" s="4" t="str">
        <f>IF(OR(Customers!U765&lt;300,Customers!U765&gt;850),"Score out of range","")</f>
        <v/>
      </c>
      <c r="N765" s="4" t="str">
        <f>IF(AND(Customers!G765&lt;&gt;"",Customers!G765&lt;=0),"Income ≤ 0","")</f>
        <v/>
      </c>
      <c r="O765" s="4" t="str">
        <f>IF(OR(Customers!G765="",Customers!M765=""),"Missing value","")</f>
        <v/>
      </c>
      <c r="P765" s="4">
        <f t="shared" si="11"/>
        <v>1</v>
      </c>
    </row>
    <row r="766" spans="1:16" x14ac:dyDescent="0.25">
      <c r="A766" s="4" t="str">
        <f>Customers!A766</f>
        <v>CL00759</v>
      </c>
      <c r="B766" s="20">
        <f>IF(Customers!G766="","",(Customers!G766-Statistics!$C$7)/Statistics!$C$9)</f>
        <v>-3.4747517853781461E-2</v>
      </c>
      <c r="C766" s="4" t="str">
        <f>IF(Customers!G766="","",IF(OR(Customers!G766&lt;Statistics!$C$15,Customers!G766&gt;Statistics!$C$16),"Outside 1.5·IQR",""))</f>
        <v/>
      </c>
      <c r="D766" s="4" t="str">
        <f>IF(OR(Customers!B766&lt;18,Customers!B766&gt;100),"Implausible age","")</f>
        <v/>
      </c>
      <c r="E766" s="4" t="str">
        <f>IF(Customers!H766&gt;Customers!B766-18,"Tenure &gt; age-18","")</f>
        <v/>
      </c>
      <c r="F766" s="4" t="str">
        <f>IF(Customers!R766&gt;Customers!Q766,"Card spend &gt; limit","")</f>
        <v/>
      </c>
      <c r="G766" s="4" t="str">
        <f>IF(OR(AND(Customers!S766&gt;0,Customers!T766=0),AND(Customers!S766=0,Customers!T766&gt;0)),"Mortgage/payment inconsistent","")</f>
        <v/>
      </c>
      <c r="H766" s="4" t="str">
        <f>IF(AND(Customers!G766&lt;&gt;"",Customers!G766&gt;0,Customers!T766&gt;Customers!G766/12),"Payment &gt; monthly income","")</f>
        <v/>
      </c>
      <c r="I766" s="4" t="str">
        <f>IF(OR(Customers!I766&gt;DATE(2026,9,13),YEAR(Customers!I766)&lt;1980),"Implausible date","")</f>
        <v/>
      </c>
      <c r="J766" s="4" t="str">
        <f>IF(Customers!I766&gt;DATE(2026,9,13),"",IF(ABS(INT((DATE(2026,9,13)-Customers!I766)/365.25)-Customers!H766)&gt;1,"Date/tenure inconsistent",""))</f>
        <v/>
      </c>
      <c r="K766" s="4" t="str">
        <f>IF(COUNTIF(Customers!$A$2:$A$1001,Customers!A766)&gt;1,"Duplicate ID","")</f>
        <v/>
      </c>
      <c r="L766" s="4" t="str">
        <f>IF(COUNTIFS(Customers!$B$2:$B$1001,Customers!B766,Customers!$D$2:$D$1001,Customers!D766,Customers!$G$2:$G$1001,Customers!G766,Customers!$I$2:$I$1001,Customers!I766,Customers!$L$2:$L$1001,Customers!L766)&gt;1,"Duplicate record","")</f>
        <v/>
      </c>
      <c r="M766" s="4" t="str">
        <f>IF(OR(Customers!U766&lt;300,Customers!U766&gt;850),"Score out of range","")</f>
        <v/>
      </c>
      <c r="N766" s="4" t="str">
        <f>IF(AND(Customers!G766&lt;&gt;"",Customers!G766&lt;=0),"Income ≤ 0","")</f>
        <v/>
      </c>
      <c r="O766" s="4" t="str">
        <f>IF(OR(Customers!G766="",Customers!M766=""),"Missing value","")</f>
        <v/>
      </c>
      <c r="P766" s="4">
        <f t="shared" si="11"/>
        <v>0</v>
      </c>
    </row>
    <row r="767" spans="1:16" x14ac:dyDescent="0.25">
      <c r="A767" s="4" t="str">
        <f>Customers!A767</f>
        <v>CL00760</v>
      </c>
      <c r="B767" s="20">
        <f>IF(Customers!G767="","",(Customers!G767-Statistics!$C$7)/Statistics!$C$9)</f>
        <v>-6.5181651081497663E-2</v>
      </c>
      <c r="C767" s="4" t="str">
        <f>IF(Customers!G767="","",IF(OR(Customers!G767&lt;Statistics!$C$15,Customers!G767&gt;Statistics!$C$16),"Outside 1.5·IQR",""))</f>
        <v/>
      </c>
      <c r="D767" s="4" t="str">
        <f>IF(OR(Customers!B767&lt;18,Customers!B767&gt;100),"Implausible age","")</f>
        <v/>
      </c>
      <c r="E767" s="4" t="str">
        <f>IF(Customers!H767&gt;Customers!B767-18,"Tenure &gt; age-18","")</f>
        <v>Tenure &gt; age-18</v>
      </c>
      <c r="F767" s="4" t="str">
        <f>IF(Customers!R767&gt;Customers!Q767,"Card spend &gt; limit","")</f>
        <v/>
      </c>
      <c r="G767" s="4" t="str">
        <f>IF(OR(AND(Customers!S767&gt;0,Customers!T767=0),AND(Customers!S767=0,Customers!T767&gt;0)),"Mortgage/payment inconsistent","")</f>
        <v/>
      </c>
      <c r="H767" s="4" t="str">
        <f>IF(AND(Customers!G767&lt;&gt;"",Customers!G767&gt;0,Customers!T767&gt;Customers!G767/12),"Payment &gt; monthly income","")</f>
        <v/>
      </c>
      <c r="I767" s="4" t="str">
        <f>IF(OR(Customers!I767&gt;DATE(2026,9,13),YEAR(Customers!I767)&lt;1980),"Implausible date","")</f>
        <v/>
      </c>
      <c r="J767" s="4" t="str">
        <f>IF(Customers!I767&gt;DATE(2026,9,13),"",IF(ABS(INT((DATE(2026,9,13)-Customers!I767)/365.25)-Customers!H767)&gt;1,"Date/tenure inconsistent",""))</f>
        <v/>
      </c>
      <c r="K767" s="4" t="str">
        <f>IF(COUNTIF(Customers!$A$2:$A$1001,Customers!A767)&gt;1,"Duplicate ID","")</f>
        <v/>
      </c>
      <c r="L767" s="4" t="str">
        <f>IF(COUNTIFS(Customers!$B$2:$B$1001,Customers!B767,Customers!$D$2:$D$1001,Customers!D767,Customers!$G$2:$G$1001,Customers!G767,Customers!$I$2:$I$1001,Customers!I767,Customers!$L$2:$L$1001,Customers!L767)&gt;1,"Duplicate record","")</f>
        <v/>
      </c>
      <c r="M767" s="4" t="str">
        <f>IF(OR(Customers!U767&lt;300,Customers!U767&gt;850),"Score out of range","")</f>
        <v/>
      </c>
      <c r="N767" s="4" t="str">
        <f>IF(AND(Customers!G767&lt;&gt;"",Customers!G767&lt;=0),"Income ≤ 0","")</f>
        <v/>
      </c>
      <c r="O767" s="4" t="str">
        <f>IF(OR(Customers!G767="",Customers!M767=""),"Missing value","")</f>
        <v/>
      </c>
      <c r="P767" s="4">
        <f t="shared" si="11"/>
        <v>1</v>
      </c>
    </row>
    <row r="768" spans="1:16" x14ac:dyDescent="0.25">
      <c r="A768" s="4" t="str">
        <f>Customers!A768</f>
        <v>CL00761</v>
      </c>
      <c r="B768" s="20">
        <f>IF(Customers!G768="","",(Customers!G768-Statistics!$C$7)/Statistics!$C$9)</f>
        <v>-1.4064126339799574E-2</v>
      </c>
      <c r="C768" s="4" t="str">
        <f>IF(Customers!G768="","",IF(OR(Customers!G768&lt;Statistics!$C$15,Customers!G768&gt;Statistics!$C$16),"Outside 1.5·IQR",""))</f>
        <v/>
      </c>
      <c r="D768" s="4" t="str">
        <f>IF(OR(Customers!B768&lt;18,Customers!B768&gt;100),"Implausible age","")</f>
        <v/>
      </c>
      <c r="E768" s="4" t="str">
        <f>IF(Customers!H768&gt;Customers!B768-18,"Tenure &gt; age-18","")</f>
        <v/>
      </c>
      <c r="F768" s="4" t="str">
        <f>IF(Customers!R768&gt;Customers!Q768,"Card spend &gt; limit","")</f>
        <v/>
      </c>
      <c r="G768" s="4" t="str">
        <f>IF(OR(AND(Customers!S768&gt;0,Customers!T768=0),AND(Customers!S768=0,Customers!T768&gt;0)),"Mortgage/payment inconsistent","")</f>
        <v/>
      </c>
      <c r="H768" s="4" t="str">
        <f>IF(AND(Customers!G768&lt;&gt;"",Customers!G768&gt;0,Customers!T768&gt;Customers!G768/12),"Payment &gt; monthly income","")</f>
        <v/>
      </c>
      <c r="I768" s="4" t="str">
        <f>IF(OR(Customers!I768&gt;DATE(2026,9,13),YEAR(Customers!I768)&lt;1980),"Implausible date","")</f>
        <v/>
      </c>
      <c r="J768" s="4" t="str">
        <f>IF(Customers!I768&gt;DATE(2026,9,13),"",IF(ABS(INT((DATE(2026,9,13)-Customers!I768)/365.25)-Customers!H768)&gt;1,"Date/tenure inconsistent",""))</f>
        <v/>
      </c>
      <c r="K768" s="4" t="str">
        <f>IF(COUNTIF(Customers!$A$2:$A$1001,Customers!A768)&gt;1,"Duplicate ID","")</f>
        <v/>
      </c>
      <c r="L768" s="4" t="str">
        <f>IF(COUNTIFS(Customers!$B$2:$B$1001,Customers!B768,Customers!$D$2:$D$1001,Customers!D768,Customers!$G$2:$G$1001,Customers!G768,Customers!$I$2:$I$1001,Customers!I768,Customers!$L$2:$L$1001,Customers!L768)&gt;1,"Duplicate record","")</f>
        <v/>
      </c>
      <c r="M768" s="4" t="str">
        <f>IF(OR(Customers!U768&lt;300,Customers!U768&gt;850),"Score out of range","")</f>
        <v/>
      </c>
      <c r="N768" s="4" t="str">
        <f>IF(AND(Customers!G768&lt;&gt;"",Customers!G768&lt;=0),"Income ≤ 0","")</f>
        <v/>
      </c>
      <c r="O768" s="4" t="str">
        <f>IF(OR(Customers!G768="",Customers!M768=""),"Missing value","")</f>
        <v/>
      </c>
      <c r="P768" s="4">
        <f t="shared" si="11"/>
        <v>0</v>
      </c>
    </row>
    <row r="769" spans="1:16" x14ac:dyDescent="0.25">
      <c r="A769" s="4" t="str">
        <f>Customers!A769</f>
        <v>CL00762</v>
      </c>
      <c r="B769" s="20">
        <f>IF(Customers!G769="","",(Customers!G769-Statistics!$C$7)/Statistics!$C$9)</f>
        <v>-1.4261111020885115E-2</v>
      </c>
      <c r="C769" s="4" t="str">
        <f>IF(Customers!G769="","",IF(OR(Customers!G769&lt;Statistics!$C$15,Customers!G769&gt;Statistics!$C$16),"Outside 1.5·IQR",""))</f>
        <v/>
      </c>
      <c r="D769" s="4" t="str">
        <f>IF(OR(Customers!B769&lt;18,Customers!B769&gt;100),"Implausible age","")</f>
        <v/>
      </c>
      <c r="E769" s="4" t="str">
        <f>IF(Customers!H769&gt;Customers!B769-18,"Tenure &gt; age-18","")</f>
        <v/>
      </c>
      <c r="F769" s="4" t="str">
        <f>IF(Customers!R769&gt;Customers!Q769,"Card spend &gt; limit","")</f>
        <v/>
      </c>
      <c r="G769" s="4" t="str">
        <f>IF(OR(AND(Customers!S769&gt;0,Customers!T769=0),AND(Customers!S769=0,Customers!T769&gt;0)),"Mortgage/payment inconsistent","")</f>
        <v/>
      </c>
      <c r="H769" s="4" t="str">
        <f>IF(AND(Customers!G769&lt;&gt;"",Customers!G769&gt;0,Customers!T769&gt;Customers!G769/12),"Payment &gt; monthly income","")</f>
        <v/>
      </c>
      <c r="I769" s="4" t="str">
        <f>IF(OR(Customers!I769&gt;DATE(2026,9,13),YEAR(Customers!I769)&lt;1980),"Implausible date","")</f>
        <v/>
      </c>
      <c r="J769" s="4" t="str">
        <f>IF(Customers!I769&gt;DATE(2026,9,13),"",IF(ABS(INT((DATE(2026,9,13)-Customers!I769)/365.25)-Customers!H769)&gt;1,"Date/tenure inconsistent",""))</f>
        <v/>
      </c>
      <c r="K769" s="4" t="str">
        <f>IF(COUNTIF(Customers!$A$2:$A$1001,Customers!A769)&gt;1,"Duplicate ID","")</f>
        <v/>
      </c>
      <c r="L769" s="4" t="str">
        <f>IF(COUNTIFS(Customers!$B$2:$B$1001,Customers!B769,Customers!$D$2:$D$1001,Customers!D769,Customers!$G$2:$G$1001,Customers!G769,Customers!$I$2:$I$1001,Customers!I769,Customers!$L$2:$L$1001,Customers!L769)&gt;1,"Duplicate record","")</f>
        <v/>
      </c>
      <c r="M769" s="4" t="str">
        <f>IF(OR(Customers!U769&lt;300,Customers!U769&gt;850),"Score out of range","")</f>
        <v/>
      </c>
      <c r="N769" s="4" t="str">
        <f>IF(AND(Customers!G769&lt;&gt;"",Customers!G769&lt;=0),"Income ≤ 0","")</f>
        <v/>
      </c>
      <c r="O769" s="4" t="str">
        <f>IF(OR(Customers!G769="",Customers!M769=""),"Missing value","")</f>
        <v/>
      </c>
      <c r="P769" s="4">
        <f t="shared" si="11"/>
        <v>0</v>
      </c>
    </row>
    <row r="770" spans="1:16" x14ac:dyDescent="0.25">
      <c r="A770" s="4" t="str">
        <f>Customers!A770</f>
        <v>CL00763</v>
      </c>
      <c r="B770" s="20">
        <f>IF(Customers!G770="","",(Customers!G770-Statistics!$C$7)/Statistics!$C$9)</f>
        <v>-3.9770627221462775E-2</v>
      </c>
      <c r="C770" s="4" t="str">
        <f>IF(Customers!G770="","",IF(OR(Customers!G770&lt;Statistics!$C$15,Customers!G770&gt;Statistics!$C$16),"Outside 1.5·IQR",""))</f>
        <v/>
      </c>
      <c r="D770" s="4" t="str">
        <f>IF(OR(Customers!B770&lt;18,Customers!B770&gt;100),"Implausible age","")</f>
        <v/>
      </c>
      <c r="E770" s="4" t="str">
        <f>IF(Customers!H770&gt;Customers!B770-18,"Tenure &gt; age-18","")</f>
        <v/>
      </c>
      <c r="F770" s="4" t="str">
        <f>IF(Customers!R770&gt;Customers!Q770,"Card spend &gt; limit","")</f>
        <v/>
      </c>
      <c r="G770" s="4" t="str">
        <f>IF(OR(AND(Customers!S770&gt;0,Customers!T770=0),AND(Customers!S770=0,Customers!T770&gt;0)),"Mortgage/payment inconsistent","")</f>
        <v/>
      </c>
      <c r="H770" s="4" t="str">
        <f>IF(AND(Customers!G770&lt;&gt;"",Customers!G770&gt;0,Customers!T770&gt;Customers!G770/12),"Payment &gt; monthly income","")</f>
        <v/>
      </c>
      <c r="I770" s="4" t="str">
        <f>IF(OR(Customers!I770&gt;DATE(2026,9,13),YEAR(Customers!I770)&lt;1980),"Implausible date","")</f>
        <v/>
      </c>
      <c r="J770" s="4" t="str">
        <f>IF(Customers!I770&gt;DATE(2026,9,13),"",IF(ABS(INT((DATE(2026,9,13)-Customers!I770)/365.25)-Customers!H770)&gt;1,"Date/tenure inconsistent",""))</f>
        <v/>
      </c>
      <c r="K770" s="4" t="str">
        <f>IF(COUNTIF(Customers!$A$2:$A$1001,Customers!A770)&gt;1,"Duplicate ID","")</f>
        <v/>
      </c>
      <c r="L770" s="4" t="str">
        <f>IF(COUNTIFS(Customers!$B$2:$B$1001,Customers!B770,Customers!$D$2:$D$1001,Customers!D770,Customers!$G$2:$G$1001,Customers!G770,Customers!$I$2:$I$1001,Customers!I770,Customers!$L$2:$L$1001,Customers!L770)&gt;1,"Duplicate record","")</f>
        <v/>
      </c>
      <c r="M770" s="4" t="str">
        <f>IF(OR(Customers!U770&lt;300,Customers!U770&gt;850),"Score out of range","")</f>
        <v/>
      </c>
      <c r="N770" s="4" t="str">
        <f>IF(AND(Customers!G770&lt;&gt;"",Customers!G770&lt;=0),"Income ≤ 0","")</f>
        <v/>
      </c>
      <c r="O770" s="4" t="str">
        <f>IF(OR(Customers!G770="",Customers!M770=""),"Missing value","")</f>
        <v/>
      </c>
      <c r="P770" s="4">
        <f t="shared" ref="P770:P833" si="12">SUMPRODUCT(--(C770:O770&lt;&gt;""))</f>
        <v>0</v>
      </c>
    </row>
    <row r="771" spans="1:16" x14ac:dyDescent="0.25">
      <c r="A771" s="4" t="str">
        <f>Customers!A771</f>
        <v>CL00764</v>
      </c>
      <c r="B771" s="20">
        <f>IF(Customers!G771="","",(Customers!G771-Statistics!$C$7)/Statistics!$C$9)</f>
        <v>-4.7453029783798908E-2</v>
      </c>
      <c r="C771" s="4" t="str">
        <f>IF(Customers!G771="","",IF(OR(Customers!G771&lt;Statistics!$C$15,Customers!G771&gt;Statistics!$C$16),"Outside 1.5·IQR",""))</f>
        <v/>
      </c>
      <c r="D771" s="4" t="str">
        <f>IF(OR(Customers!B771&lt;18,Customers!B771&gt;100),"Implausible age","")</f>
        <v/>
      </c>
      <c r="E771" s="4" t="str">
        <f>IF(Customers!H771&gt;Customers!B771-18,"Tenure &gt; age-18","")</f>
        <v/>
      </c>
      <c r="F771" s="4" t="str">
        <f>IF(Customers!R771&gt;Customers!Q771,"Card spend &gt; limit","")</f>
        <v/>
      </c>
      <c r="G771" s="4" t="str">
        <f>IF(OR(AND(Customers!S771&gt;0,Customers!T771=0),AND(Customers!S771=0,Customers!T771&gt;0)),"Mortgage/payment inconsistent","")</f>
        <v/>
      </c>
      <c r="H771" s="4" t="str">
        <f>IF(AND(Customers!G771&lt;&gt;"",Customers!G771&gt;0,Customers!T771&gt;Customers!G771/12),"Payment &gt; monthly income","")</f>
        <v/>
      </c>
      <c r="I771" s="4" t="str">
        <f>IF(OR(Customers!I771&gt;DATE(2026,9,13),YEAR(Customers!I771)&lt;1980),"Implausible date","")</f>
        <v/>
      </c>
      <c r="J771" s="4" t="str">
        <f>IF(Customers!I771&gt;DATE(2026,9,13),"",IF(ABS(INT((DATE(2026,9,13)-Customers!I771)/365.25)-Customers!H771)&gt;1,"Date/tenure inconsistent",""))</f>
        <v/>
      </c>
      <c r="K771" s="4" t="str">
        <f>IF(COUNTIF(Customers!$A$2:$A$1001,Customers!A771)&gt;1,"Duplicate ID","")</f>
        <v/>
      </c>
      <c r="L771" s="4" t="str">
        <f>IF(COUNTIFS(Customers!$B$2:$B$1001,Customers!B771,Customers!$D$2:$D$1001,Customers!D771,Customers!$G$2:$G$1001,Customers!G771,Customers!$I$2:$I$1001,Customers!I771,Customers!$L$2:$L$1001,Customers!L771)&gt;1,"Duplicate record","")</f>
        <v>Duplicate record</v>
      </c>
      <c r="M771" s="4" t="str">
        <f>IF(OR(Customers!U771&lt;300,Customers!U771&gt;850),"Score out of range","")</f>
        <v/>
      </c>
      <c r="N771" s="4" t="str">
        <f>IF(AND(Customers!G771&lt;&gt;"",Customers!G771&lt;=0),"Income ≤ 0","")</f>
        <v/>
      </c>
      <c r="O771" s="4" t="str">
        <f>IF(OR(Customers!G771="",Customers!M771=""),"Missing value","")</f>
        <v/>
      </c>
      <c r="P771" s="4">
        <f t="shared" si="12"/>
        <v>1</v>
      </c>
    </row>
    <row r="772" spans="1:16" x14ac:dyDescent="0.25">
      <c r="A772" s="4" t="str">
        <f>Customers!A772</f>
        <v>CL00765</v>
      </c>
      <c r="B772" s="20">
        <f>IF(Customers!G772="","",(Customers!G772-Statistics!$C$7)/Statistics!$C$9)</f>
        <v>-4.9521368935197096E-2</v>
      </c>
      <c r="C772" s="4" t="str">
        <f>IF(Customers!G772="","",IF(OR(Customers!G772&lt;Statistics!$C$15,Customers!G772&gt;Statistics!$C$16),"Outside 1.5·IQR",""))</f>
        <v/>
      </c>
      <c r="D772" s="4" t="str">
        <f>IF(OR(Customers!B772&lt;18,Customers!B772&gt;100),"Implausible age","")</f>
        <v/>
      </c>
      <c r="E772" s="4" t="str">
        <f>IF(Customers!H772&gt;Customers!B772-18,"Tenure &gt; age-18","")</f>
        <v/>
      </c>
      <c r="F772" s="4" t="str">
        <f>IF(Customers!R772&gt;Customers!Q772,"Card spend &gt; limit","")</f>
        <v/>
      </c>
      <c r="G772" s="4" t="str">
        <f>IF(OR(AND(Customers!S772&gt;0,Customers!T772=0),AND(Customers!S772=0,Customers!T772&gt;0)),"Mortgage/payment inconsistent","")</f>
        <v/>
      </c>
      <c r="H772" s="4" t="str">
        <f>IF(AND(Customers!G772&lt;&gt;"",Customers!G772&gt;0,Customers!T772&gt;Customers!G772/12),"Payment &gt; monthly income","")</f>
        <v/>
      </c>
      <c r="I772" s="4" t="str">
        <f>IF(OR(Customers!I772&gt;DATE(2026,9,13),YEAR(Customers!I772)&lt;1980),"Implausible date","")</f>
        <v/>
      </c>
      <c r="J772" s="4" t="str">
        <f>IF(Customers!I772&gt;DATE(2026,9,13),"",IF(ABS(INT((DATE(2026,9,13)-Customers!I772)/365.25)-Customers!H772)&gt;1,"Date/tenure inconsistent",""))</f>
        <v/>
      </c>
      <c r="K772" s="4" t="str">
        <f>IF(COUNTIF(Customers!$A$2:$A$1001,Customers!A772)&gt;1,"Duplicate ID","")</f>
        <v/>
      </c>
      <c r="L772" s="4" t="str">
        <f>IF(COUNTIFS(Customers!$B$2:$B$1001,Customers!B772,Customers!$D$2:$D$1001,Customers!D772,Customers!$G$2:$G$1001,Customers!G772,Customers!$I$2:$I$1001,Customers!I772,Customers!$L$2:$L$1001,Customers!L772)&gt;1,"Duplicate record","")</f>
        <v/>
      </c>
      <c r="M772" s="4" t="str">
        <f>IF(OR(Customers!U772&lt;300,Customers!U772&gt;850),"Score out of range","")</f>
        <v/>
      </c>
      <c r="N772" s="4" t="str">
        <f>IF(AND(Customers!G772&lt;&gt;"",Customers!G772&lt;=0),"Income ≤ 0","")</f>
        <v/>
      </c>
      <c r="O772" s="4" t="str">
        <f>IF(OR(Customers!G772="",Customers!M772=""),"Missing value","")</f>
        <v/>
      </c>
      <c r="P772" s="4">
        <f t="shared" si="12"/>
        <v>0</v>
      </c>
    </row>
    <row r="773" spans="1:16" x14ac:dyDescent="0.25">
      <c r="A773" s="4" t="str">
        <f>Customers!A773</f>
        <v>CL00766</v>
      </c>
      <c r="B773" s="20">
        <f>IF(Customers!G773="","",(Customers!G773-Statistics!$C$7)/Statistics!$C$9)</f>
        <v>-3.9376657859291696E-2</v>
      </c>
      <c r="C773" s="4" t="str">
        <f>IF(Customers!G773="","",IF(OR(Customers!G773&lt;Statistics!$C$15,Customers!G773&gt;Statistics!$C$16),"Outside 1.5·IQR",""))</f>
        <v/>
      </c>
      <c r="D773" s="4" t="str">
        <f>IF(OR(Customers!B773&lt;18,Customers!B773&gt;100),"Implausible age","")</f>
        <v/>
      </c>
      <c r="E773" s="4" t="str">
        <f>IF(Customers!H773&gt;Customers!B773-18,"Tenure &gt; age-18","")</f>
        <v/>
      </c>
      <c r="F773" s="4" t="str">
        <f>IF(Customers!R773&gt;Customers!Q773,"Card spend &gt; limit","")</f>
        <v/>
      </c>
      <c r="G773" s="4" t="str">
        <f>IF(OR(AND(Customers!S773&gt;0,Customers!T773=0),AND(Customers!S773=0,Customers!T773&gt;0)),"Mortgage/payment inconsistent","")</f>
        <v/>
      </c>
      <c r="H773" s="4" t="str">
        <f>IF(AND(Customers!G773&lt;&gt;"",Customers!G773&gt;0,Customers!T773&gt;Customers!G773/12),"Payment &gt; monthly income","")</f>
        <v/>
      </c>
      <c r="I773" s="4" t="str">
        <f>IF(OR(Customers!I773&gt;DATE(2026,9,13),YEAR(Customers!I773)&lt;1980),"Implausible date","")</f>
        <v/>
      </c>
      <c r="J773" s="4" t="str">
        <f>IF(Customers!I773&gt;DATE(2026,9,13),"",IF(ABS(INT((DATE(2026,9,13)-Customers!I773)/365.25)-Customers!H773)&gt;1,"Date/tenure inconsistent",""))</f>
        <v/>
      </c>
      <c r="K773" s="4" t="str">
        <f>IF(COUNTIF(Customers!$A$2:$A$1001,Customers!A773)&gt;1,"Duplicate ID","")</f>
        <v/>
      </c>
      <c r="L773" s="4" t="str">
        <f>IF(COUNTIFS(Customers!$B$2:$B$1001,Customers!B773,Customers!$D$2:$D$1001,Customers!D773,Customers!$G$2:$G$1001,Customers!G773,Customers!$I$2:$I$1001,Customers!I773,Customers!$L$2:$L$1001,Customers!L773)&gt;1,"Duplicate record","")</f>
        <v/>
      </c>
      <c r="M773" s="4" t="str">
        <f>IF(OR(Customers!U773&lt;300,Customers!U773&gt;850),"Score out of range","")</f>
        <v/>
      </c>
      <c r="N773" s="4" t="str">
        <f>IF(AND(Customers!G773&lt;&gt;"",Customers!G773&lt;=0),"Income ≤ 0","")</f>
        <v/>
      </c>
      <c r="O773" s="4" t="str">
        <f>IF(OR(Customers!G773="",Customers!M773=""),"Missing value","")</f>
        <v/>
      </c>
      <c r="P773" s="4">
        <f t="shared" si="12"/>
        <v>0</v>
      </c>
    </row>
    <row r="774" spans="1:16" x14ac:dyDescent="0.25">
      <c r="A774" s="4" t="str">
        <f>Customers!A774</f>
        <v>CL00767</v>
      </c>
      <c r="B774" s="20">
        <f>IF(Customers!G774="","",(Customers!G774-Statistics!$C$7)/Statistics!$C$9)</f>
        <v>-3.7997765091692899E-2</v>
      </c>
      <c r="C774" s="4" t="str">
        <f>IF(Customers!G774="","",IF(OR(Customers!G774&lt;Statistics!$C$15,Customers!G774&gt;Statistics!$C$16),"Outside 1.5·IQR",""))</f>
        <v/>
      </c>
      <c r="D774" s="4" t="str">
        <f>IF(OR(Customers!B774&lt;18,Customers!B774&gt;100),"Implausible age","")</f>
        <v/>
      </c>
      <c r="E774" s="4" t="str">
        <f>IF(Customers!H774&gt;Customers!B774-18,"Tenure &gt; age-18","")</f>
        <v/>
      </c>
      <c r="F774" s="4" t="str">
        <f>IF(Customers!R774&gt;Customers!Q774,"Card spend &gt; limit","")</f>
        <v/>
      </c>
      <c r="G774" s="4" t="str">
        <f>IF(OR(AND(Customers!S774&gt;0,Customers!T774=0),AND(Customers!S774=0,Customers!T774&gt;0)),"Mortgage/payment inconsistent","")</f>
        <v/>
      </c>
      <c r="H774" s="4" t="str">
        <f>IF(AND(Customers!G774&lt;&gt;"",Customers!G774&gt;0,Customers!T774&gt;Customers!G774/12),"Payment &gt; monthly income","")</f>
        <v/>
      </c>
      <c r="I774" s="4" t="str">
        <f>IF(OR(Customers!I774&gt;DATE(2026,9,13),YEAR(Customers!I774)&lt;1980),"Implausible date","")</f>
        <v/>
      </c>
      <c r="J774" s="4" t="str">
        <f>IF(Customers!I774&gt;DATE(2026,9,13),"",IF(ABS(INT((DATE(2026,9,13)-Customers!I774)/365.25)-Customers!H774)&gt;1,"Date/tenure inconsistent",""))</f>
        <v/>
      </c>
      <c r="K774" s="4" t="str">
        <f>IF(COUNTIF(Customers!$A$2:$A$1001,Customers!A774)&gt;1,"Duplicate ID","")</f>
        <v/>
      </c>
      <c r="L774" s="4" t="str">
        <f>IF(COUNTIFS(Customers!$B$2:$B$1001,Customers!B774,Customers!$D$2:$D$1001,Customers!D774,Customers!$G$2:$G$1001,Customers!G774,Customers!$I$2:$I$1001,Customers!I774,Customers!$L$2:$L$1001,Customers!L774)&gt;1,"Duplicate record","")</f>
        <v/>
      </c>
      <c r="M774" s="4" t="str">
        <f>IF(OR(Customers!U774&lt;300,Customers!U774&gt;850),"Score out of range","")</f>
        <v/>
      </c>
      <c r="N774" s="4" t="str">
        <f>IF(AND(Customers!G774&lt;&gt;"",Customers!G774&lt;=0),"Income ≤ 0","")</f>
        <v/>
      </c>
      <c r="O774" s="4" t="str">
        <f>IF(OR(Customers!G774="",Customers!M774=""),"Missing value","")</f>
        <v/>
      </c>
      <c r="P774" s="4">
        <f t="shared" si="12"/>
        <v>0</v>
      </c>
    </row>
    <row r="775" spans="1:16" x14ac:dyDescent="0.25">
      <c r="A775" s="4" t="str">
        <f>Customers!A775</f>
        <v>CL00768</v>
      </c>
      <c r="B775" s="20">
        <f>IF(Customers!G775="","",(Customers!G775-Statistics!$C$7)/Statistics!$C$9)</f>
        <v>-6.774245193560971E-2</v>
      </c>
      <c r="C775" s="4" t="str">
        <f>IF(Customers!G775="","",IF(OR(Customers!G775&lt;Statistics!$C$15,Customers!G775&gt;Statistics!$C$16),"Outside 1.5·IQR",""))</f>
        <v/>
      </c>
      <c r="D775" s="4" t="str">
        <f>IF(OR(Customers!B775&lt;18,Customers!B775&gt;100),"Implausible age","")</f>
        <v/>
      </c>
      <c r="E775" s="4" t="str">
        <f>IF(Customers!H775&gt;Customers!B775-18,"Tenure &gt; age-18","")</f>
        <v/>
      </c>
      <c r="F775" s="4" t="str">
        <f>IF(Customers!R775&gt;Customers!Q775,"Card spend &gt; limit","")</f>
        <v/>
      </c>
      <c r="G775" s="4" t="str">
        <f>IF(OR(AND(Customers!S775&gt;0,Customers!T775=0),AND(Customers!S775=0,Customers!T775&gt;0)),"Mortgage/payment inconsistent","")</f>
        <v/>
      </c>
      <c r="H775" s="4" t="str">
        <f>IF(AND(Customers!G775&lt;&gt;"",Customers!G775&gt;0,Customers!T775&gt;Customers!G775/12),"Payment &gt; monthly income","")</f>
        <v/>
      </c>
      <c r="I775" s="4" t="str">
        <f>IF(OR(Customers!I775&gt;DATE(2026,9,13),YEAR(Customers!I775)&lt;1980),"Implausible date","")</f>
        <v/>
      </c>
      <c r="J775" s="4" t="str">
        <f>IF(Customers!I775&gt;DATE(2026,9,13),"",IF(ABS(INT((DATE(2026,9,13)-Customers!I775)/365.25)-Customers!H775)&gt;1,"Date/tenure inconsistent",""))</f>
        <v/>
      </c>
      <c r="K775" s="4" t="str">
        <f>IF(COUNTIF(Customers!$A$2:$A$1001,Customers!A775)&gt;1,"Duplicate ID","")</f>
        <v/>
      </c>
      <c r="L775" s="4" t="str">
        <f>IF(COUNTIFS(Customers!$B$2:$B$1001,Customers!B775,Customers!$D$2:$D$1001,Customers!D775,Customers!$G$2:$G$1001,Customers!G775,Customers!$I$2:$I$1001,Customers!I775,Customers!$L$2:$L$1001,Customers!L775)&gt;1,"Duplicate record","")</f>
        <v/>
      </c>
      <c r="M775" s="4" t="str">
        <f>IF(OR(Customers!U775&lt;300,Customers!U775&gt;850),"Score out of range","")</f>
        <v/>
      </c>
      <c r="N775" s="4" t="str">
        <f>IF(AND(Customers!G775&lt;&gt;"",Customers!G775&lt;=0),"Income ≤ 0","")</f>
        <v/>
      </c>
      <c r="O775" s="4" t="str">
        <f>IF(OR(Customers!G775="",Customers!M775=""),"Missing value","")</f>
        <v/>
      </c>
      <c r="P775" s="4">
        <f t="shared" si="12"/>
        <v>0</v>
      </c>
    </row>
    <row r="776" spans="1:16" x14ac:dyDescent="0.25">
      <c r="A776" s="4" t="str">
        <f>Customers!A776</f>
        <v>CL00769</v>
      </c>
      <c r="B776" s="20">
        <f>IF(Customers!G776="","",(Customers!G776-Statistics!$C$7)/Statistics!$C$9)</f>
        <v>-2.7360592313073643E-2</v>
      </c>
      <c r="C776" s="4" t="str">
        <f>IF(Customers!G776="","",IF(OR(Customers!G776&lt;Statistics!$C$15,Customers!G776&gt;Statistics!$C$16),"Outside 1.5·IQR",""))</f>
        <v/>
      </c>
      <c r="D776" s="4" t="str">
        <f>IF(OR(Customers!B776&lt;18,Customers!B776&gt;100),"Implausible age","")</f>
        <v/>
      </c>
      <c r="E776" s="4" t="str">
        <f>IF(Customers!H776&gt;Customers!B776-18,"Tenure &gt; age-18","")</f>
        <v/>
      </c>
      <c r="F776" s="4" t="str">
        <f>IF(Customers!R776&gt;Customers!Q776,"Card spend &gt; limit","")</f>
        <v/>
      </c>
      <c r="G776" s="4" t="str">
        <f>IF(OR(AND(Customers!S776&gt;0,Customers!T776=0),AND(Customers!S776=0,Customers!T776&gt;0)),"Mortgage/payment inconsistent","")</f>
        <v/>
      </c>
      <c r="H776" s="4" t="str">
        <f>IF(AND(Customers!G776&lt;&gt;"",Customers!G776&gt;0,Customers!T776&gt;Customers!G776/12),"Payment &gt; monthly income","")</f>
        <v/>
      </c>
      <c r="I776" s="4" t="str">
        <f>IF(OR(Customers!I776&gt;DATE(2026,9,13),YEAR(Customers!I776)&lt;1980),"Implausible date","")</f>
        <v/>
      </c>
      <c r="J776" s="4" t="str">
        <f>IF(Customers!I776&gt;DATE(2026,9,13),"",IF(ABS(INT((DATE(2026,9,13)-Customers!I776)/365.25)-Customers!H776)&gt;1,"Date/tenure inconsistent",""))</f>
        <v/>
      </c>
      <c r="K776" s="4" t="str">
        <f>IF(COUNTIF(Customers!$A$2:$A$1001,Customers!A776)&gt;1,"Duplicate ID","")</f>
        <v/>
      </c>
      <c r="L776" s="4" t="str">
        <f>IF(COUNTIFS(Customers!$B$2:$B$1001,Customers!B776,Customers!$D$2:$D$1001,Customers!D776,Customers!$G$2:$G$1001,Customers!G776,Customers!$I$2:$I$1001,Customers!I776,Customers!$L$2:$L$1001,Customers!L776)&gt;1,"Duplicate record","")</f>
        <v/>
      </c>
      <c r="M776" s="4" t="str">
        <f>IF(OR(Customers!U776&lt;300,Customers!U776&gt;850),"Score out of range","")</f>
        <v/>
      </c>
      <c r="N776" s="4" t="str">
        <f>IF(AND(Customers!G776&lt;&gt;"",Customers!G776&lt;=0),"Income ≤ 0","")</f>
        <v/>
      </c>
      <c r="O776" s="4" t="str">
        <f>IF(OR(Customers!G776="",Customers!M776=""),"Missing value","")</f>
        <v/>
      </c>
      <c r="P776" s="4">
        <f t="shared" si="12"/>
        <v>0</v>
      </c>
    </row>
    <row r="777" spans="1:16" x14ac:dyDescent="0.25">
      <c r="A777" s="4" t="str">
        <f>Customers!A777</f>
        <v>CL00770</v>
      </c>
      <c r="B777" s="20">
        <f>IF(Customers!G777="","",(Customers!G777-Statistics!$C$7)/Statistics!$C$9)</f>
        <v>-4.7846999145969994E-2</v>
      </c>
      <c r="C777" s="4" t="str">
        <f>IF(Customers!G777="","",IF(OR(Customers!G777&lt;Statistics!$C$15,Customers!G777&gt;Statistics!$C$16),"Outside 1.5·IQR",""))</f>
        <v/>
      </c>
      <c r="D777" s="4" t="str">
        <f>IF(OR(Customers!B777&lt;18,Customers!B777&gt;100),"Implausible age","")</f>
        <v/>
      </c>
      <c r="E777" s="4" t="str">
        <f>IF(Customers!H777&gt;Customers!B777-18,"Tenure &gt; age-18","")</f>
        <v/>
      </c>
      <c r="F777" s="4" t="str">
        <f>IF(Customers!R777&gt;Customers!Q777,"Card spend &gt; limit","")</f>
        <v/>
      </c>
      <c r="G777" s="4" t="str">
        <f>IF(OR(AND(Customers!S777&gt;0,Customers!T777=0),AND(Customers!S777=0,Customers!T777&gt;0)),"Mortgage/payment inconsistent","")</f>
        <v/>
      </c>
      <c r="H777" s="4" t="str">
        <f>IF(AND(Customers!G777&lt;&gt;"",Customers!G777&gt;0,Customers!T777&gt;Customers!G777/12),"Payment &gt; monthly income","")</f>
        <v/>
      </c>
      <c r="I777" s="4" t="str">
        <f>IF(OR(Customers!I777&gt;DATE(2026,9,13),YEAR(Customers!I777)&lt;1980),"Implausible date","")</f>
        <v/>
      </c>
      <c r="J777" s="4" t="str">
        <f>IF(Customers!I777&gt;DATE(2026,9,13),"",IF(ABS(INT((DATE(2026,9,13)-Customers!I777)/365.25)-Customers!H777)&gt;1,"Date/tenure inconsistent",""))</f>
        <v/>
      </c>
      <c r="K777" s="4" t="str">
        <f>IF(COUNTIF(Customers!$A$2:$A$1001,Customers!A777)&gt;1,"Duplicate ID","")</f>
        <v/>
      </c>
      <c r="L777" s="4" t="str">
        <f>IF(COUNTIFS(Customers!$B$2:$B$1001,Customers!B777,Customers!$D$2:$D$1001,Customers!D777,Customers!$G$2:$G$1001,Customers!G777,Customers!$I$2:$I$1001,Customers!I777,Customers!$L$2:$L$1001,Customers!L777)&gt;1,"Duplicate record","")</f>
        <v/>
      </c>
      <c r="M777" s="4" t="str">
        <f>IF(OR(Customers!U777&lt;300,Customers!U777&gt;850),"Score out of range","")</f>
        <v/>
      </c>
      <c r="N777" s="4" t="str">
        <f>IF(AND(Customers!G777&lt;&gt;"",Customers!G777&lt;=0),"Income ≤ 0","")</f>
        <v/>
      </c>
      <c r="O777" s="4" t="str">
        <f>IF(OR(Customers!G777="",Customers!M777=""),"Missing value","")</f>
        <v/>
      </c>
      <c r="P777" s="4">
        <f t="shared" si="12"/>
        <v>0</v>
      </c>
    </row>
    <row r="778" spans="1:16" x14ac:dyDescent="0.25">
      <c r="A778" s="4" t="str">
        <f>Customers!A778</f>
        <v>CL00771</v>
      </c>
      <c r="B778" s="20">
        <f>IF(Customers!G778="","",(Customers!G778-Statistics!$C$7)/Statistics!$C$9)</f>
        <v>-6.1044972778701294E-2</v>
      </c>
      <c r="C778" s="4" t="str">
        <f>IF(Customers!G778="","",IF(OR(Customers!G778&lt;Statistics!$C$15,Customers!G778&gt;Statistics!$C$16),"Outside 1.5·IQR",""))</f>
        <v/>
      </c>
      <c r="D778" s="4" t="str">
        <f>IF(OR(Customers!B778&lt;18,Customers!B778&gt;100),"Implausible age","")</f>
        <v/>
      </c>
      <c r="E778" s="4" t="str">
        <f>IF(Customers!H778&gt;Customers!B778-18,"Tenure &gt; age-18","")</f>
        <v/>
      </c>
      <c r="F778" s="4" t="str">
        <f>IF(Customers!R778&gt;Customers!Q778,"Card spend &gt; limit","")</f>
        <v/>
      </c>
      <c r="G778" s="4" t="str">
        <f>IF(OR(AND(Customers!S778&gt;0,Customers!T778=0),AND(Customers!S778=0,Customers!T778&gt;0)),"Mortgage/payment inconsistent","")</f>
        <v/>
      </c>
      <c r="H778" s="4" t="str">
        <f>IF(AND(Customers!G778&lt;&gt;"",Customers!G778&gt;0,Customers!T778&gt;Customers!G778/12),"Payment &gt; monthly income","")</f>
        <v/>
      </c>
      <c r="I778" s="4" t="str">
        <f>IF(OR(Customers!I778&gt;DATE(2026,9,13),YEAR(Customers!I778)&lt;1980),"Implausible date","")</f>
        <v/>
      </c>
      <c r="J778" s="4" t="str">
        <f>IF(Customers!I778&gt;DATE(2026,9,13),"",IF(ABS(INT((DATE(2026,9,13)-Customers!I778)/365.25)-Customers!H778)&gt;1,"Date/tenure inconsistent",""))</f>
        <v/>
      </c>
      <c r="K778" s="4" t="str">
        <f>IF(COUNTIF(Customers!$A$2:$A$1001,Customers!A778)&gt;1,"Duplicate ID","")</f>
        <v/>
      </c>
      <c r="L778" s="4" t="str">
        <f>IF(COUNTIFS(Customers!$B$2:$B$1001,Customers!B778,Customers!$D$2:$D$1001,Customers!D778,Customers!$G$2:$G$1001,Customers!G778,Customers!$I$2:$I$1001,Customers!I778,Customers!$L$2:$L$1001,Customers!L778)&gt;1,"Duplicate record","")</f>
        <v/>
      </c>
      <c r="M778" s="4" t="str">
        <f>IF(OR(Customers!U778&lt;300,Customers!U778&gt;850),"Score out of range","")</f>
        <v/>
      </c>
      <c r="N778" s="4" t="str">
        <f>IF(AND(Customers!G778&lt;&gt;"",Customers!G778&lt;=0),"Income ≤ 0","")</f>
        <v/>
      </c>
      <c r="O778" s="4" t="str">
        <f>IF(OR(Customers!G778="",Customers!M778=""),"Missing value","")</f>
        <v/>
      </c>
      <c r="P778" s="4">
        <f t="shared" si="12"/>
        <v>0</v>
      </c>
    </row>
    <row r="779" spans="1:16" x14ac:dyDescent="0.25">
      <c r="A779" s="4" t="str">
        <f>Customers!A779</f>
        <v>CL00772</v>
      </c>
      <c r="B779" s="20">
        <f>IF(Customers!G779="","",(Customers!G779-Statistics!$C$7)/Statistics!$C$9)</f>
        <v>-3.9967611902548321E-2</v>
      </c>
      <c r="C779" s="4" t="str">
        <f>IF(Customers!G779="","",IF(OR(Customers!G779&lt;Statistics!$C$15,Customers!G779&gt;Statistics!$C$16),"Outside 1.5·IQR",""))</f>
        <v/>
      </c>
      <c r="D779" s="4" t="str">
        <f>IF(OR(Customers!B779&lt;18,Customers!B779&gt;100),"Implausible age","")</f>
        <v/>
      </c>
      <c r="E779" s="4" t="str">
        <f>IF(Customers!H779&gt;Customers!B779-18,"Tenure &gt; age-18","")</f>
        <v/>
      </c>
      <c r="F779" s="4" t="str">
        <f>IF(Customers!R779&gt;Customers!Q779,"Card spend &gt; limit","")</f>
        <v/>
      </c>
      <c r="G779" s="4" t="str">
        <f>IF(OR(AND(Customers!S779&gt;0,Customers!T779=0),AND(Customers!S779=0,Customers!T779&gt;0)),"Mortgage/payment inconsistent","")</f>
        <v/>
      </c>
      <c r="H779" s="4" t="str">
        <f>IF(AND(Customers!G779&lt;&gt;"",Customers!G779&gt;0,Customers!T779&gt;Customers!G779/12),"Payment &gt; monthly income","")</f>
        <v/>
      </c>
      <c r="I779" s="4" t="str">
        <f>IF(OR(Customers!I779&gt;DATE(2026,9,13),YEAR(Customers!I779)&lt;1980),"Implausible date","")</f>
        <v/>
      </c>
      <c r="J779" s="4" t="str">
        <f>IF(Customers!I779&gt;DATE(2026,9,13),"",IF(ABS(INT((DATE(2026,9,13)-Customers!I779)/365.25)-Customers!H779)&gt;1,"Date/tenure inconsistent",""))</f>
        <v/>
      </c>
      <c r="K779" s="4" t="str">
        <f>IF(COUNTIF(Customers!$A$2:$A$1001,Customers!A779)&gt;1,"Duplicate ID","")</f>
        <v/>
      </c>
      <c r="L779" s="4" t="str">
        <f>IF(COUNTIFS(Customers!$B$2:$B$1001,Customers!B779,Customers!$D$2:$D$1001,Customers!D779,Customers!$G$2:$G$1001,Customers!G779,Customers!$I$2:$I$1001,Customers!I779,Customers!$L$2:$L$1001,Customers!L779)&gt;1,"Duplicate record","")</f>
        <v/>
      </c>
      <c r="M779" s="4" t="str">
        <f>IF(OR(Customers!U779&lt;300,Customers!U779&gt;850),"Score out of range","")</f>
        <v/>
      </c>
      <c r="N779" s="4" t="str">
        <f>IF(AND(Customers!G779&lt;&gt;"",Customers!G779&lt;=0),"Income ≤ 0","")</f>
        <v/>
      </c>
      <c r="O779" s="4" t="str">
        <f>IF(OR(Customers!G779="",Customers!M779=""),"Missing value","")</f>
        <v/>
      </c>
      <c r="P779" s="4">
        <f t="shared" si="12"/>
        <v>0</v>
      </c>
    </row>
    <row r="780" spans="1:16" x14ac:dyDescent="0.25">
      <c r="A780" s="4" t="str">
        <f>Customers!A780</f>
        <v>CL00773</v>
      </c>
      <c r="B780" s="20">
        <f>IF(Customers!G780="","",(Customers!G780-Statistics!$C$7)/Statistics!$C$9)</f>
        <v>-4.9816845956825409E-2</v>
      </c>
      <c r="C780" s="4" t="str">
        <f>IF(Customers!G780="","",IF(OR(Customers!G780&lt;Statistics!$C$15,Customers!G780&gt;Statistics!$C$16),"Outside 1.5·IQR",""))</f>
        <v/>
      </c>
      <c r="D780" s="4" t="str">
        <f>IF(OR(Customers!B780&lt;18,Customers!B780&gt;100),"Implausible age","")</f>
        <v/>
      </c>
      <c r="E780" s="4" t="str">
        <f>IF(Customers!H780&gt;Customers!B780-18,"Tenure &gt; age-18","")</f>
        <v/>
      </c>
      <c r="F780" s="4" t="str">
        <f>IF(Customers!R780&gt;Customers!Q780,"Card spend &gt; limit","")</f>
        <v/>
      </c>
      <c r="G780" s="4" t="str">
        <f>IF(OR(AND(Customers!S780&gt;0,Customers!T780=0),AND(Customers!S780=0,Customers!T780&gt;0)),"Mortgage/payment inconsistent","")</f>
        <v/>
      </c>
      <c r="H780" s="4" t="str">
        <f>IF(AND(Customers!G780&lt;&gt;"",Customers!G780&gt;0,Customers!T780&gt;Customers!G780/12),"Payment &gt; monthly income","")</f>
        <v/>
      </c>
      <c r="I780" s="4" t="str">
        <f>IF(OR(Customers!I780&gt;DATE(2026,9,13),YEAR(Customers!I780)&lt;1980),"Implausible date","")</f>
        <v/>
      </c>
      <c r="J780" s="4" t="str">
        <f>IF(Customers!I780&gt;DATE(2026,9,13),"",IF(ABS(INT((DATE(2026,9,13)-Customers!I780)/365.25)-Customers!H780)&gt;1,"Date/tenure inconsistent",""))</f>
        <v/>
      </c>
      <c r="K780" s="4" t="str">
        <f>IF(COUNTIF(Customers!$A$2:$A$1001,Customers!A780)&gt;1,"Duplicate ID","")</f>
        <v/>
      </c>
      <c r="L780" s="4" t="str">
        <f>IF(COUNTIFS(Customers!$B$2:$B$1001,Customers!B780,Customers!$D$2:$D$1001,Customers!D780,Customers!$G$2:$G$1001,Customers!G780,Customers!$I$2:$I$1001,Customers!I780,Customers!$L$2:$L$1001,Customers!L780)&gt;1,"Duplicate record","")</f>
        <v/>
      </c>
      <c r="M780" s="4" t="str">
        <f>IF(OR(Customers!U780&lt;300,Customers!U780&gt;850),"Score out of range","")</f>
        <v/>
      </c>
      <c r="N780" s="4" t="str">
        <f>IF(AND(Customers!G780&lt;&gt;"",Customers!G780&lt;=0),"Income ≤ 0","")</f>
        <v/>
      </c>
      <c r="O780" s="4" t="str">
        <f>IF(OR(Customers!G780="",Customers!M780=""),"Missing value","")</f>
        <v/>
      </c>
      <c r="P780" s="4">
        <f t="shared" si="12"/>
        <v>0</v>
      </c>
    </row>
    <row r="781" spans="1:16" x14ac:dyDescent="0.25">
      <c r="A781" s="4" t="str">
        <f>Customers!A781</f>
        <v>CL00774</v>
      </c>
      <c r="B781" s="20">
        <f>IF(Customers!G781="","",(Customers!G781-Statistics!$C$7)/Statistics!$C$9)</f>
        <v>-6.6856020870724772E-2</v>
      </c>
      <c r="C781" s="4" t="str">
        <f>IF(Customers!G781="","",IF(OR(Customers!G781&lt;Statistics!$C$15,Customers!G781&gt;Statistics!$C$16),"Outside 1.5·IQR",""))</f>
        <v/>
      </c>
      <c r="D781" s="4" t="str">
        <f>IF(OR(Customers!B781&lt;18,Customers!B781&gt;100),"Implausible age","")</f>
        <v/>
      </c>
      <c r="E781" s="4" t="str">
        <f>IF(Customers!H781&gt;Customers!B781-18,"Tenure &gt; age-18","")</f>
        <v/>
      </c>
      <c r="F781" s="4" t="str">
        <f>IF(Customers!R781&gt;Customers!Q781,"Card spend &gt; limit","")</f>
        <v/>
      </c>
      <c r="G781" s="4" t="str">
        <f>IF(OR(AND(Customers!S781&gt;0,Customers!T781=0),AND(Customers!S781=0,Customers!T781&gt;0)),"Mortgage/payment inconsistent","")</f>
        <v/>
      </c>
      <c r="H781" s="4" t="str">
        <f>IF(AND(Customers!G781&lt;&gt;"",Customers!G781&gt;0,Customers!T781&gt;Customers!G781/12),"Payment &gt; monthly income","")</f>
        <v/>
      </c>
      <c r="I781" s="4" t="str">
        <f>IF(OR(Customers!I781&gt;DATE(2026,9,13),YEAR(Customers!I781)&lt;1980),"Implausible date","")</f>
        <v/>
      </c>
      <c r="J781" s="4" t="str">
        <f>IF(Customers!I781&gt;DATE(2026,9,13),"",IF(ABS(INT((DATE(2026,9,13)-Customers!I781)/365.25)-Customers!H781)&gt;1,"Date/tenure inconsistent",""))</f>
        <v/>
      </c>
      <c r="K781" s="4" t="str">
        <f>IF(COUNTIF(Customers!$A$2:$A$1001,Customers!A781)&gt;1,"Duplicate ID","")</f>
        <v/>
      </c>
      <c r="L781" s="4" t="str">
        <f>IF(COUNTIFS(Customers!$B$2:$B$1001,Customers!B781,Customers!$D$2:$D$1001,Customers!D781,Customers!$G$2:$G$1001,Customers!G781,Customers!$I$2:$I$1001,Customers!I781,Customers!$L$2:$L$1001,Customers!L781)&gt;1,"Duplicate record","")</f>
        <v/>
      </c>
      <c r="M781" s="4" t="str">
        <f>IF(OR(Customers!U781&lt;300,Customers!U781&gt;850),"Score out of range","")</f>
        <v/>
      </c>
      <c r="N781" s="4" t="str">
        <f>IF(AND(Customers!G781&lt;&gt;"",Customers!G781&lt;=0),"Income ≤ 0","")</f>
        <v/>
      </c>
      <c r="O781" s="4" t="str">
        <f>IF(OR(Customers!G781="",Customers!M781=""),"Missing value","")</f>
        <v/>
      </c>
      <c r="P781" s="4">
        <f t="shared" si="12"/>
        <v>0</v>
      </c>
    </row>
    <row r="782" spans="1:16" x14ac:dyDescent="0.25">
      <c r="A782" s="4" t="str">
        <f>Customers!A782</f>
        <v>CL00775</v>
      </c>
      <c r="B782" s="20">
        <f>IF(Customers!G782="","",(Customers!G782-Statistics!$C$7)/Statistics!$C$9)</f>
        <v>-2.2140498264306786E-2</v>
      </c>
      <c r="C782" s="4" t="str">
        <f>IF(Customers!G782="","",IF(OR(Customers!G782&lt;Statistics!$C$15,Customers!G782&gt;Statistics!$C$16),"Outside 1.5·IQR",""))</f>
        <v/>
      </c>
      <c r="D782" s="4" t="str">
        <f>IF(OR(Customers!B782&lt;18,Customers!B782&gt;100),"Implausible age","")</f>
        <v/>
      </c>
      <c r="E782" s="4" t="str">
        <f>IF(Customers!H782&gt;Customers!B782-18,"Tenure &gt; age-18","")</f>
        <v/>
      </c>
      <c r="F782" s="4" t="str">
        <f>IF(Customers!R782&gt;Customers!Q782,"Card spend &gt; limit","")</f>
        <v/>
      </c>
      <c r="G782" s="4" t="str">
        <f>IF(OR(AND(Customers!S782&gt;0,Customers!T782=0),AND(Customers!S782=0,Customers!T782&gt;0)),"Mortgage/payment inconsistent","")</f>
        <v/>
      </c>
      <c r="H782" s="4" t="str">
        <f>IF(AND(Customers!G782&lt;&gt;"",Customers!G782&gt;0,Customers!T782&gt;Customers!G782/12),"Payment &gt; monthly income","")</f>
        <v/>
      </c>
      <c r="I782" s="4" t="str">
        <f>IF(OR(Customers!I782&gt;DATE(2026,9,13),YEAR(Customers!I782)&lt;1980),"Implausible date","")</f>
        <v/>
      </c>
      <c r="J782" s="4" t="str">
        <f>IF(Customers!I782&gt;DATE(2026,9,13),"",IF(ABS(INT((DATE(2026,9,13)-Customers!I782)/365.25)-Customers!H782)&gt;1,"Date/tenure inconsistent",""))</f>
        <v/>
      </c>
      <c r="K782" s="4" t="str">
        <f>IF(COUNTIF(Customers!$A$2:$A$1001,Customers!A782)&gt;1,"Duplicate ID","")</f>
        <v/>
      </c>
      <c r="L782" s="4" t="str">
        <f>IF(COUNTIFS(Customers!$B$2:$B$1001,Customers!B782,Customers!$D$2:$D$1001,Customers!D782,Customers!$G$2:$G$1001,Customers!G782,Customers!$I$2:$I$1001,Customers!I782,Customers!$L$2:$L$1001,Customers!L782)&gt;1,"Duplicate record","")</f>
        <v/>
      </c>
      <c r="M782" s="4" t="str">
        <f>IF(OR(Customers!U782&lt;300,Customers!U782&gt;850),"Score out of range","")</f>
        <v/>
      </c>
      <c r="N782" s="4" t="str">
        <f>IF(AND(Customers!G782&lt;&gt;"",Customers!G782&lt;=0),"Income ≤ 0","")</f>
        <v/>
      </c>
      <c r="O782" s="4" t="str">
        <f>IF(OR(Customers!G782="",Customers!M782=""),"Missing value","")</f>
        <v/>
      </c>
      <c r="P782" s="4">
        <f t="shared" si="12"/>
        <v>0</v>
      </c>
    </row>
    <row r="783" spans="1:16" x14ac:dyDescent="0.25">
      <c r="A783" s="4" t="str">
        <f>Customers!A783</f>
        <v>CL00776</v>
      </c>
      <c r="B783" s="20">
        <f>IF(Customers!G783="","",(Customers!G783-Statistics!$C$7)/Statistics!$C$9)</f>
        <v>-5.0604784681167574E-2</v>
      </c>
      <c r="C783" s="4" t="str">
        <f>IF(Customers!G783="","",IF(OR(Customers!G783&lt;Statistics!$C$15,Customers!G783&gt;Statistics!$C$16),"Outside 1.5·IQR",""))</f>
        <v/>
      </c>
      <c r="D783" s="4" t="str">
        <f>IF(OR(Customers!B783&lt;18,Customers!B783&gt;100),"Implausible age","")</f>
        <v/>
      </c>
      <c r="E783" s="4" t="str">
        <f>IF(Customers!H783&gt;Customers!B783-18,"Tenure &gt; age-18","")</f>
        <v/>
      </c>
      <c r="F783" s="4" t="str">
        <f>IF(Customers!R783&gt;Customers!Q783,"Card spend &gt; limit","")</f>
        <v/>
      </c>
      <c r="G783" s="4" t="str">
        <f>IF(OR(AND(Customers!S783&gt;0,Customers!T783=0),AND(Customers!S783=0,Customers!T783&gt;0)),"Mortgage/payment inconsistent","")</f>
        <v/>
      </c>
      <c r="H783" s="4" t="str">
        <f>IF(AND(Customers!G783&lt;&gt;"",Customers!G783&gt;0,Customers!T783&gt;Customers!G783/12),"Payment &gt; monthly income","")</f>
        <v/>
      </c>
      <c r="I783" s="4" t="str">
        <f>IF(OR(Customers!I783&gt;DATE(2026,9,13),YEAR(Customers!I783)&lt;1980),"Implausible date","")</f>
        <v/>
      </c>
      <c r="J783" s="4" t="str">
        <f>IF(Customers!I783&gt;DATE(2026,9,13),"",IF(ABS(INT((DATE(2026,9,13)-Customers!I783)/365.25)-Customers!H783)&gt;1,"Date/tenure inconsistent",""))</f>
        <v/>
      </c>
      <c r="K783" s="4" t="str">
        <f>IF(COUNTIF(Customers!$A$2:$A$1001,Customers!A783)&gt;1,"Duplicate ID","")</f>
        <v/>
      </c>
      <c r="L783" s="4" t="str">
        <f>IF(COUNTIFS(Customers!$B$2:$B$1001,Customers!B783,Customers!$D$2:$D$1001,Customers!D783,Customers!$G$2:$G$1001,Customers!G783,Customers!$I$2:$I$1001,Customers!I783,Customers!$L$2:$L$1001,Customers!L783)&gt;1,"Duplicate record","")</f>
        <v/>
      </c>
      <c r="M783" s="4" t="str">
        <f>IF(OR(Customers!U783&lt;300,Customers!U783&gt;850),"Score out of range","")</f>
        <v/>
      </c>
      <c r="N783" s="4" t="str">
        <f>IF(AND(Customers!G783&lt;&gt;"",Customers!G783&lt;=0),"Income ≤ 0","")</f>
        <v/>
      </c>
      <c r="O783" s="4" t="str">
        <f>IF(OR(Customers!G783="",Customers!M783=""),"Missing value","")</f>
        <v/>
      </c>
      <c r="P783" s="4">
        <f t="shared" si="12"/>
        <v>0</v>
      </c>
    </row>
    <row r="784" spans="1:16" x14ac:dyDescent="0.25">
      <c r="A784" s="4" t="str">
        <f>Customers!A784</f>
        <v>CL00777</v>
      </c>
      <c r="B784" s="20">
        <f>IF(Customers!G784="","",(Customers!G784-Statistics!$C$7)/Statistics!$C$9)</f>
        <v>-3.2876163383468812E-2</v>
      </c>
      <c r="C784" s="4" t="str">
        <f>IF(Customers!G784="","",IF(OR(Customers!G784&lt;Statistics!$C$15,Customers!G784&gt;Statistics!$C$16),"Outside 1.5·IQR",""))</f>
        <v/>
      </c>
      <c r="D784" s="4" t="str">
        <f>IF(OR(Customers!B784&lt;18,Customers!B784&gt;100),"Implausible age","")</f>
        <v/>
      </c>
      <c r="E784" s="4" t="str">
        <f>IF(Customers!H784&gt;Customers!B784-18,"Tenure &gt; age-18","")</f>
        <v/>
      </c>
      <c r="F784" s="4" t="str">
        <f>IF(Customers!R784&gt;Customers!Q784,"Card spend &gt; limit","")</f>
        <v/>
      </c>
      <c r="G784" s="4" t="str">
        <f>IF(OR(AND(Customers!S784&gt;0,Customers!T784=0),AND(Customers!S784=0,Customers!T784&gt;0)),"Mortgage/payment inconsistent","")</f>
        <v/>
      </c>
      <c r="H784" s="4" t="str">
        <f>IF(AND(Customers!G784&lt;&gt;"",Customers!G784&gt;0,Customers!T784&gt;Customers!G784/12),"Payment &gt; monthly income","")</f>
        <v/>
      </c>
      <c r="I784" s="4" t="str">
        <f>IF(OR(Customers!I784&gt;DATE(2026,9,13),YEAR(Customers!I784)&lt;1980),"Implausible date","")</f>
        <v/>
      </c>
      <c r="J784" s="4" t="str">
        <f>IF(Customers!I784&gt;DATE(2026,9,13),"",IF(ABS(INT((DATE(2026,9,13)-Customers!I784)/365.25)-Customers!H784)&gt;1,"Date/tenure inconsistent",""))</f>
        <v/>
      </c>
      <c r="K784" s="4" t="str">
        <f>IF(COUNTIF(Customers!$A$2:$A$1001,Customers!A784)&gt;1,"Duplicate ID","")</f>
        <v/>
      </c>
      <c r="L784" s="4" t="str">
        <f>IF(COUNTIFS(Customers!$B$2:$B$1001,Customers!B784,Customers!$D$2:$D$1001,Customers!D784,Customers!$G$2:$G$1001,Customers!G784,Customers!$I$2:$I$1001,Customers!I784,Customers!$L$2:$L$1001,Customers!L784)&gt;1,"Duplicate record","")</f>
        <v/>
      </c>
      <c r="M784" s="4" t="str">
        <f>IF(OR(Customers!U784&lt;300,Customers!U784&gt;850),"Score out of range","")</f>
        <v/>
      </c>
      <c r="N784" s="4" t="str">
        <f>IF(AND(Customers!G784&lt;&gt;"",Customers!G784&lt;=0),"Income ≤ 0","")</f>
        <v/>
      </c>
      <c r="O784" s="4" t="str">
        <f>IF(OR(Customers!G784="",Customers!M784=""),"Missing value","")</f>
        <v/>
      </c>
      <c r="P784" s="4">
        <f t="shared" si="12"/>
        <v>0</v>
      </c>
    </row>
    <row r="785" spans="1:16" x14ac:dyDescent="0.25">
      <c r="A785" s="4" t="str">
        <f>Customers!A785</f>
        <v>CL00778</v>
      </c>
      <c r="B785" s="20">
        <f>IF(Customers!G785="","",(Customers!G785-Statistics!$C$7)/Statistics!$C$9)</f>
        <v>-4.3119366799916986E-2</v>
      </c>
      <c r="C785" s="4" t="str">
        <f>IF(Customers!G785="","",IF(OR(Customers!G785&lt;Statistics!$C$15,Customers!G785&gt;Statistics!$C$16),"Outside 1.5·IQR",""))</f>
        <v/>
      </c>
      <c r="D785" s="4" t="str">
        <f>IF(OR(Customers!B785&lt;18,Customers!B785&gt;100),"Implausible age","")</f>
        <v/>
      </c>
      <c r="E785" s="4" t="str">
        <f>IF(Customers!H785&gt;Customers!B785-18,"Tenure &gt; age-18","")</f>
        <v/>
      </c>
      <c r="F785" s="4" t="str">
        <f>IF(Customers!R785&gt;Customers!Q785,"Card spend &gt; limit","")</f>
        <v/>
      </c>
      <c r="G785" s="4" t="str">
        <f>IF(OR(AND(Customers!S785&gt;0,Customers!T785=0),AND(Customers!S785=0,Customers!T785&gt;0)),"Mortgage/payment inconsistent","")</f>
        <v/>
      </c>
      <c r="H785" s="4" t="str">
        <f>IF(AND(Customers!G785&lt;&gt;"",Customers!G785&gt;0,Customers!T785&gt;Customers!G785/12),"Payment &gt; monthly income","")</f>
        <v/>
      </c>
      <c r="I785" s="4" t="str">
        <f>IF(OR(Customers!I785&gt;DATE(2026,9,13),YEAR(Customers!I785)&lt;1980),"Implausible date","")</f>
        <v/>
      </c>
      <c r="J785" s="4" t="str">
        <f>IF(Customers!I785&gt;DATE(2026,9,13),"",IF(ABS(INT((DATE(2026,9,13)-Customers!I785)/365.25)-Customers!H785)&gt;1,"Date/tenure inconsistent",""))</f>
        <v/>
      </c>
      <c r="K785" s="4" t="str">
        <f>IF(COUNTIF(Customers!$A$2:$A$1001,Customers!A785)&gt;1,"Duplicate ID","")</f>
        <v/>
      </c>
      <c r="L785" s="4" t="str">
        <f>IF(COUNTIFS(Customers!$B$2:$B$1001,Customers!B785,Customers!$D$2:$D$1001,Customers!D785,Customers!$G$2:$G$1001,Customers!G785,Customers!$I$2:$I$1001,Customers!I785,Customers!$L$2:$L$1001,Customers!L785)&gt;1,"Duplicate record","")</f>
        <v/>
      </c>
      <c r="M785" s="4" t="str">
        <f>IF(OR(Customers!U785&lt;300,Customers!U785&gt;850),"Score out of range","")</f>
        <v/>
      </c>
      <c r="N785" s="4" t="str">
        <f>IF(AND(Customers!G785&lt;&gt;"",Customers!G785&lt;=0),"Income ≤ 0","")</f>
        <v/>
      </c>
      <c r="O785" s="4" t="str">
        <f>IF(OR(Customers!G785="",Customers!M785=""),"Missing value","")</f>
        <v/>
      </c>
      <c r="P785" s="4">
        <f t="shared" si="12"/>
        <v>0</v>
      </c>
    </row>
    <row r="786" spans="1:16" x14ac:dyDescent="0.25">
      <c r="A786" s="4" t="str">
        <f>Customers!A786</f>
        <v>CL00779</v>
      </c>
      <c r="B786" s="20">
        <f>IF(Customers!G786="","",(Customers!G786-Statistics!$C$7)/Statistics!$C$9)</f>
        <v>-3.5830933599751945E-2</v>
      </c>
      <c r="C786" s="4" t="str">
        <f>IF(Customers!G786="","",IF(OR(Customers!G786&lt;Statistics!$C$15,Customers!G786&gt;Statistics!$C$16),"Outside 1.5·IQR",""))</f>
        <v/>
      </c>
      <c r="D786" s="4" t="str">
        <f>IF(OR(Customers!B786&lt;18,Customers!B786&gt;100),"Implausible age","")</f>
        <v/>
      </c>
      <c r="E786" s="4" t="str">
        <f>IF(Customers!H786&gt;Customers!B786-18,"Tenure &gt; age-18","")</f>
        <v/>
      </c>
      <c r="F786" s="4" t="str">
        <f>IF(Customers!R786&gt;Customers!Q786,"Card spend &gt; limit","")</f>
        <v/>
      </c>
      <c r="G786" s="4" t="str">
        <f>IF(OR(AND(Customers!S786&gt;0,Customers!T786=0),AND(Customers!S786=0,Customers!T786&gt;0)),"Mortgage/payment inconsistent","")</f>
        <v/>
      </c>
      <c r="H786" s="4" t="str">
        <f>IF(AND(Customers!G786&lt;&gt;"",Customers!G786&gt;0,Customers!T786&gt;Customers!G786/12),"Payment &gt; monthly income","")</f>
        <v/>
      </c>
      <c r="I786" s="4" t="str">
        <f>IF(OR(Customers!I786&gt;DATE(2026,9,13),YEAR(Customers!I786)&lt;1980),"Implausible date","")</f>
        <v/>
      </c>
      <c r="J786" s="4" t="str">
        <f>IF(Customers!I786&gt;DATE(2026,9,13),"",IF(ABS(INT((DATE(2026,9,13)-Customers!I786)/365.25)-Customers!H786)&gt;1,"Date/tenure inconsistent",""))</f>
        <v/>
      </c>
      <c r="K786" s="4" t="str">
        <f>IF(COUNTIF(Customers!$A$2:$A$1001,Customers!A786)&gt;1,"Duplicate ID","")</f>
        <v/>
      </c>
      <c r="L786" s="4" t="str">
        <f>IF(COUNTIFS(Customers!$B$2:$B$1001,Customers!B786,Customers!$D$2:$D$1001,Customers!D786,Customers!$G$2:$G$1001,Customers!G786,Customers!$I$2:$I$1001,Customers!I786,Customers!$L$2:$L$1001,Customers!L786)&gt;1,"Duplicate record","")</f>
        <v/>
      </c>
      <c r="M786" s="4" t="str">
        <f>IF(OR(Customers!U786&lt;300,Customers!U786&gt;850),"Score out of range","")</f>
        <v/>
      </c>
      <c r="N786" s="4" t="str">
        <f>IF(AND(Customers!G786&lt;&gt;"",Customers!G786&lt;=0),"Income ≤ 0","")</f>
        <v/>
      </c>
      <c r="O786" s="4" t="str">
        <f>IF(OR(Customers!G786="",Customers!M786=""),"Missing value","")</f>
        <v/>
      </c>
      <c r="P786" s="4">
        <f t="shared" si="12"/>
        <v>0</v>
      </c>
    </row>
    <row r="787" spans="1:16" x14ac:dyDescent="0.25">
      <c r="A787" s="4" t="str">
        <f>Customers!A787</f>
        <v>CL00780</v>
      </c>
      <c r="B787" s="20">
        <f>IF(Customers!G787="","",(Customers!G787-Statistics!$C$7)/Statistics!$C$9)</f>
        <v>-5.1589708086595285E-2</v>
      </c>
      <c r="C787" s="4" t="str">
        <f>IF(Customers!G787="","",IF(OR(Customers!G787&lt;Statistics!$C$15,Customers!G787&gt;Statistics!$C$16),"Outside 1.5·IQR",""))</f>
        <v/>
      </c>
      <c r="D787" s="4" t="str">
        <f>IF(OR(Customers!B787&lt;18,Customers!B787&gt;100),"Implausible age","")</f>
        <v/>
      </c>
      <c r="E787" s="4" t="str">
        <f>IF(Customers!H787&gt;Customers!B787-18,"Tenure &gt; age-18","")</f>
        <v/>
      </c>
      <c r="F787" s="4" t="str">
        <f>IF(Customers!R787&gt;Customers!Q787,"Card spend &gt; limit","")</f>
        <v/>
      </c>
      <c r="G787" s="4" t="str">
        <f>IF(OR(AND(Customers!S787&gt;0,Customers!T787=0),AND(Customers!S787=0,Customers!T787&gt;0)),"Mortgage/payment inconsistent","")</f>
        <v/>
      </c>
      <c r="H787" s="4" t="str">
        <f>IF(AND(Customers!G787&lt;&gt;"",Customers!G787&gt;0,Customers!T787&gt;Customers!G787/12),"Payment &gt; monthly income","")</f>
        <v/>
      </c>
      <c r="I787" s="4" t="str">
        <f>IF(OR(Customers!I787&gt;DATE(2026,9,13),YEAR(Customers!I787)&lt;1980),"Implausible date","")</f>
        <v/>
      </c>
      <c r="J787" s="4" t="str">
        <f>IF(Customers!I787&gt;DATE(2026,9,13),"",IF(ABS(INT((DATE(2026,9,13)-Customers!I787)/365.25)-Customers!H787)&gt;1,"Date/tenure inconsistent",""))</f>
        <v/>
      </c>
      <c r="K787" s="4" t="str">
        <f>IF(COUNTIF(Customers!$A$2:$A$1001,Customers!A787)&gt;1,"Duplicate ID","")</f>
        <v/>
      </c>
      <c r="L787" s="4" t="str">
        <f>IF(COUNTIFS(Customers!$B$2:$B$1001,Customers!B787,Customers!$D$2:$D$1001,Customers!D787,Customers!$G$2:$G$1001,Customers!G787,Customers!$I$2:$I$1001,Customers!I787,Customers!$L$2:$L$1001,Customers!L787)&gt;1,"Duplicate record","")</f>
        <v/>
      </c>
      <c r="M787" s="4" t="str">
        <f>IF(OR(Customers!U787&lt;300,Customers!U787&gt;850),"Score out of range","")</f>
        <v/>
      </c>
      <c r="N787" s="4" t="str">
        <f>IF(AND(Customers!G787&lt;&gt;"",Customers!G787&lt;=0),"Income ≤ 0","")</f>
        <v/>
      </c>
      <c r="O787" s="4" t="str">
        <f>IF(OR(Customers!G787="",Customers!M787=""),"Missing value","")</f>
        <v/>
      </c>
      <c r="P787" s="4">
        <f t="shared" si="12"/>
        <v>0</v>
      </c>
    </row>
    <row r="788" spans="1:16" x14ac:dyDescent="0.25">
      <c r="A788" s="4" t="str">
        <f>Customers!A788</f>
        <v>CL00781</v>
      </c>
      <c r="B788" s="20">
        <f>IF(Customers!G788="","",(Customers!G788-Statistics!$C$7)/Statistics!$C$9)</f>
        <v>-4.183896637286097E-2</v>
      </c>
      <c r="C788" s="4" t="str">
        <f>IF(Customers!G788="","",IF(OR(Customers!G788&lt;Statistics!$C$15,Customers!G788&gt;Statistics!$C$16),"Outside 1.5·IQR",""))</f>
        <v/>
      </c>
      <c r="D788" s="4" t="str">
        <f>IF(OR(Customers!B788&lt;18,Customers!B788&gt;100),"Implausible age","")</f>
        <v/>
      </c>
      <c r="E788" s="4" t="str">
        <f>IF(Customers!H788&gt;Customers!B788-18,"Tenure &gt; age-18","")</f>
        <v/>
      </c>
      <c r="F788" s="4" t="str">
        <f>IF(Customers!R788&gt;Customers!Q788,"Card spend &gt; limit","")</f>
        <v/>
      </c>
      <c r="G788" s="4" t="str">
        <f>IF(OR(AND(Customers!S788&gt;0,Customers!T788=0),AND(Customers!S788=0,Customers!T788&gt;0)),"Mortgage/payment inconsistent","")</f>
        <v/>
      </c>
      <c r="H788" s="4" t="str">
        <f>IF(AND(Customers!G788&lt;&gt;"",Customers!G788&gt;0,Customers!T788&gt;Customers!G788/12),"Payment &gt; monthly income","")</f>
        <v/>
      </c>
      <c r="I788" s="4" t="str">
        <f>IF(OR(Customers!I788&gt;DATE(2026,9,13),YEAR(Customers!I788)&lt;1980),"Implausible date","")</f>
        <v/>
      </c>
      <c r="J788" s="4" t="str">
        <f>IF(Customers!I788&gt;DATE(2026,9,13),"",IF(ABS(INT((DATE(2026,9,13)-Customers!I788)/365.25)-Customers!H788)&gt;1,"Date/tenure inconsistent",""))</f>
        <v/>
      </c>
      <c r="K788" s="4" t="str">
        <f>IF(COUNTIF(Customers!$A$2:$A$1001,Customers!A788)&gt;1,"Duplicate ID","")</f>
        <v/>
      </c>
      <c r="L788" s="4" t="str">
        <f>IF(COUNTIFS(Customers!$B$2:$B$1001,Customers!B788,Customers!$D$2:$D$1001,Customers!D788,Customers!$G$2:$G$1001,Customers!G788,Customers!$I$2:$I$1001,Customers!I788,Customers!$L$2:$L$1001,Customers!L788)&gt;1,"Duplicate record","")</f>
        <v/>
      </c>
      <c r="M788" s="4" t="str">
        <f>IF(OR(Customers!U788&lt;300,Customers!U788&gt;850),"Score out of range","")</f>
        <v/>
      </c>
      <c r="N788" s="4" t="str">
        <f>IF(AND(Customers!G788&lt;&gt;"",Customers!G788&lt;=0),"Income ≤ 0","")</f>
        <v/>
      </c>
      <c r="O788" s="4" t="str">
        <f>IF(OR(Customers!G788="",Customers!M788=""),"Missing value","")</f>
        <v/>
      </c>
      <c r="P788" s="4">
        <f t="shared" si="12"/>
        <v>0</v>
      </c>
    </row>
    <row r="789" spans="1:16" x14ac:dyDescent="0.25">
      <c r="A789" s="4" t="str">
        <f>Customers!A789</f>
        <v>CL00782</v>
      </c>
      <c r="B789" s="20">
        <f>IF(Customers!G789="","",(Customers!G789-Statistics!$C$7)/Statistics!$C$9)</f>
        <v>-4.8733430210854932E-2</v>
      </c>
      <c r="C789" s="4" t="str">
        <f>IF(Customers!G789="","",IF(OR(Customers!G789&lt;Statistics!$C$15,Customers!G789&gt;Statistics!$C$16),"Outside 1.5·IQR",""))</f>
        <v/>
      </c>
      <c r="D789" s="4" t="str">
        <f>IF(OR(Customers!B789&lt;18,Customers!B789&gt;100),"Implausible age","")</f>
        <v/>
      </c>
      <c r="E789" s="4" t="str">
        <f>IF(Customers!H789&gt;Customers!B789-18,"Tenure &gt; age-18","")</f>
        <v/>
      </c>
      <c r="F789" s="4" t="str">
        <f>IF(Customers!R789&gt;Customers!Q789,"Card spend &gt; limit","")</f>
        <v/>
      </c>
      <c r="G789" s="4" t="str">
        <f>IF(OR(AND(Customers!S789&gt;0,Customers!T789=0),AND(Customers!S789=0,Customers!T789&gt;0)),"Mortgage/payment inconsistent","")</f>
        <v/>
      </c>
      <c r="H789" s="4" t="str">
        <f>IF(AND(Customers!G789&lt;&gt;"",Customers!G789&gt;0,Customers!T789&gt;Customers!G789/12),"Payment &gt; monthly income","")</f>
        <v/>
      </c>
      <c r="I789" s="4" t="str">
        <f>IF(OR(Customers!I789&gt;DATE(2026,9,13),YEAR(Customers!I789)&lt;1980),"Implausible date","")</f>
        <v/>
      </c>
      <c r="J789" s="4" t="str">
        <f>IF(Customers!I789&gt;DATE(2026,9,13),"",IF(ABS(INT((DATE(2026,9,13)-Customers!I789)/365.25)-Customers!H789)&gt;1,"Date/tenure inconsistent",""))</f>
        <v/>
      </c>
      <c r="K789" s="4" t="str">
        <f>IF(COUNTIF(Customers!$A$2:$A$1001,Customers!A789)&gt;1,"Duplicate ID","")</f>
        <v/>
      </c>
      <c r="L789" s="4" t="str">
        <f>IF(COUNTIFS(Customers!$B$2:$B$1001,Customers!B789,Customers!$D$2:$D$1001,Customers!D789,Customers!$G$2:$G$1001,Customers!G789,Customers!$I$2:$I$1001,Customers!I789,Customers!$L$2:$L$1001,Customers!L789)&gt;1,"Duplicate record","")</f>
        <v/>
      </c>
      <c r="M789" s="4" t="str">
        <f>IF(OR(Customers!U789&lt;300,Customers!U789&gt;850),"Score out of range","")</f>
        <v/>
      </c>
      <c r="N789" s="4" t="str">
        <f>IF(AND(Customers!G789&lt;&gt;"",Customers!G789&lt;=0),"Income ≤ 0","")</f>
        <v/>
      </c>
      <c r="O789" s="4" t="str">
        <f>IF(OR(Customers!G789="",Customers!M789=""),"Missing value","")</f>
        <v/>
      </c>
      <c r="P789" s="4">
        <f t="shared" si="12"/>
        <v>0</v>
      </c>
    </row>
    <row r="790" spans="1:16" x14ac:dyDescent="0.25">
      <c r="A790" s="4" t="str">
        <f>Customers!A790</f>
        <v>CL00783</v>
      </c>
      <c r="B790" s="20">
        <f>IF(Customers!G790="","",(Customers!G790-Statistics!$C$7)/Statistics!$C$9)</f>
        <v>-5.3559554897450706E-2</v>
      </c>
      <c r="C790" s="4" t="str">
        <f>IF(Customers!G790="","",IF(OR(Customers!G790&lt;Statistics!$C$15,Customers!G790&gt;Statistics!$C$16),"Outside 1.5·IQR",""))</f>
        <v/>
      </c>
      <c r="D790" s="4" t="str">
        <f>IF(OR(Customers!B790&lt;18,Customers!B790&gt;100),"Implausible age","")</f>
        <v/>
      </c>
      <c r="E790" s="4" t="str">
        <f>IF(Customers!H790&gt;Customers!B790-18,"Tenure &gt; age-18","")</f>
        <v/>
      </c>
      <c r="F790" s="4" t="str">
        <f>IF(Customers!R790&gt;Customers!Q790,"Card spend &gt; limit","")</f>
        <v/>
      </c>
      <c r="G790" s="4" t="str">
        <f>IF(OR(AND(Customers!S790&gt;0,Customers!T790=0),AND(Customers!S790=0,Customers!T790&gt;0)),"Mortgage/payment inconsistent","")</f>
        <v/>
      </c>
      <c r="H790" s="4" t="str">
        <f>IF(AND(Customers!G790&lt;&gt;"",Customers!G790&gt;0,Customers!T790&gt;Customers!G790/12),"Payment &gt; monthly income","")</f>
        <v/>
      </c>
      <c r="I790" s="4" t="str">
        <f>IF(OR(Customers!I790&gt;DATE(2026,9,13),YEAR(Customers!I790)&lt;1980),"Implausible date","")</f>
        <v/>
      </c>
      <c r="J790" s="4" t="str">
        <f>IF(Customers!I790&gt;DATE(2026,9,13),"",IF(ABS(INT((DATE(2026,9,13)-Customers!I790)/365.25)-Customers!H790)&gt;1,"Date/tenure inconsistent",""))</f>
        <v/>
      </c>
      <c r="K790" s="4" t="str">
        <f>IF(COUNTIF(Customers!$A$2:$A$1001,Customers!A790)&gt;1,"Duplicate ID","")</f>
        <v/>
      </c>
      <c r="L790" s="4" t="str">
        <f>IF(COUNTIFS(Customers!$B$2:$B$1001,Customers!B790,Customers!$D$2:$D$1001,Customers!D790,Customers!$G$2:$G$1001,Customers!G790,Customers!$I$2:$I$1001,Customers!I790,Customers!$L$2:$L$1001,Customers!L790)&gt;1,"Duplicate record","")</f>
        <v/>
      </c>
      <c r="M790" s="4" t="str">
        <f>IF(OR(Customers!U790&lt;300,Customers!U790&gt;850),"Score out of range","")</f>
        <v/>
      </c>
      <c r="N790" s="4" t="str">
        <f>IF(AND(Customers!G790&lt;&gt;"",Customers!G790&lt;=0),"Income ≤ 0","")</f>
        <v/>
      </c>
      <c r="O790" s="4" t="str">
        <f>IF(OR(Customers!G790="",Customers!M790=""),"Missing value","")</f>
        <v/>
      </c>
      <c r="P790" s="4">
        <f t="shared" si="12"/>
        <v>0</v>
      </c>
    </row>
    <row r="791" spans="1:16" x14ac:dyDescent="0.25">
      <c r="A791" s="4" t="str">
        <f>Customers!A791</f>
        <v>CL00784</v>
      </c>
      <c r="B791" s="20">
        <f>IF(Customers!G791="","",(Customers!G791-Statistics!$C$7)/Statistics!$C$9)</f>
        <v>-4.2725397437745907E-2</v>
      </c>
      <c r="C791" s="4" t="str">
        <f>IF(Customers!G791="","",IF(OR(Customers!G791&lt;Statistics!$C$15,Customers!G791&gt;Statistics!$C$16),"Outside 1.5·IQR",""))</f>
        <v/>
      </c>
      <c r="D791" s="4" t="str">
        <f>IF(OR(Customers!B791&lt;18,Customers!B791&gt;100),"Implausible age","")</f>
        <v/>
      </c>
      <c r="E791" s="4" t="str">
        <f>IF(Customers!H791&gt;Customers!B791-18,"Tenure &gt; age-18","")</f>
        <v/>
      </c>
      <c r="F791" s="4" t="str">
        <f>IF(Customers!R791&gt;Customers!Q791,"Card spend &gt; limit","")</f>
        <v/>
      </c>
      <c r="G791" s="4" t="str">
        <f>IF(OR(AND(Customers!S791&gt;0,Customers!T791=0),AND(Customers!S791=0,Customers!T791&gt;0)),"Mortgage/payment inconsistent","")</f>
        <v/>
      </c>
      <c r="H791" s="4" t="str">
        <f>IF(AND(Customers!G791&lt;&gt;"",Customers!G791&gt;0,Customers!T791&gt;Customers!G791/12),"Payment &gt; monthly income","")</f>
        <v/>
      </c>
      <c r="I791" s="4" t="str">
        <f>IF(OR(Customers!I791&gt;DATE(2026,9,13),YEAR(Customers!I791)&lt;1980),"Implausible date","")</f>
        <v/>
      </c>
      <c r="J791" s="4" t="str">
        <f>IF(Customers!I791&gt;DATE(2026,9,13),"",IF(ABS(INT((DATE(2026,9,13)-Customers!I791)/365.25)-Customers!H791)&gt;1,"Date/tenure inconsistent",""))</f>
        <v/>
      </c>
      <c r="K791" s="4" t="str">
        <f>IF(COUNTIF(Customers!$A$2:$A$1001,Customers!A791)&gt;1,"Duplicate ID","")</f>
        <v/>
      </c>
      <c r="L791" s="4" t="str">
        <f>IF(COUNTIFS(Customers!$B$2:$B$1001,Customers!B791,Customers!$D$2:$D$1001,Customers!D791,Customers!$G$2:$G$1001,Customers!G791,Customers!$I$2:$I$1001,Customers!I791,Customers!$L$2:$L$1001,Customers!L791)&gt;1,"Duplicate record","")</f>
        <v/>
      </c>
      <c r="M791" s="4" t="str">
        <f>IF(OR(Customers!U791&lt;300,Customers!U791&gt;850),"Score out of range","")</f>
        <v/>
      </c>
      <c r="N791" s="4" t="str">
        <f>IF(AND(Customers!G791&lt;&gt;"",Customers!G791&lt;=0),"Income ≤ 0","")</f>
        <v/>
      </c>
      <c r="O791" s="4" t="str">
        <f>IF(OR(Customers!G791="",Customers!M791=""),"Missing value","")</f>
        <v/>
      </c>
      <c r="P791" s="4">
        <f t="shared" si="12"/>
        <v>0</v>
      </c>
    </row>
    <row r="792" spans="1:16" x14ac:dyDescent="0.25">
      <c r="A792" s="4" t="str">
        <f>Customers!A792</f>
        <v>CL00785</v>
      </c>
      <c r="B792" s="20">
        <f>IF(Customers!G792="","",(Customers!G792-Statistics!$C$7)/Statistics!$C$9)</f>
        <v>-3.8490226794406758E-2</v>
      </c>
      <c r="C792" s="4" t="str">
        <f>IF(Customers!G792="","",IF(OR(Customers!G792&lt;Statistics!$C$15,Customers!G792&gt;Statistics!$C$16),"Outside 1.5·IQR",""))</f>
        <v/>
      </c>
      <c r="D792" s="4" t="str">
        <f>IF(OR(Customers!B792&lt;18,Customers!B792&gt;100),"Implausible age","")</f>
        <v/>
      </c>
      <c r="E792" s="4" t="str">
        <f>IF(Customers!H792&gt;Customers!B792-18,"Tenure &gt; age-18","")</f>
        <v/>
      </c>
      <c r="F792" s="4" t="str">
        <f>IF(Customers!R792&gt;Customers!Q792,"Card spend &gt; limit","")</f>
        <v/>
      </c>
      <c r="G792" s="4" t="str">
        <f>IF(OR(AND(Customers!S792&gt;0,Customers!T792=0),AND(Customers!S792=0,Customers!T792&gt;0)),"Mortgage/payment inconsistent","")</f>
        <v/>
      </c>
      <c r="H792" s="4" t="str">
        <f>IF(AND(Customers!G792&lt;&gt;"",Customers!G792&gt;0,Customers!T792&gt;Customers!G792/12),"Payment &gt; monthly income","")</f>
        <v/>
      </c>
      <c r="I792" s="4" t="str">
        <f>IF(OR(Customers!I792&gt;DATE(2026,9,13),YEAR(Customers!I792)&lt;1980),"Implausible date","")</f>
        <v/>
      </c>
      <c r="J792" s="4" t="str">
        <f>IF(Customers!I792&gt;DATE(2026,9,13),"",IF(ABS(INT((DATE(2026,9,13)-Customers!I792)/365.25)-Customers!H792)&gt;1,"Date/tenure inconsistent",""))</f>
        <v/>
      </c>
      <c r="K792" s="4" t="str">
        <f>IF(COUNTIF(Customers!$A$2:$A$1001,Customers!A792)&gt;1,"Duplicate ID","")</f>
        <v/>
      </c>
      <c r="L792" s="4" t="str">
        <f>IF(COUNTIFS(Customers!$B$2:$B$1001,Customers!B792,Customers!$D$2:$D$1001,Customers!D792,Customers!$G$2:$G$1001,Customers!G792,Customers!$I$2:$I$1001,Customers!I792,Customers!$L$2:$L$1001,Customers!L792)&gt;1,"Duplicate record","")</f>
        <v/>
      </c>
      <c r="M792" s="4" t="str">
        <f>IF(OR(Customers!U792&lt;300,Customers!U792&gt;850),"Score out of range","")</f>
        <v/>
      </c>
      <c r="N792" s="4" t="str">
        <f>IF(AND(Customers!G792&lt;&gt;"",Customers!G792&lt;=0),"Income ≤ 0","")</f>
        <v/>
      </c>
      <c r="O792" s="4" t="str">
        <f>IF(OR(Customers!G792="",Customers!M792=""),"Missing value","")</f>
        <v/>
      </c>
      <c r="P792" s="4">
        <f t="shared" si="12"/>
        <v>0</v>
      </c>
    </row>
    <row r="793" spans="1:16" x14ac:dyDescent="0.25">
      <c r="A793" s="4" t="str">
        <f>Customers!A793</f>
        <v>CL00786</v>
      </c>
      <c r="B793" s="20">
        <f>IF(Customers!G793="","",(Customers!G793-Statistics!$C$7)/Statistics!$C$9)</f>
        <v>-5.5430909367763348E-2</v>
      </c>
      <c r="C793" s="4" t="str">
        <f>IF(Customers!G793="","",IF(OR(Customers!G793&lt;Statistics!$C$15,Customers!G793&gt;Statistics!$C$16),"Outside 1.5·IQR",""))</f>
        <v/>
      </c>
      <c r="D793" s="4" t="str">
        <f>IF(OR(Customers!B793&lt;18,Customers!B793&gt;100),"Implausible age","")</f>
        <v/>
      </c>
      <c r="E793" s="4" t="str">
        <f>IF(Customers!H793&gt;Customers!B793-18,"Tenure &gt; age-18","")</f>
        <v/>
      </c>
      <c r="F793" s="4" t="str">
        <f>IF(Customers!R793&gt;Customers!Q793,"Card spend &gt; limit","")</f>
        <v/>
      </c>
      <c r="G793" s="4" t="str">
        <f>IF(OR(AND(Customers!S793&gt;0,Customers!T793=0),AND(Customers!S793=0,Customers!T793&gt;0)),"Mortgage/payment inconsistent","")</f>
        <v/>
      </c>
      <c r="H793" s="4" t="str">
        <f>IF(AND(Customers!G793&lt;&gt;"",Customers!G793&gt;0,Customers!T793&gt;Customers!G793/12),"Payment &gt; monthly income","")</f>
        <v/>
      </c>
      <c r="I793" s="4" t="str">
        <f>IF(OR(Customers!I793&gt;DATE(2026,9,13),YEAR(Customers!I793)&lt;1980),"Implausible date","")</f>
        <v/>
      </c>
      <c r="J793" s="4" t="str">
        <f>IF(Customers!I793&gt;DATE(2026,9,13),"",IF(ABS(INT((DATE(2026,9,13)-Customers!I793)/365.25)-Customers!H793)&gt;1,"Date/tenure inconsistent",""))</f>
        <v/>
      </c>
      <c r="K793" s="4" t="str">
        <f>IF(COUNTIF(Customers!$A$2:$A$1001,Customers!A793)&gt;1,"Duplicate ID","")</f>
        <v/>
      </c>
      <c r="L793" s="4" t="str">
        <f>IF(COUNTIFS(Customers!$B$2:$B$1001,Customers!B793,Customers!$D$2:$D$1001,Customers!D793,Customers!$G$2:$G$1001,Customers!G793,Customers!$I$2:$I$1001,Customers!I793,Customers!$L$2:$L$1001,Customers!L793)&gt;1,"Duplicate record","")</f>
        <v/>
      </c>
      <c r="M793" s="4" t="str">
        <f>IF(OR(Customers!U793&lt;300,Customers!U793&gt;850),"Score out of range","")</f>
        <v/>
      </c>
      <c r="N793" s="4" t="str">
        <f>IF(AND(Customers!G793&lt;&gt;"",Customers!G793&lt;=0),"Income ≤ 0","")</f>
        <v/>
      </c>
      <c r="O793" s="4" t="str">
        <f>IF(OR(Customers!G793="",Customers!M793=""),"Missing value","")</f>
        <v/>
      </c>
      <c r="P793" s="4">
        <f t="shared" si="12"/>
        <v>0</v>
      </c>
    </row>
    <row r="794" spans="1:16" x14ac:dyDescent="0.25">
      <c r="A794" s="4" t="str">
        <f>Customers!A794</f>
        <v>CL00787</v>
      </c>
      <c r="B794" s="20">
        <f>IF(Customers!G794="","",(Customers!G794-Statistics!$C$7)/Statistics!$C$9)</f>
        <v>-3.9278165518748923E-2</v>
      </c>
      <c r="C794" s="4" t="str">
        <f>IF(Customers!G794="","",IF(OR(Customers!G794&lt;Statistics!$C$15,Customers!G794&gt;Statistics!$C$16),"Outside 1.5·IQR",""))</f>
        <v/>
      </c>
      <c r="D794" s="4" t="str">
        <f>IF(OR(Customers!B794&lt;18,Customers!B794&gt;100),"Implausible age","")</f>
        <v/>
      </c>
      <c r="E794" s="4" t="str">
        <f>IF(Customers!H794&gt;Customers!B794-18,"Tenure &gt; age-18","")</f>
        <v/>
      </c>
      <c r="F794" s="4" t="str">
        <f>IF(Customers!R794&gt;Customers!Q794,"Card spend &gt; limit","")</f>
        <v/>
      </c>
      <c r="G794" s="4" t="str">
        <f>IF(OR(AND(Customers!S794&gt;0,Customers!T794=0),AND(Customers!S794=0,Customers!T794&gt;0)),"Mortgage/payment inconsistent","")</f>
        <v/>
      </c>
      <c r="H794" s="4" t="str">
        <f>IF(AND(Customers!G794&lt;&gt;"",Customers!G794&gt;0,Customers!T794&gt;Customers!G794/12),"Payment &gt; monthly income","")</f>
        <v/>
      </c>
      <c r="I794" s="4" t="str">
        <f>IF(OR(Customers!I794&gt;DATE(2026,9,13),YEAR(Customers!I794)&lt;1980),"Implausible date","")</f>
        <v/>
      </c>
      <c r="J794" s="4" t="str">
        <f>IF(Customers!I794&gt;DATE(2026,9,13),"",IF(ABS(INT((DATE(2026,9,13)-Customers!I794)/365.25)-Customers!H794)&gt;1,"Date/tenure inconsistent",""))</f>
        <v/>
      </c>
      <c r="K794" s="4" t="str">
        <f>IF(COUNTIF(Customers!$A$2:$A$1001,Customers!A794)&gt;1,"Duplicate ID","")</f>
        <v/>
      </c>
      <c r="L794" s="4" t="str">
        <f>IF(COUNTIFS(Customers!$B$2:$B$1001,Customers!B794,Customers!$D$2:$D$1001,Customers!D794,Customers!$G$2:$G$1001,Customers!G794,Customers!$I$2:$I$1001,Customers!I794,Customers!$L$2:$L$1001,Customers!L794)&gt;1,"Duplicate record","")</f>
        <v/>
      </c>
      <c r="M794" s="4" t="str">
        <f>IF(OR(Customers!U794&lt;300,Customers!U794&gt;850),"Score out of range","")</f>
        <v/>
      </c>
      <c r="N794" s="4" t="str">
        <f>IF(AND(Customers!G794&lt;&gt;"",Customers!G794&lt;=0),"Income ≤ 0","")</f>
        <v/>
      </c>
      <c r="O794" s="4" t="str">
        <f>IF(OR(Customers!G794="",Customers!M794=""),"Missing value","")</f>
        <v/>
      </c>
      <c r="P794" s="4">
        <f t="shared" si="12"/>
        <v>0</v>
      </c>
    </row>
    <row r="795" spans="1:16" x14ac:dyDescent="0.25">
      <c r="A795" s="4" t="str">
        <f>Customers!A795</f>
        <v>CL00788</v>
      </c>
      <c r="B795" s="20">
        <f>IF(Customers!G795="","",(Customers!G795-Statistics!$C$7)/Statistics!$C$9)</f>
        <v>-4.3710320843173611E-2</v>
      </c>
      <c r="C795" s="4" t="str">
        <f>IF(Customers!G795="","",IF(OR(Customers!G795&lt;Statistics!$C$15,Customers!G795&gt;Statistics!$C$16),"Outside 1.5·IQR",""))</f>
        <v/>
      </c>
      <c r="D795" s="4" t="str">
        <f>IF(OR(Customers!B795&lt;18,Customers!B795&gt;100),"Implausible age","")</f>
        <v/>
      </c>
      <c r="E795" s="4" t="str">
        <f>IF(Customers!H795&gt;Customers!B795-18,"Tenure &gt; age-18","")</f>
        <v/>
      </c>
      <c r="F795" s="4" t="str">
        <f>IF(Customers!R795&gt;Customers!Q795,"Card spend &gt; limit","")</f>
        <v/>
      </c>
      <c r="G795" s="4" t="str">
        <f>IF(OR(AND(Customers!S795&gt;0,Customers!T795=0),AND(Customers!S795=0,Customers!T795&gt;0)),"Mortgage/payment inconsistent","")</f>
        <v/>
      </c>
      <c r="H795" s="4" t="str">
        <f>IF(AND(Customers!G795&lt;&gt;"",Customers!G795&gt;0,Customers!T795&gt;Customers!G795/12),"Payment &gt; monthly income","")</f>
        <v/>
      </c>
      <c r="I795" s="4" t="str">
        <f>IF(OR(Customers!I795&gt;DATE(2026,9,13),YEAR(Customers!I795)&lt;1980),"Implausible date","")</f>
        <v/>
      </c>
      <c r="J795" s="4" t="str">
        <f>IF(Customers!I795&gt;DATE(2026,9,13),"",IF(ABS(INT((DATE(2026,9,13)-Customers!I795)/365.25)-Customers!H795)&gt;1,"Date/tenure inconsistent",""))</f>
        <v/>
      </c>
      <c r="K795" s="4" t="str">
        <f>IF(COUNTIF(Customers!$A$2:$A$1001,Customers!A795)&gt;1,"Duplicate ID","")</f>
        <v/>
      </c>
      <c r="L795" s="4" t="str">
        <f>IF(COUNTIFS(Customers!$B$2:$B$1001,Customers!B795,Customers!$D$2:$D$1001,Customers!D795,Customers!$G$2:$G$1001,Customers!G795,Customers!$I$2:$I$1001,Customers!I795,Customers!$L$2:$L$1001,Customers!L795)&gt;1,"Duplicate record","")</f>
        <v/>
      </c>
      <c r="M795" s="4" t="str">
        <f>IF(OR(Customers!U795&lt;300,Customers!U795&gt;850),"Score out of range","")</f>
        <v/>
      </c>
      <c r="N795" s="4" t="str">
        <f>IF(AND(Customers!G795&lt;&gt;"",Customers!G795&lt;=0),"Income ≤ 0","")</f>
        <v/>
      </c>
      <c r="O795" s="4" t="str">
        <f>IF(OR(Customers!G795="",Customers!M795=""),"Missing value","")</f>
        <v/>
      </c>
      <c r="P795" s="4">
        <f t="shared" si="12"/>
        <v>0</v>
      </c>
    </row>
    <row r="796" spans="1:16" x14ac:dyDescent="0.25">
      <c r="A796" s="4" t="str">
        <f>Customers!A796</f>
        <v>CL00789</v>
      </c>
      <c r="B796" s="20">
        <f>IF(Customers!G796="","",(Customers!G796-Statistics!$C$7)/Statistics!$C$9)</f>
        <v>-3.5141487215952547E-2</v>
      </c>
      <c r="C796" s="4" t="str">
        <f>IF(Customers!G796="","",IF(OR(Customers!G796&lt;Statistics!$C$15,Customers!G796&gt;Statistics!$C$16),"Outside 1.5·IQR",""))</f>
        <v/>
      </c>
      <c r="D796" s="4" t="str">
        <f>IF(OR(Customers!B796&lt;18,Customers!B796&gt;100),"Implausible age","")</f>
        <v/>
      </c>
      <c r="E796" s="4" t="str">
        <f>IF(Customers!H796&gt;Customers!B796-18,"Tenure &gt; age-18","")</f>
        <v/>
      </c>
      <c r="F796" s="4" t="str">
        <f>IF(Customers!R796&gt;Customers!Q796,"Card spend &gt; limit","")</f>
        <v/>
      </c>
      <c r="G796" s="4" t="str">
        <f>IF(OR(AND(Customers!S796&gt;0,Customers!T796=0),AND(Customers!S796=0,Customers!T796&gt;0)),"Mortgage/payment inconsistent","")</f>
        <v/>
      </c>
      <c r="H796" s="4" t="str">
        <f>IF(AND(Customers!G796&lt;&gt;"",Customers!G796&gt;0,Customers!T796&gt;Customers!G796/12),"Payment &gt; monthly income","")</f>
        <v/>
      </c>
      <c r="I796" s="4" t="str">
        <f>IF(OR(Customers!I796&gt;DATE(2026,9,13),YEAR(Customers!I796)&lt;1980),"Implausible date","")</f>
        <v/>
      </c>
      <c r="J796" s="4" t="str">
        <f>IF(Customers!I796&gt;DATE(2026,9,13),"",IF(ABS(INT((DATE(2026,9,13)-Customers!I796)/365.25)-Customers!H796)&gt;1,"Date/tenure inconsistent",""))</f>
        <v/>
      </c>
      <c r="K796" s="4" t="str">
        <f>IF(COUNTIF(Customers!$A$2:$A$1001,Customers!A796)&gt;1,"Duplicate ID","")</f>
        <v/>
      </c>
      <c r="L796" s="4" t="str">
        <f>IF(COUNTIFS(Customers!$B$2:$B$1001,Customers!B796,Customers!$D$2:$D$1001,Customers!D796,Customers!$G$2:$G$1001,Customers!G796,Customers!$I$2:$I$1001,Customers!I796,Customers!$L$2:$L$1001,Customers!L796)&gt;1,"Duplicate record","")</f>
        <v/>
      </c>
      <c r="M796" s="4" t="str">
        <f>IF(OR(Customers!U796&lt;300,Customers!U796&gt;850),"Score out of range","")</f>
        <v/>
      </c>
      <c r="N796" s="4" t="str">
        <f>IF(AND(Customers!G796&lt;&gt;"",Customers!G796&lt;=0),"Income ≤ 0","")</f>
        <v/>
      </c>
      <c r="O796" s="4" t="str">
        <f>IF(OR(Customers!G796="",Customers!M796=""),"Missing value","")</f>
        <v/>
      </c>
      <c r="P796" s="4">
        <f t="shared" si="12"/>
        <v>0</v>
      </c>
    </row>
    <row r="797" spans="1:16" x14ac:dyDescent="0.25">
      <c r="A797" s="4" t="str">
        <f>Customers!A797</f>
        <v>CL00790</v>
      </c>
      <c r="B797" s="20">
        <f>IF(Customers!G797="","",(Customers!G797-Statistics!$C$7)/Statistics!$C$9)</f>
        <v>-5.3658047237993473E-2</v>
      </c>
      <c r="C797" s="4" t="str">
        <f>IF(Customers!G797="","",IF(OR(Customers!G797&lt;Statistics!$C$15,Customers!G797&gt;Statistics!$C$16),"Outside 1.5·IQR",""))</f>
        <v/>
      </c>
      <c r="D797" s="4" t="str">
        <f>IF(OR(Customers!B797&lt;18,Customers!B797&gt;100),"Implausible age","")</f>
        <v/>
      </c>
      <c r="E797" s="4" t="str">
        <f>IF(Customers!H797&gt;Customers!B797-18,"Tenure &gt; age-18","")</f>
        <v/>
      </c>
      <c r="F797" s="4" t="str">
        <f>IF(Customers!R797&gt;Customers!Q797,"Card spend &gt; limit","")</f>
        <v>Card spend &gt; limit</v>
      </c>
      <c r="G797" s="4" t="str">
        <f>IF(OR(AND(Customers!S797&gt;0,Customers!T797=0),AND(Customers!S797=0,Customers!T797&gt;0)),"Mortgage/payment inconsistent","")</f>
        <v/>
      </c>
      <c r="H797" s="4" t="str">
        <f>IF(AND(Customers!G797&lt;&gt;"",Customers!G797&gt;0,Customers!T797&gt;Customers!G797/12),"Payment &gt; monthly income","")</f>
        <v/>
      </c>
      <c r="I797" s="4" t="str">
        <f>IF(OR(Customers!I797&gt;DATE(2026,9,13),YEAR(Customers!I797)&lt;1980),"Implausible date","")</f>
        <v/>
      </c>
      <c r="J797" s="4" t="str">
        <f>IF(Customers!I797&gt;DATE(2026,9,13),"",IF(ABS(INT((DATE(2026,9,13)-Customers!I797)/365.25)-Customers!H797)&gt;1,"Date/tenure inconsistent",""))</f>
        <v/>
      </c>
      <c r="K797" s="4" t="str">
        <f>IF(COUNTIF(Customers!$A$2:$A$1001,Customers!A797)&gt;1,"Duplicate ID","")</f>
        <v/>
      </c>
      <c r="L797" s="4" t="str">
        <f>IF(COUNTIFS(Customers!$B$2:$B$1001,Customers!B797,Customers!$D$2:$D$1001,Customers!D797,Customers!$G$2:$G$1001,Customers!G797,Customers!$I$2:$I$1001,Customers!I797,Customers!$L$2:$L$1001,Customers!L797)&gt;1,"Duplicate record","")</f>
        <v/>
      </c>
      <c r="M797" s="4" t="str">
        <f>IF(OR(Customers!U797&lt;300,Customers!U797&gt;850),"Score out of range","")</f>
        <v/>
      </c>
      <c r="N797" s="4" t="str">
        <f>IF(AND(Customers!G797&lt;&gt;"",Customers!G797&lt;=0),"Income ≤ 0","")</f>
        <v/>
      </c>
      <c r="O797" s="4" t="str">
        <f>IF(OR(Customers!G797="",Customers!M797=""),"Missing value","")</f>
        <v/>
      </c>
      <c r="P797" s="4">
        <f t="shared" si="12"/>
        <v>1</v>
      </c>
    </row>
    <row r="798" spans="1:16" x14ac:dyDescent="0.25">
      <c r="A798" s="4" t="str">
        <f>Customers!A798</f>
        <v>CL00791</v>
      </c>
      <c r="B798" s="20">
        <f>IF(Customers!G798="","",(Customers!G798-Statistics!$C$7)/Statistics!$C$9)</f>
        <v>-3.2876163383468812E-2</v>
      </c>
      <c r="C798" s="4" t="str">
        <f>IF(Customers!G798="","",IF(OR(Customers!G798&lt;Statistics!$C$15,Customers!G798&gt;Statistics!$C$16),"Outside 1.5·IQR",""))</f>
        <v/>
      </c>
      <c r="D798" s="4" t="str">
        <f>IF(OR(Customers!B798&lt;18,Customers!B798&gt;100),"Implausible age","")</f>
        <v/>
      </c>
      <c r="E798" s="4" t="str">
        <f>IF(Customers!H798&gt;Customers!B798-18,"Tenure &gt; age-18","")</f>
        <v/>
      </c>
      <c r="F798" s="4" t="str">
        <f>IF(Customers!R798&gt;Customers!Q798,"Card spend &gt; limit","")</f>
        <v/>
      </c>
      <c r="G798" s="4" t="str">
        <f>IF(OR(AND(Customers!S798&gt;0,Customers!T798=0),AND(Customers!S798=0,Customers!T798&gt;0)),"Mortgage/payment inconsistent","")</f>
        <v/>
      </c>
      <c r="H798" s="4" t="str">
        <f>IF(AND(Customers!G798&lt;&gt;"",Customers!G798&gt;0,Customers!T798&gt;Customers!G798/12),"Payment &gt; monthly income","")</f>
        <v/>
      </c>
      <c r="I798" s="4" t="str">
        <f>IF(OR(Customers!I798&gt;DATE(2026,9,13),YEAR(Customers!I798)&lt;1980),"Implausible date","")</f>
        <v/>
      </c>
      <c r="J798" s="4" t="str">
        <f>IF(Customers!I798&gt;DATE(2026,9,13),"",IF(ABS(INT((DATE(2026,9,13)-Customers!I798)/365.25)-Customers!H798)&gt;1,"Date/tenure inconsistent",""))</f>
        <v/>
      </c>
      <c r="K798" s="4" t="str">
        <f>IF(COUNTIF(Customers!$A$2:$A$1001,Customers!A798)&gt;1,"Duplicate ID","")</f>
        <v/>
      </c>
      <c r="L798" s="4" t="str">
        <f>IF(COUNTIFS(Customers!$B$2:$B$1001,Customers!B798,Customers!$D$2:$D$1001,Customers!D798,Customers!$G$2:$G$1001,Customers!G798,Customers!$I$2:$I$1001,Customers!I798,Customers!$L$2:$L$1001,Customers!L798)&gt;1,"Duplicate record","")</f>
        <v/>
      </c>
      <c r="M798" s="4" t="str">
        <f>IF(OR(Customers!U798&lt;300,Customers!U798&gt;850),"Score out of range","")</f>
        <v/>
      </c>
      <c r="N798" s="4" t="str">
        <f>IF(AND(Customers!G798&lt;&gt;"",Customers!G798&lt;=0),"Income ≤ 0","")</f>
        <v/>
      </c>
      <c r="O798" s="4" t="str">
        <f>IF(OR(Customers!G798="",Customers!M798=""),"Missing value","")</f>
        <v/>
      </c>
      <c r="P798" s="4">
        <f t="shared" si="12"/>
        <v>0</v>
      </c>
    </row>
    <row r="799" spans="1:16" x14ac:dyDescent="0.25">
      <c r="A799" s="4" t="str">
        <f>Customers!A799</f>
        <v>CL00792</v>
      </c>
      <c r="B799" s="20">
        <f>IF(Customers!G799="","",(Customers!G799-Statistics!$C$7)/Statistics!$C$9)</f>
        <v>-4.9127399573026011E-2</v>
      </c>
      <c r="C799" s="4" t="str">
        <f>IF(Customers!G799="","",IF(OR(Customers!G799&lt;Statistics!$C$15,Customers!G799&gt;Statistics!$C$16),"Outside 1.5·IQR",""))</f>
        <v/>
      </c>
      <c r="D799" s="4" t="str">
        <f>IF(OR(Customers!B799&lt;18,Customers!B799&gt;100),"Implausible age","")</f>
        <v/>
      </c>
      <c r="E799" s="4" t="str">
        <f>IF(Customers!H799&gt;Customers!B799-18,"Tenure &gt; age-18","")</f>
        <v/>
      </c>
      <c r="F799" s="4" t="str">
        <f>IF(Customers!R799&gt;Customers!Q799,"Card spend &gt; limit","")</f>
        <v/>
      </c>
      <c r="G799" s="4" t="str">
        <f>IF(OR(AND(Customers!S799&gt;0,Customers!T799=0),AND(Customers!S799=0,Customers!T799&gt;0)),"Mortgage/payment inconsistent","")</f>
        <v/>
      </c>
      <c r="H799" s="4" t="str">
        <f>IF(AND(Customers!G799&lt;&gt;"",Customers!G799&gt;0,Customers!T799&gt;Customers!G799/12),"Payment &gt; monthly income","")</f>
        <v/>
      </c>
      <c r="I799" s="4" t="str">
        <f>IF(OR(Customers!I799&gt;DATE(2026,9,13),YEAR(Customers!I799)&lt;1980),"Implausible date","")</f>
        <v/>
      </c>
      <c r="J799" s="4" t="str">
        <f>IF(Customers!I799&gt;DATE(2026,9,13),"",IF(ABS(INT((DATE(2026,9,13)-Customers!I799)/365.25)-Customers!H799)&gt;1,"Date/tenure inconsistent",""))</f>
        <v/>
      </c>
      <c r="K799" s="4" t="str">
        <f>IF(COUNTIF(Customers!$A$2:$A$1001,Customers!A799)&gt;1,"Duplicate ID","")</f>
        <v/>
      </c>
      <c r="L799" s="4" t="str">
        <f>IF(COUNTIFS(Customers!$B$2:$B$1001,Customers!B799,Customers!$D$2:$D$1001,Customers!D799,Customers!$G$2:$G$1001,Customers!G799,Customers!$I$2:$I$1001,Customers!I799,Customers!$L$2:$L$1001,Customers!L799)&gt;1,"Duplicate record","")</f>
        <v/>
      </c>
      <c r="M799" s="4" t="str">
        <f>IF(OR(Customers!U799&lt;300,Customers!U799&gt;850),"Score out of range","")</f>
        <v/>
      </c>
      <c r="N799" s="4" t="str">
        <f>IF(AND(Customers!G799&lt;&gt;"",Customers!G799&lt;=0),"Income ≤ 0","")</f>
        <v/>
      </c>
      <c r="O799" s="4" t="str">
        <f>IF(OR(Customers!G799="",Customers!M799=""),"Missing value","")</f>
        <v/>
      </c>
      <c r="P799" s="4">
        <f t="shared" si="12"/>
        <v>0</v>
      </c>
    </row>
    <row r="800" spans="1:16" x14ac:dyDescent="0.25">
      <c r="A800" s="4" t="str">
        <f>Customers!A800</f>
        <v>CL00793</v>
      </c>
      <c r="B800" s="20">
        <f>IF(Customers!G800="","",(Customers!G800-Statistics!$C$7)/Statistics!$C$9)</f>
        <v>-1.682191187499716E-2</v>
      </c>
      <c r="C800" s="4" t="str">
        <f>IF(Customers!G800="","",IF(OR(Customers!G800&lt;Statistics!$C$15,Customers!G800&gt;Statistics!$C$16),"Outside 1.5·IQR",""))</f>
        <v/>
      </c>
      <c r="D800" s="4" t="str">
        <f>IF(OR(Customers!B800&lt;18,Customers!B800&gt;100),"Implausible age","")</f>
        <v/>
      </c>
      <c r="E800" s="4" t="str">
        <f>IF(Customers!H800&gt;Customers!B800-18,"Tenure &gt; age-18","")</f>
        <v/>
      </c>
      <c r="F800" s="4" t="str">
        <f>IF(Customers!R800&gt;Customers!Q800,"Card spend &gt; limit","")</f>
        <v/>
      </c>
      <c r="G800" s="4" t="str">
        <f>IF(OR(AND(Customers!S800&gt;0,Customers!T800=0),AND(Customers!S800=0,Customers!T800&gt;0)),"Mortgage/payment inconsistent","")</f>
        <v/>
      </c>
      <c r="H800" s="4" t="str">
        <f>IF(AND(Customers!G800&lt;&gt;"",Customers!G800&gt;0,Customers!T800&gt;Customers!G800/12),"Payment &gt; monthly income","")</f>
        <v/>
      </c>
      <c r="I800" s="4" t="str">
        <f>IF(OR(Customers!I800&gt;DATE(2026,9,13),YEAR(Customers!I800)&lt;1980),"Implausible date","")</f>
        <v/>
      </c>
      <c r="J800" s="4" t="str">
        <f>IF(Customers!I800&gt;DATE(2026,9,13),"",IF(ABS(INT((DATE(2026,9,13)-Customers!I800)/365.25)-Customers!H800)&gt;1,"Date/tenure inconsistent",""))</f>
        <v/>
      </c>
      <c r="K800" s="4" t="str">
        <f>IF(COUNTIF(Customers!$A$2:$A$1001,Customers!A800)&gt;1,"Duplicate ID","")</f>
        <v/>
      </c>
      <c r="L800" s="4" t="str">
        <f>IF(COUNTIFS(Customers!$B$2:$B$1001,Customers!B800,Customers!$D$2:$D$1001,Customers!D800,Customers!$G$2:$G$1001,Customers!G800,Customers!$I$2:$I$1001,Customers!I800,Customers!$L$2:$L$1001,Customers!L800)&gt;1,"Duplicate record","")</f>
        <v/>
      </c>
      <c r="M800" s="4" t="str">
        <f>IF(OR(Customers!U800&lt;300,Customers!U800&gt;850),"Score out of range","")</f>
        <v/>
      </c>
      <c r="N800" s="4" t="str">
        <f>IF(AND(Customers!G800&lt;&gt;"",Customers!G800&lt;=0),"Income ≤ 0","")</f>
        <v/>
      </c>
      <c r="O800" s="4" t="str">
        <f>IF(OR(Customers!G800="",Customers!M800=""),"Missing value","")</f>
        <v/>
      </c>
      <c r="P800" s="4">
        <f t="shared" si="12"/>
        <v>0</v>
      </c>
    </row>
    <row r="801" spans="1:16" x14ac:dyDescent="0.25">
      <c r="A801" s="4" t="str">
        <f>Customers!A801</f>
        <v>CL00794</v>
      </c>
      <c r="B801" s="20">
        <f>IF(Customers!G801="","",(Customers!G801-Statistics!$C$7)/Statistics!$C$9)</f>
        <v>-3.6520379983551336E-2</v>
      </c>
      <c r="C801" s="4" t="str">
        <f>IF(Customers!G801="","",IF(OR(Customers!G801&lt;Statistics!$C$15,Customers!G801&gt;Statistics!$C$16),"Outside 1.5·IQR",""))</f>
        <v/>
      </c>
      <c r="D801" s="4" t="str">
        <f>IF(OR(Customers!B801&lt;18,Customers!B801&gt;100),"Implausible age","")</f>
        <v/>
      </c>
      <c r="E801" s="4" t="str">
        <f>IF(Customers!H801&gt;Customers!B801-18,"Tenure &gt; age-18","")</f>
        <v/>
      </c>
      <c r="F801" s="4" t="str">
        <f>IF(Customers!R801&gt;Customers!Q801,"Card spend &gt; limit","")</f>
        <v/>
      </c>
      <c r="G801" s="4" t="str">
        <f>IF(OR(AND(Customers!S801&gt;0,Customers!T801=0),AND(Customers!S801=0,Customers!T801&gt;0)),"Mortgage/payment inconsistent","")</f>
        <v/>
      </c>
      <c r="H801" s="4" t="str">
        <f>IF(AND(Customers!G801&lt;&gt;"",Customers!G801&gt;0,Customers!T801&gt;Customers!G801/12),"Payment &gt; monthly income","")</f>
        <v/>
      </c>
      <c r="I801" s="4" t="str">
        <f>IF(OR(Customers!I801&gt;DATE(2026,9,13),YEAR(Customers!I801)&lt;1980),"Implausible date","")</f>
        <v/>
      </c>
      <c r="J801" s="4" t="str">
        <f>IF(Customers!I801&gt;DATE(2026,9,13),"",IF(ABS(INT((DATE(2026,9,13)-Customers!I801)/365.25)-Customers!H801)&gt;1,"Date/tenure inconsistent",""))</f>
        <v/>
      </c>
      <c r="K801" s="4" t="str">
        <f>IF(COUNTIF(Customers!$A$2:$A$1001,Customers!A801)&gt;1,"Duplicate ID","")</f>
        <v/>
      </c>
      <c r="L801" s="4" t="str">
        <f>IF(COUNTIFS(Customers!$B$2:$B$1001,Customers!B801,Customers!$D$2:$D$1001,Customers!D801,Customers!$G$2:$G$1001,Customers!G801,Customers!$I$2:$I$1001,Customers!I801,Customers!$L$2:$L$1001,Customers!L801)&gt;1,"Duplicate record","")</f>
        <v/>
      </c>
      <c r="M801" s="4" t="str">
        <f>IF(OR(Customers!U801&lt;300,Customers!U801&gt;850),"Score out of range","")</f>
        <v/>
      </c>
      <c r="N801" s="4" t="str">
        <f>IF(AND(Customers!G801&lt;&gt;"",Customers!G801&lt;=0),"Income ≤ 0","")</f>
        <v/>
      </c>
      <c r="O801" s="4" t="str">
        <f>IF(OR(Customers!G801="",Customers!M801=""),"Missing value","")</f>
        <v/>
      </c>
      <c r="P801" s="4">
        <f t="shared" si="12"/>
        <v>0</v>
      </c>
    </row>
    <row r="802" spans="1:16" x14ac:dyDescent="0.25">
      <c r="A802" s="4" t="str">
        <f>Customers!A802</f>
        <v>CL00795</v>
      </c>
      <c r="B802" s="20">
        <f>IF(Customers!G802="","",(Customers!G802-Statistics!$C$7)/Statistics!$C$9)</f>
        <v>-5.5923371070477207E-2</v>
      </c>
      <c r="C802" s="4" t="str">
        <f>IF(Customers!G802="","",IF(OR(Customers!G802&lt;Statistics!$C$15,Customers!G802&gt;Statistics!$C$16),"Outside 1.5·IQR",""))</f>
        <v/>
      </c>
      <c r="D802" s="4" t="str">
        <f>IF(OR(Customers!B802&lt;18,Customers!B802&gt;100),"Implausible age","")</f>
        <v/>
      </c>
      <c r="E802" s="4" t="str">
        <f>IF(Customers!H802&gt;Customers!B802-18,"Tenure &gt; age-18","")</f>
        <v/>
      </c>
      <c r="F802" s="4" t="str">
        <f>IF(Customers!R802&gt;Customers!Q802,"Card spend &gt; limit","")</f>
        <v/>
      </c>
      <c r="G802" s="4" t="str">
        <f>IF(OR(AND(Customers!S802&gt;0,Customers!T802=0),AND(Customers!S802=0,Customers!T802&gt;0)),"Mortgage/payment inconsistent","")</f>
        <v/>
      </c>
      <c r="H802" s="4" t="str">
        <f>IF(AND(Customers!G802&lt;&gt;"",Customers!G802&gt;0,Customers!T802&gt;Customers!G802/12),"Payment &gt; monthly income","")</f>
        <v/>
      </c>
      <c r="I802" s="4" t="str">
        <f>IF(OR(Customers!I802&gt;DATE(2026,9,13),YEAR(Customers!I802)&lt;1980),"Implausible date","")</f>
        <v/>
      </c>
      <c r="J802" s="4" t="str">
        <f>IF(Customers!I802&gt;DATE(2026,9,13),"",IF(ABS(INT((DATE(2026,9,13)-Customers!I802)/365.25)-Customers!H802)&gt;1,"Date/tenure inconsistent",""))</f>
        <v/>
      </c>
      <c r="K802" s="4" t="str">
        <f>IF(COUNTIF(Customers!$A$2:$A$1001,Customers!A802)&gt;1,"Duplicate ID","")</f>
        <v/>
      </c>
      <c r="L802" s="4" t="str">
        <f>IF(COUNTIFS(Customers!$B$2:$B$1001,Customers!B802,Customers!$D$2:$D$1001,Customers!D802,Customers!$G$2:$G$1001,Customers!G802,Customers!$I$2:$I$1001,Customers!I802,Customers!$L$2:$L$1001,Customers!L802)&gt;1,"Duplicate record","")</f>
        <v/>
      </c>
      <c r="M802" s="4" t="str">
        <f>IF(OR(Customers!U802&lt;300,Customers!U802&gt;850),"Score out of range","")</f>
        <v/>
      </c>
      <c r="N802" s="4" t="str">
        <f>IF(AND(Customers!G802&lt;&gt;"",Customers!G802&lt;=0),"Income ≤ 0","")</f>
        <v/>
      </c>
      <c r="O802" s="4" t="str">
        <f>IF(OR(Customers!G802="",Customers!M802=""),"Missing value","")</f>
        <v/>
      </c>
      <c r="P802" s="4">
        <f t="shared" si="12"/>
        <v>0</v>
      </c>
    </row>
    <row r="803" spans="1:16" x14ac:dyDescent="0.25">
      <c r="A803" s="4" t="str">
        <f>Customers!A803</f>
        <v>CL00796</v>
      </c>
      <c r="B803" s="20">
        <f>IF(Customers!G803="","",(Customers!G803-Statistics!$C$7)/Statistics!$C$9)</f>
        <v>9.2012124424764682E-2</v>
      </c>
      <c r="C803" s="4" t="str">
        <f>IF(Customers!G803="","",IF(OR(Customers!G803&lt;Statistics!$C$15,Customers!G803&gt;Statistics!$C$16),"Outside 1.5·IQR",""))</f>
        <v>Outside 1.5·IQR</v>
      </c>
      <c r="D803" s="4" t="str">
        <f>IF(OR(Customers!B803&lt;18,Customers!B803&gt;100),"Implausible age","")</f>
        <v/>
      </c>
      <c r="E803" s="4" t="str">
        <f>IF(Customers!H803&gt;Customers!B803-18,"Tenure &gt; age-18","")</f>
        <v/>
      </c>
      <c r="F803" s="4" t="str">
        <f>IF(Customers!R803&gt;Customers!Q803,"Card spend &gt; limit","")</f>
        <v/>
      </c>
      <c r="G803" s="4" t="str">
        <f>IF(OR(AND(Customers!S803&gt;0,Customers!T803=0),AND(Customers!S803=0,Customers!T803&gt;0)),"Mortgage/payment inconsistent","")</f>
        <v/>
      </c>
      <c r="H803" s="4" t="str">
        <f>IF(AND(Customers!G803&lt;&gt;"",Customers!G803&gt;0,Customers!T803&gt;Customers!G803/12),"Payment &gt; monthly income","")</f>
        <v/>
      </c>
      <c r="I803" s="4" t="str">
        <f>IF(OR(Customers!I803&gt;DATE(2026,9,13),YEAR(Customers!I803)&lt;1980),"Implausible date","")</f>
        <v/>
      </c>
      <c r="J803" s="4" t="str">
        <f>IF(Customers!I803&gt;DATE(2026,9,13),"",IF(ABS(INT((DATE(2026,9,13)-Customers!I803)/365.25)-Customers!H803)&gt;1,"Date/tenure inconsistent",""))</f>
        <v/>
      </c>
      <c r="K803" s="4" t="str">
        <f>IF(COUNTIF(Customers!$A$2:$A$1001,Customers!A803)&gt;1,"Duplicate ID","")</f>
        <v/>
      </c>
      <c r="L803" s="4" t="str">
        <f>IF(COUNTIFS(Customers!$B$2:$B$1001,Customers!B803,Customers!$D$2:$D$1001,Customers!D803,Customers!$G$2:$G$1001,Customers!G803,Customers!$I$2:$I$1001,Customers!I803,Customers!$L$2:$L$1001,Customers!L803)&gt;1,"Duplicate record","")</f>
        <v/>
      </c>
      <c r="M803" s="4" t="str">
        <f>IF(OR(Customers!U803&lt;300,Customers!U803&gt;850),"Score out of range","")</f>
        <v/>
      </c>
      <c r="N803" s="4" t="str">
        <f>IF(AND(Customers!G803&lt;&gt;"",Customers!G803&lt;=0),"Income ≤ 0","")</f>
        <v/>
      </c>
      <c r="O803" s="4" t="str">
        <f>IF(OR(Customers!G803="",Customers!M803=""),"Missing value","")</f>
        <v/>
      </c>
      <c r="P803" s="4">
        <f t="shared" si="12"/>
        <v>1</v>
      </c>
    </row>
    <row r="804" spans="1:16" x14ac:dyDescent="0.25">
      <c r="A804" s="4" t="str">
        <f>Customers!A804</f>
        <v>CL00797</v>
      </c>
      <c r="B804" s="20">
        <f>IF(Customers!G804="","",(Customers!G804-Statistics!$C$7)/Statistics!$C$9)</f>
        <v>-6.3014819589556709E-2</v>
      </c>
      <c r="C804" s="4" t="str">
        <f>IF(Customers!G804="","",IF(OR(Customers!G804&lt;Statistics!$C$15,Customers!G804&gt;Statistics!$C$16),"Outside 1.5·IQR",""))</f>
        <v/>
      </c>
      <c r="D804" s="4" t="str">
        <f>IF(OR(Customers!B804&lt;18,Customers!B804&gt;100),"Implausible age","")</f>
        <v/>
      </c>
      <c r="E804" s="4" t="str">
        <f>IF(Customers!H804&gt;Customers!B804-18,"Tenure &gt; age-18","")</f>
        <v/>
      </c>
      <c r="F804" s="4" t="str">
        <f>IF(Customers!R804&gt;Customers!Q804,"Card spend &gt; limit","")</f>
        <v/>
      </c>
      <c r="G804" s="4" t="str">
        <f>IF(OR(AND(Customers!S804&gt;0,Customers!T804=0),AND(Customers!S804=0,Customers!T804&gt;0)),"Mortgage/payment inconsistent","")</f>
        <v/>
      </c>
      <c r="H804" s="4" t="str">
        <f>IF(AND(Customers!G804&lt;&gt;"",Customers!G804&gt;0,Customers!T804&gt;Customers!G804/12),"Payment &gt; monthly income","")</f>
        <v/>
      </c>
      <c r="I804" s="4" t="str">
        <f>IF(OR(Customers!I804&gt;DATE(2026,9,13),YEAR(Customers!I804)&lt;1980),"Implausible date","")</f>
        <v/>
      </c>
      <c r="J804" s="4" t="str">
        <f>IF(Customers!I804&gt;DATE(2026,9,13),"",IF(ABS(INT((DATE(2026,9,13)-Customers!I804)/365.25)-Customers!H804)&gt;1,"Date/tenure inconsistent",""))</f>
        <v/>
      </c>
      <c r="K804" s="4" t="str">
        <f>IF(COUNTIF(Customers!$A$2:$A$1001,Customers!A804)&gt;1,"Duplicate ID","")</f>
        <v/>
      </c>
      <c r="L804" s="4" t="str">
        <f>IF(COUNTIFS(Customers!$B$2:$B$1001,Customers!B804,Customers!$D$2:$D$1001,Customers!D804,Customers!$G$2:$G$1001,Customers!G804,Customers!$I$2:$I$1001,Customers!I804,Customers!$L$2:$L$1001,Customers!L804)&gt;1,"Duplicate record","")</f>
        <v/>
      </c>
      <c r="M804" s="4" t="str">
        <f>IF(OR(Customers!U804&lt;300,Customers!U804&gt;850),"Score out of range","")</f>
        <v/>
      </c>
      <c r="N804" s="4" t="str">
        <f>IF(AND(Customers!G804&lt;&gt;"",Customers!G804&lt;=0),"Income ≤ 0","")</f>
        <v/>
      </c>
      <c r="O804" s="4" t="str">
        <f>IF(OR(Customers!G804="",Customers!M804=""),"Missing value","")</f>
        <v/>
      </c>
      <c r="P804" s="4">
        <f t="shared" si="12"/>
        <v>0</v>
      </c>
    </row>
    <row r="805" spans="1:16" x14ac:dyDescent="0.25">
      <c r="A805" s="4" t="str">
        <f>Customers!A805</f>
        <v>CL00798</v>
      </c>
      <c r="B805" s="20">
        <f>IF(Customers!G805="","",(Customers!G805-Statistics!$C$7)/Statistics!$C$9)</f>
        <v>-1.1995787188401384E-2</v>
      </c>
      <c r="C805" s="4" t="str">
        <f>IF(Customers!G805="","",IF(OR(Customers!G805&lt;Statistics!$C$15,Customers!G805&gt;Statistics!$C$16),"Outside 1.5·IQR",""))</f>
        <v/>
      </c>
      <c r="D805" s="4" t="str">
        <f>IF(OR(Customers!B805&lt;18,Customers!B805&gt;100),"Implausible age","")</f>
        <v/>
      </c>
      <c r="E805" s="4" t="str">
        <f>IF(Customers!H805&gt;Customers!B805-18,"Tenure &gt; age-18","")</f>
        <v/>
      </c>
      <c r="F805" s="4" t="str">
        <f>IF(Customers!R805&gt;Customers!Q805,"Card spend &gt; limit","")</f>
        <v/>
      </c>
      <c r="G805" s="4" t="str">
        <f>IF(OR(AND(Customers!S805&gt;0,Customers!T805=0),AND(Customers!S805=0,Customers!T805&gt;0)),"Mortgage/payment inconsistent","")</f>
        <v/>
      </c>
      <c r="H805" s="4" t="str">
        <f>IF(AND(Customers!G805&lt;&gt;"",Customers!G805&gt;0,Customers!T805&gt;Customers!G805/12),"Payment &gt; monthly income","")</f>
        <v/>
      </c>
      <c r="I805" s="4" t="str">
        <f>IF(OR(Customers!I805&gt;DATE(2026,9,13),YEAR(Customers!I805)&lt;1980),"Implausible date","")</f>
        <v/>
      </c>
      <c r="J805" s="4" t="str">
        <f>IF(Customers!I805&gt;DATE(2026,9,13),"",IF(ABS(INT((DATE(2026,9,13)-Customers!I805)/365.25)-Customers!H805)&gt;1,"Date/tenure inconsistent",""))</f>
        <v/>
      </c>
      <c r="K805" s="4" t="str">
        <f>IF(COUNTIF(Customers!$A$2:$A$1001,Customers!A805)&gt;1,"Duplicate ID","")</f>
        <v/>
      </c>
      <c r="L805" s="4" t="str">
        <f>IF(COUNTIFS(Customers!$B$2:$B$1001,Customers!B805,Customers!$D$2:$D$1001,Customers!D805,Customers!$G$2:$G$1001,Customers!G805,Customers!$I$2:$I$1001,Customers!I805,Customers!$L$2:$L$1001,Customers!L805)&gt;1,"Duplicate record","")</f>
        <v/>
      </c>
      <c r="M805" s="4" t="str">
        <f>IF(OR(Customers!U805&lt;300,Customers!U805&gt;850),"Score out of range","")</f>
        <v/>
      </c>
      <c r="N805" s="4" t="str">
        <f>IF(AND(Customers!G805&lt;&gt;"",Customers!G805&lt;=0),"Income ≤ 0","")</f>
        <v/>
      </c>
      <c r="O805" s="4" t="str">
        <f>IF(OR(Customers!G805="",Customers!M805=""),"Missing value","")</f>
        <v/>
      </c>
      <c r="P805" s="4">
        <f t="shared" si="12"/>
        <v>0</v>
      </c>
    </row>
    <row r="806" spans="1:16" x14ac:dyDescent="0.25">
      <c r="A806" s="4" t="str">
        <f>Customers!A806</f>
        <v>CL00799</v>
      </c>
      <c r="B806" s="20">
        <f>IF(Customers!G806="","",(Customers!G806-Statistics!$C$7)/Statistics!$C$9)</f>
        <v>-1.3177695274914636E-2</v>
      </c>
      <c r="C806" s="4" t="str">
        <f>IF(Customers!G806="","",IF(OR(Customers!G806&lt;Statistics!$C$15,Customers!G806&gt;Statistics!$C$16),"Outside 1.5·IQR",""))</f>
        <v/>
      </c>
      <c r="D806" s="4" t="str">
        <f>IF(OR(Customers!B806&lt;18,Customers!B806&gt;100),"Implausible age","")</f>
        <v/>
      </c>
      <c r="E806" s="4" t="str">
        <f>IF(Customers!H806&gt;Customers!B806-18,"Tenure &gt; age-18","")</f>
        <v/>
      </c>
      <c r="F806" s="4" t="str">
        <f>IF(Customers!R806&gt;Customers!Q806,"Card spend &gt; limit","")</f>
        <v/>
      </c>
      <c r="G806" s="4" t="str">
        <f>IF(OR(AND(Customers!S806&gt;0,Customers!T806=0),AND(Customers!S806=0,Customers!T806&gt;0)),"Mortgage/payment inconsistent","")</f>
        <v/>
      </c>
      <c r="H806" s="4" t="str">
        <f>IF(AND(Customers!G806&lt;&gt;"",Customers!G806&gt;0,Customers!T806&gt;Customers!G806/12),"Payment &gt; monthly income","")</f>
        <v/>
      </c>
      <c r="I806" s="4" t="str">
        <f>IF(OR(Customers!I806&gt;DATE(2026,9,13),YEAR(Customers!I806)&lt;1980),"Implausible date","")</f>
        <v/>
      </c>
      <c r="J806" s="4" t="str">
        <f>IF(Customers!I806&gt;DATE(2026,9,13),"",IF(ABS(INT((DATE(2026,9,13)-Customers!I806)/365.25)-Customers!H806)&gt;1,"Date/tenure inconsistent",""))</f>
        <v/>
      </c>
      <c r="K806" s="4" t="str">
        <f>IF(COUNTIF(Customers!$A$2:$A$1001,Customers!A806)&gt;1,"Duplicate ID","")</f>
        <v/>
      </c>
      <c r="L806" s="4" t="str">
        <f>IF(COUNTIFS(Customers!$B$2:$B$1001,Customers!B806,Customers!$D$2:$D$1001,Customers!D806,Customers!$G$2:$G$1001,Customers!G806,Customers!$I$2:$I$1001,Customers!I806,Customers!$L$2:$L$1001,Customers!L806)&gt;1,"Duplicate record","")</f>
        <v/>
      </c>
      <c r="M806" s="4" t="str">
        <f>IF(OR(Customers!U806&lt;300,Customers!U806&gt;850),"Score out of range","")</f>
        <v/>
      </c>
      <c r="N806" s="4" t="str">
        <f>IF(AND(Customers!G806&lt;&gt;"",Customers!G806&lt;=0),"Income ≤ 0","")</f>
        <v/>
      </c>
      <c r="O806" s="4" t="str">
        <f>IF(OR(Customers!G806="",Customers!M806=""),"Missing value","")</f>
        <v/>
      </c>
      <c r="P806" s="4">
        <f t="shared" si="12"/>
        <v>0</v>
      </c>
    </row>
    <row r="807" spans="1:16" x14ac:dyDescent="0.25">
      <c r="A807" s="4" t="str">
        <f>Customers!A807</f>
        <v>CL00800</v>
      </c>
      <c r="B807" s="20">
        <f>IF(Customers!G807="","",(Customers!G807-Statistics!$C$7)/Statistics!$C$9)</f>
        <v>-3.8884196156577837E-2</v>
      </c>
      <c r="C807" s="4" t="str">
        <f>IF(Customers!G807="","",IF(OR(Customers!G807&lt;Statistics!$C$15,Customers!G807&gt;Statistics!$C$16),"Outside 1.5·IQR",""))</f>
        <v/>
      </c>
      <c r="D807" s="4" t="str">
        <f>IF(OR(Customers!B807&lt;18,Customers!B807&gt;100),"Implausible age","")</f>
        <v/>
      </c>
      <c r="E807" s="4" t="str">
        <f>IF(Customers!H807&gt;Customers!B807-18,"Tenure &gt; age-18","")</f>
        <v/>
      </c>
      <c r="F807" s="4" t="str">
        <f>IF(Customers!R807&gt;Customers!Q807,"Card spend &gt; limit","")</f>
        <v/>
      </c>
      <c r="G807" s="4" t="str">
        <f>IF(OR(AND(Customers!S807&gt;0,Customers!T807=0),AND(Customers!S807=0,Customers!T807&gt;0)),"Mortgage/payment inconsistent","")</f>
        <v/>
      </c>
      <c r="H807" s="4" t="str">
        <f>IF(AND(Customers!G807&lt;&gt;"",Customers!G807&gt;0,Customers!T807&gt;Customers!G807/12),"Payment &gt; monthly income","")</f>
        <v/>
      </c>
      <c r="I807" s="4" t="str">
        <f>IF(OR(Customers!I807&gt;DATE(2026,9,13),YEAR(Customers!I807)&lt;1980),"Implausible date","")</f>
        <v/>
      </c>
      <c r="J807" s="4" t="str">
        <f>IF(Customers!I807&gt;DATE(2026,9,13),"",IF(ABS(INT((DATE(2026,9,13)-Customers!I807)/365.25)-Customers!H807)&gt;1,"Date/tenure inconsistent",""))</f>
        <v/>
      </c>
      <c r="K807" s="4" t="str">
        <f>IF(COUNTIF(Customers!$A$2:$A$1001,Customers!A807)&gt;1,"Duplicate ID","")</f>
        <v/>
      </c>
      <c r="L807" s="4" t="str">
        <f>IF(COUNTIFS(Customers!$B$2:$B$1001,Customers!B807,Customers!$D$2:$D$1001,Customers!D807,Customers!$G$2:$G$1001,Customers!G807,Customers!$I$2:$I$1001,Customers!I807,Customers!$L$2:$L$1001,Customers!L807)&gt;1,"Duplicate record","")</f>
        <v/>
      </c>
      <c r="M807" s="4" t="str">
        <f>IF(OR(Customers!U807&lt;300,Customers!U807&gt;850),"Score out of range","")</f>
        <v/>
      </c>
      <c r="N807" s="4" t="str">
        <f>IF(AND(Customers!G807&lt;&gt;"",Customers!G807&lt;=0),"Income ≤ 0","")</f>
        <v/>
      </c>
      <c r="O807" s="4" t="str">
        <f>IF(OR(Customers!G807="",Customers!M807=""),"Missing value","")</f>
        <v/>
      </c>
      <c r="P807" s="4">
        <f t="shared" si="12"/>
        <v>0</v>
      </c>
    </row>
    <row r="808" spans="1:16" x14ac:dyDescent="0.25">
      <c r="A808" s="4" t="str">
        <f>Customers!A808</f>
        <v>CL00801</v>
      </c>
      <c r="B808" s="20">
        <f>IF(Customers!G808="","",(Customers!G808-Statistics!$C$7)/Statistics!$C$9)</f>
        <v>-3.4846010194324234E-2</v>
      </c>
      <c r="C808" s="4" t="str">
        <f>IF(Customers!G808="","",IF(OR(Customers!G808&lt;Statistics!$C$15,Customers!G808&gt;Statistics!$C$16),"Outside 1.5·IQR",""))</f>
        <v/>
      </c>
      <c r="D808" s="4" t="str">
        <f>IF(OR(Customers!B808&lt;18,Customers!B808&gt;100),"Implausible age","")</f>
        <v/>
      </c>
      <c r="E808" s="4" t="str">
        <f>IF(Customers!H808&gt;Customers!B808-18,"Tenure &gt; age-18","")</f>
        <v/>
      </c>
      <c r="F808" s="4" t="str">
        <f>IF(Customers!R808&gt;Customers!Q808,"Card spend &gt; limit","")</f>
        <v/>
      </c>
      <c r="G808" s="4" t="str">
        <f>IF(OR(AND(Customers!S808&gt;0,Customers!T808=0),AND(Customers!S808=0,Customers!T808&gt;0)),"Mortgage/payment inconsistent","")</f>
        <v/>
      </c>
      <c r="H808" s="4" t="str">
        <f>IF(AND(Customers!G808&lt;&gt;"",Customers!G808&gt;0,Customers!T808&gt;Customers!G808/12),"Payment &gt; monthly income","")</f>
        <v/>
      </c>
      <c r="I808" s="4" t="str">
        <f>IF(OR(Customers!I808&gt;DATE(2026,9,13),YEAR(Customers!I808)&lt;1980),"Implausible date","")</f>
        <v/>
      </c>
      <c r="J808" s="4" t="str">
        <f>IF(Customers!I808&gt;DATE(2026,9,13),"",IF(ABS(INT((DATE(2026,9,13)-Customers!I808)/365.25)-Customers!H808)&gt;1,"Date/tenure inconsistent",""))</f>
        <v/>
      </c>
      <c r="K808" s="4" t="str">
        <f>IF(COUNTIF(Customers!$A$2:$A$1001,Customers!A808)&gt;1,"Duplicate ID","")</f>
        <v/>
      </c>
      <c r="L808" s="4" t="str">
        <f>IF(COUNTIFS(Customers!$B$2:$B$1001,Customers!B808,Customers!$D$2:$D$1001,Customers!D808,Customers!$G$2:$G$1001,Customers!G808,Customers!$I$2:$I$1001,Customers!I808,Customers!$L$2:$L$1001,Customers!L808)&gt;1,"Duplicate record","")</f>
        <v/>
      </c>
      <c r="M808" s="4" t="str">
        <f>IF(OR(Customers!U808&lt;300,Customers!U808&gt;850),"Score out of range","")</f>
        <v/>
      </c>
      <c r="N808" s="4" t="str">
        <f>IF(AND(Customers!G808&lt;&gt;"",Customers!G808&lt;=0),"Income ≤ 0","")</f>
        <v/>
      </c>
      <c r="O808" s="4" t="str">
        <f>IF(OR(Customers!G808="",Customers!M808=""),"Missing value","")</f>
        <v/>
      </c>
      <c r="P808" s="4">
        <f t="shared" si="12"/>
        <v>0</v>
      </c>
    </row>
    <row r="809" spans="1:16" x14ac:dyDescent="0.25">
      <c r="A809" s="4" t="str">
        <f>Customers!A809</f>
        <v>CL00802</v>
      </c>
      <c r="B809" s="20">
        <f>IF(Customers!G809="","",(Customers!G809-Statistics!$C$7)/Statistics!$C$9)</f>
        <v>-4.2134443394489282E-2</v>
      </c>
      <c r="C809" s="4" t="str">
        <f>IF(Customers!G809="","",IF(OR(Customers!G809&lt;Statistics!$C$15,Customers!G809&gt;Statistics!$C$16),"Outside 1.5·IQR",""))</f>
        <v/>
      </c>
      <c r="D809" s="4" t="str">
        <f>IF(OR(Customers!B809&lt;18,Customers!B809&gt;100),"Implausible age","")</f>
        <v/>
      </c>
      <c r="E809" s="4" t="str">
        <f>IF(Customers!H809&gt;Customers!B809-18,"Tenure &gt; age-18","")</f>
        <v/>
      </c>
      <c r="F809" s="4" t="str">
        <f>IF(Customers!R809&gt;Customers!Q809,"Card spend &gt; limit","")</f>
        <v/>
      </c>
      <c r="G809" s="4" t="str">
        <f>IF(OR(AND(Customers!S809&gt;0,Customers!T809=0),AND(Customers!S809=0,Customers!T809&gt;0)),"Mortgage/payment inconsistent","")</f>
        <v/>
      </c>
      <c r="H809" s="4" t="str">
        <f>IF(AND(Customers!G809&lt;&gt;"",Customers!G809&gt;0,Customers!T809&gt;Customers!G809/12),"Payment &gt; monthly income","")</f>
        <v/>
      </c>
      <c r="I809" s="4" t="str">
        <f>IF(OR(Customers!I809&gt;DATE(2026,9,13),YEAR(Customers!I809)&lt;1980),"Implausible date","")</f>
        <v/>
      </c>
      <c r="J809" s="4" t="str">
        <f>IF(Customers!I809&gt;DATE(2026,9,13),"",IF(ABS(INT((DATE(2026,9,13)-Customers!I809)/365.25)-Customers!H809)&gt;1,"Date/tenure inconsistent",""))</f>
        <v/>
      </c>
      <c r="K809" s="4" t="str">
        <f>IF(COUNTIF(Customers!$A$2:$A$1001,Customers!A809)&gt;1,"Duplicate ID","")</f>
        <v/>
      </c>
      <c r="L809" s="4" t="str">
        <f>IF(COUNTIFS(Customers!$B$2:$B$1001,Customers!B809,Customers!$D$2:$D$1001,Customers!D809,Customers!$G$2:$G$1001,Customers!G809,Customers!$I$2:$I$1001,Customers!I809,Customers!$L$2:$L$1001,Customers!L809)&gt;1,"Duplicate record","")</f>
        <v/>
      </c>
      <c r="M809" s="4" t="str">
        <f>IF(OR(Customers!U809&lt;300,Customers!U809&gt;850),"Score out of range","")</f>
        <v/>
      </c>
      <c r="N809" s="4" t="str">
        <f>IF(AND(Customers!G809&lt;&gt;"",Customers!G809&lt;=0),"Income ≤ 0","")</f>
        <v/>
      </c>
      <c r="O809" s="4" t="str">
        <f>IF(OR(Customers!G809="",Customers!M809=""),"Missing value","")</f>
        <v/>
      </c>
      <c r="P809" s="4">
        <f t="shared" si="12"/>
        <v>0</v>
      </c>
    </row>
    <row r="810" spans="1:16" x14ac:dyDescent="0.25">
      <c r="A810" s="4" t="str">
        <f>Customers!A810</f>
        <v>CL00803</v>
      </c>
      <c r="B810" s="20">
        <f>IF(Customers!G810="","",(Customers!G810-Statistics!$C$7)/Statistics!$C$9)</f>
        <v>-5.0703277021710347E-2</v>
      </c>
      <c r="C810" s="4" t="str">
        <f>IF(Customers!G810="","",IF(OR(Customers!G810&lt;Statistics!$C$15,Customers!G810&gt;Statistics!$C$16),"Outside 1.5·IQR",""))</f>
        <v/>
      </c>
      <c r="D810" s="4" t="str">
        <f>IF(OR(Customers!B810&lt;18,Customers!B810&gt;100),"Implausible age","")</f>
        <v/>
      </c>
      <c r="E810" s="4" t="str">
        <f>IF(Customers!H810&gt;Customers!B810-18,"Tenure &gt; age-18","")</f>
        <v/>
      </c>
      <c r="F810" s="4" t="str">
        <f>IF(Customers!R810&gt;Customers!Q810,"Card spend &gt; limit","")</f>
        <v/>
      </c>
      <c r="G810" s="4" t="str">
        <f>IF(OR(AND(Customers!S810&gt;0,Customers!T810=0),AND(Customers!S810=0,Customers!T810&gt;0)),"Mortgage/payment inconsistent","")</f>
        <v/>
      </c>
      <c r="H810" s="4" t="str">
        <f>IF(AND(Customers!G810&lt;&gt;"",Customers!G810&gt;0,Customers!T810&gt;Customers!G810/12),"Payment &gt; monthly income","")</f>
        <v/>
      </c>
      <c r="I810" s="4" t="str">
        <f>IF(OR(Customers!I810&gt;DATE(2026,9,13),YEAR(Customers!I810)&lt;1980),"Implausible date","")</f>
        <v/>
      </c>
      <c r="J810" s="4" t="str">
        <f>IF(Customers!I810&gt;DATE(2026,9,13),"",IF(ABS(INT((DATE(2026,9,13)-Customers!I810)/365.25)-Customers!H810)&gt;1,"Date/tenure inconsistent",""))</f>
        <v/>
      </c>
      <c r="K810" s="4" t="str">
        <f>IF(COUNTIF(Customers!$A$2:$A$1001,Customers!A810)&gt;1,"Duplicate ID","")</f>
        <v/>
      </c>
      <c r="L810" s="4" t="str">
        <f>IF(COUNTIFS(Customers!$B$2:$B$1001,Customers!B810,Customers!$D$2:$D$1001,Customers!D810,Customers!$G$2:$G$1001,Customers!G810,Customers!$I$2:$I$1001,Customers!I810,Customers!$L$2:$L$1001,Customers!L810)&gt;1,"Duplicate record","")</f>
        <v/>
      </c>
      <c r="M810" s="4" t="str">
        <f>IF(OR(Customers!U810&lt;300,Customers!U810&gt;850),"Score out of range","")</f>
        <v/>
      </c>
      <c r="N810" s="4" t="str">
        <f>IF(AND(Customers!G810&lt;&gt;"",Customers!G810&lt;=0),"Income ≤ 0","")</f>
        <v/>
      </c>
      <c r="O810" s="4" t="str">
        <f>IF(OR(Customers!G810="",Customers!M810=""),"Missing value","")</f>
        <v/>
      </c>
      <c r="P810" s="4">
        <f t="shared" si="12"/>
        <v>0</v>
      </c>
    </row>
    <row r="811" spans="1:16" x14ac:dyDescent="0.25">
      <c r="A811" s="4" t="str">
        <f>Customers!A811</f>
        <v>CL00804</v>
      </c>
      <c r="B811" s="20">
        <f>IF(Customers!G811="","",(Customers!G811-Statistics!$C$7)/Statistics!$C$9)</f>
        <v>-5.2082169789309136E-2</v>
      </c>
      <c r="C811" s="4" t="str">
        <f>IF(Customers!G811="","",IF(OR(Customers!G811&lt;Statistics!$C$15,Customers!G811&gt;Statistics!$C$16),"Outside 1.5·IQR",""))</f>
        <v/>
      </c>
      <c r="D811" s="4" t="str">
        <f>IF(OR(Customers!B811&lt;18,Customers!B811&gt;100),"Implausible age","")</f>
        <v/>
      </c>
      <c r="E811" s="4" t="str">
        <f>IF(Customers!H811&gt;Customers!B811-18,"Tenure &gt; age-18","")</f>
        <v/>
      </c>
      <c r="F811" s="4" t="str">
        <f>IF(Customers!R811&gt;Customers!Q811,"Card spend &gt; limit","")</f>
        <v/>
      </c>
      <c r="G811" s="4" t="str">
        <f>IF(OR(AND(Customers!S811&gt;0,Customers!T811=0),AND(Customers!S811=0,Customers!T811&gt;0)),"Mortgage/payment inconsistent","")</f>
        <v/>
      </c>
      <c r="H811" s="4" t="str">
        <f>IF(AND(Customers!G811&lt;&gt;"",Customers!G811&gt;0,Customers!T811&gt;Customers!G811/12),"Payment &gt; monthly income","")</f>
        <v/>
      </c>
      <c r="I811" s="4" t="str">
        <f>IF(OR(Customers!I811&gt;DATE(2026,9,13),YEAR(Customers!I811)&lt;1980),"Implausible date","")</f>
        <v/>
      </c>
      <c r="J811" s="4" t="str">
        <f>IF(Customers!I811&gt;DATE(2026,9,13),"",IF(ABS(INT((DATE(2026,9,13)-Customers!I811)/365.25)-Customers!H811)&gt;1,"Date/tenure inconsistent",""))</f>
        <v/>
      </c>
      <c r="K811" s="4" t="str">
        <f>IF(COUNTIF(Customers!$A$2:$A$1001,Customers!A811)&gt;1,"Duplicate ID","")</f>
        <v/>
      </c>
      <c r="L811" s="4" t="str">
        <f>IF(COUNTIFS(Customers!$B$2:$B$1001,Customers!B811,Customers!$D$2:$D$1001,Customers!D811,Customers!$G$2:$G$1001,Customers!G811,Customers!$I$2:$I$1001,Customers!I811,Customers!$L$2:$L$1001,Customers!L811)&gt;1,"Duplicate record","")</f>
        <v/>
      </c>
      <c r="M811" s="4" t="str">
        <f>IF(OR(Customers!U811&lt;300,Customers!U811&gt;850),"Score out of range","")</f>
        <v/>
      </c>
      <c r="N811" s="4" t="str">
        <f>IF(AND(Customers!G811&lt;&gt;"",Customers!G811&lt;=0),"Income ≤ 0","")</f>
        <v/>
      </c>
      <c r="O811" s="4" t="str">
        <f>IF(OR(Customers!G811="",Customers!M811=""),"Missing value","")</f>
        <v/>
      </c>
      <c r="P811" s="4">
        <f t="shared" si="12"/>
        <v>0</v>
      </c>
    </row>
    <row r="812" spans="1:16" x14ac:dyDescent="0.25">
      <c r="A812" s="4" t="str">
        <f>Customers!A812</f>
        <v>CL00805</v>
      </c>
      <c r="B812" s="20">
        <f>IF(Customers!G812="","",(Customers!G812-Statistics!$C$7)/Statistics!$C$9)</f>
        <v>-4.2429920416117595E-2</v>
      </c>
      <c r="C812" s="4" t="str">
        <f>IF(Customers!G812="","",IF(OR(Customers!G812&lt;Statistics!$C$15,Customers!G812&gt;Statistics!$C$16),"Outside 1.5·IQR",""))</f>
        <v/>
      </c>
      <c r="D812" s="4" t="str">
        <f>IF(OR(Customers!B812&lt;18,Customers!B812&gt;100),"Implausible age","")</f>
        <v/>
      </c>
      <c r="E812" s="4" t="str">
        <f>IF(Customers!H812&gt;Customers!B812-18,"Tenure &gt; age-18","")</f>
        <v/>
      </c>
      <c r="F812" s="4" t="str">
        <f>IF(Customers!R812&gt;Customers!Q812,"Card spend &gt; limit","")</f>
        <v/>
      </c>
      <c r="G812" s="4" t="str">
        <f>IF(OR(AND(Customers!S812&gt;0,Customers!T812=0),AND(Customers!S812=0,Customers!T812&gt;0)),"Mortgage/payment inconsistent","")</f>
        <v/>
      </c>
      <c r="H812" s="4" t="str">
        <f>IF(AND(Customers!G812&lt;&gt;"",Customers!G812&gt;0,Customers!T812&gt;Customers!G812/12),"Payment &gt; monthly income","")</f>
        <v/>
      </c>
      <c r="I812" s="4" t="str">
        <f>IF(OR(Customers!I812&gt;DATE(2026,9,13),YEAR(Customers!I812)&lt;1980),"Implausible date","")</f>
        <v/>
      </c>
      <c r="J812" s="4" t="str">
        <f>IF(Customers!I812&gt;DATE(2026,9,13),"",IF(ABS(INT((DATE(2026,9,13)-Customers!I812)/365.25)-Customers!H812)&gt;1,"Date/tenure inconsistent",""))</f>
        <v/>
      </c>
      <c r="K812" s="4" t="str">
        <f>IF(COUNTIF(Customers!$A$2:$A$1001,Customers!A812)&gt;1,"Duplicate ID","")</f>
        <v/>
      </c>
      <c r="L812" s="4" t="str">
        <f>IF(COUNTIFS(Customers!$B$2:$B$1001,Customers!B812,Customers!$D$2:$D$1001,Customers!D812,Customers!$G$2:$G$1001,Customers!G812,Customers!$I$2:$I$1001,Customers!I812,Customers!$L$2:$L$1001,Customers!L812)&gt;1,"Duplicate record","")</f>
        <v/>
      </c>
      <c r="M812" s="4" t="str">
        <f>IF(OR(Customers!U812&lt;300,Customers!U812&gt;850),"Score out of range","")</f>
        <v/>
      </c>
      <c r="N812" s="4" t="str">
        <f>IF(AND(Customers!G812&lt;&gt;"",Customers!G812&lt;=0),"Income ≤ 0","")</f>
        <v/>
      </c>
      <c r="O812" s="4" t="str">
        <f>IF(OR(Customers!G812="",Customers!M812=""),"Missing value","")</f>
        <v/>
      </c>
      <c r="P812" s="4">
        <f t="shared" si="12"/>
        <v>0</v>
      </c>
    </row>
    <row r="813" spans="1:16" x14ac:dyDescent="0.25">
      <c r="A813" s="4" t="str">
        <f>Customers!A813</f>
        <v>CL00806</v>
      </c>
      <c r="B813" s="20">
        <f>IF(Customers!G813="","",(Customers!G813-Statistics!$C$7)/Statistics!$C$9)</f>
        <v>-4.8930414891940471E-2</v>
      </c>
      <c r="C813" s="4" t="str">
        <f>IF(Customers!G813="","",IF(OR(Customers!G813&lt;Statistics!$C$15,Customers!G813&gt;Statistics!$C$16),"Outside 1.5·IQR",""))</f>
        <v/>
      </c>
      <c r="D813" s="4" t="str">
        <f>IF(OR(Customers!B813&lt;18,Customers!B813&gt;100),"Implausible age","")</f>
        <v/>
      </c>
      <c r="E813" s="4" t="str">
        <f>IF(Customers!H813&gt;Customers!B813-18,"Tenure &gt; age-18","")</f>
        <v/>
      </c>
      <c r="F813" s="4" t="str">
        <f>IF(Customers!R813&gt;Customers!Q813,"Card spend &gt; limit","")</f>
        <v/>
      </c>
      <c r="G813" s="4" t="str">
        <f>IF(OR(AND(Customers!S813&gt;0,Customers!T813=0),AND(Customers!S813=0,Customers!T813&gt;0)),"Mortgage/payment inconsistent","")</f>
        <v/>
      </c>
      <c r="H813" s="4" t="str">
        <f>IF(AND(Customers!G813&lt;&gt;"",Customers!G813&gt;0,Customers!T813&gt;Customers!G813/12),"Payment &gt; monthly income","")</f>
        <v/>
      </c>
      <c r="I813" s="4" t="str">
        <f>IF(OR(Customers!I813&gt;DATE(2026,9,13),YEAR(Customers!I813)&lt;1980),"Implausible date","")</f>
        <v/>
      </c>
      <c r="J813" s="4" t="str">
        <f>IF(Customers!I813&gt;DATE(2026,9,13),"",IF(ABS(INT((DATE(2026,9,13)-Customers!I813)/365.25)-Customers!H813)&gt;1,"Date/tenure inconsistent",""))</f>
        <v/>
      </c>
      <c r="K813" s="4" t="str">
        <f>IF(COUNTIF(Customers!$A$2:$A$1001,Customers!A813)&gt;1,"Duplicate ID","")</f>
        <v/>
      </c>
      <c r="L813" s="4" t="str">
        <f>IF(COUNTIFS(Customers!$B$2:$B$1001,Customers!B813,Customers!$D$2:$D$1001,Customers!D813,Customers!$G$2:$G$1001,Customers!G813,Customers!$I$2:$I$1001,Customers!I813,Customers!$L$2:$L$1001,Customers!L813)&gt;1,"Duplicate record","")</f>
        <v/>
      </c>
      <c r="M813" s="4" t="str">
        <f>IF(OR(Customers!U813&lt;300,Customers!U813&gt;850),"Score out of range","")</f>
        <v/>
      </c>
      <c r="N813" s="4" t="str">
        <f>IF(AND(Customers!G813&lt;&gt;"",Customers!G813&lt;=0),"Income ≤ 0","")</f>
        <v/>
      </c>
      <c r="O813" s="4" t="str">
        <f>IF(OR(Customers!G813="",Customers!M813=""),"Missing value","")</f>
        <v/>
      </c>
      <c r="P813" s="4">
        <f t="shared" si="12"/>
        <v>0</v>
      </c>
    </row>
    <row r="814" spans="1:16" x14ac:dyDescent="0.25">
      <c r="A814" s="4" t="str">
        <f>Customers!A814</f>
        <v>CL00807</v>
      </c>
      <c r="B814" s="20">
        <f>IF(Customers!G814="","",(Customers!G814-Statistics!$C$7)/Statistics!$C$9)</f>
        <v>3.0552903926075643E-2</v>
      </c>
      <c r="C814" s="4" t="str">
        <f>IF(Customers!G814="","",IF(OR(Customers!G814&lt;Statistics!$C$15,Customers!G814&gt;Statistics!$C$16),"Outside 1.5·IQR",""))</f>
        <v>Outside 1.5·IQR</v>
      </c>
      <c r="D814" s="4" t="str">
        <f>IF(OR(Customers!B814&lt;18,Customers!B814&gt;100),"Implausible age","")</f>
        <v/>
      </c>
      <c r="E814" s="4" t="str">
        <f>IF(Customers!H814&gt;Customers!B814-18,"Tenure &gt; age-18","")</f>
        <v/>
      </c>
      <c r="F814" s="4" t="str">
        <f>IF(Customers!R814&gt;Customers!Q814,"Card spend &gt; limit","")</f>
        <v/>
      </c>
      <c r="G814" s="4" t="str">
        <f>IF(OR(AND(Customers!S814&gt;0,Customers!T814=0),AND(Customers!S814=0,Customers!T814&gt;0)),"Mortgage/payment inconsistent","")</f>
        <v/>
      </c>
      <c r="H814" s="4" t="str">
        <f>IF(AND(Customers!G814&lt;&gt;"",Customers!G814&gt;0,Customers!T814&gt;Customers!G814/12),"Payment &gt; monthly income","")</f>
        <v/>
      </c>
      <c r="I814" s="4" t="str">
        <f>IF(OR(Customers!I814&gt;DATE(2026,9,13),YEAR(Customers!I814)&lt;1980),"Implausible date","")</f>
        <v/>
      </c>
      <c r="J814" s="4" t="str">
        <f>IF(Customers!I814&gt;DATE(2026,9,13),"",IF(ABS(INT((DATE(2026,9,13)-Customers!I814)/365.25)-Customers!H814)&gt;1,"Date/tenure inconsistent",""))</f>
        <v/>
      </c>
      <c r="K814" s="4" t="str">
        <f>IF(COUNTIF(Customers!$A$2:$A$1001,Customers!A814)&gt;1,"Duplicate ID","")</f>
        <v/>
      </c>
      <c r="L814" s="4" t="str">
        <f>IF(COUNTIFS(Customers!$B$2:$B$1001,Customers!B814,Customers!$D$2:$D$1001,Customers!D814,Customers!$G$2:$G$1001,Customers!G814,Customers!$I$2:$I$1001,Customers!I814,Customers!$L$2:$L$1001,Customers!L814)&gt;1,"Duplicate record","")</f>
        <v/>
      </c>
      <c r="M814" s="4" t="str">
        <f>IF(OR(Customers!U814&lt;300,Customers!U814&gt;850),"Score out of range","")</f>
        <v/>
      </c>
      <c r="N814" s="4" t="str">
        <f>IF(AND(Customers!G814&lt;&gt;"",Customers!G814&lt;=0),"Income ≤ 0","")</f>
        <v/>
      </c>
      <c r="O814" s="4" t="str">
        <f>IF(OR(Customers!G814="",Customers!M814=""),"Missing value","")</f>
        <v/>
      </c>
      <c r="P814" s="4">
        <f t="shared" si="12"/>
        <v>1</v>
      </c>
    </row>
    <row r="815" spans="1:16" x14ac:dyDescent="0.25">
      <c r="A815" s="4" t="str">
        <f>Customers!A815</f>
        <v>CL00808</v>
      </c>
      <c r="B815" s="20">
        <f>IF(Customers!G815="","",(Customers!G815-Statistics!$C$7)/Statistics!$C$9)</f>
        <v>-6.9726778207200683E-3</v>
      </c>
      <c r="C815" s="4" t="str">
        <f>IF(Customers!G815="","",IF(OR(Customers!G815&lt;Statistics!$C$15,Customers!G815&gt;Statistics!$C$16),"Outside 1.5·IQR",""))</f>
        <v/>
      </c>
      <c r="D815" s="4" t="str">
        <f>IF(OR(Customers!B815&lt;18,Customers!B815&gt;100),"Implausible age","")</f>
        <v/>
      </c>
      <c r="E815" s="4" t="str">
        <f>IF(Customers!H815&gt;Customers!B815-18,"Tenure &gt; age-18","")</f>
        <v/>
      </c>
      <c r="F815" s="4" t="str">
        <f>IF(Customers!R815&gt;Customers!Q815,"Card spend &gt; limit","")</f>
        <v/>
      </c>
      <c r="G815" s="4" t="str">
        <f>IF(OR(AND(Customers!S815&gt;0,Customers!T815=0),AND(Customers!S815=0,Customers!T815&gt;0)),"Mortgage/payment inconsistent","")</f>
        <v/>
      </c>
      <c r="H815" s="4" t="str">
        <f>IF(AND(Customers!G815&lt;&gt;"",Customers!G815&gt;0,Customers!T815&gt;Customers!G815/12),"Payment &gt; monthly income","")</f>
        <v/>
      </c>
      <c r="I815" s="4" t="str">
        <f>IF(OR(Customers!I815&gt;DATE(2026,9,13),YEAR(Customers!I815)&lt;1980),"Implausible date","")</f>
        <v/>
      </c>
      <c r="J815" s="4" t="str">
        <f>IF(Customers!I815&gt;DATE(2026,9,13),"",IF(ABS(INT((DATE(2026,9,13)-Customers!I815)/365.25)-Customers!H815)&gt;1,"Date/tenure inconsistent",""))</f>
        <v/>
      </c>
      <c r="K815" s="4" t="str">
        <f>IF(COUNTIF(Customers!$A$2:$A$1001,Customers!A815)&gt;1,"Duplicate ID","")</f>
        <v/>
      </c>
      <c r="L815" s="4" t="str">
        <f>IF(COUNTIFS(Customers!$B$2:$B$1001,Customers!B815,Customers!$D$2:$D$1001,Customers!D815,Customers!$G$2:$G$1001,Customers!G815,Customers!$I$2:$I$1001,Customers!I815,Customers!$L$2:$L$1001,Customers!L815)&gt;1,"Duplicate record","")</f>
        <v/>
      </c>
      <c r="M815" s="4" t="str">
        <f>IF(OR(Customers!U815&lt;300,Customers!U815&gt;850),"Score out of range","")</f>
        <v/>
      </c>
      <c r="N815" s="4" t="str">
        <f>IF(AND(Customers!G815&lt;&gt;"",Customers!G815&lt;=0),"Income ≤ 0","")</f>
        <v/>
      </c>
      <c r="O815" s="4" t="str">
        <f>IF(OR(Customers!G815="",Customers!M815=""),"Missing value","")</f>
        <v/>
      </c>
      <c r="P815" s="4">
        <f t="shared" si="12"/>
        <v>0</v>
      </c>
    </row>
    <row r="816" spans="1:16" x14ac:dyDescent="0.25">
      <c r="A816" s="4" t="str">
        <f>Customers!A816</f>
        <v>CL00809</v>
      </c>
      <c r="B816" s="20">
        <f>IF(Customers!G816="","",(Customers!G816-Statistics!$C$7)/Statistics!$C$9)</f>
        <v>-3.8194749772778445E-2</v>
      </c>
      <c r="C816" s="4" t="str">
        <f>IF(Customers!G816="","",IF(OR(Customers!G816&lt;Statistics!$C$15,Customers!G816&gt;Statistics!$C$16),"Outside 1.5·IQR",""))</f>
        <v/>
      </c>
      <c r="D816" s="4" t="str">
        <f>IF(OR(Customers!B816&lt;18,Customers!B816&gt;100),"Implausible age","")</f>
        <v/>
      </c>
      <c r="E816" s="4" t="str">
        <f>IF(Customers!H816&gt;Customers!B816-18,"Tenure &gt; age-18","")</f>
        <v/>
      </c>
      <c r="F816" s="4" t="str">
        <f>IF(Customers!R816&gt;Customers!Q816,"Card spend &gt; limit","")</f>
        <v/>
      </c>
      <c r="G816" s="4" t="str">
        <f>IF(OR(AND(Customers!S816&gt;0,Customers!T816=0),AND(Customers!S816=0,Customers!T816&gt;0)),"Mortgage/payment inconsistent","")</f>
        <v/>
      </c>
      <c r="H816" s="4" t="str">
        <f>IF(AND(Customers!G816&lt;&gt;"",Customers!G816&gt;0,Customers!T816&gt;Customers!G816/12),"Payment &gt; monthly income","")</f>
        <v/>
      </c>
      <c r="I816" s="4" t="str">
        <f>IF(OR(Customers!I816&gt;DATE(2026,9,13),YEAR(Customers!I816)&lt;1980),"Implausible date","")</f>
        <v/>
      </c>
      <c r="J816" s="4" t="str">
        <f>IF(Customers!I816&gt;DATE(2026,9,13),"",IF(ABS(INT((DATE(2026,9,13)-Customers!I816)/365.25)-Customers!H816)&gt;1,"Date/tenure inconsistent",""))</f>
        <v/>
      </c>
      <c r="K816" s="4" t="str">
        <f>IF(COUNTIF(Customers!$A$2:$A$1001,Customers!A816)&gt;1,"Duplicate ID","")</f>
        <v/>
      </c>
      <c r="L816" s="4" t="str">
        <f>IF(COUNTIFS(Customers!$B$2:$B$1001,Customers!B816,Customers!$D$2:$D$1001,Customers!D816,Customers!$G$2:$G$1001,Customers!G816,Customers!$I$2:$I$1001,Customers!I816,Customers!$L$2:$L$1001,Customers!L816)&gt;1,"Duplicate record","")</f>
        <v/>
      </c>
      <c r="M816" s="4" t="str">
        <f>IF(OR(Customers!U816&lt;300,Customers!U816&gt;850),"Score out of range","")</f>
        <v/>
      </c>
      <c r="N816" s="4" t="str">
        <f>IF(AND(Customers!G816&lt;&gt;"",Customers!G816&lt;=0),"Income ≤ 0","")</f>
        <v/>
      </c>
      <c r="O816" s="4" t="str">
        <f>IF(OR(Customers!G816="",Customers!M816=""),"Missing value","")</f>
        <v/>
      </c>
      <c r="P816" s="4">
        <f t="shared" si="12"/>
        <v>0</v>
      </c>
    </row>
    <row r="817" spans="1:16" x14ac:dyDescent="0.25">
      <c r="A817" s="4" t="str">
        <f>Customers!A817</f>
        <v>CL00810</v>
      </c>
      <c r="B817" s="20">
        <f>IF(Customers!G817="","",(Customers!G817-Statistics!$C$7)/Statistics!$C$9)</f>
        <v>-9.0410169721182581E-3</v>
      </c>
      <c r="C817" s="4" t="str">
        <f>IF(Customers!G817="","",IF(OR(Customers!G817&lt;Statistics!$C$15,Customers!G817&gt;Statistics!$C$16),"Outside 1.5·IQR",""))</f>
        <v/>
      </c>
      <c r="D817" s="4" t="str">
        <f>IF(OR(Customers!B817&lt;18,Customers!B817&gt;100),"Implausible age","")</f>
        <v/>
      </c>
      <c r="E817" s="4" t="str">
        <f>IF(Customers!H817&gt;Customers!B817-18,"Tenure &gt; age-18","")</f>
        <v/>
      </c>
      <c r="F817" s="4" t="str">
        <f>IF(Customers!R817&gt;Customers!Q817,"Card spend &gt; limit","")</f>
        <v/>
      </c>
      <c r="G817" s="4" t="str">
        <f>IF(OR(AND(Customers!S817&gt;0,Customers!T817=0),AND(Customers!S817=0,Customers!T817&gt;0)),"Mortgage/payment inconsistent","")</f>
        <v/>
      </c>
      <c r="H817" s="4" t="str">
        <f>IF(AND(Customers!G817&lt;&gt;"",Customers!G817&gt;0,Customers!T817&gt;Customers!G817/12),"Payment &gt; monthly income","")</f>
        <v/>
      </c>
      <c r="I817" s="4" t="str">
        <f>IF(OR(Customers!I817&gt;DATE(2026,9,13),YEAR(Customers!I817)&lt;1980),"Implausible date","")</f>
        <v/>
      </c>
      <c r="J817" s="4" t="str">
        <f>IF(Customers!I817&gt;DATE(2026,9,13),"",IF(ABS(INT((DATE(2026,9,13)-Customers!I817)/365.25)-Customers!H817)&gt;1,"Date/tenure inconsistent",""))</f>
        <v/>
      </c>
      <c r="K817" s="4" t="str">
        <f>IF(COUNTIF(Customers!$A$2:$A$1001,Customers!A817)&gt;1,"Duplicate ID","")</f>
        <v/>
      </c>
      <c r="L817" s="4" t="str">
        <f>IF(COUNTIFS(Customers!$B$2:$B$1001,Customers!B817,Customers!$D$2:$D$1001,Customers!D817,Customers!$G$2:$G$1001,Customers!G817,Customers!$I$2:$I$1001,Customers!I817,Customers!$L$2:$L$1001,Customers!L817)&gt;1,"Duplicate record","")</f>
        <v/>
      </c>
      <c r="M817" s="4" t="str">
        <f>IF(OR(Customers!U817&lt;300,Customers!U817&gt;850),"Score out of range","")</f>
        <v/>
      </c>
      <c r="N817" s="4" t="str">
        <f>IF(AND(Customers!G817&lt;&gt;"",Customers!G817&lt;=0),"Income ≤ 0","")</f>
        <v/>
      </c>
      <c r="O817" s="4" t="str">
        <f>IF(OR(Customers!G817="",Customers!M817=""),"Missing value","")</f>
        <v/>
      </c>
      <c r="P817" s="4">
        <f t="shared" si="12"/>
        <v>0</v>
      </c>
    </row>
    <row r="818" spans="1:16" x14ac:dyDescent="0.25">
      <c r="A818" s="4" t="str">
        <f>Customers!A818</f>
        <v>CL00811</v>
      </c>
      <c r="B818" s="20">
        <f>IF(Customers!G818="","",(Customers!G818-Statistics!$C$7)/Statistics!$C$9)</f>
        <v>-2.6769638269817018E-2</v>
      </c>
      <c r="C818" s="4" t="str">
        <f>IF(Customers!G818="","",IF(OR(Customers!G818&lt;Statistics!$C$15,Customers!G818&gt;Statistics!$C$16),"Outside 1.5·IQR",""))</f>
        <v/>
      </c>
      <c r="D818" s="4" t="str">
        <f>IF(OR(Customers!B818&lt;18,Customers!B818&gt;100),"Implausible age","")</f>
        <v/>
      </c>
      <c r="E818" s="4" t="str">
        <f>IF(Customers!H818&gt;Customers!B818-18,"Tenure &gt; age-18","")</f>
        <v/>
      </c>
      <c r="F818" s="4" t="str">
        <f>IF(Customers!R818&gt;Customers!Q818,"Card spend &gt; limit","")</f>
        <v/>
      </c>
      <c r="G818" s="4" t="str">
        <f>IF(OR(AND(Customers!S818&gt;0,Customers!T818=0),AND(Customers!S818=0,Customers!T818&gt;0)),"Mortgage/payment inconsistent","")</f>
        <v/>
      </c>
      <c r="H818" s="4" t="str">
        <f>IF(AND(Customers!G818&lt;&gt;"",Customers!G818&gt;0,Customers!T818&gt;Customers!G818/12),"Payment &gt; monthly income","")</f>
        <v/>
      </c>
      <c r="I818" s="4" t="str">
        <f>IF(OR(Customers!I818&gt;DATE(2026,9,13),YEAR(Customers!I818)&lt;1980),"Implausible date","")</f>
        <v/>
      </c>
      <c r="J818" s="4" t="str">
        <f>IF(Customers!I818&gt;DATE(2026,9,13),"",IF(ABS(INT((DATE(2026,9,13)-Customers!I818)/365.25)-Customers!H818)&gt;1,"Date/tenure inconsistent",""))</f>
        <v/>
      </c>
      <c r="K818" s="4" t="str">
        <f>IF(COUNTIF(Customers!$A$2:$A$1001,Customers!A818)&gt;1,"Duplicate ID","")</f>
        <v/>
      </c>
      <c r="L818" s="4" t="str">
        <f>IF(COUNTIFS(Customers!$B$2:$B$1001,Customers!B818,Customers!$D$2:$D$1001,Customers!D818,Customers!$G$2:$G$1001,Customers!G818,Customers!$I$2:$I$1001,Customers!I818,Customers!$L$2:$L$1001,Customers!L818)&gt;1,"Duplicate record","")</f>
        <v/>
      </c>
      <c r="M818" s="4" t="str">
        <f>IF(OR(Customers!U818&lt;300,Customers!U818&gt;850),"Score out of range","")</f>
        <v/>
      </c>
      <c r="N818" s="4" t="str">
        <f>IF(AND(Customers!G818&lt;&gt;"",Customers!G818&lt;=0),"Income ≤ 0","")</f>
        <v/>
      </c>
      <c r="O818" s="4" t="str">
        <f>IF(OR(Customers!G818="",Customers!M818=""),"Missing value","")</f>
        <v/>
      </c>
      <c r="P818" s="4">
        <f t="shared" si="12"/>
        <v>0</v>
      </c>
    </row>
    <row r="819" spans="1:16" x14ac:dyDescent="0.25">
      <c r="A819" s="4" t="str">
        <f>Customers!A819</f>
        <v>CL00812</v>
      </c>
      <c r="B819" s="20">
        <f>IF(Customers!G819="","",(Customers!G819-Statistics!$C$7)/Statistics!$C$9)</f>
        <v>-4.9324384254111557E-2</v>
      </c>
      <c r="C819" s="4" t="str">
        <f>IF(Customers!G819="","",IF(OR(Customers!G819&lt;Statistics!$C$15,Customers!G819&gt;Statistics!$C$16),"Outside 1.5·IQR",""))</f>
        <v/>
      </c>
      <c r="D819" s="4" t="str">
        <f>IF(OR(Customers!B819&lt;18,Customers!B819&gt;100),"Implausible age","")</f>
        <v/>
      </c>
      <c r="E819" s="4" t="str">
        <f>IF(Customers!H819&gt;Customers!B819-18,"Tenure &gt; age-18","")</f>
        <v/>
      </c>
      <c r="F819" s="4" t="str">
        <f>IF(Customers!R819&gt;Customers!Q819,"Card spend &gt; limit","")</f>
        <v/>
      </c>
      <c r="G819" s="4" t="str">
        <f>IF(OR(AND(Customers!S819&gt;0,Customers!T819=0),AND(Customers!S819=0,Customers!T819&gt;0)),"Mortgage/payment inconsistent","")</f>
        <v/>
      </c>
      <c r="H819" s="4" t="str">
        <f>IF(AND(Customers!G819&lt;&gt;"",Customers!G819&gt;0,Customers!T819&gt;Customers!G819/12),"Payment &gt; monthly income","")</f>
        <v/>
      </c>
      <c r="I819" s="4" t="str">
        <f>IF(OR(Customers!I819&gt;DATE(2026,9,13),YEAR(Customers!I819)&lt;1980),"Implausible date","")</f>
        <v/>
      </c>
      <c r="J819" s="4" t="str">
        <f>IF(Customers!I819&gt;DATE(2026,9,13),"",IF(ABS(INT((DATE(2026,9,13)-Customers!I819)/365.25)-Customers!H819)&gt;1,"Date/tenure inconsistent",""))</f>
        <v/>
      </c>
      <c r="K819" s="4" t="str">
        <f>IF(COUNTIF(Customers!$A$2:$A$1001,Customers!A819)&gt;1,"Duplicate ID","")</f>
        <v/>
      </c>
      <c r="L819" s="4" t="str">
        <f>IF(COUNTIFS(Customers!$B$2:$B$1001,Customers!B819,Customers!$D$2:$D$1001,Customers!D819,Customers!$G$2:$G$1001,Customers!G819,Customers!$I$2:$I$1001,Customers!I819,Customers!$L$2:$L$1001,Customers!L819)&gt;1,"Duplicate record","")</f>
        <v/>
      </c>
      <c r="M819" s="4" t="str">
        <f>IF(OR(Customers!U819&lt;300,Customers!U819&gt;850),"Score out of range","")</f>
        <v/>
      </c>
      <c r="N819" s="4" t="str">
        <f>IF(AND(Customers!G819&lt;&gt;"",Customers!G819&lt;=0),"Income ≤ 0","")</f>
        <v/>
      </c>
      <c r="O819" s="4" t="str">
        <f>IF(OR(Customers!G819="",Customers!M819=""),"Missing value","")</f>
        <v/>
      </c>
      <c r="P819" s="4">
        <f t="shared" si="12"/>
        <v>0</v>
      </c>
    </row>
    <row r="820" spans="1:16" x14ac:dyDescent="0.25">
      <c r="A820" s="4" t="str">
        <f>Customers!A820</f>
        <v>CL00813</v>
      </c>
      <c r="B820" s="20">
        <f>IF(Customers!G820="","",(Customers!G820-Statistics!$C$7)/Statistics!$C$9)</f>
        <v>-3.1300285934784483E-2</v>
      </c>
      <c r="C820" s="4" t="str">
        <f>IF(Customers!G820="","",IF(OR(Customers!G820&lt;Statistics!$C$15,Customers!G820&gt;Statistics!$C$16),"Outside 1.5·IQR",""))</f>
        <v/>
      </c>
      <c r="D820" s="4" t="str">
        <f>IF(OR(Customers!B820&lt;18,Customers!B820&gt;100),"Implausible age","")</f>
        <v/>
      </c>
      <c r="E820" s="4" t="str">
        <f>IF(Customers!H820&gt;Customers!B820-18,"Tenure &gt; age-18","")</f>
        <v/>
      </c>
      <c r="F820" s="4" t="str">
        <f>IF(Customers!R820&gt;Customers!Q820,"Card spend &gt; limit","")</f>
        <v/>
      </c>
      <c r="G820" s="4" t="str">
        <f>IF(OR(AND(Customers!S820&gt;0,Customers!T820=0),AND(Customers!S820=0,Customers!T820&gt;0)),"Mortgage/payment inconsistent","")</f>
        <v/>
      </c>
      <c r="H820" s="4" t="str">
        <f>IF(AND(Customers!G820&lt;&gt;"",Customers!G820&gt;0,Customers!T820&gt;Customers!G820/12),"Payment &gt; monthly income","")</f>
        <v/>
      </c>
      <c r="I820" s="4" t="str">
        <f>IF(OR(Customers!I820&gt;DATE(2026,9,13),YEAR(Customers!I820)&lt;1980),"Implausible date","")</f>
        <v/>
      </c>
      <c r="J820" s="4" t="str">
        <f>IF(Customers!I820&gt;DATE(2026,9,13),"",IF(ABS(INT((DATE(2026,9,13)-Customers!I820)/365.25)-Customers!H820)&gt;1,"Date/tenure inconsistent",""))</f>
        <v/>
      </c>
      <c r="K820" s="4" t="str">
        <f>IF(COUNTIF(Customers!$A$2:$A$1001,Customers!A820)&gt;1,"Duplicate ID","")</f>
        <v/>
      </c>
      <c r="L820" s="4" t="str">
        <f>IF(COUNTIFS(Customers!$B$2:$B$1001,Customers!B820,Customers!$D$2:$D$1001,Customers!D820,Customers!$G$2:$G$1001,Customers!G820,Customers!$I$2:$I$1001,Customers!I820,Customers!$L$2:$L$1001,Customers!L820)&gt;1,"Duplicate record","")</f>
        <v/>
      </c>
      <c r="M820" s="4" t="str">
        <f>IF(OR(Customers!U820&lt;300,Customers!U820&gt;850),"Score out of range","")</f>
        <v/>
      </c>
      <c r="N820" s="4" t="str">
        <f>IF(AND(Customers!G820&lt;&gt;"",Customers!G820&lt;=0),"Income ≤ 0","")</f>
        <v/>
      </c>
      <c r="O820" s="4" t="str">
        <f>IF(OR(Customers!G820="",Customers!M820=""),"Missing value","")</f>
        <v/>
      </c>
      <c r="P820" s="4">
        <f t="shared" si="12"/>
        <v>0</v>
      </c>
    </row>
    <row r="821" spans="1:16" x14ac:dyDescent="0.25">
      <c r="A821" s="4" t="str">
        <f>Customers!A821</f>
        <v>CL00814</v>
      </c>
      <c r="B821" s="20">
        <f>IF(Customers!G821="","",(Customers!G821-Statistics!$C$7)/Statistics!$C$9)</f>
        <v>2.7007179666535892E-2</v>
      </c>
      <c r="C821" s="4" t="str">
        <f>IF(Customers!G821="","",IF(OR(Customers!G821&lt;Statistics!$C$15,Customers!G821&gt;Statistics!$C$16),"Outside 1.5·IQR",""))</f>
        <v>Outside 1.5·IQR</v>
      </c>
      <c r="D821" s="4" t="str">
        <f>IF(OR(Customers!B821&lt;18,Customers!B821&gt;100),"Implausible age","")</f>
        <v/>
      </c>
      <c r="E821" s="4" t="str">
        <f>IF(Customers!H821&gt;Customers!B821-18,"Tenure &gt; age-18","")</f>
        <v/>
      </c>
      <c r="F821" s="4" t="str">
        <f>IF(Customers!R821&gt;Customers!Q821,"Card spend &gt; limit","")</f>
        <v/>
      </c>
      <c r="G821" s="4" t="str">
        <f>IF(OR(AND(Customers!S821&gt;0,Customers!T821=0),AND(Customers!S821=0,Customers!T821&gt;0)),"Mortgage/payment inconsistent","")</f>
        <v/>
      </c>
      <c r="H821" s="4" t="str">
        <f>IF(AND(Customers!G821&lt;&gt;"",Customers!G821&gt;0,Customers!T821&gt;Customers!G821/12),"Payment &gt; monthly income","")</f>
        <v/>
      </c>
      <c r="I821" s="4" t="str">
        <f>IF(OR(Customers!I821&gt;DATE(2026,9,13),YEAR(Customers!I821)&lt;1980),"Implausible date","")</f>
        <v/>
      </c>
      <c r="J821" s="4" t="str">
        <f>IF(Customers!I821&gt;DATE(2026,9,13),"",IF(ABS(INT((DATE(2026,9,13)-Customers!I821)/365.25)-Customers!H821)&gt;1,"Date/tenure inconsistent",""))</f>
        <v/>
      </c>
      <c r="K821" s="4" t="str">
        <f>IF(COUNTIF(Customers!$A$2:$A$1001,Customers!A821)&gt;1,"Duplicate ID","")</f>
        <v/>
      </c>
      <c r="L821" s="4" t="str">
        <f>IF(COUNTIFS(Customers!$B$2:$B$1001,Customers!B821,Customers!$D$2:$D$1001,Customers!D821,Customers!$G$2:$G$1001,Customers!G821,Customers!$I$2:$I$1001,Customers!I821,Customers!$L$2:$L$1001,Customers!L821)&gt;1,"Duplicate record","")</f>
        <v/>
      </c>
      <c r="M821" s="4" t="str">
        <f>IF(OR(Customers!U821&lt;300,Customers!U821&gt;850),"Score out of range","")</f>
        <v/>
      </c>
      <c r="N821" s="4" t="str">
        <f>IF(AND(Customers!G821&lt;&gt;"",Customers!G821&lt;=0),"Income ≤ 0","")</f>
        <v/>
      </c>
      <c r="O821" s="4" t="str">
        <f>IF(OR(Customers!G821="",Customers!M821=""),"Missing value","")</f>
        <v/>
      </c>
      <c r="P821" s="4">
        <f t="shared" si="12"/>
        <v>1</v>
      </c>
    </row>
    <row r="822" spans="1:16" x14ac:dyDescent="0.25">
      <c r="A822" s="4" t="str">
        <f>Customers!A822</f>
        <v>CL00815</v>
      </c>
      <c r="B822" s="20">
        <f>IF(Customers!G822="","",(Customers!G822-Statistics!$C$7)/Statistics!$C$9)</f>
        <v>-4.4990721270229635E-2</v>
      </c>
      <c r="C822" s="4" t="str">
        <f>IF(Customers!G822="","",IF(OR(Customers!G822&lt;Statistics!$C$15,Customers!G822&gt;Statistics!$C$16),"Outside 1.5·IQR",""))</f>
        <v/>
      </c>
      <c r="D822" s="4" t="str">
        <f>IF(OR(Customers!B822&lt;18,Customers!B822&gt;100),"Implausible age","")</f>
        <v/>
      </c>
      <c r="E822" s="4" t="str">
        <f>IF(Customers!H822&gt;Customers!B822-18,"Tenure &gt; age-18","")</f>
        <v/>
      </c>
      <c r="F822" s="4" t="str">
        <f>IF(Customers!R822&gt;Customers!Q822,"Card spend &gt; limit","")</f>
        <v/>
      </c>
      <c r="G822" s="4" t="str">
        <f>IF(OR(AND(Customers!S822&gt;0,Customers!T822=0),AND(Customers!S822=0,Customers!T822&gt;0)),"Mortgage/payment inconsistent","")</f>
        <v/>
      </c>
      <c r="H822" s="4" t="str">
        <f>IF(AND(Customers!G822&lt;&gt;"",Customers!G822&gt;0,Customers!T822&gt;Customers!G822/12),"Payment &gt; monthly income","")</f>
        <v/>
      </c>
      <c r="I822" s="4" t="str">
        <f>IF(OR(Customers!I822&gt;DATE(2026,9,13),YEAR(Customers!I822)&lt;1980),"Implausible date","")</f>
        <v/>
      </c>
      <c r="J822" s="4" t="str">
        <f>IF(Customers!I822&gt;DATE(2026,9,13),"",IF(ABS(INT((DATE(2026,9,13)-Customers!I822)/365.25)-Customers!H822)&gt;1,"Date/tenure inconsistent",""))</f>
        <v/>
      </c>
      <c r="K822" s="4" t="str">
        <f>IF(COUNTIF(Customers!$A$2:$A$1001,Customers!A822)&gt;1,"Duplicate ID","")</f>
        <v/>
      </c>
      <c r="L822" s="4" t="str">
        <f>IF(COUNTIFS(Customers!$B$2:$B$1001,Customers!B822,Customers!$D$2:$D$1001,Customers!D822,Customers!$G$2:$G$1001,Customers!G822,Customers!$I$2:$I$1001,Customers!I822,Customers!$L$2:$L$1001,Customers!L822)&gt;1,"Duplicate record","")</f>
        <v/>
      </c>
      <c r="M822" s="4" t="str">
        <f>IF(OR(Customers!U822&lt;300,Customers!U822&gt;850),"Score out of range","")</f>
        <v/>
      </c>
      <c r="N822" s="4" t="str">
        <f>IF(AND(Customers!G822&lt;&gt;"",Customers!G822&lt;=0),"Income ≤ 0","")</f>
        <v/>
      </c>
      <c r="O822" s="4" t="str">
        <f>IF(OR(Customers!G822="",Customers!M822=""),"Missing value","")</f>
        <v/>
      </c>
      <c r="P822" s="4">
        <f t="shared" si="12"/>
        <v>0</v>
      </c>
    </row>
    <row r="823" spans="1:16" x14ac:dyDescent="0.25">
      <c r="A823" s="4" t="str">
        <f>Customers!A823</f>
        <v>CL00816</v>
      </c>
      <c r="B823" s="20">
        <f>IF(Customers!G823="","",(Customers!G823-Statistics!$C$7)/Statistics!$C$9)</f>
        <v>-5.6415832773191059E-2</v>
      </c>
      <c r="C823" s="4" t="str">
        <f>IF(Customers!G823="","",IF(OR(Customers!G823&lt;Statistics!$C$15,Customers!G823&gt;Statistics!$C$16),"Outside 1.5·IQR",""))</f>
        <v/>
      </c>
      <c r="D823" s="4" t="str">
        <f>IF(OR(Customers!B823&lt;18,Customers!B823&gt;100),"Implausible age","")</f>
        <v/>
      </c>
      <c r="E823" s="4" t="str">
        <f>IF(Customers!H823&gt;Customers!B823-18,"Tenure &gt; age-18","")</f>
        <v/>
      </c>
      <c r="F823" s="4" t="str">
        <f>IF(Customers!R823&gt;Customers!Q823,"Card spend &gt; limit","")</f>
        <v/>
      </c>
      <c r="G823" s="4" t="str">
        <f>IF(OR(AND(Customers!S823&gt;0,Customers!T823=0),AND(Customers!S823=0,Customers!T823&gt;0)),"Mortgage/payment inconsistent","")</f>
        <v/>
      </c>
      <c r="H823" s="4" t="str">
        <f>IF(AND(Customers!G823&lt;&gt;"",Customers!G823&gt;0,Customers!T823&gt;Customers!G823/12),"Payment &gt; monthly income","")</f>
        <v/>
      </c>
      <c r="I823" s="4" t="str">
        <f>IF(OR(Customers!I823&gt;DATE(2026,9,13),YEAR(Customers!I823)&lt;1980),"Implausible date","")</f>
        <v/>
      </c>
      <c r="J823" s="4" t="str">
        <f>IF(Customers!I823&gt;DATE(2026,9,13),"",IF(ABS(INT((DATE(2026,9,13)-Customers!I823)/365.25)-Customers!H823)&gt;1,"Date/tenure inconsistent",""))</f>
        <v/>
      </c>
      <c r="K823" s="4" t="str">
        <f>IF(COUNTIF(Customers!$A$2:$A$1001,Customers!A823)&gt;1,"Duplicate ID","")</f>
        <v/>
      </c>
      <c r="L823" s="4" t="str">
        <f>IF(COUNTIFS(Customers!$B$2:$B$1001,Customers!B823,Customers!$D$2:$D$1001,Customers!D823,Customers!$G$2:$G$1001,Customers!G823,Customers!$I$2:$I$1001,Customers!I823,Customers!$L$2:$L$1001,Customers!L823)&gt;1,"Duplicate record","")</f>
        <v/>
      </c>
      <c r="M823" s="4" t="str">
        <f>IF(OR(Customers!U823&lt;300,Customers!U823&gt;850),"Score out of range","")</f>
        <v/>
      </c>
      <c r="N823" s="4" t="str">
        <f>IF(AND(Customers!G823&lt;&gt;"",Customers!G823&lt;=0),"Income ≤ 0","")</f>
        <v/>
      </c>
      <c r="O823" s="4" t="str">
        <f>IF(OR(Customers!G823="",Customers!M823=""),"Missing value","")</f>
        <v/>
      </c>
      <c r="P823" s="4">
        <f t="shared" si="12"/>
        <v>0</v>
      </c>
    </row>
    <row r="824" spans="1:16" x14ac:dyDescent="0.25">
      <c r="A824" s="4" t="str">
        <f>Customers!A824</f>
        <v>CL00817</v>
      </c>
      <c r="B824" s="20">
        <f>IF(Customers!G824="","",(Customers!G824-Statistics!$C$7)/Statistics!$C$9)</f>
        <v>-3.1891239978041108E-2</v>
      </c>
      <c r="C824" s="4" t="str">
        <f>IF(Customers!G824="","",IF(OR(Customers!G824&lt;Statistics!$C$15,Customers!G824&gt;Statistics!$C$16),"Outside 1.5·IQR",""))</f>
        <v/>
      </c>
      <c r="D824" s="4" t="str">
        <f>IF(OR(Customers!B824&lt;18,Customers!B824&gt;100),"Implausible age","")</f>
        <v/>
      </c>
      <c r="E824" s="4" t="str">
        <f>IF(Customers!H824&gt;Customers!B824-18,"Tenure &gt; age-18","")</f>
        <v/>
      </c>
      <c r="F824" s="4" t="str">
        <f>IF(Customers!R824&gt;Customers!Q824,"Card spend &gt; limit","")</f>
        <v/>
      </c>
      <c r="G824" s="4" t="str">
        <f>IF(OR(AND(Customers!S824&gt;0,Customers!T824=0),AND(Customers!S824=0,Customers!T824&gt;0)),"Mortgage/payment inconsistent","")</f>
        <v/>
      </c>
      <c r="H824" s="4" t="str">
        <f>IF(AND(Customers!G824&lt;&gt;"",Customers!G824&gt;0,Customers!T824&gt;Customers!G824/12),"Payment &gt; monthly income","")</f>
        <v/>
      </c>
      <c r="I824" s="4" t="str">
        <f>IF(OR(Customers!I824&gt;DATE(2026,9,13),YEAR(Customers!I824)&lt;1980),"Implausible date","")</f>
        <v/>
      </c>
      <c r="J824" s="4" t="str">
        <f>IF(Customers!I824&gt;DATE(2026,9,13),"",IF(ABS(INT((DATE(2026,9,13)-Customers!I824)/365.25)-Customers!H824)&gt;1,"Date/tenure inconsistent",""))</f>
        <v/>
      </c>
      <c r="K824" s="4" t="str">
        <f>IF(COUNTIF(Customers!$A$2:$A$1001,Customers!A824)&gt;1,"Duplicate ID","")</f>
        <v/>
      </c>
      <c r="L824" s="4" t="str">
        <f>IF(COUNTIFS(Customers!$B$2:$B$1001,Customers!B824,Customers!$D$2:$D$1001,Customers!D824,Customers!$G$2:$G$1001,Customers!G824,Customers!$I$2:$I$1001,Customers!I824,Customers!$L$2:$L$1001,Customers!L824)&gt;1,"Duplicate record","")</f>
        <v/>
      </c>
      <c r="M824" s="4" t="str">
        <f>IF(OR(Customers!U824&lt;300,Customers!U824&gt;850),"Score out of range","")</f>
        <v/>
      </c>
      <c r="N824" s="4" t="str">
        <f>IF(AND(Customers!G824&lt;&gt;"",Customers!G824&lt;=0),"Income ≤ 0","")</f>
        <v/>
      </c>
      <c r="O824" s="4" t="str">
        <f>IF(OR(Customers!G824="",Customers!M824=""),"Missing value","")</f>
        <v/>
      </c>
      <c r="P824" s="4">
        <f t="shared" si="12"/>
        <v>0</v>
      </c>
    </row>
    <row r="825" spans="1:16" x14ac:dyDescent="0.25">
      <c r="A825" s="4" t="str">
        <f>Customers!A825</f>
        <v>CL00818</v>
      </c>
      <c r="B825" s="20">
        <f>IF(Customers!G825="","",(Customers!G825-Statistics!$C$7)/Statistics!$C$9)</f>
        <v>-1.0813879101888134E-2</v>
      </c>
      <c r="C825" s="4" t="str">
        <f>IF(Customers!G825="","",IF(OR(Customers!G825&lt;Statistics!$C$15,Customers!G825&gt;Statistics!$C$16),"Outside 1.5·IQR",""))</f>
        <v/>
      </c>
      <c r="D825" s="4" t="str">
        <f>IF(OR(Customers!B825&lt;18,Customers!B825&gt;100),"Implausible age","")</f>
        <v/>
      </c>
      <c r="E825" s="4" t="str">
        <f>IF(Customers!H825&gt;Customers!B825-18,"Tenure &gt; age-18","")</f>
        <v/>
      </c>
      <c r="F825" s="4" t="str">
        <f>IF(Customers!R825&gt;Customers!Q825,"Card spend &gt; limit","")</f>
        <v/>
      </c>
      <c r="G825" s="4" t="str">
        <f>IF(OR(AND(Customers!S825&gt;0,Customers!T825=0),AND(Customers!S825=0,Customers!T825&gt;0)),"Mortgage/payment inconsistent","")</f>
        <v/>
      </c>
      <c r="H825" s="4" t="str">
        <f>IF(AND(Customers!G825&lt;&gt;"",Customers!G825&gt;0,Customers!T825&gt;Customers!G825/12),"Payment &gt; monthly income","")</f>
        <v/>
      </c>
      <c r="I825" s="4" t="str">
        <f>IF(OR(Customers!I825&gt;DATE(2026,9,13),YEAR(Customers!I825)&lt;1980),"Implausible date","")</f>
        <v/>
      </c>
      <c r="J825" s="4" t="str">
        <f>IF(Customers!I825&gt;DATE(2026,9,13),"",IF(ABS(INT((DATE(2026,9,13)-Customers!I825)/365.25)-Customers!H825)&gt;1,"Date/tenure inconsistent",""))</f>
        <v/>
      </c>
      <c r="K825" s="4" t="str">
        <f>IF(COUNTIF(Customers!$A$2:$A$1001,Customers!A825)&gt;1,"Duplicate ID","")</f>
        <v/>
      </c>
      <c r="L825" s="4" t="str">
        <f>IF(COUNTIFS(Customers!$B$2:$B$1001,Customers!B825,Customers!$D$2:$D$1001,Customers!D825,Customers!$G$2:$G$1001,Customers!G825,Customers!$I$2:$I$1001,Customers!I825,Customers!$L$2:$L$1001,Customers!L825)&gt;1,"Duplicate record","")</f>
        <v/>
      </c>
      <c r="M825" s="4" t="str">
        <f>IF(OR(Customers!U825&lt;300,Customers!U825&gt;850),"Score out of range","")</f>
        <v/>
      </c>
      <c r="N825" s="4" t="str">
        <f>IF(AND(Customers!G825&lt;&gt;"",Customers!G825&lt;=0),"Income ≤ 0","")</f>
        <v/>
      </c>
      <c r="O825" s="4" t="str">
        <f>IF(OR(Customers!G825="",Customers!M825=""),"Missing value","")</f>
        <v/>
      </c>
      <c r="P825" s="4">
        <f t="shared" si="12"/>
        <v>0</v>
      </c>
    </row>
    <row r="826" spans="1:16" x14ac:dyDescent="0.25">
      <c r="A826" s="4" t="str">
        <f>Customers!A826</f>
        <v>CL00819</v>
      </c>
      <c r="B826" s="20">
        <f>IF(Customers!G826="","",(Customers!G826-Statistics!$C$7)/Statistics!$C$9)</f>
        <v>-4.439976722697301E-2</v>
      </c>
      <c r="C826" s="4" t="str">
        <f>IF(Customers!G826="","",IF(OR(Customers!G826&lt;Statistics!$C$15,Customers!G826&gt;Statistics!$C$16),"Outside 1.5·IQR",""))</f>
        <v/>
      </c>
      <c r="D826" s="4" t="str">
        <f>IF(OR(Customers!B826&lt;18,Customers!B826&gt;100),"Implausible age","")</f>
        <v/>
      </c>
      <c r="E826" s="4" t="str">
        <f>IF(Customers!H826&gt;Customers!B826-18,"Tenure &gt; age-18","")</f>
        <v/>
      </c>
      <c r="F826" s="4" t="str">
        <f>IF(Customers!R826&gt;Customers!Q826,"Card spend &gt; limit","")</f>
        <v/>
      </c>
      <c r="G826" s="4" t="str">
        <f>IF(OR(AND(Customers!S826&gt;0,Customers!T826=0),AND(Customers!S826=0,Customers!T826&gt;0)),"Mortgage/payment inconsistent","")</f>
        <v/>
      </c>
      <c r="H826" s="4" t="str">
        <f>IF(AND(Customers!G826&lt;&gt;"",Customers!G826&gt;0,Customers!T826&gt;Customers!G826/12),"Payment &gt; monthly income","")</f>
        <v/>
      </c>
      <c r="I826" s="4" t="str">
        <f>IF(OR(Customers!I826&gt;DATE(2026,9,13),YEAR(Customers!I826)&lt;1980),"Implausible date","")</f>
        <v/>
      </c>
      <c r="J826" s="4" t="str">
        <f>IF(Customers!I826&gt;DATE(2026,9,13),"",IF(ABS(INT((DATE(2026,9,13)-Customers!I826)/365.25)-Customers!H826)&gt;1,"Date/tenure inconsistent",""))</f>
        <v/>
      </c>
      <c r="K826" s="4" t="str">
        <f>IF(COUNTIF(Customers!$A$2:$A$1001,Customers!A826)&gt;1,"Duplicate ID","")</f>
        <v/>
      </c>
      <c r="L826" s="4" t="str">
        <f>IF(COUNTIFS(Customers!$B$2:$B$1001,Customers!B826,Customers!$D$2:$D$1001,Customers!D826,Customers!$G$2:$G$1001,Customers!G826,Customers!$I$2:$I$1001,Customers!I826,Customers!$L$2:$L$1001,Customers!L826)&gt;1,"Duplicate record","")</f>
        <v/>
      </c>
      <c r="M826" s="4" t="str">
        <f>IF(OR(Customers!U826&lt;300,Customers!U826&gt;850),"Score out of range","")</f>
        <v/>
      </c>
      <c r="N826" s="4" t="str">
        <f>IF(AND(Customers!G826&lt;&gt;"",Customers!G826&lt;=0),"Income ≤ 0","")</f>
        <v/>
      </c>
      <c r="O826" s="4" t="str">
        <f>IF(OR(Customers!G826="",Customers!M826=""),"Missing value","")</f>
        <v/>
      </c>
      <c r="P826" s="4">
        <f t="shared" si="12"/>
        <v>0</v>
      </c>
    </row>
    <row r="827" spans="1:16" x14ac:dyDescent="0.25">
      <c r="A827" s="4" t="str">
        <f>Customers!A827</f>
        <v>CL00820</v>
      </c>
      <c r="B827" s="20">
        <f>IF(Customers!G827="","",(Customers!G827-Statistics!$C$7)/Statistics!$C$9)</f>
        <v>-5.1392723405509745E-2</v>
      </c>
      <c r="C827" s="4" t="str">
        <f>IF(Customers!G827="","",IF(OR(Customers!G827&lt;Statistics!$C$15,Customers!G827&gt;Statistics!$C$16),"Outside 1.5·IQR",""))</f>
        <v/>
      </c>
      <c r="D827" s="4" t="str">
        <f>IF(OR(Customers!B827&lt;18,Customers!B827&gt;100),"Implausible age","")</f>
        <v/>
      </c>
      <c r="E827" s="4" t="str">
        <f>IF(Customers!H827&gt;Customers!B827-18,"Tenure &gt; age-18","")</f>
        <v/>
      </c>
      <c r="F827" s="4" t="str">
        <f>IF(Customers!R827&gt;Customers!Q827,"Card spend &gt; limit","")</f>
        <v/>
      </c>
      <c r="G827" s="4" t="str">
        <f>IF(OR(AND(Customers!S827&gt;0,Customers!T827=0),AND(Customers!S827=0,Customers!T827&gt;0)),"Mortgage/payment inconsistent","")</f>
        <v/>
      </c>
      <c r="H827" s="4" t="str">
        <f>IF(AND(Customers!G827&lt;&gt;"",Customers!G827&gt;0,Customers!T827&gt;Customers!G827/12),"Payment &gt; monthly income","")</f>
        <v/>
      </c>
      <c r="I827" s="4" t="str">
        <f>IF(OR(Customers!I827&gt;DATE(2026,9,13),YEAR(Customers!I827)&lt;1980),"Implausible date","")</f>
        <v/>
      </c>
      <c r="J827" s="4" t="str">
        <f>IF(Customers!I827&gt;DATE(2026,9,13),"",IF(ABS(INT((DATE(2026,9,13)-Customers!I827)/365.25)-Customers!H827)&gt;1,"Date/tenure inconsistent",""))</f>
        <v/>
      </c>
      <c r="K827" s="4" t="str">
        <f>IF(COUNTIF(Customers!$A$2:$A$1001,Customers!A827)&gt;1,"Duplicate ID","")</f>
        <v/>
      </c>
      <c r="L827" s="4" t="str">
        <f>IF(COUNTIFS(Customers!$B$2:$B$1001,Customers!B827,Customers!$D$2:$D$1001,Customers!D827,Customers!$G$2:$G$1001,Customers!G827,Customers!$I$2:$I$1001,Customers!I827,Customers!$L$2:$L$1001,Customers!L827)&gt;1,"Duplicate record","")</f>
        <v/>
      </c>
      <c r="M827" s="4" t="str">
        <f>IF(OR(Customers!U827&lt;300,Customers!U827&gt;850),"Score out of range","")</f>
        <v/>
      </c>
      <c r="N827" s="4" t="str">
        <f>IF(AND(Customers!G827&lt;&gt;"",Customers!G827&lt;=0),"Income ≤ 0","")</f>
        <v/>
      </c>
      <c r="O827" s="4" t="str">
        <f>IF(OR(Customers!G827="",Customers!M827=""),"Missing value","")</f>
        <v/>
      </c>
      <c r="P827" s="4">
        <f t="shared" si="12"/>
        <v>0</v>
      </c>
    </row>
    <row r="828" spans="1:16" x14ac:dyDescent="0.25">
      <c r="A828" s="4" t="str">
        <f>Customers!A828</f>
        <v>CL00821</v>
      </c>
      <c r="B828" s="20">
        <f>IF(Customers!G828="","",(Customers!G828-Statistics!$C$7)/Statistics!$C$9)</f>
        <v>0.16499494876695792</v>
      </c>
      <c r="C828" s="4" t="str">
        <f>IF(Customers!G828="","",IF(OR(Customers!G828&lt;Statistics!$C$15,Customers!G828&gt;Statistics!$C$16),"Outside 1.5·IQR",""))</f>
        <v>Outside 1.5·IQR</v>
      </c>
      <c r="D828" s="4" t="str">
        <f>IF(OR(Customers!B828&lt;18,Customers!B828&gt;100),"Implausible age","")</f>
        <v/>
      </c>
      <c r="E828" s="4" t="str">
        <f>IF(Customers!H828&gt;Customers!B828-18,"Tenure &gt; age-18","")</f>
        <v/>
      </c>
      <c r="F828" s="4" t="str">
        <f>IF(Customers!R828&gt;Customers!Q828,"Card spend &gt; limit","")</f>
        <v/>
      </c>
      <c r="G828" s="4" t="str">
        <f>IF(OR(AND(Customers!S828&gt;0,Customers!T828=0),AND(Customers!S828=0,Customers!T828&gt;0)),"Mortgage/payment inconsistent","")</f>
        <v/>
      </c>
      <c r="H828" s="4" t="str">
        <f>IF(AND(Customers!G828&lt;&gt;"",Customers!G828&gt;0,Customers!T828&gt;Customers!G828/12),"Payment &gt; monthly income","")</f>
        <v/>
      </c>
      <c r="I828" s="4" t="str">
        <f>IF(OR(Customers!I828&gt;DATE(2026,9,13),YEAR(Customers!I828)&lt;1980),"Implausible date","")</f>
        <v/>
      </c>
      <c r="J828" s="4" t="str">
        <f>IF(Customers!I828&gt;DATE(2026,9,13),"",IF(ABS(INT((DATE(2026,9,13)-Customers!I828)/365.25)-Customers!H828)&gt;1,"Date/tenure inconsistent",""))</f>
        <v/>
      </c>
      <c r="K828" s="4" t="str">
        <f>IF(COUNTIF(Customers!$A$2:$A$1001,Customers!A828)&gt;1,"Duplicate ID","")</f>
        <v/>
      </c>
      <c r="L828" s="4" t="str">
        <f>IF(COUNTIFS(Customers!$B$2:$B$1001,Customers!B828,Customers!$D$2:$D$1001,Customers!D828,Customers!$G$2:$G$1001,Customers!G828,Customers!$I$2:$I$1001,Customers!I828,Customers!$L$2:$L$1001,Customers!L828)&gt;1,"Duplicate record","")</f>
        <v/>
      </c>
      <c r="M828" s="4" t="str">
        <f>IF(OR(Customers!U828&lt;300,Customers!U828&gt;850),"Score out of range","")</f>
        <v/>
      </c>
      <c r="N828" s="4" t="str">
        <f>IF(AND(Customers!G828&lt;&gt;"",Customers!G828&lt;=0),"Income ≤ 0","")</f>
        <v/>
      </c>
      <c r="O828" s="4" t="str">
        <f>IF(OR(Customers!G828="",Customers!M828=""),"Missing value","")</f>
        <v/>
      </c>
      <c r="P828" s="4">
        <f t="shared" si="12"/>
        <v>1</v>
      </c>
    </row>
    <row r="829" spans="1:16" x14ac:dyDescent="0.25">
      <c r="A829" s="4" t="str">
        <f>Customers!A829</f>
        <v>CL00822</v>
      </c>
      <c r="B829" s="20">
        <f>IF(Customers!G829="","",(Customers!G829-Statistics!$C$7)/Statistics!$C$9)</f>
        <v>-5.5135432346135035E-2</v>
      </c>
      <c r="C829" s="4" t="str">
        <f>IF(Customers!G829="","",IF(OR(Customers!G829&lt;Statistics!$C$15,Customers!G829&gt;Statistics!$C$16),"Outside 1.5·IQR",""))</f>
        <v/>
      </c>
      <c r="D829" s="4" t="str">
        <f>IF(OR(Customers!B829&lt;18,Customers!B829&gt;100),"Implausible age","")</f>
        <v/>
      </c>
      <c r="E829" s="4" t="str">
        <f>IF(Customers!H829&gt;Customers!B829-18,"Tenure &gt; age-18","")</f>
        <v/>
      </c>
      <c r="F829" s="4" t="str">
        <f>IF(Customers!R829&gt;Customers!Q829,"Card spend &gt; limit","")</f>
        <v/>
      </c>
      <c r="G829" s="4" t="str">
        <f>IF(OR(AND(Customers!S829&gt;0,Customers!T829=0),AND(Customers!S829=0,Customers!T829&gt;0)),"Mortgage/payment inconsistent","")</f>
        <v/>
      </c>
      <c r="H829" s="4" t="str">
        <f>IF(AND(Customers!G829&lt;&gt;"",Customers!G829&gt;0,Customers!T829&gt;Customers!G829/12),"Payment &gt; monthly income","")</f>
        <v/>
      </c>
      <c r="I829" s="4" t="str">
        <f>IF(OR(Customers!I829&gt;DATE(2026,9,13),YEAR(Customers!I829)&lt;1980),"Implausible date","")</f>
        <v/>
      </c>
      <c r="J829" s="4" t="str">
        <f>IF(Customers!I829&gt;DATE(2026,9,13),"",IF(ABS(INT((DATE(2026,9,13)-Customers!I829)/365.25)-Customers!H829)&gt;1,"Date/tenure inconsistent",""))</f>
        <v/>
      </c>
      <c r="K829" s="4" t="str">
        <f>IF(COUNTIF(Customers!$A$2:$A$1001,Customers!A829)&gt;1,"Duplicate ID","")</f>
        <v/>
      </c>
      <c r="L829" s="4" t="str">
        <f>IF(COUNTIFS(Customers!$B$2:$B$1001,Customers!B829,Customers!$D$2:$D$1001,Customers!D829,Customers!$G$2:$G$1001,Customers!G829,Customers!$I$2:$I$1001,Customers!I829,Customers!$L$2:$L$1001,Customers!L829)&gt;1,"Duplicate record","")</f>
        <v/>
      </c>
      <c r="M829" s="4" t="str">
        <f>IF(OR(Customers!U829&lt;300,Customers!U829&gt;850),"Score out of range","")</f>
        <v/>
      </c>
      <c r="N829" s="4" t="str">
        <f>IF(AND(Customers!G829&lt;&gt;"",Customers!G829&lt;=0),"Income ≤ 0","")</f>
        <v/>
      </c>
      <c r="O829" s="4" t="str">
        <f>IF(OR(Customers!G829="",Customers!M829=""),"Missing value","")</f>
        <v/>
      </c>
      <c r="P829" s="4">
        <f t="shared" si="12"/>
        <v>0</v>
      </c>
    </row>
    <row r="830" spans="1:16" x14ac:dyDescent="0.25">
      <c r="A830" s="4" t="str">
        <f>Customers!A830</f>
        <v>CL00823</v>
      </c>
      <c r="B830" s="20">
        <f>IF(Customers!G830="","",(Customers!G830-Statistics!$C$7)/Statistics!$C$9)</f>
        <v>-4.4005797864801924E-2</v>
      </c>
      <c r="C830" s="4" t="str">
        <f>IF(Customers!G830="","",IF(OR(Customers!G830&lt;Statistics!$C$15,Customers!G830&gt;Statistics!$C$16),"Outside 1.5·IQR",""))</f>
        <v/>
      </c>
      <c r="D830" s="4" t="str">
        <f>IF(OR(Customers!B830&lt;18,Customers!B830&gt;100),"Implausible age","")</f>
        <v/>
      </c>
      <c r="E830" s="4" t="str">
        <f>IF(Customers!H830&gt;Customers!B830-18,"Tenure &gt; age-18","")</f>
        <v/>
      </c>
      <c r="F830" s="4" t="str">
        <f>IF(Customers!R830&gt;Customers!Q830,"Card spend &gt; limit","")</f>
        <v/>
      </c>
      <c r="G830" s="4" t="str">
        <f>IF(OR(AND(Customers!S830&gt;0,Customers!T830=0),AND(Customers!S830=0,Customers!T830&gt;0)),"Mortgage/payment inconsistent","")</f>
        <v/>
      </c>
      <c r="H830" s="4" t="str">
        <f>IF(AND(Customers!G830&lt;&gt;"",Customers!G830&gt;0,Customers!T830&gt;Customers!G830/12),"Payment &gt; monthly income","")</f>
        <v/>
      </c>
      <c r="I830" s="4" t="str">
        <f>IF(OR(Customers!I830&gt;DATE(2026,9,13),YEAR(Customers!I830)&lt;1980),"Implausible date","")</f>
        <v/>
      </c>
      <c r="J830" s="4" t="str">
        <f>IF(Customers!I830&gt;DATE(2026,9,13),"",IF(ABS(INT((DATE(2026,9,13)-Customers!I830)/365.25)-Customers!H830)&gt;1,"Date/tenure inconsistent",""))</f>
        <v/>
      </c>
      <c r="K830" s="4" t="str">
        <f>IF(COUNTIF(Customers!$A$2:$A$1001,Customers!A830)&gt;1,"Duplicate ID","")</f>
        <v/>
      </c>
      <c r="L830" s="4" t="str">
        <f>IF(COUNTIFS(Customers!$B$2:$B$1001,Customers!B830,Customers!$D$2:$D$1001,Customers!D830,Customers!$G$2:$G$1001,Customers!G830,Customers!$I$2:$I$1001,Customers!I830,Customers!$L$2:$L$1001,Customers!L830)&gt;1,"Duplicate record","")</f>
        <v/>
      </c>
      <c r="M830" s="4" t="str">
        <f>IF(OR(Customers!U830&lt;300,Customers!U830&gt;850),"Score out of range","")</f>
        <v/>
      </c>
      <c r="N830" s="4" t="str">
        <f>IF(AND(Customers!G830&lt;&gt;"",Customers!G830&lt;=0),"Income ≤ 0","")</f>
        <v/>
      </c>
      <c r="O830" s="4" t="str">
        <f>IF(OR(Customers!G830="",Customers!M830=""),"Missing value","")</f>
        <v/>
      </c>
      <c r="P830" s="4">
        <f t="shared" si="12"/>
        <v>0</v>
      </c>
    </row>
    <row r="831" spans="1:16" x14ac:dyDescent="0.25">
      <c r="A831" s="4" t="str">
        <f>Customers!A831</f>
        <v>CL00824</v>
      </c>
      <c r="B831" s="20">
        <f>IF(Customers!G831="","",(Customers!G831-Statistics!$C$7)/Statistics!$C$9)</f>
        <v>-5.8681156605674786E-2</v>
      </c>
      <c r="C831" s="4" t="str">
        <f>IF(Customers!G831="","",IF(OR(Customers!G831&lt;Statistics!$C$15,Customers!G831&gt;Statistics!$C$16),"Outside 1.5·IQR",""))</f>
        <v/>
      </c>
      <c r="D831" s="4" t="str">
        <f>IF(OR(Customers!B831&lt;18,Customers!B831&gt;100),"Implausible age","")</f>
        <v/>
      </c>
      <c r="E831" s="4" t="str">
        <f>IF(Customers!H831&gt;Customers!B831-18,"Tenure &gt; age-18","")</f>
        <v/>
      </c>
      <c r="F831" s="4" t="str">
        <f>IF(Customers!R831&gt;Customers!Q831,"Card spend &gt; limit","")</f>
        <v/>
      </c>
      <c r="G831" s="4" t="str">
        <f>IF(OR(AND(Customers!S831&gt;0,Customers!T831=0),AND(Customers!S831=0,Customers!T831&gt;0)),"Mortgage/payment inconsistent","")</f>
        <v/>
      </c>
      <c r="H831" s="4" t="str">
        <f>IF(AND(Customers!G831&lt;&gt;"",Customers!G831&gt;0,Customers!T831&gt;Customers!G831/12),"Payment &gt; monthly income","")</f>
        <v/>
      </c>
      <c r="I831" s="4" t="str">
        <f>IF(OR(Customers!I831&gt;DATE(2026,9,13),YEAR(Customers!I831)&lt;1980),"Implausible date","")</f>
        <v/>
      </c>
      <c r="J831" s="4" t="str">
        <f>IF(Customers!I831&gt;DATE(2026,9,13),"",IF(ABS(INT((DATE(2026,9,13)-Customers!I831)/365.25)-Customers!H831)&gt;1,"Date/tenure inconsistent",""))</f>
        <v/>
      </c>
      <c r="K831" s="4" t="str">
        <f>IF(COUNTIF(Customers!$A$2:$A$1001,Customers!A831)&gt;1,"Duplicate ID","")</f>
        <v/>
      </c>
      <c r="L831" s="4" t="str">
        <f>IF(COUNTIFS(Customers!$B$2:$B$1001,Customers!B831,Customers!$D$2:$D$1001,Customers!D831,Customers!$G$2:$G$1001,Customers!G831,Customers!$I$2:$I$1001,Customers!I831,Customers!$L$2:$L$1001,Customers!L831)&gt;1,"Duplicate record","")</f>
        <v/>
      </c>
      <c r="M831" s="4" t="str">
        <f>IF(OR(Customers!U831&lt;300,Customers!U831&gt;850),"Score out of range","")</f>
        <v/>
      </c>
      <c r="N831" s="4" t="str">
        <f>IF(AND(Customers!G831&lt;&gt;"",Customers!G831&lt;=0),"Income ≤ 0","")</f>
        <v/>
      </c>
      <c r="O831" s="4" t="str">
        <f>IF(OR(Customers!G831="",Customers!M831=""),"Missing value","")</f>
        <v/>
      </c>
      <c r="P831" s="4">
        <f t="shared" si="12"/>
        <v>0</v>
      </c>
    </row>
    <row r="832" spans="1:16" x14ac:dyDescent="0.25">
      <c r="A832" s="4" t="str">
        <f>Customers!A832</f>
        <v>CL00825</v>
      </c>
      <c r="B832" s="20">
        <f>IF(Customers!G832="","",(Customers!G832-Statistics!$C$7)/Statistics!$C$9)</f>
        <v>3.2916720099102147E-2</v>
      </c>
      <c r="C832" s="4" t="str">
        <f>IF(Customers!G832="","",IF(OR(Customers!G832&lt;Statistics!$C$15,Customers!G832&gt;Statistics!$C$16),"Outside 1.5·IQR",""))</f>
        <v>Outside 1.5·IQR</v>
      </c>
      <c r="D832" s="4" t="str">
        <f>IF(OR(Customers!B832&lt;18,Customers!B832&gt;100),"Implausible age","")</f>
        <v/>
      </c>
      <c r="E832" s="4" t="str">
        <f>IF(Customers!H832&gt;Customers!B832-18,"Tenure &gt; age-18","")</f>
        <v/>
      </c>
      <c r="F832" s="4" t="str">
        <f>IF(Customers!R832&gt;Customers!Q832,"Card spend &gt; limit","")</f>
        <v/>
      </c>
      <c r="G832" s="4" t="str">
        <f>IF(OR(AND(Customers!S832&gt;0,Customers!T832=0),AND(Customers!S832=0,Customers!T832&gt;0)),"Mortgage/payment inconsistent","")</f>
        <v/>
      </c>
      <c r="H832" s="4" t="str">
        <f>IF(AND(Customers!G832&lt;&gt;"",Customers!G832&gt;0,Customers!T832&gt;Customers!G832/12),"Payment &gt; monthly income","")</f>
        <v/>
      </c>
      <c r="I832" s="4" t="str">
        <f>IF(OR(Customers!I832&gt;DATE(2026,9,13),YEAR(Customers!I832)&lt;1980),"Implausible date","")</f>
        <v/>
      </c>
      <c r="J832" s="4" t="str">
        <f>IF(Customers!I832&gt;DATE(2026,9,13),"",IF(ABS(INT((DATE(2026,9,13)-Customers!I832)/365.25)-Customers!H832)&gt;1,"Date/tenure inconsistent",""))</f>
        <v/>
      </c>
      <c r="K832" s="4" t="str">
        <f>IF(COUNTIF(Customers!$A$2:$A$1001,Customers!A832)&gt;1,"Duplicate ID","")</f>
        <v/>
      </c>
      <c r="L832" s="4" t="str">
        <f>IF(COUNTIFS(Customers!$B$2:$B$1001,Customers!B832,Customers!$D$2:$D$1001,Customers!D832,Customers!$G$2:$G$1001,Customers!G832,Customers!$I$2:$I$1001,Customers!I832,Customers!$L$2:$L$1001,Customers!L832)&gt;1,"Duplicate record","")</f>
        <v/>
      </c>
      <c r="M832" s="4" t="str">
        <f>IF(OR(Customers!U832&lt;300,Customers!U832&gt;850),"Score out of range","")</f>
        <v/>
      </c>
      <c r="N832" s="4" t="str">
        <f>IF(AND(Customers!G832&lt;&gt;"",Customers!G832&lt;=0),"Income ≤ 0","")</f>
        <v/>
      </c>
      <c r="O832" s="4" t="str">
        <f>IF(OR(Customers!G832="",Customers!M832=""),"Missing value","")</f>
        <v/>
      </c>
      <c r="P832" s="4">
        <f t="shared" si="12"/>
        <v>1</v>
      </c>
    </row>
    <row r="833" spans="1:16" x14ac:dyDescent="0.25">
      <c r="A833" s="4" t="str">
        <f>Customers!A833</f>
        <v>CL00826</v>
      </c>
      <c r="B833" s="20">
        <f>IF(Customers!G833="","",(Customers!G833-Statistics!$C$7)/Statistics!$C$9)</f>
        <v>-4.0263088924176633E-2</v>
      </c>
      <c r="C833" s="4" t="str">
        <f>IF(Customers!G833="","",IF(OR(Customers!G833&lt;Statistics!$C$15,Customers!G833&gt;Statistics!$C$16),"Outside 1.5·IQR",""))</f>
        <v/>
      </c>
      <c r="D833" s="4" t="str">
        <f>IF(OR(Customers!B833&lt;18,Customers!B833&gt;100),"Implausible age","")</f>
        <v/>
      </c>
      <c r="E833" s="4" t="str">
        <f>IF(Customers!H833&gt;Customers!B833-18,"Tenure &gt; age-18","")</f>
        <v/>
      </c>
      <c r="F833" s="4" t="str">
        <f>IF(Customers!R833&gt;Customers!Q833,"Card spend &gt; limit","")</f>
        <v/>
      </c>
      <c r="G833" s="4" t="str">
        <f>IF(OR(AND(Customers!S833&gt;0,Customers!T833=0),AND(Customers!S833=0,Customers!T833&gt;0)),"Mortgage/payment inconsistent","")</f>
        <v/>
      </c>
      <c r="H833" s="4" t="str">
        <f>IF(AND(Customers!G833&lt;&gt;"",Customers!G833&gt;0,Customers!T833&gt;Customers!G833/12),"Payment &gt; monthly income","")</f>
        <v/>
      </c>
      <c r="I833" s="4" t="str">
        <f>IF(OR(Customers!I833&gt;DATE(2026,9,13),YEAR(Customers!I833)&lt;1980),"Implausible date","")</f>
        <v/>
      </c>
      <c r="J833" s="4" t="str">
        <f>IF(Customers!I833&gt;DATE(2026,9,13),"",IF(ABS(INT((DATE(2026,9,13)-Customers!I833)/365.25)-Customers!H833)&gt;1,"Date/tenure inconsistent",""))</f>
        <v/>
      </c>
      <c r="K833" s="4" t="str">
        <f>IF(COUNTIF(Customers!$A$2:$A$1001,Customers!A833)&gt;1,"Duplicate ID","")</f>
        <v/>
      </c>
      <c r="L833" s="4" t="str">
        <f>IF(COUNTIFS(Customers!$B$2:$B$1001,Customers!B833,Customers!$D$2:$D$1001,Customers!D833,Customers!$G$2:$G$1001,Customers!G833,Customers!$I$2:$I$1001,Customers!I833,Customers!$L$2:$L$1001,Customers!L833)&gt;1,"Duplicate record","")</f>
        <v/>
      </c>
      <c r="M833" s="4" t="str">
        <f>IF(OR(Customers!U833&lt;300,Customers!U833&gt;850),"Score out of range","")</f>
        <v/>
      </c>
      <c r="N833" s="4" t="str">
        <f>IF(AND(Customers!G833&lt;&gt;"",Customers!G833&lt;=0),"Income ≤ 0","")</f>
        <v/>
      </c>
      <c r="O833" s="4" t="str">
        <f>IF(OR(Customers!G833="",Customers!M833=""),"Missing value","")</f>
        <v/>
      </c>
      <c r="P833" s="4">
        <f t="shared" si="12"/>
        <v>0</v>
      </c>
    </row>
    <row r="834" spans="1:16" x14ac:dyDescent="0.25">
      <c r="A834" s="4" t="str">
        <f>Customers!A834</f>
        <v>CL00827</v>
      </c>
      <c r="B834" s="20">
        <f>IF(Customers!G834="","",(Customers!G834-Statistics!$C$7)/Statistics!$C$9)</f>
        <v>3.3606166482901538E-2</v>
      </c>
      <c r="C834" s="4" t="str">
        <f>IF(Customers!G834="","",IF(OR(Customers!G834&lt;Statistics!$C$15,Customers!G834&gt;Statistics!$C$16),"Outside 1.5·IQR",""))</f>
        <v>Outside 1.5·IQR</v>
      </c>
      <c r="D834" s="4" t="str">
        <f>IF(OR(Customers!B834&lt;18,Customers!B834&gt;100),"Implausible age","")</f>
        <v/>
      </c>
      <c r="E834" s="4" t="str">
        <f>IF(Customers!H834&gt;Customers!B834-18,"Tenure &gt; age-18","")</f>
        <v/>
      </c>
      <c r="F834" s="4" t="str">
        <f>IF(Customers!R834&gt;Customers!Q834,"Card spend &gt; limit","")</f>
        <v/>
      </c>
      <c r="G834" s="4" t="str">
        <f>IF(OR(AND(Customers!S834&gt;0,Customers!T834=0),AND(Customers!S834=0,Customers!T834&gt;0)),"Mortgage/payment inconsistent","")</f>
        <v/>
      </c>
      <c r="H834" s="4" t="str">
        <f>IF(AND(Customers!G834&lt;&gt;"",Customers!G834&gt;0,Customers!T834&gt;Customers!G834/12),"Payment &gt; monthly income","")</f>
        <v/>
      </c>
      <c r="I834" s="4" t="str">
        <f>IF(OR(Customers!I834&gt;DATE(2026,9,13),YEAR(Customers!I834)&lt;1980),"Implausible date","")</f>
        <v/>
      </c>
      <c r="J834" s="4" t="str">
        <f>IF(Customers!I834&gt;DATE(2026,9,13),"",IF(ABS(INT((DATE(2026,9,13)-Customers!I834)/365.25)-Customers!H834)&gt;1,"Date/tenure inconsistent",""))</f>
        <v/>
      </c>
      <c r="K834" s="4" t="str">
        <f>IF(COUNTIF(Customers!$A$2:$A$1001,Customers!A834)&gt;1,"Duplicate ID","")</f>
        <v/>
      </c>
      <c r="L834" s="4" t="str">
        <f>IF(COUNTIFS(Customers!$B$2:$B$1001,Customers!B834,Customers!$D$2:$D$1001,Customers!D834,Customers!$G$2:$G$1001,Customers!G834,Customers!$I$2:$I$1001,Customers!I834,Customers!$L$2:$L$1001,Customers!L834)&gt;1,"Duplicate record","")</f>
        <v/>
      </c>
      <c r="M834" s="4" t="str">
        <f>IF(OR(Customers!U834&lt;300,Customers!U834&gt;850),"Score out of range","")</f>
        <v/>
      </c>
      <c r="N834" s="4" t="str">
        <f>IF(AND(Customers!G834&lt;&gt;"",Customers!G834&lt;=0),"Income ≤ 0","")</f>
        <v/>
      </c>
      <c r="O834" s="4" t="str">
        <f>IF(OR(Customers!G834="",Customers!M834=""),"Missing value","")</f>
        <v/>
      </c>
      <c r="P834" s="4">
        <f t="shared" ref="P834:P897" si="13">SUMPRODUCT(--(C834:O834&lt;&gt;""))</f>
        <v>1</v>
      </c>
    </row>
    <row r="835" spans="1:16" x14ac:dyDescent="0.25">
      <c r="A835" s="4" t="str">
        <f>Customers!A835</f>
        <v>CL00828</v>
      </c>
      <c r="B835" s="20">
        <f>IF(Customers!G835="","",(Customers!G835-Statistics!$C$7)/Statistics!$C$9)</f>
        <v>-3.1694255296955562E-2</v>
      </c>
      <c r="C835" s="4" t="str">
        <f>IF(Customers!G835="","",IF(OR(Customers!G835&lt;Statistics!$C$15,Customers!G835&gt;Statistics!$C$16),"Outside 1.5·IQR",""))</f>
        <v/>
      </c>
      <c r="D835" s="4" t="str">
        <f>IF(OR(Customers!B835&lt;18,Customers!B835&gt;100),"Implausible age","")</f>
        <v/>
      </c>
      <c r="E835" s="4" t="str">
        <f>IF(Customers!H835&gt;Customers!B835-18,"Tenure &gt; age-18","")</f>
        <v/>
      </c>
      <c r="F835" s="4" t="str">
        <f>IF(Customers!R835&gt;Customers!Q835,"Card spend &gt; limit","")</f>
        <v/>
      </c>
      <c r="G835" s="4" t="str">
        <f>IF(OR(AND(Customers!S835&gt;0,Customers!T835=0),AND(Customers!S835=0,Customers!T835&gt;0)),"Mortgage/payment inconsistent","")</f>
        <v/>
      </c>
      <c r="H835" s="4" t="str">
        <f>IF(AND(Customers!G835&lt;&gt;"",Customers!G835&gt;0,Customers!T835&gt;Customers!G835/12),"Payment &gt; monthly income","")</f>
        <v/>
      </c>
      <c r="I835" s="4" t="str">
        <f>IF(OR(Customers!I835&gt;DATE(2026,9,13),YEAR(Customers!I835)&lt;1980),"Implausible date","")</f>
        <v/>
      </c>
      <c r="J835" s="4" t="str">
        <f>IF(Customers!I835&gt;DATE(2026,9,13),"",IF(ABS(INT((DATE(2026,9,13)-Customers!I835)/365.25)-Customers!H835)&gt;1,"Date/tenure inconsistent",""))</f>
        <v/>
      </c>
      <c r="K835" s="4" t="str">
        <f>IF(COUNTIF(Customers!$A$2:$A$1001,Customers!A835)&gt;1,"Duplicate ID","")</f>
        <v/>
      </c>
      <c r="L835" s="4" t="str">
        <f>IF(COUNTIFS(Customers!$B$2:$B$1001,Customers!B835,Customers!$D$2:$D$1001,Customers!D835,Customers!$G$2:$G$1001,Customers!G835,Customers!$I$2:$I$1001,Customers!I835,Customers!$L$2:$L$1001,Customers!L835)&gt;1,"Duplicate record","")</f>
        <v/>
      </c>
      <c r="M835" s="4" t="str">
        <f>IF(OR(Customers!U835&lt;300,Customers!U835&gt;850),"Score out of range","")</f>
        <v/>
      </c>
      <c r="N835" s="4" t="str">
        <f>IF(AND(Customers!G835&lt;&gt;"",Customers!G835&lt;=0),"Income ≤ 0","")</f>
        <v/>
      </c>
      <c r="O835" s="4" t="str">
        <f>IF(OR(Customers!G835="",Customers!M835=""),"Missing value","")</f>
        <v/>
      </c>
      <c r="P835" s="4">
        <f t="shared" si="13"/>
        <v>0</v>
      </c>
    </row>
    <row r="836" spans="1:16" x14ac:dyDescent="0.25">
      <c r="A836" s="4" t="str">
        <f>Customers!A836</f>
        <v>CL00829</v>
      </c>
      <c r="B836" s="20">
        <f>IF(Customers!G836="","",(Customers!G836-Statistics!$C$7)/Statistics!$C$9)</f>
        <v>-3.7111334026807961E-2</v>
      </c>
      <c r="C836" s="4" t="str">
        <f>IF(Customers!G836="","",IF(OR(Customers!G836&lt;Statistics!$C$15,Customers!G836&gt;Statistics!$C$16),"Outside 1.5·IQR",""))</f>
        <v/>
      </c>
      <c r="D836" s="4" t="str">
        <f>IF(OR(Customers!B836&lt;18,Customers!B836&gt;100),"Implausible age","")</f>
        <v/>
      </c>
      <c r="E836" s="4" t="str">
        <f>IF(Customers!H836&gt;Customers!B836-18,"Tenure &gt; age-18","")</f>
        <v/>
      </c>
      <c r="F836" s="4" t="str">
        <f>IF(Customers!R836&gt;Customers!Q836,"Card spend &gt; limit","")</f>
        <v/>
      </c>
      <c r="G836" s="4" t="str">
        <f>IF(OR(AND(Customers!S836&gt;0,Customers!T836=0),AND(Customers!S836=0,Customers!T836&gt;0)),"Mortgage/payment inconsistent","")</f>
        <v/>
      </c>
      <c r="H836" s="4" t="str">
        <f>IF(AND(Customers!G836&lt;&gt;"",Customers!G836&gt;0,Customers!T836&gt;Customers!G836/12),"Payment &gt; monthly income","")</f>
        <v/>
      </c>
      <c r="I836" s="4" t="str">
        <f>IF(OR(Customers!I836&gt;DATE(2026,9,13),YEAR(Customers!I836)&lt;1980),"Implausible date","")</f>
        <v/>
      </c>
      <c r="J836" s="4" t="str">
        <f>IF(Customers!I836&gt;DATE(2026,9,13),"",IF(ABS(INT((DATE(2026,9,13)-Customers!I836)/365.25)-Customers!H836)&gt;1,"Date/tenure inconsistent",""))</f>
        <v/>
      </c>
      <c r="K836" s="4" t="str">
        <f>IF(COUNTIF(Customers!$A$2:$A$1001,Customers!A836)&gt;1,"Duplicate ID","")</f>
        <v/>
      </c>
      <c r="L836" s="4" t="str">
        <f>IF(COUNTIFS(Customers!$B$2:$B$1001,Customers!B836,Customers!$D$2:$D$1001,Customers!D836,Customers!$G$2:$G$1001,Customers!G836,Customers!$I$2:$I$1001,Customers!I836,Customers!$L$2:$L$1001,Customers!L836)&gt;1,"Duplicate record","")</f>
        <v/>
      </c>
      <c r="M836" s="4" t="str">
        <f>IF(OR(Customers!U836&lt;300,Customers!U836&gt;850),"Score out of range","")</f>
        <v/>
      </c>
      <c r="N836" s="4" t="str">
        <f>IF(AND(Customers!G836&lt;&gt;"",Customers!G836&lt;=0),"Income ≤ 0","")</f>
        <v/>
      </c>
      <c r="O836" s="4" t="str">
        <f>IF(OR(Customers!G836="",Customers!M836=""),"Missing value","")</f>
        <v/>
      </c>
      <c r="P836" s="4">
        <f t="shared" si="13"/>
        <v>0</v>
      </c>
    </row>
    <row r="837" spans="1:16" x14ac:dyDescent="0.25">
      <c r="A837" s="4" t="str">
        <f>Customers!A837</f>
        <v>CL00830</v>
      </c>
      <c r="B837" s="20">
        <f>IF(Customers!G837="","",(Customers!G837-Statistics!$C$7)/Statistics!$C$9)</f>
        <v>-5.2574631492022995E-2</v>
      </c>
      <c r="C837" s="4" t="str">
        <f>IF(Customers!G837="","",IF(OR(Customers!G837&lt;Statistics!$C$15,Customers!G837&gt;Statistics!$C$16),"Outside 1.5·IQR",""))</f>
        <v/>
      </c>
      <c r="D837" s="4" t="str">
        <f>IF(OR(Customers!B837&lt;18,Customers!B837&gt;100),"Implausible age","")</f>
        <v/>
      </c>
      <c r="E837" s="4" t="str">
        <f>IF(Customers!H837&gt;Customers!B837-18,"Tenure &gt; age-18","")</f>
        <v/>
      </c>
      <c r="F837" s="4" t="str">
        <f>IF(Customers!R837&gt;Customers!Q837,"Card spend &gt; limit","")</f>
        <v/>
      </c>
      <c r="G837" s="4" t="str">
        <f>IF(OR(AND(Customers!S837&gt;0,Customers!T837=0),AND(Customers!S837=0,Customers!T837&gt;0)),"Mortgage/payment inconsistent","")</f>
        <v/>
      </c>
      <c r="H837" s="4" t="str">
        <f>IF(AND(Customers!G837&lt;&gt;"",Customers!G837&gt;0,Customers!T837&gt;Customers!G837/12),"Payment &gt; monthly income","")</f>
        <v/>
      </c>
      <c r="I837" s="4" t="str">
        <f>IF(OR(Customers!I837&gt;DATE(2026,9,13),YEAR(Customers!I837)&lt;1980),"Implausible date","")</f>
        <v/>
      </c>
      <c r="J837" s="4" t="str">
        <f>IF(Customers!I837&gt;DATE(2026,9,13),"",IF(ABS(INT((DATE(2026,9,13)-Customers!I837)/365.25)-Customers!H837)&gt;1,"Date/tenure inconsistent",""))</f>
        <v/>
      </c>
      <c r="K837" s="4" t="str">
        <f>IF(COUNTIF(Customers!$A$2:$A$1001,Customers!A837)&gt;1,"Duplicate ID","")</f>
        <v/>
      </c>
      <c r="L837" s="4" t="str">
        <f>IF(COUNTIFS(Customers!$B$2:$B$1001,Customers!B837,Customers!$D$2:$D$1001,Customers!D837,Customers!$G$2:$G$1001,Customers!G837,Customers!$I$2:$I$1001,Customers!I837,Customers!$L$2:$L$1001,Customers!L837)&gt;1,"Duplicate record","")</f>
        <v/>
      </c>
      <c r="M837" s="4" t="str">
        <f>IF(OR(Customers!U837&lt;300,Customers!U837&gt;850),"Score out of range","")</f>
        <v/>
      </c>
      <c r="N837" s="4" t="str">
        <f>IF(AND(Customers!G837&lt;&gt;"",Customers!G837&lt;=0),"Income ≤ 0","")</f>
        <v/>
      </c>
      <c r="O837" s="4" t="str">
        <f>IF(OR(Customers!G837="",Customers!M837=""),"Missing value","")</f>
        <v/>
      </c>
      <c r="P837" s="4">
        <f t="shared" si="13"/>
        <v>0</v>
      </c>
    </row>
    <row r="838" spans="1:16" x14ac:dyDescent="0.25">
      <c r="A838" s="4" t="str">
        <f>Customers!A838</f>
        <v>CL00831</v>
      </c>
      <c r="B838" s="20">
        <f>IF(Customers!G838="","",(Customers!G838-Statistics!$C$7)/Statistics!$C$9)</f>
        <v>-3.8293242113321212E-2</v>
      </c>
      <c r="C838" s="4" t="str">
        <f>IF(Customers!G838="","",IF(OR(Customers!G838&lt;Statistics!$C$15,Customers!G838&gt;Statistics!$C$16),"Outside 1.5·IQR",""))</f>
        <v/>
      </c>
      <c r="D838" s="4" t="str">
        <f>IF(OR(Customers!B838&lt;18,Customers!B838&gt;100),"Implausible age","")</f>
        <v/>
      </c>
      <c r="E838" s="4" t="str">
        <f>IF(Customers!H838&gt;Customers!B838-18,"Tenure &gt; age-18","")</f>
        <v/>
      </c>
      <c r="F838" s="4" t="str">
        <f>IF(Customers!R838&gt;Customers!Q838,"Card spend &gt; limit","")</f>
        <v/>
      </c>
      <c r="G838" s="4" t="str">
        <f>IF(OR(AND(Customers!S838&gt;0,Customers!T838=0),AND(Customers!S838=0,Customers!T838&gt;0)),"Mortgage/payment inconsistent","")</f>
        <v/>
      </c>
      <c r="H838" s="4" t="str">
        <f>IF(AND(Customers!G838&lt;&gt;"",Customers!G838&gt;0,Customers!T838&gt;Customers!G838/12),"Payment &gt; monthly income","")</f>
        <v/>
      </c>
      <c r="I838" s="4" t="str">
        <f>IF(OR(Customers!I838&gt;DATE(2026,9,13),YEAR(Customers!I838)&lt;1980),"Implausible date","")</f>
        <v/>
      </c>
      <c r="J838" s="4" t="str">
        <f>IF(Customers!I838&gt;DATE(2026,9,13),"",IF(ABS(INT((DATE(2026,9,13)-Customers!I838)/365.25)-Customers!H838)&gt;1,"Date/tenure inconsistent",""))</f>
        <v/>
      </c>
      <c r="K838" s="4" t="str">
        <f>IF(COUNTIF(Customers!$A$2:$A$1001,Customers!A838)&gt;1,"Duplicate ID","")</f>
        <v/>
      </c>
      <c r="L838" s="4" t="str">
        <f>IF(COUNTIFS(Customers!$B$2:$B$1001,Customers!B838,Customers!$D$2:$D$1001,Customers!D838,Customers!$G$2:$G$1001,Customers!G838,Customers!$I$2:$I$1001,Customers!I838,Customers!$L$2:$L$1001,Customers!L838)&gt;1,"Duplicate record","")</f>
        <v/>
      </c>
      <c r="M838" s="4" t="str">
        <f>IF(OR(Customers!U838&lt;300,Customers!U838&gt;850),"Score out of range","")</f>
        <v/>
      </c>
      <c r="N838" s="4" t="str">
        <f>IF(AND(Customers!G838&lt;&gt;"",Customers!G838&lt;=0),"Income ≤ 0","")</f>
        <v/>
      </c>
      <c r="O838" s="4" t="str">
        <f>IF(OR(Customers!G838="",Customers!M838=""),"Missing value","")</f>
        <v/>
      </c>
      <c r="P838" s="4">
        <f t="shared" si="13"/>
        <v>0</v>
      </c>
    </row>
    <row r="839" spans="1:16" x14ac:dyDescent="0.25">
      <c r="A839" s="4" t="str">
        <f>Customers!A839</f>
        <v>CL00832</v>
      </c>
      <c r="B839" s="20">
        <f>IF(Customers!G839="","",(Customers!G839-Statistics!$C$7)/Statistics!$C$9)</f>
        <v>0.11082416146843392</v>
      </c>
      <c r="C839" s="4" t="str">
        <f>IF(Customers!G839="","",IF(OR(Customers!G839&lt;Statistics!$C$15,Customers!G839&gt;Statistics!$C$16),"Outside 1.5·IQR",""))</f>
        <v>Outside 1.5·IQR</v>
      </c>
      <c r="D839" s="4" t="str">
        <f>IF(OR(Customers!B839&lt;18,Customers!B839&gt;100),"Implausible age","")</f>
        <v/>
      </c>
      <c r="E839" s="4" t="str">
        <f>IF(Customers!H839&gt;Customers!B839-18,"Tenure &gt; age-18","")</f>
        <v/>
      </c>
      <c r="F839" s="4" t="str">
        <f>IF(Customers!R839&gt;Customers!Q839,"Card spend &gt; limit","")</f>
        <v/>
      </c>
      <c r="G839" s="4" t="str">
        <f>IF(OR(AND(Customers!S839&gt;0,Customers!T839=0),AND(Customers!S839=0,Customers!T839&gt;0)),"Mortgage/payment inconsistent","")</f>
        <v/>
      </c>
      <c r="H839" s="4" t="str">
        <f>IF(AND(Customers!G839&lt;&gt;"",Customers!G839&gt;0,Customers!T839&gt;Customers!G839/12),"Payment &gt; monthly income","")</f>
        <v/>
      </c>
      <c r="I839" s="4" t="str">
        <f>IF(OR(Customers!I839&gt;DATE(2026,9,13),YEAR(Customers!I839)&lt;1980),"Implausible date","")</f>
        <v/>
      </c>
      <c r="J839" s="4" t="str">
        <f>IF(Customers!I839&gt;DATE(2026,9,13),"",IF(ABS(INT((DATE(2026,9,13)-Customers!I839)/365.25)-Customers!H839)&gt;1,"Date/tenure inconsistent",""))</f>
        <v/>
      </c>
      <c r="K839" s="4" t="str">
        <f>IF(COUNTIF(Customers!$A$2:$A$1001,Customers!A839)&gt;1,"Duplicate ID","")</f>
        <v/>
      </c>
      <c r="L839" s="4" t="str">
        <f>IF(COUNTIFS(Customers!$B$2:$B$1001,Customers!B839,Customers!$D$2:$D$1001,Customers!D839,Customers!$G$2:$G$1001,Customers!G839,Customers!$I$2:$I$1001,Customers!I839,Customers!$L$2:$L$1001,Customers!L839)&gt;1,"Duplicate record","")</f>
        <v/>
      </c>
      <c r="M839" s="4" t="str">
        <f>IF(OR(Customers!U839&lt;300,Customers!U839&gt;850),"Score out of range","")</f>
        <v/>
      </c>
      <c r="N839" s="4" t="str">
        <f>IF(AND(Customers!G839&lt;&gt;"",Customers!G839&lt;=0),"Income ≤ 0","")</f>
        <v/>
      </c>
      <c r="O839" s="4" t="str">
        <f>IF(OR(Customers!G839="",Customers!M839=""),"Missing value","")</f>
        <v/>
      </c>
      <c r="P839" s="4">
        <f t="shared" si="13"/>
        <v>1</v>
      </c>
    </row>
    <row r="840" spans="1:16" x14ac:dyDescent="0.25">
      <c r="A840" s="4" t="str">
        <f>Customers!A840</f>
        <v>CL00833</v>
      </c>
      <c r="B840" s="20">
        <f>IF(Customers!G840="","",(Customers!G840-Statistics!$C$7)/Statistics!$C$9)</f>
        <v>-5.080176936225312E-2</v>
      </c>
      <c r="C840" s="4" t="str">
        <f>IF(Customers!G840="","",IF(OR(Customers!G840&lt;Statistics!$C$15,Customers!G840&gt;Statistics!$C$16),"Outside 1.5·IQR",""))</f>
        <v/>
      </c>
      <c r="D840" s="4" t="str">
        <f>IF(OR(Customers!B840&lt;18,Customers!B840&gt;100),"Implausible age","")</f>
        <v/>
      </c>
      <c r="E840" s="4" t="str">
        <f>IF(Customers!H840&gt;Customers!B840-18,"Tenure &gt; age-18","")</f>
        <v/>
      </c>
      <c r="F840" s="4" t="str">
        <f>IF(Customers!R840&gt;Customers!Q840,"Card spend &gt; limit","")</f>
        <v/>
      </c>
      <c r="G840" s="4" t="str">
        <f>IF(OR(AND(Customers!S840&gt;0,Customers!T840=0),AND(Customers!S840=0,Customers!T840&gt;0)),"Mortgage/payment inconsistent","")</f>
        <v/>
      </c>
      <c r="H840" s="4" t="str">
        <f>IF(AND(Customers!G840&lt;&gt;"",Customers!G840&gt;0,Customers!T840&gt;Customers!G840/12),"Payment &gt; monthly income","")</f>
        <v/>
      </c>
      <c r="I840" s="4" t="str">
        <f>IF(OR(Customers!I840&gt;DATE(2026,9,13),YEAR(Customers!I840)&lt;1980),"Implausible date","")</f>
        <v/>
      </c>
      <c r="J840" s="4" t="str">
        <f>IF(Customers!I840&gt;DATE(2026,9,13),"",IF(ABS(INT((DATE(2026,9,13)-Customers!I840)/365.25)-Customers!H840)&gt;1,"Date/tenure inconsistent",""))</f>
        <v/>
      </c>
      <c r="K840" s="4" t="str">
        <f>IF(COUNTIF(Customers!$A$2:$A$1001,Customers!A840)&gt;1,"Duplicate ID","")</f>
        <v/>
      </c>
      <c r="L840" s="4" t="str">
        <f>IF(COUNTIFS(Customers!$B$2:$B$1001,Customers!B840,Customers!$D$2:$D$1001,Customers!D840,Customers!$G$2:$G$1001,Customers!G840,Customers!$I$2:$I$1001,Customers!I840,Customers!$L$2:$L$1001,Customers!L840)&gt;1,"Duplicate record","")</f>
        <v/>
      </c>
      <c r="M840" s="4" t="str">
        <f>IF(OR(Customers!U840&lt;300,Customers!U840&gt;850),"Score out of range","")</f>
        <v/>
      </c>
      <c r="N840" s="4" t="str">
        <f>IF(AND(Customers!G840&lt;&gt;"",Customers!G840&lt;=0),"Income ≤ 0","")</f>
        <v/>
      </c>
      <c r="O840" s="4" t="str">
        <f>IF(OR(Customers!G840="",Customers!M840=""),"Missing value","")</f>
        <v/>
      </c>
      <c r="P840" s="4">
        <f t="shared" si="13"/>
        <v>0</v>
      </c>
    </row>
    <row r="841" spans="1:16" x14ac:dyDescent="0.25">
      <c r="A841" s="4" t="str">
        <f>Customers!A841</f>
        <v>CL00834</v>
      </c>
      <c r="B841" s="20">
        <f>IF(Customers!G841="","",(Customers!G841-Statistics!$C$7)/Statistics!$C$9)</f>
        <v>-2.73750717738092E-3</v>
      </c>
      <c r="C841" s="4" t="str">
        <f>IF(Customers!G841="","",IF(OR(Customers!G841&lt;Statistics!$C$15,Customers!G841&gt;Statistics!$C$16),"Outside 1.5·IQR",""))</f>
        <v/>
      </c>
      <c r="D841" s="4" t="str">
        <f>IF(OR(Customers!B841&lt;18,Customers!B841&gt;100),"Implausible age","")</f>
        <v/>
      </c>
      <c r="E841" s="4" t="str">
        <f>IF(Customers!H841&gt;Customers!B841-18,"Tenure &gt; age-18","")</f>
        <v/>
      </c>
      <c r="F841" s="4" t="str">
        <f>IF(Customers!R841&gt;Customers!Q841,"Card spend &gt; limit","")</f>
        <v/>
      </c>
      <c r="G841" s="4" t="str">
        <f>IF(OR(AND(Customers!S841&gt;0,Customers!T841=0),AND(Customers!S841=0,Customers!T841&gt;0)),"Mortgage/payment inconsistent","")</f>
        <v/>
      </c>
      <c r="H841" s="4" t="str">
        <f>IF(AND(Customers!G841&lt;&gt;"",Customers!G841&gt;0,Customers!T841&gt;Customers!G841/12),"Payment &gt; monthly income","")</f>
        <v/>
      </c>
      <c r="I841" s="4" t="str">
        <f>IF(OR(Customers!I841&gt;DATE(2026,9,13),YEAR(Customers!I841)&lt;1980),"Implausible date","")</f>
        <v/>
      </c>
      <c r="J841" s="4" t="str">
        <f>IF(Customers!I841&gt;DATE(2026,9,13),"",IF(ABS(INT((DATE(2026,9,13)-Customers!I841)/365.25)-Customers!H841)&gt;1,"Date/tenure inconsistent",""))</f>
        <v/>
      </c>
      <c r="K841" s="4" t="str">
        <f>IF(COUNTIF(Customers!$A$2:$A$1001,Customers!A841)&gt;1,"Duplicate ID","")</f>
        <v/>
      </c>
      <c r="L841" s="4" t="str">
        <f>IF(COUNTIFS(Customers!$B$2:$B$1001,Customers!B841,Customers!$D$2:$D$1001,Customers!D841,Customers!$G$2:$G$1001,Customers!G841,Customers!$I$2:$I$1001,Customers!I841,Customers!$L$2:$L$1001,Customers!L841)&gt;1,"Duplicate record","")</f>
        <v/>
      </c>
      <c r="M841" s="4" t="str">
        <f>IF(OR(Customers!U841&lt;300,Customers!U841&gt;850),"Score out of range","")</f>
        <v/>
      </c>
      <c r="N841" s="4" t="str">
        <f>IF(AND(Customers!G841&lt;&gt;"",Customers!G841&lt;=0),"Income ≤ 0","")</f>
        <v/>
      </c>
      <c r="O841" s="4" t="str">
        <f>IF(OR(Customers!G841="",Customers!M841=""),"Missing value","")</f>
        <v/>
      </c>
      <c r="P841" s="4">
        <f t="shared" si="13"/>
        <v>0</v>
      </c>
    </row>
    <row r="842" spans="1:16" x14ac:dyDescent="0.25">
      <c r="A842" s="4" t="str">
        <f>Customers!A842</f>
        <v>CL00835</v>
      </c>
      <c r="B842" s="20">
        <f>IF(Customers!G842="","",(Customers!G842-Statistics!$C$7)/Statistics!$C$9)</f>
        <v>-5.3559554897450706E-2</v>
      </c>
      <c r="C842" s="4" t="str">
        <f>IF(Customers!G842="","",IF(OR(Customers!G842&lt;Statistics!$C$15,Customers!G842&gt;Statistics!$C$16),"Outside 1.5·IQR",""))</f>
        <v/>
      </c>
      <c r="D842" s="4" t="str">
        <f>IF(OR(Customers!B842&lt;18,Customers!B842&gt;100),"Implausible age","")</f>
        <v/>
      </c>
      <c r="E842" s="4" t="str">
        <f>IF(Customers!H842&gt;Customers!B842-18,"Tenure &gt; age-18","")</f>
        <v/>
      </c>
      <c r="F842" s="4" t="str">
        <f>IF(Customers!R842&gt;Customers!Q842,"Card spend &gt; limit","")</f>
        <v/>
      </c>
      <c r="G842" s="4" t="str">
        <f>IF(OR(AND(Customers!S842&gt;0,Customers!T842=0),AND(Customers!S842=0,Customers!T842&gt;0)),"Mortgage/payment inconsistent","")</f>
        <v/>
      </c>
      <c r="H842" s="4" t="str">
        <f>IF(AND(Customers!G842&lt;&gt;"",Customers!G842&gt;0,Customers!T842&gt;Customers!G842/12),"Payment &gt; monthly income","")</f>
        <v/>
      </c>
      <c r="I842" s="4" t="str">
        <f>IF(OR(Customers!I842&gt;DATE(2026,9,13),YEAR(Customers!I842)&lt;1980),"Implausible date","")</f>
        <v/>
      </c>
      <c r="J842" s="4" t="str">
        <f>IF(Customers!I842&gt;DATE(2026,9,13),"",IF(ABS(INT((DATE(2026,9,13)-Customers!I842)/365.25)-Customers!H842)&gt;1,"Date/tenure inconsistent",""))</f>
        <v/>
      </c>
      <c r="K842" s="4" t="str">
        <f>IF(COUNTIF(Customers!$A$2:$A$1001,Customers!A842)&gt;1,"Duplicate ID","")</f>
        <v/>
      </c>
      <c r="L842" s="4" t="str">
        <f>IF(COUNTIFS(Customers!$B$2:$B$1001,Customers!B842,Customers!$D$2:$D$1001,Customers!D842,Customers!$G$2:$G$1001,Customers!G842,Customers!$I$2:$I$1001,Customers!I842,Customers!$L$2:$L$1001,Customers!L842)&gt;1,"Duplicate record","")</f>
        <v/>
      </c>
      <c r="M842" s="4" t="str">
        <f>IF(OR(Customers!U842&lt;300,Customers!U842&gt;850),"Score out of range","")</f>
        <v/>
      </c>
      <c r="N842" s="4" t="str">
        <f>IF(AND(Customers!G842&lt;&gt;"",Customers!G842&lt;=0),"Income ≤ 0","")</f>
        <v/>
      </c>
      <c r="O842" s="4" t="str">
        <f>IF(OR(Customers!G842="",Customers!M842=""),"Missing value","")</f>
        <v/>
      </c>
      <c r="P842" s="4">
        <f t="shared" si="13"/>
        <v>0</v>
      </c>
    </row>
    <row r="843" spans="1:16" x14ac:dyDescent="0.25">
      <c r="A843" s="4" t="str">
        <f>Customers!A843</f>
        <v>CL00836</v>
      </c>
      <c r="B843" s="20">
        <f>IF(Customers!G843="","",(Customers!G843-Statistics!$C$7)/Statistics!$C$9)</f>
        <v>-2.9724408486100147E-2</v>
      </c>
      <c r="C843" s="4" t="str">
        <f>IF(Customers!G843="","",IF(OR(Customers!G843&lt;Statistics!$C$15,Customers!G843&gt;Statistics!$C$16),"Outside 1.5·IQR",""))</f>
        <v/>
      </c>
      <c r="D843" s="4" t="str">
        <f>IF(OR(Customers!B843&lt;18,Customers!B843&gt;100),"Implausible age","")</f>
        <v/>
      </c>
      <c r="E843" s="4" t="str">
        <f>IF(Customers!H843&gt;Customers!B843-18,"Tenure &gt; age-18","")</f>
        <v/>
      </c>
      <c r="F843" s="4" t="str">
        <f>IF(Customers!R843&gt;Customers!Q843,"Card spend &gt; limit","")</f>
        <v/>
      </c>
      <c r="G843" s="4" t="str">
        <f>IF(OR(AND(Customers!S843&gt;0,Customers!T843=0),AND(Customers!S843=0,Customers!T843&gt;0)),"Mortgage/payment inconsistent","")</f>
        <v/>
      </c>
      <c r="H843" s="4" t="str">
        <f>IF(AND(Customers!G843&lt;&gt;"",Customers!G843&gt;0,Customers!T843&gt;Customers!G843/12),"Payment &gt; monthly income","")</f>
        <v/>
      </c>
      <c r="I843" s="4" t="str">
        <f>IF(OR(Customers!I843&gt;DATE(2026,9,13),YEAR(Customers!I843)&lt;1980),"Implausible date","")</f>
        <v/>
      </c>
      <c r="J843" s="4" t="str">
        <f>IF(Customers!I843&gt;DATE(2026,9,13),"",IF(ABS(INT((DATE(2026,9,13)-Customers!I843)/365.25)-Customers!H843)&gt;1,"Date/tenure inconsistent",""))</f>
        <v/>
      </c>
      <c r="K843" s="4" t="str">
        <f>IF(COUNTIF(Customers!$A$2:$A$1001,Customers!A843)&gt;1,"Duplicate ID","")</f>
        <v/>
      </c>
      <c r="L843" s="4" t="str">
        <f>IF(COUNTIFS(Customers!$B$2:$B$1001,Customers!B843,Customers!$D$2:$D$1001,Customers!D843,Customers!$G$2:$G$1001,Customers!G843,Customers!$I$2:$I$1001,Customers!I843,Customers!$L$2:$L$1001,Customers!L843)&gt;1,"Duplicate record","")</f>
        <v/>
      </c>
      <c r="M843" s="4" t="str">
        <f>IF(OR(Customers!U843&lt;300,Customers!U843&gt;850),"Score out of range","")</f>
        <v/>
      </c>
      <c r="N843" s="4" t="str">
        <f>IF(AND(Customers!G843&lt;&gt;"",Customers!G843&lt;=0),"Income ≤ 0","")</f>
        <v/>
      </c>
      <c r="O843" s="4" t="str">
        <f>IF(OR(Customers!G843="",Customers!M843=""),"Missing value","")</f>
        <v/>
      </c>
      <c r="P843" s="4">
        <f t="shared" si="13"/>
        <v>0</v>
      </c>
    </row>
    <row r="844" spans="1:16" x14ac:dyDescent="0.25">
      <c r="A844" s="4" t="str">
        <f>Customers!A844</f>
        <v>CL00837</v>
      </c>
      <c r="B844" s="20">
        <f>IF(Customers!G844="","",(Customers!G844-Statistics!$C$7)/Statistics!$C$9)</f>
        <v>5.1418800660407516E-3</v>
      </c>
      <c r="C844" s="4" t="str">
        <f>IF(Customers!G844="","",IF(OR(Customers!G844&lt;Statistics!$C$15,Customers!G844&gt;Statistics!$C$16),"Outside 1.5·IQR",""))</f>
        <v/>
      </c>
      <c r="D844" s="4" t="str">
        <f>IF(OR(Customers!B844&lt;18,Customers!B844&gt;100),"Implausible age","")</f>
        <v/>
      </c>
      <c r="E844" s="4" t="str">
        <f>IF(Customers!H844&gt;Customers!B844-18,"Tenure &gt; age-18","")</f>
        <v/>
      </c>
      <c r="F844" s="4" t="str">
        <f>IF(Customers!R844&gt;Customers!Q844,"Card spend &gt; limit","")</f>
        <v/>
      </c>
      <c r="G844" s="4" t="str">
        <f>IF(OR(AND(Customers!S844&gt;0,Customers!T844=0),AND(Customers!S844=0,Customers!T844&gt;0)),"Mortgage/payment inconsistent","")</f>
        <v/>
      </c>
      <c r="H844" s="4" t="str">
        <f>IF(AND(Customers!G844&lt;&gt;"",Customers!G844&gt;0,Customers!T844&gt;Customers!G844/12),"Payment &gt; monthly income","")</f>
        <v/>
      </c>
      <c r="I844" s="4" t="str">
        <f>IF(OR(Customers!I844&gt;DATE(2026,9,13),YEAR(Customers!I844)&lt;1980),"Implausible date","")</f>
        <v/>
      </c>
      <c r="J844" s="4" t="str">
        <f>IF(Customers!I844&gt;DATE(2026,9,13),"",IF(ABS(INT((DATE(2026,9,13)-Customers!I844)/365.25)-Customers!H844)&gt;1,"Date/tenure inconsistent",""))</f>
        <v/>
      </c>
      <c r="K844" s="4" t="str">
        <f>IF(COUNTIF(Customers!$A$2:$A$1001,Customers!A844)&gt;1,"Duplicate ID","")</f>
        <v/>
      </c>
      <c r="L844" s="4" t="str">
        <f>IF(COUNTIFS(Customers!$B$2:$B$1001,Customers!B844,Customers!$D$2:$D$1001,Customers!D844,Customers!$G$2:$G$1001,Customers!G844,Customers!$I$2:$I$1001,Customers!I844,Customers!$L$2:$L$1001,Customers!L844)&gt;1,"Duplicate record","")</f>
        <v/>
      </c>
      <c r="M844" s="4" t="str">
        <f>IF(OR(Customers!U844&lt;300,Customers!U844&gt;850),"Score out of range","")</f>
        <v/>
      </c>
      <c r="N844" s="4" t="str">
        <f>IF(AND(Customers!G844&lt;&gt;"",Customers!G844&lt;=0),"Income ≤ 0","")</f>
        <v/>
      </c>
      <c r="O844" s="4" t="str">
        <f>IF(OR(Customers!G844="",Customers!M844=""),"Missing value","")</f>
        <v/>
      </c>
      <c r="P844" s="4">
        <f t="shared" si="13"/>
        <v>0</v>
      </c>
    </row>
    <row r="845" spans="1:16" x14ac:dyDescent="0.25">
      <c r="A845" s="4" t="str">
        <f>Customers!A845</f>
        <v>CL00838</v>
      </c>
      <c r="B845" s="20">
        <f>IF(Customers!G845="","",(Customers!G845-Statistics!$C$7)/Statistics!$C$9)</f>
        <v>2.7696626050335287E-2</v>
      </c>
      <c r="C845" s="4" t="str">
        <f>IF(Customers!G845="","",IF(OR(Customers!G845&lt;Statistics!$C$15,Customers!G845&gt;Statistics!$C$16),"Outside 1.5·IQR",""))</f>
        <v>Outside 1.5·IQR</v>
      </c>
      <c r="D845" s="4" t="str">
        <f>IF(OR(Customers!B845&lt;18,Customers!B845&gt;100),"Implausible age","")</f>
        <v/>
      </c>
      <c r="E845" s="4" t="str">
        <f>IF(Customers!H845&gt;Customers!B845-18,"Tenure &gt; age-18","")</f>
        <v/>
      </c>
      <c r="F845" s="4" t="str">
        <f>IF(Customers!R845&gt;Customers!Q845,"Card spend &gt; limit","")</f>
        <v/>
      </c>
      <c r="G845" s="4" t="str">
        <f>IF(OR(AND(Customers!S845&gt;0,Customers!T845=0),AND(Customers!S845=0,Customers!T845&gt;0)),"Mortgage/payment inconsistent","")</f>
        <v/>
      </c>
      <c r="H845" s="4" t="str">
        <f>IF(AND(Customers!G845&lt;&gt;"",Customers!G845&gt;0,Customers!T845&gt;Customers!G845/12),"Payment &gt; monthly income","")</f>
        <v/>
      </c>
      <c r="I845" s="4" t="str">
        <f>IF(OR(Customers!I845&gt;DATE(2026,9,13),YEAR(Customers!I845)&lt;1980),"Implausible date","")</f>
        <v/>
      </c>
      <c r="J845" s="4" t="str">
        <f>IF(Customers!I845&gt;DATE(2026,9,13),"",IF(ABS(INT((DATE(2026,9,13)-Customers!I845)/365.25)-Customers!H845)&gt;1,"Date/tenure inconsistent",""))</f>
        <v/>
      </c>
      <c r="K845" s="4" t="str">
        <f>IF(COUNTIF(Customers!$A$2:$A$1001,Customers!A845)&gt;1,"Duplicate ID","")</f>
        <v/>
      </c>
      <c r="L845" s="4" t="str">
        <f>IF(COUNTIFS(Customers!$B$2:$B$1001,Customers!B845,Customers!$D$2:$D$1001,Customers!D845,Customers!$G$2:$G$1001,Customers!G845,Customers!$I$2:$I$1001,Customers!I845,Customers!$L$2:$L$1001,Customers!L845)&gt;1,"Duplicate record","")</f>
        <v/>
      </c>
      <c r="M845" s="4" t="str">
        <f>IF(OR(Customers!U845&lt;300,Customers!U845&gt;850),"Score out of range","")</f>
        <v/>
      </c>
      <c r="N845" s="4" t="str">
        <f>IF(AND(Customers!G845&lt;&gt;"",Customers!G845&lt;=0),"Income ≤ 0","")</f>
        <v/>
      </c>
      <c r="O845" s="4" t="str">
        <f>IF(OR(Customers!G845="",Customers!M845=""),"Missing value","")</f>
        <v/>
      </c>
      <c r="P845" s="4">
        <f t="shared" si="13"/>
        <v>1</v>
      </c>
    </row>
    <row r="846" spans="1:16" x14ac:dyDescent="0.25">
      <c r="A846" s="4" t="str">
        <f>Customers!A846</f>
        <v>CL00839</v>
      </c>
      <c r="B846" s="20">
        <f>IF(Customers!G846="","",(Customers!G846-Statistics!$C$7)/Statistics!$C$9)</f>
        <v>-3.5338471897038086E-2</v>
      </c>
      <c r="C846" s="4" t="str">
        <f>IF(Customers!G846="","",IF(OR(Customers!G846&lt;Statistics!$C$15,Customers!G846&gt;Statistics!$C$16),"Outside 1.5·IQR",""))</f>
        <v/>
      </c>
      <c r="D846" s="4" t="str">
        <f>IF(OR(Customers!B846&lt;18,Customers!B846&gt;100),"Implausible age","")</f>
        <v/>
      </c>
      <c r="E846" s="4" t="str">
        <f>IF(Customers!H846&gt;Customers!B846-18,"Tenure &gt; age-18","")</f>
        <v/>
      </c>
      <c r="F846" s="4" t="str">
        <f>IF(Customers!R846&gt;Customers!Q846,"Card spend &gt; limit","")</f>
        <v/>
      </c>
      <c r="G846" s="4" t="str">
        <f>IF(OR(AND(Customers!S846&gt;0,Customers!T846=0),AND(Customers!S846=0,Customers!T846&gt;0)),"Mortgage/payment inconsistent","")</f>
        <v/>
      </c>
      <c r="H846" s="4" t="str">
        <f>IF(AND(Customers!G846&lt;&gt;"",Customers!G846&gt;0,Customers!T846&gt;Customers!G846/12),"Payment &gt; monthly income","")</f>
        <v/>
      </c>
      <c r="I846" s="4" t="str">
        <f>IF(OR(Customers!I846&gt;DATE(2026,9,13),YEAR(Customers!I846)&lt;1980),"Implausible date","")</f>
        <v/>
      </c>
      <c r="J846" s="4" t="str">
        <f>IF(Customers!I846&gt;DATE(2026,9,13),"",IF(ABS(INT((DATE(2026,9,13)-Customers!I846)/365.25)-Customers!H846)&gt;1,"Date/tenure inconsistent",""))</f>
        <v/>
      </c>
      <c r="K846" s="4" t="str">
        <f>IF(COUNTIF(Customers!$A$2:$A$1001,Customers!A846)&gt;1,"Duplicate ID","")</f>
        <v/>
      </c>
      <c r="L846" s="4" t="str">
        <f>IF(COUNTIFS(Customers!$B$2:$B$1001,Customers!B846,Customers!$D$2:$D$1001,Customers!D846,Customers!$G$2:$G$1001,Customers!G846,Customers!$I$2:$I$1001,Customers!I846,Customers!$L$2:$L$1001,Customers!L846)&gt;1,"Duplicate record","")</f>
        <v/>
      </c>
      <c r="M846" s="4" t="str">
        <f>IF(OR(Customers!U846&lt;300,Customers!U846&gt;850),"Score out of range","")</f>
        <v/>
      </c>
      <c r="N846" s="4" t="str">
        <f>IF(AND(Customers!G846&lt;&gt;"",Customers!G846&lt;=0),"Income ≤ 0","")</f>
        <v/>
      </c>
      <c r="O846" s="4" t="str">
        <f>IF(OR(Customers!G846="",Customers!M846=""),"Missing value","")</f>
        <v/>
      </c>
      <c r="P846" s="4">
        <f t="shared" si="13"/>
        <v>0</v>
      </c>
    </row>
    <row r="847" spans="1:16" x14ac:dyDescent="0.25">
      <c r="A847" s="4" t="str">
        <f>Customers!A847</f>
        <v>CL00840</v>
      </c>
      <c r="B847" s="20" t="str">
        <f>IF(Customers!G847="","",(Customers!G847-Statistics!$C$7)/Statistics!$C$9)</f>
        <v/>
      </c>
      <c r="C847" s="4" t="str">
        <f>IF(Customers!G847="","",IF(OR(Customers!G847&lt;Statistics!$C$15,Customers!G847&gt;Statistics!$C$16),"Outside 1.5·IQR",""))</f>
        <v/>
      </c>
      <c r="D847" s="4" t="str">
        <f>IF(OR(Customers!B847&lt;18,Customers!B847&gt;100),"Implausible age","")</f>
        <v/>
      </c>
      <c r="E847" s="4" t="str">
        <f>IF(Customers!H847&gt;Customers!B847-18,"Tenure &gt; age-18","")</f>
        <v/>
      </c>
      <c r="F847" s="4" t="str">
        <f>IF(Customers!R847&gt;Customers!Q847,"Card spend &gt; limit","")</f>
        <v/>
      </c>
      <c r="G847" s="4" t="str">
        <f>IF(OR(AND(Customers!S847&gt;0,Customers!T847=0),AND(Customers!S847=0,Customers!T847&gt;0)),"Mortgage/payment inconsistent","")</f>
        <v/>
      </c>
      <c r="H847" s="4" t="str">
        <f>IF(AND(Customers!G847&lt;&gt;"",Customers!G847&gt;0,Customers!T847&gt;Customers!G847/12),"Payment &gt; monthly income","")</f>
        <v/>
      </c>
      <c r="I847" s="4" t="str">
        <f>IF(OR(Customers!I847&gt;DATE(2026,9,13),YEAR(Customers!I847)&lt;1980),"Implausible date","")</f>
        <v/>
      </c>
      <c r="J847" s="4" t="str">
        <f>IF(Customers!I847&gt;DATE(2026,9,13),"",IF(ABS(INT((DATE(2026,9,13)-Customers!I847)/365.25)-Customers!H847)&gt;1,"Date/tenure inconsistent",""))</f>
        <v/>
      </c>
      <c r="K847" s="4" t="str">
        <f>IF(COUNTIF(Customers!$A$2:$A$1001,Customers!A847)&gt;1,"Duplicate ID","")</f>
        <v/>
      </c>
      <c r="L847" s="4" t="str">
        <f>IF(COUNTIFS(Customers!$B$2:$B$1001,Customers!B847,Customers!$D$2:$D$1001,Customers!D847,Customers!$G$2:$G$1001,Customers!G847,Customers!$I$2:$I$1001,Customers!I847,Customers!$L$2:$L$1001,Customers!L847)&gt;1,"Duplicate record","")</f>
        <v/>
      </c>
      <c r="M847" s="4" t="str">
        <f>IF(OR(Customers!U847&lt;300,Customers!U847&gt;850),"Score out of range","")</f>
        <v/>
      </c>
      <c r="N847" s="4" t="str">
        <f>IF(AND(Customers!G847&lt;&gt;"",Customers!G847&lt;=0),"Income ≤ 0","")</f>
        <v/>
      </c>
      <c r="O847" s="4" t="str">
        <f>IF(OR(Customers!G847="",Customers!M847=""),"Missing value","")</f>
        <v>Missing value</v>
      </c>
      <c r="P847" s="4">
        <f t="shared" si="13"/>
        <v>1</v>
      </c>
    </row>
    <row r="848" spans="1:16" x14ac:dyDescent="0.25">
      <c r="A848" s="4" t="str">
        <f>Customers!A848</f>
        <v>CL00841</v>
      </c>
      <c r="B848" s="20">
        <f>IF(Customers!G848="","",(Customers!G848-Statistics!$C$7)/Statistics!$C$9)</f>
        <v>-5.4938447665049496E-2</v>
      </c>
      <c r="C848" s="4" t="str">
        <f>IF(Customers!G848="","",IF(OR(Customers!G848&lt;Statistics!$C$15,Customers!G848&gt;Statistics!$C$16),"Outside 1.5·IQR",""))</f>
        <v/>
      </c>
      <c r="D848" s="4" t="str">
        <f>IF(OR(Customers!B848&lt;18,Customers!B848&gt;100),"Implausible age","")</f>
        <v/>
      </c>
      <c r="E848" s="4" t="str">
        <f>IF(Customers!H848&gt;Customers!B848-18,"Tenure &gt; age-18","")</f>
        <v/>
      </c>
      <c r="F848" s="4" t="str">
        <f>IF(Customers!R848&gt;Customers!Q848,"Card spend &gt; limit","")</f>
        <v/>
      </c>
      <c r="G848" s="4" t="str">
        <f>IF(OR(AND(Customers!S848&gt;0,Customers!T848=0),AND(Customers!S848=0,Customers!T848&gt;0)),"Mortgage/payment inconsistent","")</f>
        <v/>
      </c>
      <c r="H848" s="4" t="str">
        <f>IF(AND(Customers!G848&lt;&gt;"",Customers!G848&gt;0,Customers!T848&gt;Customers!G848/12),"Payment &gt; monthly income","")</f>
        <v/>
      </c>
      <c r="I848" s="4" t="str">
        <f>IF(OR(Customers!I848&gt;DATE(2026,9,13),YEAR(Customers!I848)&lt;1980),"Implausible date","")</f>
        <v/>
      </c>
      <c r="J848" s="4" t="str">
        <f>IF(Customers!I848&gt;DATE(2026,9,13),"",IF(ABS(INT((DATE(2026,9,13)-Customers!I848)/365.25)-Customers!H848)&gt;1,"Date/tenure inconsistent",""))</f>
        <v/>
      </c>
      <c r="K848" s="4" t="str">
        <f>IF(COUNTIF(Customers!$A$2:$A$1001,Customers!A848)&gt;1,"Duplicate ID","")</f>
        <v/>
      </c>
      <c r="L848" s="4" t="str">
        <f>IF(COUNTIFS(Customers!$B$2:$B$1001,Customers!B848,Customers!$D$2:$D$1001,Customers!D848,Customers!$G$2:$G$1001,Customers!G848,Customers!$I$2:$I$1001,Customers!I848,Customers!$L$2:$L$1001,Customers!L848)&gt;1,"Duplicate record","")</f>
        <v/>
      </c>
      <c r="M848" s="4" t="str">
        <f>IF(OR(Customers!U848&lt;300,Customers!U848&gt;850),"Score out of range","")</f>
        <v/>
      </c>
      <c r="N848" s="4" t="str">
        <f>IF(AND(Customers!G848&lt;&gt;"",Customers!G848&lt;=0),"Income ≤ 0","")</f>
        <v/>
      </c>
      <c r="O848" s="4" t="str">
        <f>IF(OR(Customers!G848="",Customers!M848=""),"Missing value","")</f>
        <v/>
      </c>
      <c r="P848" s="4">
        <f t="shared" si="13"/>
        <v>0</v>
      </c>
    </row>
    <row r="849" spans="1:16" x14ac:dyDescent="0.25">
      <c r="A849" s="4" t="str">
        <f>Customers!A849</f>
        <v>CL00842</v>
      </c>
      <c r="B849" s="20">
        <f>IF(Customers!G849="","",(Customers!G849-Statistics!$C$7)/Statistics!$C$9)</f>
        <v>-3.2285209340212187E-2</v>
      </c>
      <c r="C849" s="4" t="str">
        <f>IF(Customers!G849="","",IF(OR(Customers!G849&lt;Statistics!$C$15,Customers!G849&gt;Statistics!$C$16),"Outside 1.5·IQR",""))</f>
        <v/>
      </c>
      <c r="D849" s="4" t="str">
        <f>IF(OR(Customers!B849&lt;18,Customers!B849&gt;100),"Implausible age","")</f>
        <v/>
      </c>
      <c r="E849" s="4" t="str">
        <f>IF(Customers!H849&gt;Customers!B849-18,"Tenure &gt; age-18","")</f>
        <v/>
      </c>
      <c r="F849" s="4" t="str">
        <f>IF(Customers!R849&gt;Customers!Q849,"Card spend &gt; limit","")</f>
        <v/>
      </c>
      <c r="G849" s="4" t="str">
        <f>IF(OR(AND(Customers!S849&gt;0,Customers!T849=0),AND(Customers!S849=0,Customers!T849&gt;0)),"Mortgage/payment inconsistent","")</f>
        <v/>
      </c>
      <c r="H849" s="4" t="str">
        <f>IF(AND(Customers!G849&lt;&gt;"",Customers!G849&gt;0,Customers!T849&gt;Customers!G849/12),"Payment &gt; monthly income","")</f>
        <v/>
      </c>
      <c r="I849" s="4" t="str">
        <f>IF(OR(Customers!I849&gt;DATE(2026,9,13),YEAR(Customers!I849)&lt;1980),"Implausible date","")</f>
        <v/>
      </c>
      <c r="J849" s="4" t="str">
        <f>IF(Customers!I849&gt;DATE(2026,9,13),"",IF(ABS(INT((DATE(2026,9,13)-Customers!I849)/365.25)-Customers!H849)&gt;1,"Date/tenure inconsistent",""))</f>
        <v/>
      </c>
      <c r="K849" s="4" t="str">
        <f>IF(COUNTIF(Customers!$A$2:$A$1001,Customers!A849)&gt;1,"Duplicate ID","")</f>
        <v/>
      </c>
      <c r="L849" s="4" t="str">
        <f>IF(COUNTIFS(Customers!$B$2:$B$1001,Customers!B849,Customers!$D$2:$D$1001,Customers!D849,Customers!$G$2:$G$1001,Customers!G849,Customers!$I$2:$I$1001,Customers!I849,Customers!$L$2:$L$1001,Customers!L849)&gt;1,"Duplicate record","")</f>
        <v/>
      </c>
      <c r="M849" s="4" t="str">
        <f>IF(OR(Customers!U849&lt;300,Customers!U849&gt;850),"Score out of range","")</f>
        <v/>
      </c>
      <c r="N849" s="4" t="str">
        <f>IF(AND(Customers!G849&lt;&gt;"",Customers!G849&lt;=0),"Income ≤ 0","")</f>
        <v/>
      </c>
      <c r="O849" s="4" t="str">
        <f>IF(OR(Customers!G849="",Customers!M849=""),"Missing value","")</f>
        <v/>
      </c>
      <c r="P849" s="4">
        <f t="shared" si="13"/>
        <v>0</v>
      </c>
    </row>
    <row r="850" spans="1:16" x14ac:dyDescent="0.25">
      <c r="A850" s="4" t="str">
        <f>Customers!A850</f>
        <v>CL00843</v>
      </c>
      <c r="B850" s="20">
        <f>IF(Customers!G850="","",(Customers!G850-Statistics!$C$7)/Statistics!$C$9)</f>
        <v>6.4222804930967733E-3</v>
      </c>
      <c r="C850" s="4" t="str">
        <f>IF(Customers!G850="","",IF(OR(Customers!G850&lt;Statistics!$C$15,Customers!G850&gt;Statistics!$C$16),"Outside 1.5·IQR",""))</f>
        <v/>
      </c>
      <c r="D850" s="4" t="str">
        <f>IF(OR(Customers!B850&lt;18,Customers!B850&gt;100),"Implausible age","")</f>
        <v/>
      </c>
      <c r="E850" s="4" t="str">
        <f>IF(Customers!H850&gt;Customers!B850-18,"Tenure &gt; age-18","")</f>
        <v/>
      </c>
      <c r="F850" s="4" t="str">
        <f>IF(Customers!R850&gt;Customers!Q850,"Card spend &gt; limit","")</f>
        <v/>
      </c>
      <c r="G850" s="4" t="str">
        <f>IF(OR(AND(Customers!S850&gt;0,Customers!T850=0),AND(Customers!S850=0,Customers!T850&gt;0)),"Mortgage/payment inconsistent","")</f>
        <v/>
      </c>
      <c r="H850" s="4" t="str">
        <f>IF(AND(Customers!G850&lt;&gt;"",Customers!G850&gt;0,Customers!T850&gt;Customers!G850/12),"Payment &gt; monthly income","")</f>
        <v/>
      </c>
      <c r="I850" s="4" t="str">
        <f>IF(OR(Customers!I850&gt;DATE(2026,9,13),YEAR(Customers!I850)&lt;1980),"Implausible date","")</f>
        <v/>
      </c>
      <c r="J850" s="4" t="str">
        <f>IF(Customers!I850&gt;DATE(2026,9,13),"",IF(ABS(INT((DATE(2026,9,13)-Customers!I850)/365.25)-Customers!H850)&gt;1,"Date/tenure inconsistent",""))</f>
        <v/>
      </c>
      <c r="K850" s="4" t="str">
        <f>IF(COUNTIF(Customers!$A$2:$A$1001,Customers!A850)&gt;1,"Duplicate ID","")</f>
        <v/>
      </c>
      <c r="L850" s="4" t="str">
        <f>IF(COUNTIFS(Customers!$B$2:$B$1001,Customers!B850,Customers!$D$2:$D$1001,Customers!D850,Customers!$G$2:$G$1001,Customers!G850,Customers!$I$2:$I$1001,Customers!I850,Customers!$L$2:$L$1001,Customers!L850)&gt;1,"Duplicate record","")</f>
        <v/>
      </c>
      <c r="M850" s="4" t="str">
        <f>IF(OR(Customers!U850&lt;300,Customers!U850&gt;850),"Score out of range","")</f>
        <v/>
      </c>
      <c r="N850" s="4" t="str">
        <f>IF(AND(Customers!G850&lt;&gt;"",Customers!G850&lt;=0),"Income ≤ 0","")</f>
        <v/>
      </c>
      <c r="O850" s="4" t="str">
        <f>IF(OR(Customers!G850="",Customers!M850=""),"Missing value","")</f>
        <v/>
      </c>
      <c r="P850" s="4">
        <f t="shared" si="13"/>
        <v>0</v>
      </c>
    </row>
    <row r="851" spans="1:16" x14ac:dyDescent="0.25">
      <c r="A851" s="4" t="str">
        <f>Customers!A851</f>
        <v>CL00844</v>
      </c>
      <c r="B851" s="20">
        <f>IF(Customers!G851="","",(Customers!G851-Statistics!$C$7)/Statistics!$C$9)</f>
        <v>-3.238370168075496E-2</v>
      </c>
      <c r="C851" s="4" t="str">
        <f>IF(Customers!G851="","",IF(OR(Customers!G851&lt;Statistics!$C$15,Customers!G851&gt;Statistics!$C$16),"Outside 1.5·IQR",""))</f>
        <v/>
      </c>
      <c r="D851" s="4" t="str">
        <f>IF(OR(Customers!B851&lt;18,Customers!B851&gt;100),"Implausible age","")</f>
        <v/>
      </c>
      <c r="E851" s="4" t="str">
        <f>IF(Customers!H851&gt;Customers!B851-18,"Tenure &gt; age-18","")</f>
        <v/>
      </c>
      <c r="F851" s="4" t="str">
        <f>IF(Customers!R851&gt;Customers!Q851,"Card spend &gt; limit","")</f>
        <v/>
      </c>
      <c r="G851" s="4" t="str">
        <f>IF(OR(AND(Customers!S851&gt;0,Customers!T851=0),AND(Customers!S851=0,Customers!T851&gt;0)),"Mortgage/payment inconsistent","")</f>
        <v/>
      </c>
      <c r="H851" s="4" t="str">
        <f>IF(AND(Customers!G851&lt;&gt;"",Customers!G851&gt;0,Customers!T851&gt;Customers!G851/12),"Payment &gt; monthly income","")</f>
        <v/>
      </c>
      <c r="I851" s="4" t="str">
        <f>IF(OR(Customers!I851&gt;DATE(2026,9,13),YEAR(Customers!I851)&lt;1980),"Implausible date","")</f>
        <v/>
      </c>
      <c r="J851" s="4" t="str">
        <f>IF(Customers!I851&gt;DATE(2026,9,13),"",IF(ABS(INT((DATE(2026,9,13)-Customers!I851)/365.25)-Customers!H851)&gt;1,"Date/tenure inconsistent",""))</f>
        <v/>
      </c>
      <c r="K851" s="4" t="str">
        <f>IF(COUNTIF(Customers!$A$2:$A$1001,Customers!A851)&gt;1,"Duplicate ID","")</f>
        <v/>
      </c>
      <c r="L851" s="4" t="str">
        <f>IF(COUNTIFS(Customers!$B$2:$B$1001,Customers!B851,Customers!$D$2:$D$1001,Customers!D851,Customers!$G$2:$G$1001,Customers!G851,Customers!$I$2:$I$1001,Customers!I851,Customers!$L$2:$L$1001,Customers!L851)&gt;1,"Duplicate record","")</f>
        <v/>
      </c>
      <c r="M851" s="4" t="str">
        <f>IF(OR(Customers!U851&lt;300,Customers!U851&gt;850),"Score out of range","")</f>
        <v/>
      </c>
      <c r="N851" s="4" t="str">
        <f>IF(AND(Customers!G851&lt;&gt;"",Customers!G851&lt;=0),"Income ≤ 0","")</f>
        <v/>
      </c>
      <c r="O851" s="4" t="str">
        <f>IF(OR(Customers!G851="",Customers!M851=""),"Missing value","")</f>
        <v/>
      </c>
      <c r="P851" s="4">
        <f t="shared" si="13"/>
        <v>0</v>
      </c>
    </row>
    <row r="852" spans="1:16" x14ac:dyDescent="0.25">
      <c r="A852" s="4" t="str">
        <f>Customers!A852</f>
        <v>CL00845</v>
      </c>
      <c r="B852" s="20">
        <f>IF(Customers!G852="","",(Customers!G852-Statistics!$C$7)/Statistics!$C$9)</f>
        <v>-2.4110345075162205E-2</v>
      </c>
      <c r="C852" s="4" t="str">
        <f>IF(Customers!G852="","",IF(OR(Customers!G852&lt;Statistics!$C$15,Customers!G852&gt;Statistics!$C$16),"Outside 1.5·IQR",""))</f>
        <v/>
      </c>
      <c r="D852" s="4" t="str">
        <f>IF(OR(Customers!B852&lt;18,Customers!B852&gt;100),"Implausible age","")</f>
        <v/>
      </c>
      <c r="E852" s="4" t="str">
        <f>IF(Customers!H852&gt;Customers!B852-18,"Tenure &gt; age-18","")</f>
        <v/>
      </c>
      <c r="F852" s="4" t="str">
        <f>IF(Customers!R852&gt;Customers!Q852,"Card spend &gt; limit","")</f>
        <v/>
      </c>
      <c r="G852" s="4" t="str">
        <f>IF(OR(AND(Customers!S852&gt;0,Customers!T852=0),AND(Customers!S852=0,Customers!T852&gt;0)),"Mortgage/payment inconsistent","")</f>
        <v/>
      </c>
      <c r="H852" s="4" t="str">
        <f>IF(AND(Customers!G852&lt;&gt;"",Customers!G852&gt;0,Customers!T852&gt;Customers!G852/12),"Payment &gt; monthly income","")</f>
        <v/>
      </c>
      <c r="I852" s="4" t="str">
        <f>IF(OR(Customers!I852&gt;DATE(2026,9,13),YEAR(Customers!I852)&lt;1980),"Implausible date","")</f>
        <v/>
      </c>
      <c r="J852" s="4" t="str">
        <f>IF(Customers!I852&gt;DATE(2026,9,13),"",IF(ABS(INT((DATE(2026,9,13)-Customers!I852)/365.25)-Customers!H852)&gt;1,"Date/tenure inconsistent",""))</f>
        <v/>
      </c>
      <c r="K852" s="4" t="str">
        <f>IF(COUNTIF(Customers!$A$2:$A$1001,Customers!A852)&gt;1,"Duplicate ID","")</f>
        <v/>
      </c>
      <c r="L852" s="4" t="str">
        <f>IF(COUNTIFS(Customers!$B$2:$B$1001,Customers!B852,Customers!$D$2:$D$1001,Customers!D852,Customers!$G$2:$G$1001,Customers!G852,Customers!$I$2:$I$1001,Customers!I852,Customers!$L$2:$L$1001,Customers!L852)&gt;1,"Duplicate record","")</f>
        <v/>
      </c>
      <c r="M852" s="4" t="str">
        <f>IF(OR(Customers!U852&lt;300,Customers!U852&gt;850),"Score out of range","")</f>
        <v/>
      </c>
      <c r="N852" s="4" t="str">
        <f>IF(AND(Customers!G852&lt;&gt;"",Customers!G852&lt;=0),"Income ≤ 0","")</f>
        <v/>
      </c>
      <c r="O852" s="4" t="str">
        <f>IF(OR(Customers!G852="",Customers!M852=""),"Missing value","")</f>
        <v/>
      </c>
      <c r="P852" s="4">
        <f t="shared" si="13"/>
        <v>0</v>
      </c>
    </row>
    <row r="853" spans="1:16" x14ac:dyDescent="0.25">
      <c r="A853" s="4" t="str">
        <f>Customers!A853</f>
        <v>CL00846</v>
      </c>
      <c r="B853" s="20">
        <f>IF(Customers!G853="","",(Customers!G853-Statistics!$C$7)/Statistics!$C$9)</f>
        <v>-4.8930414891940471E-2</v>
      </c>
      <c r="C853" s="4" t="str">
        <f>IF(Customers!G853="","",IF(OR(Customers!G853&lt;Statistics!$C$15,Customers!G853&gt;Statistics!$C$16),"Outside 1.5·IQR",""))</f>
        <v/>
      </c>
      <c r="D853" s="4" t="str">
        <f>IF(OR(Customers!B853&lt;18,Customers!B853&gt;100),"Implausible age","")</f>
        <v/>
      </c>
      <c r="E853" s="4" t="str">
        <f>IF(Customers!H853&gt;Customers!B853-18,"Tenure &gt; age-18","")</f>
        <v/>
      </c>
      <c r="F853" s="4" t="str">
        <f>IF(Customers!R853&gt;Customers!Q853,"Card spend &gt; limit","")</f>
        <v/>
      </c>
      <c r="G853" s="4" t="str">
        <f>IF(OR(AND(Customers!S853&gt;0,Customers!T853=0),AND(Customers!S853=0,Customers!T853&gt;0)),"Mortgage/payment inconsistent","")</f>
        <v/>
      </c>
      <c r="H853" s="4" t="str">
        <f>IF(AND(Customers!G853&lt;&gt;"",Customers!G853&gt;0,Customers!T853&gt;Customers!G853/12),"Payment &gt; monthly income","")</f>
        <v/>
      </c>
      <c r="I853" s="4" t="str">
        <f>IF(OR(Customers!I853&gt;DATE(2026,9,13),YEAR(Customers!I853)&lt;1980),"Implausible date","")</f>
        <v/>
      </c>
      <c r="J853" s="4" t="str">
        <f>IF(Customers!I853&gt;DATE(2026,9,13),"",IF(ABS(INT((DATE(2026,9,13)-Customers!I853)/365.25)-Customers!H853)&gt;1,"Date/tenure inconsistent",""))</f>
        <v/>
      </c>
      <c r="K853" s="4" t="str">
        <f>IF(COUNTIF(Customers!$A$2:$A$1001,Customers!A853)&gt;1,"Duplicate ID","")</f>
        <v/>
      </c>
      <c r="L853" s="4" t="str">
        <f>IF(COUNTIFS(Customers!$B$2:$B$1001,Customers!B853,Customers!$D$2:$D$1001,Customers!D853,Customers!$G$2:$G$1001,Customers!G853,Customers!$I$2:$I$1001,Customers!I853,Customers!$L$2:$L$1001,Customers!L853)&gt;1,"Duplicate record","")</f>
        <v/>
      </c>
      <c r="M853" s="4" t="str">
        <f>IF(OR(Customers!U853&lt;300,Customers!U853&gt;850),"Score out of range","")</f>
        <v/>
      </c>
      <c r="N853" s="4" t="str">
        <f>IF(AND(Customers!G853&lt;&gt;"",Customers!G853&lt;=0),"Income ≤ 0","")</f>
        <v/>
      </c>
      <c r="O853" s="4" t="str">
        <f>IF(OR(Customers!G853="",Customers!M853=""),"Missing value","")</f>
        <v/>
      </c>
      <c r="P853" s="4">
        <f t="shared" si="13"/>
        <v>0</v>
      </c>
    </row>
    <row r="854" spans="1:16" x14ac:dyDescent="0.25">
      <c r="A854" s="4" t="str">
        <f>Customers!A854</f>
        <v>CL00847</v>
      </c>
      <c r="B854" s="20">
        <f>IF(Customers!G854="","",(Customers!G854-Statistics!$C$7)/Statistics!$C$9)</f>
        <v>-4.4596751908058549E-2</v>
      </c>
      <c r="C854" s="4" t="str">
        <f>IF(Customers!G854="","",IF(OR(Customers!G854&lt;Statistics!$C$15,Customers!G854&gt;Statistics!$C$16),"Outside 1.5·IQR",""))</f>
        <v/>
      </c>
      <c r="D854" s="4" t="str">
        <f>IF(OR(Customers!B854&lt;18,Customers!B854&gt;100),"Implausible age","")</f>
        <v/>
      </c>
      <c r="E854" s="4" t="str">
        <f>IF(Customers!H854&gt;Customers!B854-18,"Tenure &gt; age-18","")</f>
        <v/>
      </c>
      <c r="F854" s="4" t="str">
        <f>IF(Customers!R854&gt;Customers!Q854,"Card spend &gt; limit","")</f>
        <v/>
      </c>
      <c r="G854" s="4" t="str">
        <f>IF(OR(AND(Customers!S854&gt;0,Customers!T854=0),AND(Customers!S854=0,Customers!T854&gt;0)),"Mortgage/payment inconsistent","")</f>
        <v/>
      </c>
      <c r="H854" s="4" t="str">
        <f>IF(AND(Customers!G854&lt;&gt;"",Customers!G854&gt;0,Customers!T854&gt;Customers!G854/12),"Payment &gt; monthly income","")</f>
        <v/>
      </c>
      <c r="I854" s="4" t="str">
        <f>IF(OR(Customers!I854&gt;DATE(2026,9,13),YEAR(Customers!I854)&lt;1980),"Implausible date","")</f>
        <v/>
      </c>
      <c r="J854" s="4" t="str">
        <f>IF(Customers!I854&gt;DATE(2026,9,13),"",IF(ABS(INT((DATE(2026,9,13)-Customers!I854)/365.25)-Customers!H854)&gt;1,"Date/tenure inconsistent",""))</f>
        <v/>
      </c>
      <c r="K854" s="4" t="str">
        <f>IF(COUNTIF(Customers!$A$2:$A$1001,Customers!A854)&gt;1,"Duplicate ID","")</f>
        <v/>
      </c>
      <c r="L854" s="4" t="str">
        <f>IF(COUNTIFS(Customers!$B$2:$B$1001,Customers!B854,Customers!$D$2:$D$1001,Customers!D854,Customers!$G$2:$G$1001,Customers!G854,Customers!$I$2:$I$1001,Customers!I854,Customers!$L$2:$L$1001,Customers!L854)&gt;1,"Duplicate record","")</f>
        <v/>
      </c>
      <c r="M854" s="4" t="str">
        <f>IF(OR(Customers!U854&lt;300,Customers!U854&gt;850),"Score out of range","")</f>
        <v/>
      </c>
      <c r="N854" s="4" t="str">
        <f>IF(AND(Customers!G854&lt;&gt;"",Customers!G854&lt;=0),"Income ≤ 0","")</f>
        <v/>
      </c>
      <c r="O854" s="4" t="str">
        <f>IF(OR(Customers!G854="",Customers!M854=""),"Missing value","")</f>
        <v/>
      </c>
      <c r="P854" s="4">
        <f t="shared" si="13"/>
        <v>0</v>
      </c>
    </row>
    <row r="855" spans="1:16" x14ac:dyDescent="0.25">
      <c r="A855" s="4" t="str">
        <f>Customers!A855</f>
        <v>CL00848</v>
      </c>
      <c r="B855" s="20">
        <f>IF(Customers!G855="","",(Customers!G855-Statistics!$C$7)/Statistics!$C$9)</f>
        <v>-1.3586144097821277E-3</v>
      </c>
      <c r="C855" s="4" t="str">
        <f>IF(Customers!G855="","",IF(OR(Customers!G855&lt;Statistics!$C$15,Customers!G855&gt;Statistics!$C$16),"Outside 1.5·IQR",""))</f>
        <v/>
      </c>
      <c r="D855" s="4" t="str">
        <f>IF(OR(Customers!B855&lt;18,Customers!B855&gt;100),"Implausible age","")</f>
        <v/>
      </c>
      <c r="E855" s="4" t="str">
        <f>IF(Customers!H855&gt;Customers!B855-18,"Tenure &gt; age-18","")</f>
        <v/>
      </c>
      <c r="F855" s="4" t="str">
        <f>IF(Customers!R855&gt;Customers!Q855,"Card spend &gt; limit","")</f>
        <v/>
      </c>
      <c r="G855" s="4" t="str">
        <f>IF(OR(AND(Customers!S855&gt;0,Customers!T855=0),AND(Customers!S855=0,Customers!T855&gt;0)),"Mortgage/payment inconsistent","")</f>
        <v/>
      </c>
      <c r="H855" s="4" t="str">
        <f>IF(AND(Customers!G855&lt;&gt;"",Customers!G855&gt;0,Customers!T855&gt;Customers!G855/12),"Payment &gt; monthly income","")</f>
        <v/>
      </c>
      <c r="I855" s="4" t="str">
        <f>IF(OR(Customers!I855&gt;DATE(2026,9,13),YEAR(Customers!I855)&lt;1980),"Implausible date","")</f>
        <v/>
      </c>
      <c r="J855" s="4" t="str">
        <f>IF(Customers!I855&gt;DATE(2026,9,13),"",IF(ABS(INT((DATE(2026,9,13)-Customers!I855)/365.25)-Customers!H855)&gt;1,"Date/tenure inconsistent",""))</f>
        <v/>
      </c>
      <c r="K855" s="4" t="str">
        <f>IF(COUNTIF(Customers!$A$2:$A$1001,Customers!A855)&gt;1,"Duplicate ID","")</f>
        <v/>
      </c>
      <c r="L855" s="4" t="str">
        <f>IF(COUNTIFS(Customers!$B$2:$B$1001,Customers!B855,Customers!$D$2:$D$1001,Customers!D855,Customers!$G$2:$G$1001,Customers!G855,Customers!$I$2:$I$1001,Customers!I855,Customers!$L$2:$L$1001,Customers!L855)&gt;1,"Duplicate record","")</f>
        <v/>
      </c>
      <c r="M855" s="4" t="str">
        <f>IF(OR(Customers!U855&lt;300,Customers!U855&gt;850),"Score out of range","")</f>
        <v/>
      </c>
      <c r="N855" s="4" t="str">
        <f>IF(AND(Customers!G855&lt;&gt;"",Customers!G855&lt;=0),"Income ≤ 0","")</f>
        <v/>
      </c>
      <c r="O855" s="4" t="str">
        <f>IF(OR(Customers!G855="",Customers!M855=""),"Missing value","")</f>
        <v/>
      </c>
      <c r="P855" s="4">
        <f t="shared" si="13"/>
        <v>0</v>
      </c>
    </row>
    <row r="856" spans="1:16" x14ac:dyDescent="0.25">
      <c r="A856" s="4" t="str">
        <f>Customers!A856</f>
        <v>CL00849</v>
      </c>
      <c r="B856" s="20">
        <f>IF(Customers!G856="","",(Customers!G856-Statistics!$C$7)/Statistics!$C$9)</f>
        <v>-4.2626905097203134E-2</v>
      </c>
      <c r="C856" s="4" t="str">
        <f>IF(Customers!G856="","",IF(OR(Customers!G856&lt;Statistics!$C$15,Customers!G856&gt;Statistics!$C$16),"Outside 1.5·IQR",""))</f>
        <v/>
      </c>
      <c r="D856" s="4" t="str">
        <f>IF(OR(Customers!B856&lt;18,Customers!B856&gt;100),"Implausible age","")</f>
        <v/>
      </c>
      <c r="E856" s="4" t="str">
        <f>IF(Customers!H856&gt;Customers!B856-18,"Tenure &gt; age-18","")</f>
        <v/>
      </c>
      <c r="F856" s="4" t="str">
        <f>IF(Customers!R856&gt;Customers!Q856,"Card spend &gt; limit","")</f>
        <v/>
      </c>
      <c r="G856" s="4" t="str">
        <f>IF(OR(AND(Customers!S856&gt;0,Customers!T856=0),AND(Customers!S856=0,Customers!T856&gt;0)),"Mortgage/payment inconsistent","")</f>
        <v/>
      </c>
      <c r="H856" s="4" t="str">
        <f>IF(AND(Customers!G856&lt;&gt;"",Customers!G856&gt;0,Customers!T856&gt;Customers!G856/12),"Payment &gt; monthly income","")</f>
        <v/>
      </c>
      <c r="I856" s="4" t="str">
        <f>IF(OR(Customers!I856&gt;DATE(2026,9,13),YEAR(Customers!I856)&lt;1980),"Implausible date","")</f>
        <v/>
      </c>
      <c r="J856" s="4" t="str">
        <f>IF(Customers!I856&gt;DATE(2026,9,13),"",IF(ABS(INT((DATE(2026,9,13)-Customers!I856)/365.25)-Customers!H856)&gt;1,"Date/tenure inconsistent",""))</f>
        <v/>
      </c>
      <c r="K856" s="4" t="str">
        <f>IF(COUNTIF(Customers!$A$2:$A$1001,Customers!A856)&gt;1,"Duplicate ID","")</f>
        <v/>
      </c>
      <c r="L856" s="4" t="str">
        <f>IF(COUNTIFS(Customers!$B$2:$B$1001,Customers!B856,Customers!$D$2:$D$1001,Customers!D856,Customers!$G$2:$G$1001,Customers!G856,Customers!$I$2:$I$1001,Customers!I856,Customers!$L$2:$L$1001,Customers!L856)&gt;1,"Duplicate record","")</f>
        <v/>
      </c>
      <c r="M856" s="4" t="str">
        <f>IF(OR(Customers!U856&lt;300,Customers!U856&gt;850),"Score out of range","")</f>
        <v/>
      </c>
      <c r="N856" s="4" t="str">
        <f>IF(AND(Customers!G856&lt;&gt;"",Customers!G856&lt;=0),"Income ≤ 0","")</f>
        <v/>
      </c>
      <c r="O856" s="4" t="str">
        <f>IF(OR(Customers!G856="",Customers!M856=""),"Missing value","")</f>
        <v/>
      </c>
      <c r="P856" s="4">
        <f t="shared" si="13"/>
        <v>0</v>
      </c>
    </row>
    <row r="857" spans="1:16" x14ac:dyDescent="0.25">
      <c r="A857" s="4" t="str">
        <f>Customers!A857</f>
        <v>CL00850</v>
      </c>
      <c r="B857" s="20">
        <f>IF(Customers!G857="","",(Customers!G857-Statistics!$C$7)/Statistics!$C$9)</f>
        <v>-5.0703277021710347E-2</v>
      </c>
      <c r="C857" s="4" t="str">
        <f>IF(Customers!G857="","",IF(OR(Customers!G857&lt;Statistics!$C$15,Customers!G857&gt;Statistics!$C$16),"Outside 1.5·IQR",""))</f>
        <v/>
      </c>
      <c r="D857" s="4" t="str">
        <f>IF(OR(Customers!B857&lt;18,Customers!B857&gt;100),"Implausible age","")</f>
        <v/>
      </c>
      <c r="E857" s="4" t="str">
        <f>IF(Customers!H857&gt;Customers!B857-18,"Tenure &gt; age-18","")</f>
        <v/>
      </c>
      <c r="F857" s="4" t="str">
        <f>IF(Customers!R857&gt;Customers!Q857,"Card spend &gt; limit","")</f>
        <v/>
      </c>
      <c r="G857" s="4" t="str">
        <f>IF(OR(AND(Customers!S857&gt;0,Customers!T857=0),AND(Customers!S857=0,Customers!T857&gt;0)),"Mortgage/payment inconsistent","")</f>
        <v/>
      </c>
      <c r="H857" s="4" t="str">
        <f>IF(AND(Customers!G857&lt;&gt;"",Customers!G857&gt;0,Customers!T857&gt;Customers!G857/12),"Payment &gt; monthly income","")</f>
        <v/>
      </c>
      <c r="I857" s="4" t="str">
        <f>IF(OR(Customers!I857&gt;DATE(2026,9,13),YEAR(Customers!I857)&lt;1980),"Implausible date","")</f>
        <v/>
      </c>
      <c r="J857" s="4" t="str">
        <f>IF(Customers!I857&gt;DATE(2026,9,13),"",IF(ABS(INT((DATE(2026,9,13)-Customers!I857)/365.25)-Customers!H857)&gt;1,"Date/tenure inconsistent",""))</f>
        <v/>
      </c>
      <c r="K857" s="4" t="str">
        <f>IF(COUNTIF(Customers!$A$2:$A$1001,Customers!A857)&gt;1,"Duplicate ID","")</f>
        <v/>
      </c>
      <c r="L857" s="4" t="str">
        <f>IF(COUNTIFS(Customers!$B$2:$B$1001,Customers!B857,Customers!$D$2:$D$1001,Customers!D857,Customers!$G$2:$G$1001,Customers!G857,Customers!$I$2:$I$1001,Customers!I857,Customers!$L$2:$L$1001,Customers!L857)&gt;1,"Duplicate record","")</f>
        <v/>
      </c>
      <c r="M857" s="4" t="str">
        <f>IF(OR(Customers!U857&lt;300,Customers!U857&gt;850),"Score out of range","")</f>
        <v/>
      </c>
      <c r="N857" s="4" t="str">
        <f>IF(AND(Customers!G857&lt;&gt;"",Customers!G857&lt;=0),"Income ≤ 0","")</f>
        <v/>
      </c>
      <c r="O857" s="4" t="str">
        <f>IF(OR(Customers!G857="",Customers!M857=""),"Missing value","")</f>
        <v/>
      </c>
      <c r="P857" s="4">
        <f t="shared" si="13"/>
        <v>0</v>
      </c>
    </row>
    <row r="858" spans="1:16" x14ac:dyDescent="0.25">
      <c r="A858" s="4" t="str">
        <f>Customers!A858</f>
        <v>CL00851</v>
      </c>
      <c r="B858" s="20">
        <f>IF(Customers!G858="","",(Customers!G858-Statistics!$C$7)/Statistics!$C$9)</f>
        <v>-5.218066212985191E-2</v>
      </c>
      <c r="C858" s="4" t="str">
        <f>IF(Customers!G858="","",IF(OR(Customers!G858&lt;Statistics!$C$15,Customers!G858&gt;Statistics!$C$16),"Outside 1.5·IQR",""))</f>
        <v/>
      </c>
      <c r="D858" s="4" t="str">
        <f>IF(OR(Customers!B858&lt;18,Customers!B858&gt;100),"Implausible age","")</f>
        <v/>
      </c>
      <c r="E858" s="4" t="str">
        <f>IF(Customers!H858&gt;Customers!B858-18,"Tenure &gt; age-18","")</f>
        <v/>
      </c>
      <c r="F858" s="4" t="str">
        <f>IF(Customers!R858&gt;Customers!Q858,"Card spend &gt; limit","")</f>
        <v/>
      </c>
      <c r="G858" s="4" t="str">
        <f>IF(OR(AND(Customers!S858&gt;0,Customers!T858=0),AND(Customers!S858=0,Customers!T858&gt;0)),"Mortgage/payment inconsistent","")</f>
        <v/>
      </c>
      <c r="H858" s="4" t="str">
        <f>IF(AND(Customers!G858&lt;&gt;"",Customers!G858&gt;0,Customers!T858&gt;Customers!G858/12),"Payment &gt; monthly income","")</f>
        <v/>
      </c>
      <c r="I858" s="4" t="str">
        <f>IF(OR(Customers!I858&gt;DATE(2026,9,13),YEAR(Customers!I858)&lt;1980),"Implausible date","")</f>
        <v/>
      </c>
      <c r="J858" s="4" t="str">
        <f>IF(Customers!I858&gt;DATE(2026,9,13),"",IF(ABS(INT((DATE(2026,9,13)-Customers!I858)/365.25)-Customers!H858)&gt;1,"Date/tenure inconsistent",""))</f>
        <v/>
      </c>
      <c r="K858" s="4" t="str">
        <f>IF(COUNTIF(Customers!$A$2:$A$1001,Customers!A858)&gt;1,"Duplicate ID","")</f>
        <v/>
      </c>
      <c r="L858" s="4" t="str">
        <f>IF(COUNTIFS(Customers!$B$2:$B$1001,Customers!B858,Customers!$D$2:$D$1001,Customers!D858,Customers!$G$2:$G$1001,Customers!G858,Customers!$I$2:$I$1001,Customers!I858,Customers!$L$2:$L$1001,Customers!L858)&gt;1,"Duplicate record","")</f>
        <v/>
      </c>
      <c r="M858" s="4" t="str">
        <f>IF(OR(Customers!U858&lt;300,Customers!U858&gt;850),"Score out of range","")</f>
        <v/>
      </c>
      <c r="N858" s="4" t="str">
        <f>IF(AND(Customers!G858&lt;&gt;"",Customers!G858&lt;=0),"Income ≤ 0","")</f>
        <v/>
      </c>
      <c r="O858" s="4" t="str">
        <f>IF(OR(Customers!G858="",Customers!M858=""),"Missing value","")</f>
        <v/>
      </c>
      <c r="P858" s="4">
        <f t="shared" si="13"/>
        <v>0</v>
      </c>
    </row>
    <row r="859" spans="1:16" x14ac:dyDescent="0.25">
      <c r="A859" s="4" t="str">
        <f>Customers!A859</f>
        <v>CL00852</v>
      </c>
      <c r="B859" s="20">
        <f>IF(Customers!G859="","",(Customers!G859-Statistics!$C$7)/Statistics!$C$9)</f>
        <v>-9.9274480370031958E-3</v>
      </c>
      <c r="C859" s="4" t="str">
        <f>IF(Customers!G859="","",IF(OR(Customers!G859&lt;Statistics!$C$15,Customers!G859&gt;Statistics!$C$16),"Outside 1.5·IQR",""))</f>
        <v/>
      </c>
      <c r="D859" s="4" t="str">
        <f>IF(OR(Customers!B859&lt;18,Customers!B859&gt;100),"Implausible age","")</f>
        <v/>
      </c>
      <c r="E859" s="4" t="str">
        <f>IF(Customers!H859&gt;Customers!B859-18,"Tenure &gt; age-18","")</f>
        <v/>
      </c>
      <c r="F859" s="4" t="str">
        <f>IF(Customers!R859&gt;Customers!Q859,"Card spend &gt; limit","")</f>
        <v/>
      </c>
      <c r="G859" s="4" t="str">
        <f>IF(OR(AND(Customers!S859&gt;0,Customers!T859=0),AND(Customers!S859=0,Customers!T859&gt;0)),"Mortgage/payment inconsistent","")</f>
        <v/>
      </c>
      <c r="H859" s="4" t="str">
        <f>IF(AND(Customers!G859&lt;&gt;"",Customers!G859&gt;0,Customers!T859&gt;Customers!G859/12),"Payment &gt; monthly income","")</f>
        <v/>
      </c>
      <c r="I859" s="4" t="str">
        <f>IF(OR(Customers!I859&gt;DATE(2026,9,13),YEAR(Customers!I859)&lt;1980),"Implausible date","")</f>
        <v/>
      </c>
      <c r="J859" s="4" t="str">
        <f>IF(Customers!I859&gt;DATE(2026,9,13),"",IF(ABS(INT((DATE(2026,9,13)-Customers!I859)/365.25)-Customers!H859)&gt;1,"Date/tenure inconsistent",""))</f>
        <v/>
      </c>
      <c r="K859" s="4" t="str">
        <f>IF(COUNTIF(Customers!$A$2:$A$1001,Customers!A859)&gt;1,"Duplicate ID","")</f>
        <v/>
      </c>
      <c r="L859" s="4" t="str">
        <f>IF(COUNTIFS(Customers!$B$2:$B$1001,Customers!B859,Customers!$D$2:$D$1001,Customers!D859,Customers!$G$2:$G$1001,Customers!G859,Customers!$I$2:$I$1001,Customers!I859,Customers!$L$2:$L$1001,Customers!L859)&gt;1,"Duplicate record","")</f>
        <v/>
      </c>
      <c r="M859" s="4" t="str">
        <f>IF(OR(Customers!U859&lt;300,Customers!U859&gt;850),"Score out of range","")</f>
        <v/>
      </c>
      <c r="N859" s="4" t="str">
        <f>IF(AND(Customers!G859&lt;&gt;"",Customers!G859&lt;=0),"Income ≤ 0","")</f>
        <v/>
      </c>
      <c r="O859" s="4" t="str">
        <f>IF(OR(Customers!G859="",Customers!M859=""),"Missing value","")</f>
        <v/>
      </c>
      <c r="P859" s="4">
        <f t="shared" si="13"/>
        <v>0</v>
      </c>
    </row>
    <row r="860" spans="1:16" x14ac:dyDescent="0.25">
      <c r="A860" s="4" t="str">
        <f>Customers!A860</f>
        <v>CL00853</v>
      </c>
      <c r="B860" s="20">
        <f>IF(Customers!G860="","",(Customers!G860-Statistics!$C$7)/Statistics!$C$9)</f>
        <v>-5.8878141286760333E-2</v>
      </c>
      <c r="C860" s="4" t="str">
        <f>IF(Customers!G860="","",IF(OR(Customers!G860&lt;Statistics!$C$15,Customers!G860&gt;Statistics!$C$16),"Outside 1.5·IQR",""))</f>
        <v/>
      </c>
      <c r="D860" s="4" t="str">
        <f>IF(OR(Customers!B860&lt;18,Customers!B860&gt;100),"Implausible age","")</f>
        <v/>
      </c>
      <c r="E860" s="4" t="str">
        <f>IF(Customers!H860&gt;Customers!B860-18,"Tenure &gt; age-18","")</f>
        <v/>
      </c>
      <c r="F860" s="4" t="str">
        <f>IF(Customers!R860&gt;Customers!Q860,"Card spend &gt; limit","")</f>
        <v/>
      </c>
      <c r="G860" s="4" t="str">
        <f>IF(OR(AND(Customers!S860&gt;0,Customers!T860=0),AND(Customers!S860=0,Customers!T860&gt;0)),"Mortgage/payment inconsistent","")</f>
        <v/>
      </c>
      <c r="H860" s="4" t="str">
        <f>IF(AND(Customers!G860&lt;&gt;"",Customers!G860&gt;0,Customers!T860&gt;Customers!G860/12),"Payment &gt; monthly income","")</f>
        <v/>
      </c>
      <c r="I860" s="4" t="str">
        <f>IF(OR(Customers!I860&gt;DATE(2026,9,13),YEAR(Customers!I860)&lt;1980),"Implausible date","")</f>
        <v/>
      </c>
      <c r="J860" s="4" t="str">
        <f>IF(Customers!I860&gt;DATE(2026,9,13),"",IF(ABS(INT((DATE(2026,9,13)-Customers!I860)/365.25)-Customers!H860)&gt;1,"Date/tenure inconsistent",""))</f>
        <v/>
      </c>
      <c r="K860" s="4" t="str">
        <f>IF(COUNTIF(Customers!$A$2:$A$1001,Customers!A860)&gt;1,"Duplicate ID","")</f>
        <v/>
      </c>
      <c r="L860" s="4" t="str">
        <f>IF(COUNTIFS(Customers!$B$2:$B$1001,Customers!B860,Customers!$D$2:$D$1001,Customers!D860,Customers!$G$2:$G$1001,Customers!G860,Customers!$I$2:$I$1001,Customers!I860,Customers!$L$2:$L$1001,Customers!L860)&gt;1,"Duplicate record","")</f>
        <v/>
      </c>
      <c r="M860" s="4" t="str">
        <f>IF(OR(Customers!U860&lt;300,Customers!U860&gt;850),"Score out of range","")</f>
        <v/>
      </c>
      <c r="N860" s="4" t="str">
        <f>IF(AND(Customers!G860&lt;&gt;"",Customers!G860&lt;=0),"Income ≤ 0","")</f>
        <v/>
      </c>
      <c r="O860" s="4" t="str">
        <f>IF(OR(Customers!G860="",Customers!M860=""),"Missing value","")</f>
        <v/>
      </c>
      <c r="P860" s="4">
        <f t="shared" si="13"/>
        <v>0</v>
      </c>
    </row>
    <row r="861" spans="1:16" x14ac:dyDescent="0.25">
      <c r="A861" s="4" t="str">
        <f>Customers!A861</f>
        <v>CL00854</v>
      </c>
      <c r="B861" s="20">
        <f>IF(Customers!G861="","",(Customers!G861-Statistics!$C$7)/Statistics!$C$9)</f>
        <v>-3.0906316572613397E-2</v>
      </c>
      <c r="C861" s="4" t="str">
        <f>IF(Customers!G861="","",IF(OR(Customers!G861&lt;Statistics!$C$15,Customers!G861&gt;Statistics!$C$16),"Outside 1.5·IQR",""))</f>
        <v/>
      </c>
      <c r="D861" s="4" t="str">
        <f>IF(OR(Customers!B861&lt;18,Customers!B861&gt;100),"Implausible age","")</f>
        <v/>
      </c>
      <c r="E861" s="4" t="str">
        <f>IF(Customers!H861&gt;Customers!B861-18,"Tenure &gt; age-18","")</f>
        <v/>
      </c>
      <c r="F861" s="4" t="str">
        <f>IF(Customers!R861&gt;Customers!Q861,"Card spend &gt; limit","")</f>
        <v/>
      </c>
      <c r="G861" s="4" t="str">
        <f>IF(OR(AND(Customers!S861&gt;0,Customers!T861=0),AND(Customers!S861=0,Customers!T861&gt;0)),"Mortgage/payment inconsistent","")</f>
        <v/>
      </c>
      <c r="H861" s="4" t="str">
        <f>IF(AND(Customers!G861&lt;&gt;"",Customers!G861&gt;0,Customers!T861&gt;Customers!G861/12),"Payment &gt; monthly income","")</f>
        <v/>
      </c>
      <c r="I861" s="4" t="str">
        <f>IF(OR(Customers!I861&gt;DATE(2026,9,13),YEAR(Customers!I861)&lt;1980),"Implausible date","")</f>
        <v/>
      </c>
      <c r="J861" s="4" t="str">
        <f>IF(Customers!I861&gt;DATE(2026,9,13),"",IF(ABS(INT((DATE(2026,9,13)-Customers!I861)/365.25)-Customers!H861)&gt;1,"Date/tenure inconsistent",""))</f>
        <v/>
      </c>
      <c r="K861" s="4" t="str">
        <f>IF(COUNTIF(Customers!$A$2:$A$1001,Customers!A861)&gt;1,"Duplicate ID","")</f>
        <v/>
      </c>
      <c r="L861" s="4" t="str">
        <f>IF(COUNTIFS(Customers!$B$2:$B$1001,Customers!B861,Customers!$D$2:$D$1001,Customers!D861,Customers!$G$2:$G$1001,Customers!G861,Customers!$I$2:$I$1001,Customers!I861,Customers!$L$2:$L$1001,Customers!L861)&gt;1,"Duplicate record","")</f>
        <v/>
      </c>
      <c r="M861" s="4" t="str">
        <f>IF(OR(Customers!U861&lt;300,Customers!U861&gt;850),"Score out of range","")</f>
        <v/>
      </c>
      <c r="N861" s="4" t="str">
        <f>IF(AND(Customers!G861&lt;&gt;"",Customers!G861&lt;=0),"Income ≤ 0","")</f>
        <v/>
      </c>
      <c r="O861" s="4" t="str">
        <f>IF(OR(Customers!G861="",Customers!M861=""),"Missing value","")</f>
        <v/>
      </c>
      <c r="P861" s="4">
        <f t="shared" si="13"/>
        <v>0</v>
      </c>
    </row>
    <row r="862" spans="1:16" x14ac:dyDescent="0.25">
      <c r="A862" s="4" t="str">
        <f>Customers!A862</f>
        <v>CL00855</v>
      </c>
      <c r="B862" s="20">
        <f>IF(Customers!G862="","",(Customers!G862-Statistics!$C$7)/Statistics!$C$9)</f>
        <v>-6.6166574486925381E-2</v>
      </c>
      <c r="C862" s="4" t="str">
        <f>IF(Customers!G862="","",IF(OR(Customers!G862&lt;Statistics!$C$15,Customers!G862&gt;Statistics!$C$16),"Outside 1.5·IQR",""))</f>
        <v/>
      </c>
      <c r="D862" s="4" t="str">
        <f>IF(OR(Customers!B862&lt;18,Customers!B862&gt;100),"Implausible age","")</f>
        <v/>
      </c>
      <c r="E862" s="4" t="str">
        <f>IF(Customers!H862&gt;Customers!B862-18,"Tenure &gt; age-18","")</f>
        <v/>
      </c>
      <c r="F862" s="4" t="str">
        <f>IF(Customers!R862&gt;Customers!Q862,"Card spend &gt; limit","")</f>
        <v/>
      </c>
      <c r="G862" s="4" t="str">
        <f>IF(OR(AND(Customers!S862&gt;0,Customers!T862=0),AND(Customers!S862=0,Customers!T862&gt;0)),"Mortgage/payment inconsistent","")</f>
        <v/>
      </c>
      <c r="H862" s="4" t="str">
        <f>IF(AND(Customers!G862&lt;&gt;"",Customers!G862&gt;0,Customers!T862&gt;Customers!G862/12),"Payment &gt; monthly income","")</f>
        <v/>
      </c>
      <c r="I862" s="4" t="str">
        <f>IF(OR(Customers!I862&gt;DATE(2026,9,13),YEAR(Customers!I862)&lt;1980),"Implausible date","")</f>
        <v/>
      </c>
      <c r="J862" s="4" t="str">
        <f>IF(Customers!I862&gt;DATE(2026,9,13),"",IF(ABS(INT((DATE(2026,9,13)-Customers!I862)/365.25)-Customers!H862)&gt;1,"Date/tenure inconsistent",""))</f>
        <v/>
      </c>
      <c r="K862" s="4" t="str">
        <f>IF(COUNTIF(Customers!$A$2:$A$1001,Customers!A862)&gt;1,"Duplicate ID","")</f>
        <v/>
      </c>
      <c r="L862" s="4" t="str">
        <f>IF(COUNTIFS(Customers!$B$2:$B$1001,Customers!B862,Customers!$D$2:$D$1001,Customers!D862,Customers!$G$2:$G$1001,Customers!G862,Customers!$I$2:$I$1001,Customers!I862,Customers!$L$2:$L$1001,Customers!L862)&gt;1,"Duplicate record","")</f>
        <v/>
      </c>
      <c r="M862" s="4" t="str">
        <f>IF(OR(Customers!U862&lt;300,Customers!U862&gt;850),"Score out of range","")</f>
        <v/>
      </c>
      <c r="N862" s="4" t="str">
        <f>IF(AND(Customers!G862&lt;&gt;"",Customers!G862&lt;=0),"Income ≤ 0","")</f>
        <v/>
      </c>
      <c r="O862" s="4" t="str">
        <f>IF(OR(Customers!G862="",Customers!M862=""),"Missing value","")</f>
        <v/>
      </c>
      <c r="P862" s="4">
        <f t="shared" si="13"/>
        <v>0</v>
      </c>
    </row>
    <row r="863" spans="1:16" x14ac:dyDescent="0.25">
      <c r="A863" s="4" t="str">
        <f>Customers!A863</f>
        <v>CL00856</v>
      </c>
      <c r="B863" s="20">
        <f>IF(Customers!G863="","",(Customers!G863-Statistics!$C$7)/Statistics!$C$9)</f>
        <v>-4.5286198291857947E-2</v>
      </c>
      <c r="C863" s="4" t="str">
        <f>IF(Customers!G863="","",IF(OR(Customers!G863&lt;Statistics!$C$15,Customers!G863&gt;Statistics!$C$16),"Outside 1.5·IQR",""))</f>
        <v/>
      </c>
      <c r="D863" s="4" t="str">
        <f>IF(OR(Customers!B863&lt;18,Customers!B863&gt;100),"Implausible age","")</f>
        <v/>
      </c>
      <c r="E863" s="4" t="str">
        <f>IF(Customers!H863&gt;Customers!B863-18,"Tenure &gt; age-18","")</f>
        <v/>
      </c>
      <c r="F863" s="4" t="str">
        <f>IF(Customers!R863&gt;Customers!Q863,"Card spend &gt; limit","")</f>
        <v/>
      </c>
      <c r="G863" s="4" t="str">
        <f>IF(OR(AND(Customers!S863&gt;0,Customers!T863=0),AND(Customers!S863=0,Customers!T863&gt;0)),"Mortgage/payment inconsistent","")</f>
        <v/>
      </c>
      <c r="H863" s="4" t="str">
        <f>IF(AND(Customers!G863&lt;&gt;"",Customers!G863&gt;0,Customers!T863&gt;Customers!G863/12),"Payment &gt; monthly income","")</f>
        <v/>
      </c>
      <c r="I863" s="4" t="str">
        <f>IF(OR(Customers!I863&gt;DATE(2026,9,13),YEAR(Customers!I863)&lt;1980),"Implausible date","")</f>
        <v/>
      </c>
      <c r="J863" s="4" t="str">
        <f>IF(Customers!I863&gt;DATE(2026,9,13),"",IF(ABS(INT((DATE(2026,9,13)-Customers!I863)/365.25)-Customers!H863)&gt;1,"Date/tenure inconsistent",""))</f>
        <v/>
      </c>
      <c r="K863" s="4" t="str">
        <f>IF(COUNTIF(Customers!$A$2:$A$1001,Customers!A863)&gt;1,"Duplicate ID","")</f>
        <v/>
      </c>
      <c r="L863" s="4" t="str">
        <f>IF(COUNTIFS(Customers!$B$2:$B$1001,Customers!B863,Customers!$D$2:$D$1001,Customers!D863,Customers!$G$2:$G$1001,Customers!G863,Customers!$I$2:$I$1001,Customers!I863,Customers!$L$2:$L$1001,Customers!L863)&gt;1,"Duplicate record","")</f>
        <v/>
      </c>
      <c r="M863" s="4" t="str">
        <f>IF(OR(Customers!U863&lt;300,Customers!U863&gt;850),"Score out of range","")</f>
        <v/>
      </c>
      <c r="N863" s="4" t="str">
        <f>IF(AND(Customers!G863&lt;&gt;"",Customers!G863&lt;=0),"Income ≤ 0","")</f>
        <v/>
      </c>
      <c r="O863" s="4" t="str">
        <f>IF(OR(Customers!G863="",Customers!M863=""),"Missing value","")</f>
        <v/>
      </c>
      <c r="P863" s="4">
        <f t="shared" si="13"/>
        <v>0</v>
      </c>
    </row>
    <row r="864" spans="1:16" x14ac:dyDescent="0.25">
      <c r="A864" s="4" t="str">
        <f>Customers!A864</f>
        <v>CL00857</v>
      </c>
      <c r="B864" s="20">
        <f>IF(Customers!G864="","",(Customers!G864-Statistics!$C$7)/Statistics!$C$9)</f>
        <v>-4.8339460848683846E-2</v>
      </c>
      <c r="C864" s="4" t="str">
        <f>IF(Customers!G864="","",IF(OR(Customers!G864&lt;Statistics!$C$15,Customers!G864&gt;Statistics!$C$16),"Outside 1.5·IQR",""))</f>
        <v/>
      </c>
      <c r="D864" s="4" t="str">
        <f>IF(OR(Customers!B864&lt;18,Customers!B864&gt;100),"Implausible age","")</f>
        <v/>
      </c>
      <c r="E864" s="4" t="str">
        <f>IF(Customers!H864&gt;Customers!B864-18,"Tenure &gt; age-18","")</f>
        <v/>
      </c>
      <c r="F864" s="4" t="str">
        <f>IF(Customers!R864&gt;Customers!Q864,"Card spend &gt; limit","")</f>
        <v/>
      </c>
      <c r="G864" s="4" t="str">
        <f>IF(OR(AND(Customers!S864&gt;0,Customers!T864=0),AND(Customers!S864=0,Customers!T864&gt;0)),"Mortgage/payment inconsistent","")</f>
        <v/>
      </c>
      <c r="H864" s="4" t="str">
        <f>IF(AND(Customers!G864&lt;&gt;"",Customers!G864&gt;0,Customers!T864&gt;Customers!G864/12),"Payment &gt; monthly income","")</f>
        <v/>
      </c>
      <c r="I864" s="4" t="str">
        <f>IF(OR(Customers!I864&gt;DATE(2026,9,13),YEAR(Customers!I864)&lt;1980),"Implausible date","")</f>
        <v/>
      </c>
      <c r="J864" s="4" t="str">
        <f>IF(Customers!I864&gt;DATE(2026,9,13),"",IF(ABS(INT((DATE(2026,9,13)-Customers!I864)/365.25)-Customers!H864)&gt;1,"Date/tenure inconsistent",""))</f>
        <v/>
      </c>
      <c r="K864" s="4" t="str">
        <f>IF(COUNTIF(Customers!$A$2:$A$1001,Customers!A864)&gt;1,"Duplicate ID","")</f>
        <v/>
      </c>
      <c r="L864" s="4" t="str">
        <f>IF(COUNTIFS(Customers!$B$2:$B$1001,Customers!B864,Customers!$D$2:$D$1001,Customers!D864,Customers!$G$2:$G$1001,Customers!G864,Customers!$I$2:$I$1001,Customers!I864,Customers!$L$2:$L$1001,Customers!L864)&gt;1,"Duplicate record","")</f>
        <v/>
      </c>
      <c r="M864" s="4" t="str">
        <f>IF(OR(Customers!U864&lt;300,Customers!U864&gt;850),"Score out of range","")</f>
        <v/>
      </c>
      <c r="N864" s="4" t="str">
        <f>IF(AND(Customers!G864&lt;&gt;"",Customers!G864&lt;=0),"Income ≤ 0","")</f>
        <v/>
      </c>
      <c r="O864" s="4" t="str">
        <f>IF(OR(Customers!G864="",Customers!M864=""),"Missing value","")</f>
        <v/>
      </c>
      <c r="P864" s="4">
        <f t="shared" si="13"/>
        <v>0</v>
      </c>
    </row>
    <row r="865" spans="1:16" x14ac:dyDescent="0.25">
      <c r="A865" s="4" t="str">
        <f>Customers!A865</f>
        <v>CL00858</v>
      </c>
      <c r="B865" s="20">
        <f>IF(Customers!G865="","",(Customers!G865-Statistics!$C$7)/Statistics!$C$9)</f>
        <v>-4.7453029783798908E-2</v>
      </c>
      <c r="C865" s="4" t="str">
        <f>IF(Customers!G865="","",IF(OR(Customers!G865&lt;Statistics!$C$15,Customers!G865&gt;Statistics!$C$16),"Outside 1.5·IQR",""))</f>
        <v/>
      </c>
      <c r="D865" s="4" t="str">
        <f>IF(OR(Customers!B865&lt;18,Customers!B865&gt;100),"Implausible age","")</f>
        <v/>
      </c>
      <c r="E865" s="4" t="str">
        <f>IF(Customers!H865&gt;Customers!B865-18,"Tenure &gt; age-18","")</f>
        <v/>
      </c>
      <c r="F865" s="4" t="str">
        <f>IF(Customers!R865&gt;Customers!Q865,"Card spend &gt; limit","")</f>
        <v/>
      </c>
      <c r="G865" s="4" t="str">
        <f>IF(OR(AND(Customers!S865&gt;0,Customers!T865=0),AND(Customers!S865=0,Customers!T865&gt;0)),"Mortgage/payment inconsistent","")</f>
        <v/>
      </c>
      <c r="H865" s="4" t="str">
        <f>IF(AND(Customers!G865&lt;&gt;"",Customers!G865&gt;0,Customers!T865&gt;Customers!G865/12),"Payment &gt; monthly income","")</f>
        <v/>
      </c>
      <c r="I865" s="4" t="str">
        <f>IF(OR(Customers!I865&gt;DATE(2026,9,13),YEAR(Customers!I865)&lt;1980),"Implausible date","")</f>
        <v/>
      </c>
      <c r="J865" s="4" t="str">
        <f>IF(Customers!I865&gt;DATE(2026,9,13),"",IF(ABS(INT((DATE(2026,9,13)-Customers!I865)/365.25)-Customers!H865)&gt;1,"Date/tenure inconsistent",""))</f>
        <v/>
      </c>
      <c r="K865" s="4" t="str">
        <f>IF(COUNTIF(Customers!$A$2:$A$1001,Customers!A865)&gt;1,"Duplicate ID","")</f>
        <v/>
      </c>
      <c r="L865" s="4" t="str">
        <f>IF(COUNTIFS(Customers!$B$2:$B$1001,Customers!B865,Customers!$D$2:$D$1001,Customers!D865,Customers!$G$2:$G$1001,Customers!G865,Customers!$I$2:$I$1001,Customers!I865,Customers!$L$2:$L$1001,Customers!L865)&gt;1,"Duplicate record","")</f>
        <v/>
      </c>
      <c r="M865" s="4" t="str">
        <f>IF(OR(Customers!U865&lt;300,Customers!U865&gt;850),"Score out of range","")</f>
        <v/>
      </c>
      <c r="N865" s="4" t="str">
        <f>IF(AND(Customers!G865&lt;&gt;"",Customers!G865&lt;=0),"Income ≤ 0","")</f>
        <v/>
      </c>
      <c r="O865" s="4" t="str">
        <f>IF(OR(Customers!G865="",Customers!M865=""),"Missing value","")</f>
        <v/>
      </c>
      <c r="P865" s="4">
        <f t="shared" si="13"/>
        <v>0</v>
      </c>
    </row>
    <row r="866" spans="1:16" x14ac:dyDescent="0.25">
      <c r="A866" s="4" t="str">
        <f>Customers!A866</f>
        <v>CL00859</v>
      </c>
      <c r="B866" s="20">
        <f>IF(Customers!G866="","",(Customers!G866-Statistics!$C$7)/Statistics!$C$9)</f>
        <v>-5.5627894048848894E-2</v>
      </c>
      <c r="C866" s="4" t="str">
        <f>IF(Customers!G866="","",IF(OR(Customers!G866&lt;Statistics!$C$15,Customers!G866&gt;Statistics!$C$16),"Outside 1.5·IQR",""))</f>
        <v/>
      </c>
      <c r="D866" s="4" t="str">
        <f>IF(OR(Customers!B866&lt;18,Customers!B866&gt;100),"Implausible age","")</f>
        <v/>
      </c>
      <c r="E866" s="4" t="str">
        <f>IF(Customers!H866&gt;Customers!B866-18,"Tenure &gt; age-18","")</f>
        <v/>
      </c>
      <c r="F866" s="4" t="str">
        <f>IF(Customers!R866&gt;Customers!Q866,"Card spend &gt; limit","")</f>
        <v/>
      </c>
      <c r="G866" s="4" t="str">
        <f>IF(OR(AND(Customers!S866&gt;0,Customers!T866=0),AND(Customers!S866=0,Customers!T866&gt;0)),"Mortgage/payment inconsistent","")</f>
        <v/>
      </c>
      <c r="H866" s="4" t="str">
        <f>IF(AND(Customers!G866&lt;&gt;"",Customers!G866&gt;0,Customers!T866&gt;Customers!G866/12),"Payment &gt; monthly income","")</f>
        <v/>
      </c>
      <c r="I866" s="4" t="str">
        <f>IF(OR(Customers!I866&gt;DATE(2026,9,13),YEAR(Customers!I866)&lt;1980),"Implausible date","")</f>
        <v/>
      </c>
      <c r="J866" s="4" t="str">
        <f>IF(Customers!I866&gt;DATE(2026,9,13),"",IF(ABS(INT((DATE(2026,9,13)-Customers!I866)/365.25)-Customers!H866)&gt;1,"Date/tenure inconsistent",""))</f>
        <v/>
      </c>
      <c r="K866" s="4" t="str">
        <f>IF(COUNTIF(Customers!$A$2:$A$1001,Customers!A866)&gt;1,"Duplicate ID","")</f>
        <v/>
      </c>
      <c r="L866" s="4" t="str">
        <f>IF(COUNTIFS(Customers!$B$2:$B$1001,Customers!B866,Customers!$D$2:$D$1001,Customers!D866,Customers!$G$2:$G$1001,Customers!G866,Customers!$I$2:$I$1001,Customers!I866,Customers!$L$2:$L$1001,Customers!L866)&gt;1,"Duplicate record","")</f>
        <v/>
      </c>
      <c r="M866" s="4" t="str">
        <f>IF(OR(Customers!U866&lt;300,Customers!U866&gt;850),"Score out of range","")</f>
        <v/>
      </c>
      <c r="N866" s="4" t="str">
        <f>IF(AND(Customers!G866&lt;&gt;"",Customers!G866&lt;=0),"Income ≤ 0","")</f>
        <v/>
      </c>
      <c r="O866" s="4" t="str">
        <f>IF(OR(Customers!G866="",Customers!M866=""),"Missing value","")</f>
        <v/>
      </c>
      <c r="P866" s="4">
        <f t="shared" si="13"/>
        <v>0</v>
      </c>
    </row>
    <row r="867" spans="1:16" x14ac:dyDescent="0.25">
      <c r="A867" s="4" t="str">
        <f>Customers!A867</f>
        <v>CL00860</v>
      </c>
      <c r="B867" s="20">
        <f>IF(Customers!G867="","",(Customers!G867-Statistics!$C$7)/Statistics!$C$9)</f>
        <v>-4.0263088924176633E-2</v>
      </c>
      <c r="C867" s="4" t="str">
        <f>IF(Customers!G867="","",IF(OR(Customers!G867&lt;Statistics!$C$15,Customers!G867&gt;Statistics!$C$16),"Outside 1.5·IQR",""))</f>
        <v/>
      </c>
      <c r="D867" s="4" t="str">
        <f>IF(OR(Customers!B867&lt;18,Customers!B867&gt;100),"Implausible age","")</f>
        <v/>
      </c>
      <c r="E867" s="4" t="str">
        <f>IF(Customers!H867&gt;Customers!B867-18,"Tenure &gt; age-18","")</f>
        <v/>
      </c>
      <c r="F867" s="4" t="str">
        <f>IF(Customers!R867&gt;Customers!Q867,"Card spend &gt; limit","")</f>
        <v/>
      </c>
      <c r="G867" s="4" t="str">
        <f>IF(OR(AND(Customers!S867&gt;0,Customers!T867=0),AND(Customers!S867=0,Customers!T867&gt;0)),"Mortgage/payment inconsistent","")</f>
        <v/>
      </c>
      <c r="H867" s="4" t="str">
        <f>IF(AND(Customers!G867&lt;&gt;"",Customers!G867&gt;0,Customers!T867&gt;Customers!G867/12),"Payment &gt; monthly income","")</f>
        <v/>
      </c>
      <c r="I867" s="4" t="str">
        <f>IF(OR(Customers!I867&gt;DATE(2026,9,13),YEAR(Customers!I867)&lt;1980),"Implausible date","")</f>
        <v/>
      </c>
      <c r="J867" s="4" t="str">
        <f>IF(Customers!I867&gt;DATE(2026,9,13),"",IF(ABS(INT((DATE(2026,9,13)-Customers!I867)/365.25)-Customers!H867)&gt;1,"Date/tenure inconsistent",""))</f>
        <v/>
      </c>
      <c r="K867" s="4" t="str">
        <f>IF(COUNTIF(Customers!$A$2:$A$1001,Customers!A867)&gt;1,"Duplicate ID","")</f>
        <v/>
      </c>
      <c r="L867" s="4" t="str">
        <f>IF(COUNTIFS(Customers!$B$2:$B$1001,Customers!B867,Customers!$D$2:$D$1001,Customers!D867,Customers!$G$2:$G$1001,Customers!G867,Customers!$I$2:$I$1001,Customers!I867,Customers!$L$2:$L$1001,Customers!L867)&gt;1,"Duplicate record","")</f>
        <v/>
      </c>
      <c r="M867" s="4" t="str">
        <f>IF(OR(Customers!U867&lt;300,Customers!U867&gt;850),"Score out of range","")</f>
        <v/>
      </c>
      <c r="N867" s="4" t="str">
        <f>IF(AND(Customers!G867&lt;&gt;"",Customers!G867&lt;=0),"Income ≤ 0","")</f>
        <v/>
      </c>
      <c r="O867" s="4" t="str">
        <f>IF(OR(Customers!G867="",Customers!M867=""),"Missing value","")</f>
        <v/>
      </c>
      <c r="P867" s="4">
        <f t="shared" si="13"/>
        <v>0</v>
      </c>
    </row>
    <row r="868" spans="1:16" x14ac:dyDescent="0.25">
      <c r="A868" s="4" t="str">
        <f>Customers!A868</f>
        <v>CL00861</v>
      </c>
      <c r="B868" s="20">
        <f>IF(Customers!G868="","",(Customers!G868-Statistics!$C$7)/Statistics!$C$9)</f>
        <v>-3.3467117426725437E-2</v>
      </c>
      <c r="C868" s="4" t="str">
        <f>IF(Customers!G868="","",IF(OR(Customers!G868&lt;Statistics!$C$15,Customers!G868&gt;Statistics!$C$16),"Outside 1.5·IQR",""))</f>
        <v/>
      </c>
      <c r="D868" s="4" t="str">
        <f>IF(OR(Customers!B868&lt;18,Customers!B868&gt;100),"Implausible age","")</f>
        <v/>
      </c>
      <c r="E868" s="4" t="str">
        <f>IF(Customers!H868&gt;Customers!B868-18,"Tenure &gt; age-18","")</f>
        <v/>
      </c>
      <c r="F868" s="4" t="str">
        <f>IF(Customers!R868&gt;Customers!Q868,"Card spend &gt; limit","")</f>
        <v/>
      </c>
      <c r="G868" s="4" t="str">
        <f>IF(OR(AND(Customers!S868&gt;0,Customers!T868=0),AND(Customers!S868=0,Customers!T868&gt;0)),"Mortgage/payment inconsistent","")</f>
        <v/>
      </c>
      <c r="H868" s="4" t="str">
        <f>IF(AND(Customers!G868&lt;&gt;"",Customers!G868&gt;0,Customers!T868&gt;Customers!G868/12),"Payment &gt; monthly income","")</f>
        <v/>
      </c>
      <c r="I868" s="4" t="str">
        <f>IF(OR(Customers!I868&gt;DATE(2026,9,13),YEAR(Customers!I868)&lt;1980),"Implausible date","")</f>
        <v/>
      </c>
      <c r="J868" s="4" t="str">
        <f>IF(Customers!I868&gt;DATE(2026,9,13),"",IF(ABS(INT((DATE(2026,9,13)-Customers!I868)/365.25)-Customers!H868)&gt;1,"Date/tenure inconsistent",""))</f>
        <v/>
      </c>
      <c r="K868" s="4" t="str">
        <f>IF(COUNTIF(Customers!$A$2:$A$1001,Customers!A868)&gt;1,"Duplicate ID","")</f>
        <v/>
      </c>
      <c r="L868" s="4" t="str">
        <f>IF(COUNTIFS(Customers!$B$2:$B$1001,Customers!B868,Customers!$D$2:$D$1001,Customers!D868,Customers!$G$2:$G$1001,Customers!G868,Customers!$I$2:$I$1001,Customers!I868,Customers!$L$2:$L$1001,Customers!L868)&gt;1,"Duplicate record","")</f>
        <v/>
      </c>
      <c r="M868" s="4" t="str">
        <f>IF(OR(Customers!U868&lt;300,Customers!U868&gt;850),"Score out of range","")</f>
        <v/>
      </c>
      <c r="N868" s="4" t="str">
        <f>IF(AND(Customers!G868&lt;&gt;"",Customers!G868&lt;=0),"Income ≤ 0","")</f>
        <v/>
      </c>
      <c r="O868" s="4" t="str">
        <f>IF(OR(Customers!G868="",Customers!M868=""),"Missing value","")</f>
        <v/>
      </c>
      <c r="P868" s="4">
        <f t="shared" si="13"/>
        <v>0</v>
      </c>
    </row>
    <row r="869" spans="1:16" x14ac:dyDescent="0.25">
      <c r="A869" s="4" t="str">
        <f>Customers!A869</f>
        <v>CL00862</v>
      </c>
      <c r="B869" s="20">
        <f>IF(Customers!G869="","",(Customers!G869-Statistics!$C$7)/Statistics!$C$9)</f>
        <v>-4.5778659994571799E-2</v>
      </c>
      <c r="C869" s="4" t="str">
        <f>IF(Customers!G869="","",IF(OR(Customers!G869&lt;Statistics!$C$15,Customers!G869&gt;Statistics!$C$16),"Outside 1.5·IQR",""))</f>
        <v/>
      </c>
      <c r="D869" s="4" t="str">
        <f>IF(OR(Customers!B869&lt;18,Customers!B869&gt;100),"Implausible age","")</f>
        <v/>
      </c>
      <c r="E869" s="4" t="str">
        <f>IF(Customers!H869&gt;Customers!B869-18,"Tenure &gt; age-18","")</f>
        <v/>
      </c>
      <c r="F869" s="4" t="str">
        <f>IF(Customers!R869&gt;Customers!Q869,"Card spend &gt; limit","")</f>
        <v/>
      </c>
      <c r="G869" s="4" t="str">
        <f>IF(OR(AND(Customers!S869&gt;0,Customers!T869=0),AND(Customers!S869=0,Customers!T869&gt;0)),"Mortgage/payment inconsistent","")</f>
        <v/>
      </c>
      <c r="H869" s="4" t="str">
        <f>IF(AND(Customers!G869&lt;&gt;"",Customers!G869&gt;0,Customers!T869&gt;Customers!G869/12),"Payment &gt; monthly income","")</f>
        <v/>
      </c>
      <c r="I869" s="4" t="str">
        <f>IF(OR(Customers!I869&gt;DATE(2026,9,13),YEAR(Customers!I869)&lt;1980),"Implausible date","")</f>
        <v/>
      </c>
      <c r="J869" s="4" t="str">
        <f>IF(Customers!I869&gt;DATE(2026,9,13),"",IF(ABS(INT((DATE(2026,9,13)-Customers!I869)/365.25)-Customers!H869)&gt;1,"Date/tenure inconsistent",""))</f>
        <v/>
      </c>
      <c r="K869" s="4" t="str">
        <f>IF(COUNTIF(Customers!$A$2:$A$1001,Customers!A869)&gt;1,"Duplicate ID","")</f>
        <v/>
      </c>
      <c r="L869" s="4" t="str">
        <f>IF(COUNTIFS(Customers!$B$2:$B$1001,Customers!B869,Customers!$D$2:$D$1001,Customers!D869,Customers!$G$2:$G$1001,Customers!G869,Customers!$I$2:$I$1001,Customers!I869,Customers!$L$2:$L$1001,Customers!L869)&gt;1,"Duplicate record","")</f>
        <v/>
      </c>
      <c r="M869" s="4" t="str">
        <f>IF(OR(Customers!U869&lt;300,Customers!U869&gt;850),"Score out of range","")</f>
        <v/>
      </c>
      <c r="N869" s="4" t="str">
        <f>IF(AND(Customers!G869&lt;&gt;"",Customers!G869&lt;=0),"Income ≤ 0","")</f>
        <v/>
      </c>
      <c r="O869" s="4" t="str">
        <f>IF(OR(Customers!G869="",Customers!M869=""),"Missing value","")</f>
        <v/>
      </c>
      <c r="P869" s="4">
        <f t="shared" si="13"/>
        <v>0</v>
      </c>
    </row>
    <row r="870" spans="1:16" x14ac:dyDescent="0.25">
      <c r="A870" s="4" t="str">
        <f>Customers!A870</f>
        <v>CL00863</v>
      </c>
      <c r="B870" s="20">
        <f>IF(Customers!G870="","",(Customers!G870-Statistics!$C$7)/Statistics!$C$9)</f>
        <v>-3.6224902961923024E-2</v>
      </c>
      <c r="C870" s="4" t="str">
        <f>IF(Customers!G870="","",IF(OR(Customers!G870&lt;Statistics!$C$15,Customers!G870&gt;Statistics!$C$16),"Outside 1.5·IQR",""))</f>
        <v/>
      </c>
      <c r="D870" s="4" t="str">
        <f>IF(OR(Customers!B870&lt;18,Customers!B870&gt;100),"Implausible age","")</f>
        <v/>
      </c>
      <c r="E870" s="4" t="str">
        <f>IF(Customers!H870&gt;Customers!B870-18,"Tenure &gt; age-18","")</f>
        <v/>
      </c>
      <c r="F870" s="4" t="str">
        <f>IF(Customers!R870&gt;Customers!Q870,"Card spend &gt; limit","")</f>
        <v/>
      </c>
      <c r="G870" s="4" t="str">
        <f>IF(OR(AND(Customers!S870&gt;0,Customers!T870=0),AND(Customers!S870=0,Customers!T870&gt;0)),"Mortgage/payment inconsistent","")</f>
        <v/>
      </c>
      <c r="H870" s="4" t="str">
        <f>IF(AND(Customers!G870&lt;&gt;"",Customers!G870&gt;0,Customers!T870&gt;Customers!G870/12),"Payment &gt; monthly income","")</f>
        <v/>
      </c>
      <c r="I870" s="4" t="str">
        <f>IF(OR(Customers!I870&gt;DATE(2026,9,13),YEAR(Customers!I870)&lt;1980),"Implausible date","")</f>
        <v/>
      </c>
      <c r="J870" s="4" t="str">
        <f>IF(Customers!I870&gt;DATE(2026,9,13),"",IF(ABS(INT((DATE(2026,9,13)-Customers!I870)/365.25)-Customers!H870)&gt;1,"Date/tenure inconsistent",""))</f>
        <v/>
      </c>
      <c r="K870" s="4" t="str">
        <f>IF(COUNTIF(Customers!$A$2:$A$1001,Customers!A870)&gt;1,"Duplicate ID","")</f>
        <v/>
      </c>
      <c r="L870" s="4" t="str">
        <f>IF(COUNTIFS(Customers!$B$2:$B$1001,Customers!B870,Customers!$D$2:$D$1001,Customers!D870,Customers!$G$2:$G$1001,Customers!G870,Customers!$I$2:$I$1001,Customers!I870,Customers!$L$2:$L$1001,Customers!L870)&gt;1,"Duplicate record","")</f>
        <v/>
      </c>
      <c r="M870" s="4" t="str">
        <f>IF(OR(Customers!U870&lt;300,Customers!U870&gt;850),"Score out of range","")</f>
        <v/>
      </c>
      <c r="N870" s="4" t="str">
        <f>IF(AND(Customers!G870&lt;&gt;"",Customers!G870&lt;=0),"Income ≤ 0","")</f>
        <v/>
      </c>
      <c r="O870" s="4" t="str">
        <f>IF(OR(Customers!G870="",Customers!M870=""),"Missing value","")</f>
        <v/>
      </c>
      <c r="P870" s="4">
        <f t="shared" si="13"/>
        <v>0</v>
      </c>
    </row>
    <row r="871" spans="1:16" x14ac:dyDescent="0.25">
      <c r="A871" s="4" t="str">
        <f>Customers!A871</f>
        <v>CL00864</v>
      </c>
      <c r="B871" s="20">
        <f>IF(Customers!G871="","",(Customers!G871-Statistics!$C$7)/Statistics!$C$9)</f>
        <v>-4.9915338297368182E-2</v>
      </c>
      <c r="C871" s="4" t="str">
        <f>IF(Customers!G871="","",IF(OR(Customers!G871&lt;Statistics!$C$15,Customers!G871&gt;Statistics!$C$16),"Outside 1.5·IQR",""))</f>
        <v/>
      </c>
      <c r="D871" s="4" t="str">
        <f>IF(OR(Customers!B871&lt;18,Customers!B871&gt;100),"Implausible age","")</f>
        <v/>
      </c>
      <c r="E871" s="4" t="str">
        <f>IF(Customers!H871&gt;Customers!B871-18,"Tenure &gt; age-18","")</f>
        <v/>
      </c>
      <c r="F871" s="4" t="str">
        <f>IF(Customers!R871&gt;Customers!Q871,"Card spend &gt; limit","")</f>
        <v/>
      </c>
      <c r="G871" s="4" t="str">
        <f>IF(OR(AND(Customers!S871&gt;0,Customers!T871=0),AND(Customers!S871=0,Customers!T871&gt;0)),"Mortgage/payment inconsistent","")</f>
        <v/>
      </c>
      <c r="H871" s="4" t="str">
        <f>IF(AND(Customers!G871&lt;&gt;"",Customers!G871&gt;0,Customers!T871&gt;Customers!G871/12),"Payment &gt; monthly income","")</f>
        <v/>
      </c>
      <c r="I871" s="4" t="str">
        <f>IF(OR(Customers!I871&gt;DATE(2026,9,13),YEAR(Customers!I871)&lt;1980),"Implausible date","")</f>
        <v/>
      </c>
      <c r="J871" s="4" t="str">
        <f>IF(Customers!I871&gt;DATE(2026,9,13),"",IF(ABS(INT((DATE(2026,9,13)-Customers!I871)/365.25)-Customers!H871)&gt;1,"Date/tenure inconsistent",""))</f>
        <v/>
      </c>
      <c r="K871" s="4" t="str">
        <f>IF(COUNTIF(Customers!$A$2:$A$1001,Customers!A871)&gt;1,"Duplicate ID","")</f>
        <v/>
      </c>
      <c r="L871" s="4" t="str">
        <f>IF(COUNTIFS(Customers!$B$2:$B$1001,Customers!B871,Customers!$D$2:$D$1001,Customers!D871,Customers!$G$2:$G$1001,Customers!G871,Customers!$I$2:$I$1001,Customers!I871,Customers!$L$2:$L$1001,Customers!L871)&gt;1,"Duplicate record","")</f>
        <v/>
      </c>
      <c r="M871" s="4" t="str">
        <f>IF(OR(Customers!U871&lt;300,Customers!U871&gt;850),"Score out of range","")</f>
        <v/>
      </c>
      <c r="N871" s="4" t="str">
        <f>IF(AND(Customers!G871&lt;&gt;"",Customers!G871&lt;=0),"Income ≤ 0","")</f>
        <v/>
      </c>
      <c r="O871" s="4" t="str">
        <f>IF(OR(Customers!G871="",Customers!M871=""),"Missing value","")</f>
        <v/>
      </c>
      <c r="P871" s="4">
        <f t="shared" si="13"/>
        <v>0</v>
      </c>
    </row>
    <row r="872" spans="1:16" x14ac:dyDescent="0.25">
      <c r="A872" s="4" t="str">
        <f>Customers!A872</f>
        <v>CL00865</v>
      </c>
      <c r="B872" s="20">
        <f>IF(Customers!G872="","",(Customers!G872-Statistics!$C$7)/Statistics!$C$9)</f>
        <v>-1.0813879101888134E-2</v>
      </c>
      <c r="C872" s="4" t="str">
        <f>IF(Customers!G872="","",IF(OR(Customers!G872&lt;Statistics!$C$15,Customers!G872&gt;Statistics!$C$16),"Outside 1.5·IQR",""))</f>
        <v/>
      </c>
      <c r="D872" s="4" t="str">
        <f>IF(OR(Customers!B872&lt;18,Customers!B872&gt;100),"Implausible age","")</f>
        <v/>
      </c>
      <c r="E872" s="4" t="str">
        <f>IF(Customers!H872&gt;Customers!B872-18,"Tenure &gt; age-18","")</f>
        <v/>
      </c>
      <c r="F872" s="4" t="str">
        <f>IF(Customers!R872&gt;Customers!Q872,"Card spend &gt; limit","")</f>
        <v/>
      </c>
      <c r="G872" s="4" t="str">
        <f>IF(OR(AND(Customers!S872&gt;0,Customers!T872=0),AND(Customers!S872=0,Customers!T872&gt;0)),"Mortgage/payment inconsistent","")</f>
        <v/>
      </c>
      <c r="H872" s="4" t="str">
        <f>IF(AND(Customers!G872&lt;&gt;"",Customers!G872&gt;0,Customers!T872&gt;Customers!G872/12),"Payment &gt; monthly income","")</f>
        <v/>
      </c>
      <c r="I872" s="4" t="str">
        <f>IF(OR(Customers!I872&gt;DATE(2026,9,13),YEAR(Customers!I872)&lt;1980),"Implausible date","")</f>
        <v/>
      </c>
      <c r="J872" s="4" t="str">
        <f>IF(Customers!I872&gt;DATE(2026,9,13),"",IF(ABS(INT((DATE(2026,9,13)-Customers!I872)/365.25)-Customers!H872)&gt;1,"Date/tenure inconsistent",""))</f>
        <v/>
      </c>
      <c r="K872" s="4" t="str">
        <f>IF(COUNTIF(Customers!$A$2:$A$1001,Customers!A872)&gt;1,"Duplicate ID","")</f>
        <v/>
      </c>
      <c r="L872" s="4" t="str">
        <f>IF(COUNTIFS(Customers!$B$2:$B$1001,Customers!B872,Customers!$D$2:$D$1001,Customers!D872,Customers!$G$2:$G$1001,Customers!G872,Customers!$I$2:$I$1001,Customers!I872,Customers!$L$2:$L$1001,Customers!L872)&gt;1,"Duplicate record","")</f>
        <v/>
      </c>
      <c r="M872" s="4" t="str">
        <f>IF(OR(Customers!U872&lt;300,Customers!U872&gt;850),"Score out of range","")</f>
        <v/>
      </c>
      <c r="N872" s="4" t="str">
        <f>IF(AND(Customers!G872&lt;&gt;"",Customers!G872&lt;=0),"Income ≤ 0","")</f>
        <v/>
      </c>
      <c r="O872" s="4" t="str">
        <f>IF(OR(Customers!G872="",Customers!M872=""),"Missing value","")</f>
        <v/>
      </c>
      <c r="P872" s="4">
        <f t="shared" si="13"/>
        <v>0</v>
      </c>
    </row>
    <row r="873" spans="1:16" x14ac:dyDescent="0.25">
      <c r="A873" s="4" t="str">
        <f>Customers!A873</f>
        <v>CL00866</v>
      </c>
      <c r="B873" s="20">
        <f>IF(Customers!G873="","",(Customers!G873-Statistics!$C$7)/Statistics!$C$9)</f>
        <v>-3.6323395302465797E-2</v>
      </c>
      <c r="C873" s="4" t="str">
        <f>IF(Customers!G873="","",IF(OR(Customers!G873&lt;Statistics!$C$15,Customers!G873&gt;Statistics!$C$16),"Outside 1.5·IQR",""))</f>
        <v/>
      </c>
      <c r="D873" s="4" t="str">
        <f>IF(OR(Customers!B873&lt;18,Customers!B873&gt;100),"Implausible age","")</f>
        <v/>
      </c>
      <c r="E873" s="4" t="str">
        <f>IF(Customers!H873&gt;Customers!B873-18,"Tenure &gt; age-18","")</f>
        <v/>
      </c>
      <c r="F873" s="4" t="str">
        <f>IF(Customers!R873&gt;Customers!Q873,"Card spend &gt; limit","")</f>
        <v/>
      </c>
      <c r="G873" s="4" t="str">
        <f>IF(OR(AND(Customers!S873&gt;0,Customers!T873=0),AND(Customers!S873=0,Customers!T873&gt;0)),"Mortgage/payment inconsistent","")</f>
        <v/>
      </c>
      <c r="H873" s="4" t="str">
        <f>IF(AND(Customers!G873&lt;&gt;"",Customers!G873&gt;0,Customers!T873&gt;Customers!G873/12),"Payment &gt; monthly income","")</f>
        <v/>
      </c>
      <c r="I873" s="4" t="str">
        <f>IF(OR(Customers!I873&gt;DATE(2026,9,13),YEAR(Customers!I873)&lt;1980),"Implausible date","")</f>
        <v/>
      </c>
      <c r="J873" s="4" t="str">
        <f>IF(Customers!I873&gt;DATE(2026,9,13),"",IF(ABS(INT((DATE(2026,9,13)-Customers!I873)/365.25)-Customers!H873)&gt;1,"Date/tenure inconsistent",""))</f>
        <v/>
      </c>
      <c r="K873" s="4" t="str">
        <f>IF(COUNTIF(Customers!$A$2:$A$1001,Customers!A873)&gt;1,"Duplicate ID","")</f>
        <v/>
      </c>
      <c r="L873" s="4" t="str">
        <f>IF(COUNTIFS(Customers!$B$2:$B$1001,Customers!B873,Customers!$D$2:$D$1001,Customers!D873,Customers!$G$2:$G$1001,Customers!G873,Customers!$I$2:$I$1001,Customers!I873,Customers!$L$2:$L$1001,Customers!L873)&gt;1,"Duplicate record","")</f>
        <v/>
      </c>
      <c r="M873" s="4" t="str">
        <f>IF(OR(Customers!U873&lt;300,Customers!U873&gt;850),"Score out of range","")</f>
        <v/>
      </c>
      <c r="N873" s="4" t="str">
        <f>IF(AND(Customers!G873&lt;&gt;"",Customers!G873&lt;=0),"Income ≤ 0","")</f>
        <v/>
      </c>
      <c r="O873" s="4" t="str">
        <f>IF(OR(Customers!G873="",Customers!M873=""),"Missing value","")</f>
        <v/>
      </c>
      <c r="P873" s="4">
        <f t="shared" si="13"/>
        <v>0</v>
      </c>
    </row>
    <row r="874" spans="1:16" x14ac:dyDescent="0.25">
      <c r="A874" s="4" t="str">
        <f>Customers!A874</f>
        <v>CL00867</v>
      </c>
      <c r="B874" s="20">
        <f>IF(Customers!G874="","",(Customers!G874-Statistics!$C$7)/Statistics!$C$9)</f>
        <v>-1.475357272359897E-2</v>
      </c>
      <c r="C874" s="4" t="str">
        <f>IF(Customers!G874="","",IF(OR(Customers!G874&lt;Statistics!$C$15,Customers!G874&gt;Statistics!$C$16),"Outside 1.5·IQR",""))</f>
        <v/>
      </c>
      <c r="D874" s="4" t="str">
        <f>IF(OR(Customers!B874&lt;18,Customers!B874&gt;100),"Implausible age","")</f>
        <v/>
      </c>
      <c r="E874" s="4" t="str">
        <f>IF(Customers!H874&gt;Customers!B874-18,"Tenure &gt; age-18","")</f>
        <v/>
      </c>
      <c r="F874" s="4" t="str">
        <f>IF(Customers!R874&gt;Customers!Q874,"Card spend &gt; limit","")</f>
        <v/>
      </c>
      <c r="G874" s="4" t="str">
        <f>IF(OR(AND(Customers!S874&gt;0,Customers!T874=0),AND(Customers!S874=0,Customers!T874&gt;0)),"Mortgage/payment inconsistent","")</f>
        <v/>
      </c>
      <c r="H874" s="4" t="str">
        <f>IF(AND(Customers!G874&lt;&gt;"",Customers!G874&gt;0,Customers!T874&gt;Customers!G874/12),"Payment &gt; monthly income","")</f>
        <v/>
      </c>
      <c r="I874" s="4" t="str">
        <f>IF(OR(Customers!I874&gt;DATE(2026,9,13),YEAR(Customers!I874)&lt;1980),"Implausible date","")</f>
        <v/>
      </c>
      <c r="J874" s="4" t="str">
        <f>IF(Customers!I874&gt;DATE(2026,9,13),"",IF(ABS(INT((DATE(2026,9,13)-Customers!I874)/365.25)-Customers!H874)&gt;1,"Date/tenure inconsistent",""))</f>
        <v/>
      </c>
      <c r="K874" s="4" t="str">
        <f>IF(COUNTIF(Customers!$A$2:$A$1001,Customers!A874)&gt;1,"Duplicate ID","")</f>
        <v/>
      </c>
      <c r="L874" s="4" t="str">
        <f>IF(COUNTIFS(Customers!$B$2:$B$1001,Customers!B874,Customers!$D$2:$D$1001,Customers!D874,Customers!$G$2:$G$1001,Customers!G874,Customers!$I$2:$I$1001,Customers!I874,Customers!$L$2:$L$1001,Customers!L874)&gt;1,"Duplicate record","")</f>
        <v/>
      </c>
      <c r="M874" s="4" t="str">
        <f>IF(OR(Customers!U874&lt;300,Customers!U874&gt;850),"Score out of range","")</f>
        <v/>
      </c>
      <c r="N874" s="4" t="str">
        <f>IF(AND(Customers!G874&lt;&gt;"",Customers!G874&lt;=0),"Income ≤ 0","")</f>
        <v/>
      </c>
      <c r="O874" s="4" t="str">
        <f>IF(OR(Customers!G874="",Customers!M874=""),"Missing value","")</f>
        <v/>
      </c>
      <c r="P874" s="4">
        <f t="shared" si="13"/>
        <v>0</v>
      </c>
    </row>
    <row r="875" spans="1:16" x14ac:dyDescent="0.25">
      <c r="A875" s="4" t="str">
        <f>Customers!A875</f>
        <v>CL00868</v>
      </c>
      <c r="B875" s="20">
        <f>IF(Customers!G875="","",(Customers!G875-Statistics!$C$7)/Statistics!$C$9)</f>
        <v>-3.7997765091692899E-2</v>
      </c>
      <c r="C875" s="4" t="str">
        <f>IF(Customers!G875="","",IF(OR(Customers!G875&lt;Statistics!$C$15,Customers!G875&gt;Statistics!$C$16),"Outside 1.5·IQR",""))</f>
        <v/>
      </c>
      <c r="D875" s="4" t="str">
        <f>IF(OR(Customers!B875&lt;18,Customers!B875&gt;100),"Implausible age","")</f>
        <v/>
      </c>
      <c r="E875" s="4" t="str">
        <f>IF(Customers!H875&gt;Customers!B875-18,"Tenure &gt; age-18","")</f>
        <v/>
      </c>
      <c r="F875" s="4" t="str">
        <f>IF(Customers!R875&gt;Customers!Q875,"Card spend &gt; limit","")</f>
        <v/>
      </c>
      <c r="G875" s="4" t="str">
        <f>IF(OR(AND(Customers!S875&gt;0,Customers!T875=0),AND(Customers!S875=0,Customers!T875&gt;0)),"Mortgage/payment inconsistent","")</f>
        <v/>
      </c>
      <c r="H875" s="4" t="str">
        <f>IF(AND(Customers!G875&lt;&gt;"",Customers!G875&gt;0,Customers!T875&gt;Customers!G875/12),"Payment &gt; monthly income","")</f>
        <v/>
      </c>
      <c r="I875" s="4" t="str">
        <f>IF(OR(Customers!I875&gt;DATE(2026,9,13),YEAR(Customers!I875)&lt;1980),"Implausible date","")</f>
        <v/>
      </c>
      <c r="J875" s="4" t="str">
        <f>IF(Customers!I875&gt;DATE(2026,9,13),"",IF(ABS(INT((DATE(2026,9,13)-Customers!I875)/365.25)-Customers!H875)&gt;1,"Date/tenure inconsistent",""))</f>
        <v/>
      </c>
      <c r="K875" s="4" t="str">
        <f>IF(COUNTIF(Customers!$A$2:$A$1001,Customers!A875)&gt;1,"Duplicate ID","")</f>
        <v/>
      </c>
      <c r="L875" s="4" t="str">
        <f>IF(COUNTIFS(Customers!$B$2:$B$1001,Customers!B875,Customers!$D$2:$D$1001,Customers!D875,Customers!$G$2:$G$1001,Customers!G875,Customers!$I$2:$I$1001,Customers!I875,Customers!$L$2:$L$1001,Customers!L875)&gt;1,"Duplicate record","")</f>
        <v/>
      </c>
      <c r="M875" s="4" t="str">
        <f>IF(OR(Customers!U875&lt;300,Customers!U875&gt;850),"Score out of range","")</f>
        <v/>
      </c>
      <c r="N875" s="4" t="str">
        <f>IF(AND(Customers!G875&lt;&gt;"",Customers!G875&lt;=0),"Income ≤ 0","")</f>
        <v/>
      </c>
      <c r="O875" s="4" t="str">
        <f>IF(OR(Customers!G875="",Customers!M875=""),"Missing value","")</f>
        <v/>
      </c>
      <c r="P875" s="4">
        <f t="shared" si="13"/>
        <v>0</v>
      </c>
    </row>
    <row r="876" spans="1:16" x14ac:dyDescent="0.25">
      <c r="A876" s="4" t="str">
        <f>Customers!A876</f>
        <v>CL00869</v>
      </c>
      <c r="B876" s="20">
        <f>IF(Customers!G876="","",(Customers!G876-Statistics!$C$7)/Statistics!$C$9)</f>
        <v>-4.7354537443256135E-2</v>
      </c>
      <c r="C876" s="4" t="str">
        <f>IF(Customers!G876="","",IF(OR(Customers!G876&lt;Statistics!$C$15,Customers!G876&gt;Statistics!$C$16),"Outside 1.5·IQR",""))</f>
        <v/>
      </c>
      <c r="D876" s="4" t="str">
        <f>IF(OR(Customers!B876&lt;18,Customers!B876&gt;100),"Implausible age","")</f>
        <v/>
      </c>
      <c r="E876" s="4" t="str">
        <f>IF(Customers!H876&gt;Customers!B876-18,"Tenure &gt; age-18","")</f>
        <v/>
      </c>
      <c r="F876" s="4" t="str">
        <f>IF(Customers!R876&gt;Customers!Q876,"Card spend &gt; limit","")</f>
        <v/>
      </c>
      <c r="G876" s="4" t="str">
        <f>IF(OR(AND(Customers!S876&gt;0,Customers!T876=0),AND(Customers!S876=0,Customers!T876&gt;0)),"Mortgage/payment inconsistent","")</f>
        <v/>
      </c>
      <c r="H876" s="4" t="str">
        <f>IF(AND(Customers!G876&lt;&gt;"",Customers!G876&gt;0,Customers!T876&gt;Customers!G876/12),"Payment &gt; monthly income","")</f>
        <v/>
      </c>
      <c r="I876" s="4" t="str">
        <f>IF(OR(Customers!I876&gt;DATE(2026,9,13),YEAR(Customers!I876)&lt;1980),"Implausible date","")</f>
        <v/>
      </c>
      <c r="J876" s="4" t="str">
        <f>IF(Customers!I876&gt;DATE(2026,9,13),"",IF(ABS(INT((DATE(2026,9,13)-Customers!I876)/365.25)-Customers!H876)&gt;1,"Date/tenure inconsistent",""))</f>
        <v/>
      </c>
      <c r="K876" s="4" t="str">
        <f>IF(COUNTIF(Customers!$A$2:$A$1001,Customers!A876)&gt;1,"Duplicate ID","")</f>
        <v/>
      </c>
      <c r="L876" s="4" t="str">
        <f>IF(COUNTIFS(Customers!$B$2:$B$1001,Customers!B876,Customers!$D$2:$D$1001,Customers!D876,Customers!$G$2:$G$1001,Customers!G876,Customers!$I$2:$I$1001,Customers!I876,Customers!$L$2:$L$1001,Customers!L876)&gt;1,"Duplicate record","")</f>
        <v/>
      </c>
      <c r="M876" s="4" t="str">
        <f>IF(OR(Customers!U876&lt;300,Customers!U876&gt;850),"Score out of range","")</f>
        <v/>
      </c>
      <c r="N876" s="4" t="str">
        <f>IF(AND(Customers!G876&lt;&gt;"",Customers!G876&lt;=0),"Income ≤ 0","")</f>
        <v/>
      </c>
      <c r="O876" s="4" t="str">
        <f>IF(OR(Customers!G876="",Customers!M876=""),"Missing value","")</f>
        <v/>
      </c>
      <c r="P876" s="4">
        <f t="shared" si="13"/>
        <v>0</v>
      </c>
    </row>
    <row r="877" spans="1:16" x14ac:dyDescent="0.25">
      <c r="A877" s="4" t="str">
        <f>Customers!A877</f>
        <v>CL00870</v>
      </c>
      <c r="B877" s="20">
        <f>IF(Customers!G877="","",(Customers!G877-Statistics!$C$7)/Statistics!$C$9)</f>
        <v>-2.8345515718501354E-2</v>
      </c>
      <c r="C877" s="4" t="str">
        <f>IF(Customers!G877="","",IF(OR(Customers!G877&lt;Statistics!$C$15,Customers!G877&gt;Statistics!$C$16),"Outside 1.5·IQR",""))</f>
        <v/>
      </c>
      <c r="D877" s="4" t="str">
        <f>IF(OR(Customers!B877&lt;18,Customers!B877&gt;100),"Implausible age","")</f>
        <v/>
      </c>
      <c r="E877" s="4" t="str">
        <f>IF(Customers!H877&gt;Customers!B877-18,"Tenure &gt; age-18","")</f>
        <v/>
      </c>
      <c r="F877" s="4" t="str">
        <f>IF(Customers!R877&gt;Customers!Q877,"Card spend &gt; limit","")</f>
        <v/>
      </c>
      <c r="G877" s="4" t="str">
        <f>IF(OR(AND(Customers!S877&gt;0,Customers!T877=0),AND(Customers!S877=0,Customers!T877&gt;0)),"Mortgage/payment inconsistent","")</f>
        <v/>
      </c>
      <c r="H877" s="4" t="str">
        <f>IF(AND(Customers!G877&lt;&gt;"",Customers!G877&gt;0,Customers!T877&gt;Customers!G877/12),"Payment &gt; monthly income","")</f>
        <v/>
      </c>
      <c r="I877" s="4" t="str">
        <f>IF(OR(Customers!I877&gt;DATE(2026,9,13),YEAR(Customers!I877)&lt;1980),"Implausible date","")</f>
        <v/>
      </c>
      <c r="J877" s="4" t="str">
        <f>IF(Customers!I877&gt;DATE(2026,9,13),"",IF(ABS(INT((DATE(2026,9,13)-Customers!I877)/365.25)-Customers!H877)&gt;1,"Date/tenure inconsistent",""))</f>
        <v/>
      </c>
      <c r="K877" s="4" t="str">
        <f>IF(COUNTIF(Customers!$A$2:$A$1001,Customers!A877)&gt;1,"Duplicate ID","")</f>
        <v/>
      </c>
      <c r="L877" s="4" t="str">
        <f>IF(COUNTIFS(Customers!$B$2:$B$1001,Customers!B877,Customers!$D$2:$D$1001,Customers!D877,Customers!$G$2:$G$1001,Customers!G877,Customers!$I$2:$I$1001,Customers!I877,Customers!$L$2:$L$1001,Customers!L877)&gt;1,"Duplicate record","")</f>
        <v/>
      </c>
      <c r="M877" s="4" t="str">
        <f>IF(OR(Customers!U877&lt;300,Customers!U877&gt;850),"Score out of range","")</f>
        <v/>
      </c>
      <c r="N877" s="4" t="str">
        <f>IF(AND(Customers!G877&lt;&gt;"",Customers!G877&lt;=0),"Income ≤ 0","")</f>
        <v/>
      </c>
      <c r="O877" s="4" t="str">
        <f>IF(OR(Customers!G877="",Customers!M877=""),"Missing value","")</f>
        <v/>
      </c>
      <c r="P877" s="4">
        <f t="shared" si="13"/>
        <v>0</v>
      </c>
    </row>
    <row r="878" spans="1:16" x14ac:dyDescent="0.25">
      <c r="A878" s="4" t="str">
        <f>Customers!A878</f>
        <v>CL00871</v>
      </c>
      <c r="B878" s="20">
        <f>IF(Customers!G878="","",(Customers!G878-Statistics!$C$7)/Statistics!$C$9)</f>
        <v>-4.0066104243091087E-2</v>
      </c>
      <c r="C878" s="4" t="str">
        <f>IF(Customers!G878="","",IF(OR(Customers!G878&lt;Statistics!$C$15,Customers!G878&gt;Statistics!$C$16),"Outside 1.5·IQR",""))</f>
        <v/>
      </c>
      <c r="D878" s="4" t="str">
        <f>IF(OR(Customers!B878&lt;18,Customers!B878&gt;100),"Implausible age","")</f>
        <v/>
      </c>
      <c r="E878" s="4" t="str">
        <f>IF(Customers!H878&gt;Customers!B878-18,"Tenure &gt; age-18","")</f>
        <v/>
      </c>
      <c r="F878" s="4" t="str">
        <f>IF(Customers!R878&gt;Customers!Q878,"Card spend &gt; limit","")</f>
        <v/>
      </c>
      <c r="G878" s="4" t="str">
        <f>IF(OR(AND(Customers!S878&gt;0,Customers!T878=0),AND(Customers!S878=0,Customers!T878&gt;0)),"Mortgage/payment inconsistent","")</f>
        <v/>
      </c>
      <c r="H878" s="4" t="str">
        <f>IF(AND(Customers!G878&lt;&gt;"",Customers!G878&gt;0,Customers!T878&gt;Customers!G878/12),"Payment &gt; monthly income","")</f>
        <v/>
      </c>
      <c r="I878" s="4" t="str">
        <f>IF(OR(Customers!I878&gt;DATE(2026,9,13),YEAR(Customers!I878)&lt;1980),"Implausible date","")</f>
        <v/>
      </c>
      <c r="J878" s="4" t="str">
        <f>IF(Customers!I878&gt;DATE(2026,9,13),"",IF(ABS(INT((DATE(2026,9,13)-Customers!I878)/365.25)-Customers!H878)&gt;1,"Date/tenure inconsistent",""))</f>
        <v/>
      </c>
      <c r="K878" s="4" t="str">
        <f>IF(COUNTIF(Customers!$A$2:$A$1001,Customers!A878)&gt;1,"Duplicate ID","")</f>
        <v/>
      </c>
      <c r="L878" s="4" t="str">
        <f>IF(COUNTIFS(Customers!$B$2:$B$1001,Customers!B878,Customers!$D$2:$D$1001,Customers!D878,Customers!$G$2:$G$1001,Customers!G878,Customers!$I$2:$I$1001,Customers!I878,Customers!$L$2:$L$1001,Customers!L878)&gt;1,"Duplicate record","")</f>
        <v/>
      </c>
      <c r="M878" s="4" t="str">
        <f>IF(OR(Customers!U878&lt;300,Customers!U878&gt;850),"Score out of range","")</f>
        <v/>
      </c>
      <c r="N878" s="4" t="str">
        <f>IF(AND(Customers!G878&lt;&gt;"",Customers!G878&lt;=0),"Income ≤ 0","")</f>
        <v/>
      </c>
      <c r="O878" s="4" t="str">
        <f>IF(OR(Customers!G878="",Customers!M878=""),"Missing value","")</f>
        <v/>
      </c>
      <c r="P878" s="4">
        <f t="shared" si="13"/>
        <v>0</v>
      </c>
    </row>
    <row r="879" spans="1:16" x14ac:dyDescent="0.25">
      <c r="A879" s="4" t="str">
        <f>Customers!A879</f>
        <v>CL00872</v>
      </c>
      <c r="B879" s="20">
        <f>IF(Customers!G879="","",(Customers!G879-Statistics!$C$7)/Statistics!$C$9)</f>
        <v>-2.3617883372448349E-2</v>
      </c>
      <c r="C879" s="4" t="str">
        <f>IF(Customers!G879="","",IF(OR(Customers!G879&lt;Statistics!$C$15,Customers!G879&gt;Statistics!$C$16),"Outside 1.5·IQR",""))</f>
        <v/>
      </c>
      <c r="D879" s="4" t="str">
        <f>IF(OR(Customers!B879&lt;18,Customers!B879&gt;100),"Implausible age","")</f>
        <v/>
      </c>
      <c r="E879" s="4" t="str">
        <f>IF(Customers!H879&gt;Customers!B879-18,"Tenure &gt; age-18","")</f>
        <v/>
      </c>
      <c r="F879" s="4" t="str">
        <f>IF(Customers!R879&gt;Customers!Q879,"Card spend &gt; limit","")</f>
        <v/>
      </c>
      <c r="G879" s="4" t="str">
        <f>IF(OR(AND(Customers!S879&gt;0,Customers!T879=0),AND(Customers!S879=0,Customers!T879&gt;0)),"Mortgage/payment inconsistent","")</f>
        <v/>
      </c>
      <c r="H879" s="4" t="str">
        <f>IF(AND(Customers!G879&lt;&gt;"",Customers!G879&gt;0,Customers!T879&gt;Customers!G879/12),"Payment &gt; monthly income","")</f>
        <v/>
      </c>
      <c r="I879" s="4" t="str">
        <f>IF(OR(Customers!I879&gt;DATE(2026,9,13),YEAR(Customers!I879)&lt;1980),"Implausible date","")</f>
        <v/>
      </c>
      <c r="J879" s="4" t="str">
        <f>IF(Customers!I879&gt;DATE(2026,9,13),"",IF(ABS(INT((DATE(2026,9,13)-Customers!I879)/365.25)-Customers!H879)&gt;1,"Date/tenure inconsistent",""))</f>
        <v/>
      </c>
      <c r="K879" s="4" t="str">
        <f>IF(COUNTIF(Customers!$A$2:$A$1001,Customers!A879)&gt;1,"Duplicate ID","")</f>
        <v/>
      </c>
      <c r="L879" s="4" t="str">
        <f>IF(COUNTIFS(Customers!$B$2:$B$1001,Customers!B879,Customers!$D$2:$D$1001,Customers!D879,Customers!$G$2:$G$1001,Customers!G879,Customers!$I$2:$I$1001,Customers!I879,Customers!$L$2:$L$1001,Customers!L879)&gt;1,"Duplicate record","")</f>
        <v/>
      </c>
      <c r="M879" s="4" t="str">
        <f>IF(OR(Customers!U879&lt;300,Customers!U879&gt;850),"Score out of range","")</f>
        <v/>
      </c>
      <c r="N879" s="4" t="str">
        <f>IF(AND(Customers!G879&lt;&gt;"",Customers!G879&lt;=0),"Income ≤ 0","")</f>
        <v/>
      </c>
      <c r="O879" s="4" t="str">
        <f>IF(OR(Customers!G879="",Customers!M879=""),"Missing value","")</f>
        <v/>
      </c>
      <c r="P879" s="4">
        <f t="shared" si="13"/>
        <v>0</v>
      </c>
    </row>
    <row r="880" spans="1:16" x14ac:dyDescent="0.25">
      <c r="A880" s="4" t="str">
        <f>Customers!A880</f>
        <v>CL00873</v>
      </c>
      <c r="B880" s="20">
        <f>IF(Customers!G880="","",(Customers!G880-Statistics!$C$7)/Statistics!$C$9)</f>
        <v>-3.5141487215952547E-2</v>
      </c>
      <c r="C880" s="4" t="str">
        <f>IF(Customers!G880="","",IF(OR(Customers!G880&lt;Statistics!$C$15,Customers!G880&gt;Statistics!$C$16),"Outside 1.5·IQR",""))</f>
        <v/>
      </c>
      <c r="D880" s="4" t="str">
        <f>IF(OR(Customers!B880&lt;18,Customers!B880&gt;100),"Implausible age","")</f>
        <v/>
      </c>
      <c r="E880" s="4" t="str">
        <f>IF(Customers!H880&gt;Customers!B880-18,"Tenure &gt; age-18","")</f>
        <v/>
      </c>
      <c r="F880" s="4" t="str">
        <f>IF(Customers!R880&gt;Customers!Q880,"Card spend &gt; limit","")</f>
        <v/>
      </c>
      <c r="G880" s="4" t="str">
        <f>IF(OR(AND(Customers!S880&gt;0,Customers!T880=0),AND(Customers!S880=0,Customers!T880&gt;0)),"Mortgage/payment inconsistent","")</f>
        <v/>
      </c>
      <c r="H880" s="4" t="str">
        <f>IF(AND(Customers!G880&lt;&gt;"",Customers!G880&gt;0,Customers!T880&gt;Customers!G880/12),"Payment &gt; monthly income","")</f>
        <v/>
      </c>
      <c r="I880" s="4" t="str">
        <f>IF(OR(Customers!I880&gt;DATE(2026,9,13),YEAR(Customers!I880)&lt;1980),"Implausible date","")</f>
        <v/>
      </c>
      <c r="J880" s="4" t="str">
        <f>IF(Customers!I880&gt;DATE(2026,9,13),"",IF(ABS(INT((DATE(2026,9,13)-Customers!I880)/365.25)-Customers!H880)&gt;1,"Date/tenure inconsistent",""))</f>
        <v/>
      </c>
      <c r="K880" s="4" t="str">
        <f>IF(COUNTIF(Customers!$A$2:$A$1001,Customers!A880)&gt;1,"Duplicate ID","")</f>
        <v/>
      </c>
      <c r="L880" s="4" t="str">
        <f>IF(COUNTIFS(Customers!$B$2:$B$1001,Customers!B880,Customers!$D$2:$D$1001,Customers!D880,Customers!$G$2:$G$1001,Customers!G880,Customers!$I$2:$I$1001,Customers!I880,Customers!$L$2:$L$1001,Customers!L880)&gt;1,"Duplicate record","")</f>
        <v/>
      </c>
      <c r="M880" s="4" t="str">
        <f>IF(OR(Customers!U880&lt;300,Customers!U880&gt;850),"Score out of range","")</f>
        <v/>
      </c>
      <c r="N880" s="4" t="str">
        <f>IF(AND(Customers!G880&lt;&gt;"",Customers!G880&lt;=0),"Income ≤ 0","")</f>
        <v/>
      </c>
      <c r="O880" s="4" t="str">
        <f>IF(OR(Customers!G880="",Customers!M880=""),"Missing value","")</f>
        <v/>
      </c>
      <c r="P880" s="4">
        <f t="shared" si="13"/>
        <v>0</v>
      </c>
    </row>
    <row r="881" spans="1:16" x14ac:dyDescent="0.25">
      <c r="A881" s="4" t="str">
        <f>Customers!A881</f>
        <v>CL00874</v>
      </c>
      <c r="B881" s="20">
        <f>IF(Customers!G881="","",(Customers!G881-Statistics!$C$7)/Statistics!$C$9)</f>
        <v>-3.9081180837663383E-2</v>
      </c>
      <c r="C881" s="4" t="str">
        <f>IF(Customers!G881="","",IF(OR(Customers!G881&lt;Statistics!$C$15,Customers!G881&gt;Statistics!$C$16),"Outside 1.5·IQR",""))</f>
        <v/>
      </c>
      <c r="D881" s="4" t="str">
        <f>IF(OR(Customers!B881&lt;18,Customers!B881&gt;100),"Implausible age","")</f>
        <v/>
      </c>
      <c r="E881" s="4" t="str">
        <f>IF(Customers!H881&gt;Customers!B881-18,"Tenure &gt; age-18","")</f>
        <v/>
      </c>
      <c r="F881" s="4" t="str">
        <f>IF(Customers!R881&gt;Customers!Q881,"Card spend &gt; limit","")</f>
        <v/>
      </c>
      <c r="G881" s="4" t="str">
        <f>IF(OR(AND(Customers!S881&gt;0,Customers!T881=0),AND(Customers!S881=0,Customers!T881&gt;0)),"Mortgage/payment inconsistent","")</f>
        <v/>
      </c>
      <c r="H881" s="4" t="str">
        <f>IF(AND(Customers!G881&lt;&gt;"",Customers!G881&gt;0,Customers!T881&gt;Customers!G881/12),"Payment &gt; monthly income","")</f>
        <v/>
      </c>
      <c r="I881" s="4" t="str">
        <f>IF(OR(Customers!I881&gt;DATE(2026,9,13),YEAR(Customers!I881)&lt;1980),"Implausible date","")</f>
        <v/>
      </c>
      <c r="J881" s="4" t="str">
        <f>IF(Customers!I881&gt;DATE(2026,9,13),"",IF(ABS(INT((DATE(2026,9,13)-Customers!I881)/365.25)-Customers!H881)&gt;1,"Date/tenure inconsistent",""))</f>
        <v/>
      </c>
      <c r="K881" s="4" t="str">
        <f>IF(COUNTIF(Customers!$A$2:$A$1001,Customers!A881)&gt;1,"Duplicate ID","")</f>
        <v/>
      </c>
      <c r="L881" s="4" t="str">
        <f>IF(COUNTIFS(Customers!$B$2:$B$1001,Customers!B881,Customers!$D$2:$D$1001,Customers!D881,Customers!$G$2:$G$1001,Customers!G881,Customers!$I$2:$I$1001,Customers!I881,Customers!$L$2:$L$1001,Customers!L881)&gt;1,"Duplicate record","")</f>
        <v/>
      </c>
      <c r="M881" s="4" t="str">
        <f>IF(OR(Customers!U881&lt;300,Customers!U881&gt;850),"Score out of range","")</f>
        <v/>
      </c>
      <c r="N881" s="4" t="str">
        <f>IF(AND(Customers!G881&lt;&gt;"",Customers!G881&lt;=0),"Income ≤ 0","")</f>
        <v/>
      </c>
      <c r="O881" s="4" t="str">
        <f>IF(OR(Customers!G881="",Customers!M881=""),"Missing value","")</f>
        <v/>
      </c>
      <c r="P881" s="4">
        <f t="shared" si="13"/>
        <v>0</v>
      </c>
    </row>
    <row r="882" spans="1:16" x14ac:dyDescent="0.25">
      <c r="A882" s="4" t="str">
        <f>Customers!A882</f>
        <v>CL00875</v>
      </c>
      <c r="B882" s="20">
        <f>IF(Customers!G882="","",(Customers!G882-Statistics!$C$7)/Statistics!$C$9)</f>
        <v>-6.0862467558351306E-3</v>
      </c>
      <c r="C882" s="4" t="str">
        <f>IF(Customers!G882="","",IF(OR(Customers!G882&lt;Statistics!$C$15,Customers!G882&gt;Statistics!$C$16),"Outside 1.5·IQR",""))</f>
        <v/>
      </c>
      <c r="D882" s="4" t="str">
        <f>IF(OR(Customers!B882&lt;18,Customers!B882&gt;100),"Implausible age","")</f>
        <v/>
      </c>
      <c r="E882" s="4" t="str">
        <f>IF(Customers!H882&gt;Customers!B882-18,"Tenure &gt; age-18","")</f>
        <v/>
      </c>
      <c r="F882" s="4" t="str">
        <f>IF(Customers!R882&gt;Customers!Q882,"Card spend &gt; limit","")</f>
        <v/>
      </c>
      <c r="G882" s="4" t="str">
        <f>IF(OR(AND(Customers!S882&gt;0,Customers!T882=0),AND(Customers!S882=0,Customers!T882&gt;0)),"Mortgage/payment inconsistent","")</f>
        <v/>
      </c>
      <c r="H882" s="4" t="str">
        <f>IF(AND(Customers!G882&lt;&gt;"",Customers!G882&gt;0,Customers!T882&gt;Customers!G882/12),"Payment &gt; monthly income","")</f>
        <v/>
      </c>
      <c r="I882" s="4" t="str">
        <f>IF(OR(Customers!I882&gt;DATE(2026,9,13),YEAR(Customers!I882)&lt;1980),"Implausible date","")</f>
        <v/>
      </c>
      <c r="J882" s="4" t="str">
        <f>IF(Customers!I882&gt;DATE(2026,9,13),"",IF(ABS(INT((DATE(2026,9,13)-Customers!I882)/365.25)-Customers!H882)&gt;1,"Date/tenure inconsistent",""))</f>
        <v/>
      </c>
      <c r="K882" s="4" t="str">
        <f>IF(COUNTIF(Customers!$A$2:$A$1001,Customers!A882)&gt;1,"Duplicate ID","")</f>
        <v/>
      </c>
      <c r="L882" s="4" t="str">
        <f>IF(COUNTIFS(Customers!$B$2:$B$1001,Customers!B882,Customers!$D$2:$D$1001,Customers!D882,Customers!$G$2:$G$1001,Customers!G882,Customers!$I$2:$I$1001,Customers!I882,Customers!$L$2:$L$1001,Customers!L882)&gt;1,"Duplicate record","")</f>
        <v/>
      </c>
      <c r="M882" s="4" t="str">
        <f>IF(OR(Customers!U882&lt;300,Customers!U882&gt;850),"Score out of range","")</f>
        <v/>
      </c>
      <c r="N882" s="4" t="str">
        <f>IF(AND(Customers!G882&lt;&gt;"",Customers!G882&lt;=0),"Income ≤ 0","")</f>
        <v/>
      </c>
      <c r="O882" s="4" t="str">
        <f>IF(OR(Customers!G882="",Customers!M882=""),"Missing value","")</f>
        <v/>
      </c>
      <c r="P882" s="4">
        <f t="shared" si="13"/>
        <v>0</v>
      </c>
    </row>
    <row r="883" spans="1:16" x14ac:dyDescent="0.25">
      <c r="A883" s="4" t="str">
        <f>Customers!A883</f>
        <v>CL00876</v>
      </c>
      <c r="B883" s="20">
        <f>IF(Customers!G883="","",(Customers!G883-Statistics!$C$7)/Statistics!$C$9)</f>
        <v>-4.4498259567515783E-2</v>
      </c>
      <c r="C883" s="4" t="str">
        <f>IF(Customers!G883="","",IF(OR(Customers!G883&lt;Statistics!$C$15,Customers!G883&gt;Statistics!$C$16),"Outside 1.5·IQR",""))</f>
        <v/>
      </c>
      <c r="D883" s="4" t="str">
        <f>IF(OR(Customers!B883&lt;18,Customers!B883&gt;100),"Implausible age","")</f>
        <v/>
      </c>
      <c r="E883" s="4" t="str">
        <f>IF(Customers!H883&gt;Customers!B883-18,"Tenure &gt; age-18","")</f>
        <v/>
      </c>
      <c r="F883" s="4" t="str">
        <f>IF(Customers!R883&gt;Customers!Q883,"Card spend &gt; limit","")</f>
        <v/>
      </c>
      <c r="G883" s="4" t="str">
        <f>IF(OR(AND(Customers!S883&gt;0,Customers!T883=0),AND(Customers!S883=0,Customers!T883&gt;0)),"Mortgage/payment inconsistent","")</f>
        <v/>
      </c>
      <c r="H883" s="4" t="str">
        <f>IF(AND(Customers!G883&lt;&gt;"",Customers!G883&gt;0,Customers!T883&gt;Customers!G883/12),"Payment &gt; monthly income","")</f>
        <v/>
      </c>
      <c r="I883" s="4" t="str">
        <f>IF(OR(Customers!I883&gt;DATE(2026,9,13),YEAR(Customers!I883)&lt;1980),"Implausible date","")</f>
        <v/>
      </c>
      <c r="J883" s="4" t="str">
        <f>IF(Customers!I883&gt;DATE(2026,9,13),"",IF(ABS(INT((DATE(2026,9,13)-Customers!I883)/365.25)-Customers!H883)&gt;1,"Date/tenure inconsistent",""))</f>
        <v/>
      </c>
      <c r="K883" s="4" t="str">
        <f>IF(COUNTIF(Customers!$A$2:$A$1001,Customers!A883)&gt;1,"Duplicate ID","")</f>
        <v/>
      </c>
      <c r="L883" s="4" t="str">
        <f>IF(COUNTIFS(Customers!$B$2:$B$1001,Customers!B883,Customers!$D$2:$D$1001,Customers!D883,Customers!$G$2:$G$1001,Customers!G883,Customers!$I$2:$I$1001,Customers!I883,Customers!$L$2:$L$1001,Customers!L883)&gt;1,"Duplicate record","")</f>
        <v/>
      </c>
      <c r="M883" s="4" t="str">
        <f>IF(OR(Customers!U883&lt;300,Customers!U883&gt;850),"Score out of range","")</f>
        <v/>
      </c>
      <c r="N883" s="4" t="str">
        <f>IF(AND(Customers!G883&lt;&gt;"",Customers!G883&lt;=0),"Income ≤ 0","")</f>
        <v/>
      </c>
      <c r="O883" s="4" t="str">
        <f>IF(OR(Customers!G883="",Customers!M883=""),"Missing value","")</f>
        <v/>
      </c>
      <c r="P883" s="4">
        <f t="shared" si="13"/>
        <v>0</v>
      </c>
    </row>
    <row r="884" spans="1:16" x14ac:dyDescent="0.25">
      <c r="A884" s="4" t="str">
        <f>Customers!A884</f>
        <v>CL00877</v>
      </c>
      <c r="B884" s="20">
        <f>IF(Customers!G884="","",(Customers!G884-Statistics!$C$7)/Statistics!$C$9)</f>
        <v>-3.0512347210442312E-2</v>
      </c>
      <c r="C884" s="4" t="str">
        <f>IF(Customers!G884="","",IF(OR(Customers!G884&lt;Statistics!$C$15,Customers!G884&gt;Statistics!$C$16),"Outside 1.5·IQR",""))</f>
        <v/>
      </c>
      <c r="D884" s="4" t="str">
        <f>IF(OR(Customers!B884&lt;18,Customers!B884&gt;100),"Implausible age","")</f>
        <v/>
      </c>
      <c r="E884" s="4" t="str">
        <f>IF(Customers!H884&gt;Customers!B884-18,"Tenure &gt; age-18","")</f>
        <v/>
      </c>
      <c r="F884" s="4" t="str">
        <f>IF(Customers!R884&gt;Customers!Q884,"Card spend &gt; limit","")</f>
        <v/>
      </c>
      <c r="G884" s="4" t="str">
        <f>IF(OR(AND(Customers!S884&gt;0,Customers!T884=0),AND(Customers!S884=0,Customers!T884&gt;0)),"Mortgage/payment inconsistent","")</f>
        <v/>
      </c>
      <c r="H884" s="4" t="str">
        <f>IF(AND(Customers!G884&lt;&gt;"",Customers!G884&gt;0,Customers!T884&gt;Customers!G884/12),"Payment &gt; monthly income","")</f>
        <v/>
      </c>
      <c r="I884" s="4" t="str">
        <f>IF(OR(Customers!I884&gt;DATE(2026,9,13),YEAR(Customers!I884)&lt;1980),"Implausible date","")</f>
        <v/>
      </c>
      <c r="J884" s="4" t="str">
        <f>IF(Customers!I884&gt;DATE(2026,9,13),"",IF(ABS(INT((DATE(2026,9,13)-Customers!I884)/365.25)-Customers!H884)&gt;1,"Date/tenure inconsistent",""))</f>
        <v/>
      </c>
      <c r="K884" s="4" t="str">
        <f>IF(COUNTIF(Customers!$A$2:$A$1001,Customers!A884)&gt;1,"Duplicate ID","")</f>
        <v/>
      </c>
      <c r="L884" s="4" t="str">
        <f>IF(COUNTIFS(Customers!$B$2:$B$1001,Customers!B884,Customers!$D$2:$D$1001,Customers!D884,Customers!$G$2:$G$1001,Customers!G884,Customers!$I$2:$I$1001,Customers!I884,Customers!$L$2:$L$1001,Customers!L884)&gt;1,"Duplicate record","")</f>
        <v/>
      </c>
      <c r="M884" s="4" t="str">
        <f>IF(OR(Customers!U884&lt;300,Customers!U884&gt;850),"Score out of range","")</f>
        <v/>
      </c>
      <c r="N884" s="4" t="str">
        <f>IF(AND(Customers!G884&lt;&gt;"",Customers!G884&lt;=0),"Income ≤ 0","")</f>
        <v/>
      </c>
      <c r="O884" s="4" t="str">
        <f>IF(OR(Customers!G884="",Customers!M884=""),"Missing value","")</f>
        <v/>
      </c>
      <c r="P884" s="4">
        <f t="shared" si="13"/>
        <v>0</v>
      </c>
    </row>
    <row r="885" spans="1:16" x14ac:dyDescent="0.25">
      <c r="A885" s="4" t="str">
        <f>Customers!A885</f>
        <v>CL00878</v>
      </c>
      <c r="B885" s="20">
        <f>IF(Customers!G885="","",(Customers!G885-Statistics!$C$7)/Statistics!$C$9)</f>
        <v>-1.9185728048023661E-2</v>
      </c>
      <c r="C885" s="4" t="str">
        <f>IF(Customers!G885="","",IF(OR(Customers!G885&lt;Statistics!$C$15,Customers!G885&gt;Statistics!$C$16),"Outside 1.5·IQR",""))</f>
        <v/>
      </c>
      <c r="D885" s="4" t="str">
        <f>IF(OR(Customers!B885&lt;18,Customers!B885&gt;100),"Implausible age","")</f>
        <v/>
      </c>
      <c r="E885" s="4" t="str">
        <f>IF(Customers!H885&gt;Customers!B885-18,"Tenure &gt; age-18","")</f>
        <v/>
      </c>
      <c r="F885" s="4" t="str">
        <f>IF(Customers!R885&gt;Customers!Q885,"Card spend &gt; limit","")</f>
        <v/>
      </c>
      <c r="G885" s="4" t="str">
        <f>IF(OR(AND(Customers!S885&gt;0,Customers!T885=0),AND(Customers!S885=0,Customers!T885&gt;0)),"Mortgage/payment inconsistent","")</f>
        <v/>
      </c>
      <c r="H885" s="4" t="str">
        <f>IF(AND(Customers!G885&lt;&gt;"",Customers!G885&gt;0,Customers!T885&gt;Customers!G885/12),"Payment &gt; monthly income","")</f>
        <v/>
      </c>
      <c r="I885" s="4" t="str">
        <f>IF(OR(Customers!I885&gt;DATE(2026,9,13),YEAR(Customers!I885)&lt;1980),"Implausible date","")</f>
        <v/>
      </c>
      <c r="J885" s="4" t="str">
        <f>IF(Customers!I885&gt;DATE(2026,9,13),"",IF(ABS(INT((DATE(2026,9,13)-Customers!I885)/365.25)-Customers!H885)&gt;1,"Date/tenure inconsistent",""))</f>
        <v/>
      </c>
      <c r="K885" s="4" t="str">
        <f>IF(COUNTIF(Customers!$A$2:$A$1001,Customers!A885)&gt;1,"Duplicate ID","")</f>
        <v/>
      </c>
      <c r="L885" s="4" t="str">
        <f>IF(COUNTIFS(Customers!$B$2:$B$1001,Customers!B885,Customers!$D$2:$D$1001,Customers!D885,Customers!$G$2:$G$1001,Customers!G885,Customers!$I$2:$I$1001,Customers!I885,Customers!$L$2:$L$1001,Customers!L885)&gt;1,"Duplicate record","")</f>
        <v/>
      </c>
      <c r="M885" s="4" t="str">
        <f>IF(OR(Customers!U885&lt;300,Customers!U885&gt;850),"Score out of range","")</f>
        <v/>
      </c>
      <c r="N885" s="4" t="str">
        <f>IF(AND(Customers!G885&lt;&gt;"",Customers!G885&lt;=0),"Income ≤ 0","")</f>
        <v/>
      </c>
      <c r="O885" s="4" t="str">
        <f>IF(OR(Customers!G885="",Customers!M885=""),"Missing value","")</f>
        <v/>
      </c>
      <c r="P885" s="4">
        <f t="shared" si="13"/>
        <v>0</v>
      </c>
    </row>
    <row r="886" spans="1:16" x14ac:dyDescent="0.25">
      <c r="A886" s="4" t="str">
        <f>Customers!A886</f>
        <v>CL00879</v>
      </c>
      <c r="B886" s="20">
        <f>IF(Customers!G886="","",(Customers!G886-Statistics!$C$7)/Statistics!$C$9)</f>
        <v>-6.784094427615249E-2</v>
      </c>
      <c r="C886" s="4" t="str">
        <f>IF(Customers!G886="","",IF(OR(Customers!G886&lt;Statistics!$C$15,Customers!G886&gt;Statistics!$C$16),"Outside 1.5·IQR",""))</f>
        <v/>
      </c>
      <c r="D886" s="4" t="str">
        <f>IF(OR(Customers!B886&lt;18,Customers!B886&gt;100),"Implausible age","")</f>
        <v/>
      </c>
      <c r="E886" s="4" t="str">
        <f>IF(Customers!H886&gt;Customers!B886-18,"Tenure &gt; age-18","")</f>
        <v/>
      </c>
      <c r="F886" s="4" t="str">
        <f>IF(Customers!R886&gt;Customers!Q886,"Card spend &gt; limit","")</f>
        <v/>
      </c>
      <c r="G886" s="4" t="str">
        <f>IF(OR(AND(Customers!S886&gt;0,Customers!T886=0),AND(Customers!S886=0,Customers!T886&gt;0)),"Mortgage/payment inconsistent","")</f>
        <v/>
      </c>
      <c r="H886" s="4" t="str">
        <f>IF(AND(Customers!G886&lt;&gt;"",Customers!G886&gt;0,Customers!T886&gt;Customers!G886/12),"Payment &gt; monthly income","")</f>
        <v/>
      </c>
      <c r="I886" s="4" t="str">
        <f>IF(OR(Customers!I886&gt;DATE(2026,9,13),YEAR(Customers!I886)&lt;1980),"Implausible date","")</f>
        <v/>
      </c>
      <c r="J886" s="4" t="str">
        <f>IF(Customers!I886&gt;DATE(2026,9,13),"",IF(ABS(INT((DATE(2026,9,13)-Customers!I886)/365.25)-Customers!H886)&gt;1,"Date/tenure inconsistent",""))</f>
        <v/>
      </c>
      <c r="K886" s="4" t="str">
        <f>IF(COUNTIF(Customers!$A$2:$A$1001,Customers!A886)&gt;1,"Duplicate ID","")</f>
        <v/>
      </c>
      <c r="L886" s="4" t="str">
        <f>IF(COUNTIFS(Customers!$B$2:$B$1001,Customers!B886,Customers!$D$2:$D$1001,Customers!D886,Customers!$G$2:$G$1001,Customers!G886,Customers!$I$2:$I$1001,Customers!I886,Customers!$L$2:$L$1001,Customers!L886)&gt;1,"Duplicate record","")</f>
        <v/>
      </c>
      <c r="M886" s="4" t="str">
        <f>IF(OR(Customers!U886&lt;300,Customers!U886&gt;850),"Score out of range","")</f>
        <v/>
      </c>
      <c r="N886" s="4" t="str">
        <f>IF(AND(Customers!G886&lt;&gt;"",Customers!G886&lt;=0),"Income ≤ 0","")</f>
        <v/>
      </c>
      <c r="O886" s="4" t="str">
        <f>IF(OR(Customers!G886="",Customers!M886=""),"Missing value","")</f>
        <v/>
      </c>
      <c r="P886" s="4">
        <f t="shared" si="13"/>
        <v>0</v>
      </c>
    </row>
    <row r="887" spans="1:16" x14ac:dyDescent="0.25">
      <c r="A887" s="4" t="str">
        <f>Customers!A887</f>
        <v>CL00880</v>
      </c>
      <c r="B887" s="20">
        <f>IF(Customers!G887="","",(Customers!G887-Statistics!$C$7)/Statistics!$C$9)</f>
        <v>-4.2429920416117595E-2</v>
      </c>
      <c r="C887" s="4" t="str">
        <f>IF(Customers!G887="","",IF(OR(Customers!G887&lt;Statistics!$C$15,Customers!G887&gt;Statistics!$C$16),"Outside 1.5·IQR",""))</f>
        <v/>
      </c>
      <c r="D887" s="4" t="str">
        <f>IF(OR(Customers!B887&lt;18,Customers!B887&gt;100),"Implausible age","")</f>
        <v/>
      </c>
      <c r="E887" s="4" t="str">
        <f>IF(Customers!H887&gt;Customers!B887-18,"Tenure &gt; age-18","")</f>
        <v/>
      </c>
      <c r="F887" s="4" t="str">
        <f>IF(Customers!R887&gt;Customers!Q887,"Card spend &gt; limit","")</f>
        <v/>
      </c>
      <c r="G887" s="4" t="str">
        <f>IF(OR(AND(Customers!S887&gt;0,Customers!T887=0),AND(Customers!S887=0,Customers!T887&gt;0)),"Mortgage/payment inconsistent","")</f>
        <v/>
      </c>
      <c r="H887" s="4" t="str">
        <f>IF(AND(Customers!G887&lt;&gt;"",Customers!G887&gt;0,Customers!T887&gt;Customers!G887/12),"Payment &gt; monthly income","")</f>
        <v/>
      </c>
      <c r="I887" s="4" t="str">
        <f>IF(OR(Customers!I887&gt;DATE(2026,9,13),YEAR(Customers!I887)&lt;1980),"Implausible date","")</f>
        <v/>
      </c>
      <c r="J887" s="4" t="str">
        <f>IF(Customers!I887&gt;DATE(2026,9,13),"",IF(ABS(INT((DATE(2026,9,13)-Customers!I887)/365.25)-Customers!H887)&gt;1,"Date/tenure inconsistent",""))</f>
        <v/>
      </c>
      <c r="K887" s="4" t="str">
        <f>IF(COUNTIF(Customers!$A$2:$A$1001,Customers!A887)&gt;1,"Duplicate ID","")</f>
        <v/>
      </c>
      <c r="L887" s="4" t="str">
        <f>IF(COUNTIFS(Customers!$B$2:$B$1001,Customers!B887,Customers!$D$2:$D$1001,Customers!D887,Customers!$G$2:$G$1001,Customers!G887,Customers!$I$2:$I$1001,Customers!I887,Customers!$L$2:$L$1001,Customers!L887)&gt;1,"Duplicate record","")</f>
        <v/>
      </c>
      <c r="M887" s="4" t="str">
        <f>IF(OR(Customers!U887&lt;300,Customers!U887&gt;850),"Score out of range","")</f>
        <v/>
      </c>
      <c r="N887" s="4" t="str">
        <f>IF(AND(Customers!G887&lt;&gt;"",Customers!G887&lt;=0),"Income ≤ 0","")</f>
        <v/>
      </c>
      <c r="O887" s="4" t="str">
        <f>IF(OR(Customers!G887="",Customers!M887=""),"Missing value","")</f>
        <v/>
      </c>
      <c r="P887" s="4">
        <f t="shared" si="13"/>
        <v>0</v>
      </c>
    </row>
    <row r="888" spans="1:16" x14ac:dyDescent="0.25">
      <c r="A888" s="4" t="str">
        <f>Customers!A888</f>
        <v>CL00881</v>
      </c>
      <c r="B888" s="20">
        <f>IF(Customers!G888="","",(Customers!G888-Statistics!$C$7)/Statistics!$C$9)</f>
        <v>-6.0060049373273583E-2</v>
      </c>
      <c r="C888" s="4" t="str">
        <f>IF(Customers!G888="","",IF(OR(Customers!G888&lt;Statistics!$C$15,Customers!G888&gt;Statistics!$C$16),"Outside 1.5·IQR",""))</f>
        <v/>
      </c>
      <c r="D888" s="4" t="str">
        <f>IF(OR(Customers!B888&lt;18,Customers!B888&gt;100),"Implausible age","")</f>
        <v/>
      </c>
      <c r="E888" s="4" t="str">
        <f>IF(Customers!H888&gt;Customers!B888-18,"Tenure &gt; age-18","")</f>
        <v/>
      </c>
      <c r="F888" s="4" t="str">
        <f>IF(Customers!R888&gt;Customers!Q888,"Card spend &gt; limit","")</f>
        <v/>
      </c>
      <c r="G888" s="4" t="str">
        <f>IF(OR(AND(Customers!S888&gt;0,Customers!T888=0),AND(Customers!S888=0,Customers!T888&gt;0)),"Mortgage/payment inconsistent","")</f>
        <v/>
      </c>
      <c r="H888" s="4" t="str">
        <f>IF(AND(Customers!G888&lt;&gt;"",Customers!G888&gt;0,Customers!T888&gt;Customers!G888/12),"Payment &gt; monthly income","")</f>
        <v/>
      </c>
      <c r="I888" s="4" t="str">
        <f>IF(OR(Customers!I888&gt;DATE(2026,9,13),YEAR(Customers!I888)&lt;1980),"Implausible date","")</f>
        <v/>
      </c>
      <c r="J888" s="4" t="str">
        <f>IF(Customers!I888&gt;DATE(2026,9,13),"",IF(ABS(INT((DATE(2026,9,13)-Customers!I888)/365.25)-Customers!H888)&gt;1,"Date/tenure inconsistent",""))</f>
        <v/>
      </c>
      <c r="K888" s="4" t="str">
        <f>IF(COUNTIF(Customers!$A$2:$A$1001,Customers!A888)&gt;1,"Duplicate ID","")</f>
        <v/>
      </c>
      <c r="L888" s="4" t="str">
        <f>IF(COUNTIFS(Customers!$B$2:$B$1001,Customers!B888,Customers!$D$2:$D$1001,Customers!D888,Customers!$G$2:$G$1001,Customers!G888,Customers!$I$2:$I$1001,Customers!I888,Customers!$L$2:$L$1001,Customers!L888)&gt;1,"Duplicate record","")</f>
        <v/>
      </c>
      <c r="M888" s="4" t="str">
        <f>IF(OR(Customers!U888&lt;300,Customers!U888&gt;850),"Score out of range","")</f>
        <v/>
      </c>
      <c r="N888" s="4" t="str">
        <f>IF(AND(Customers!G888&lt;&gt;"",Customers!G888&lt;=0),"Income ≤ 0","")</f>
        <v/>
      </c>
      <c r="O888" s="4" t="str">
        <f>IF(OR(Customers!G888="",Customers!M888=""),"Missing value","")</f>
        <v/>
      </c>
      <c r="P888" s="4">
        <f t="shared" si="13"/>
        <v>0</v>
      </c>
    </row>
    <row r="889" spans="1:16" x14ac:dyDescent="0.25">
      <c r="A889" s="4" t="str">
        <f>Customers!A889</f>
        <v>CL00882</v>
      </c>
      <c r="B889" s="20">
        <f>IF(Customers!G889="","",(Customers!G889-Statistics!$C$7)/Statistics!$C$9)</f>
        <v>-4.2528412756660361E-2</v>
      </c>
      <c r="C889" s="4" t="str">
        <f>IF(Customers!G889="","",IF(OR(Customers!G889&lt;Statistics!$C$15,Customers!G889&gt;Statistics!$C$16),"Outside 1.5·IQR",""))</f>
        <v/>
      </c>
      <c r="D889" s="4" t="str">
        <f>IF(OR(Customers!B889&lt;18,Customers!B889&gt;100),"Implausible age","")</f>
        <v/>
      </c>
      <c r="E889" s="4" t="str">
        <f>IF(Customers!H889&gt;Customers!B889-18,"Tenure &gt; age-18","")</f>
        <v/>
      </c>
      <c r="F889" s="4" t="str">
        <f>IF(Customers!R889&gt;Customers!Q889,"Card spend &gt; limit","")</f>
        <v/>
      </c>
      <c r="G889" s="4" t="str">
        <f>IF(OR(AND(Customers!S889&gt;0,Customers!T889=0),AND(Customers!S889=0,Customers!T889&gt;0)),"Mortgage/payment inconsistent","")</f>
        <v/>
      </c>
      <c r="H889" s="4" t="str">
        <f>IF(AND(Customers!G889&lt;&gt;"",Customers!G889&gt;0,Customers!T889&gt;Customers!G889/12),"Payment &gt; monthly income","")</f>
        <v/>
      </c>
      <c r="I889" s="4" t="str">
        <f>IF(OR(Customers!I889&gt;DATE(2026,9,13),YEAR(Customers!I889)&lt;1980),"Implausible date","")</f>
        <v/>
      </c>
      <c r="J889" s="4" t="str">
        <f>IF(Customers!I889&gt;DATE(2026,9,13),"",IF(ABS(INT((DATE(2026,9,13)-Customers!I889)/365.25)-Customers!H889)&gt;1,"Date/tenure inconsistent",""))</f>
        <v/>
      </c>
      <c r="K889" s="4" t="str">
        <f>IF(COUNTIF(Customers!$A$2:$A$1001,Customers!A889)&gt;1,"Duplicate ID","")</f>
        <v/>
      </c>
      <c r="L889" s="4" t="str">
        <f>IF(COUNTIFS(Customers!$B$2:$B$1001,Customers!B889,Customers!$D$2:$D$1001,Customers!D889,Customers!$G$2:$G$1001,Customers!G889,Customers!$I$2:$I$1001,Customers!I889,Customers!$L$2:$L$1001,Customers!L889)&gt;1,"Duplicate record","")</f>
        <v/>
      </c>
      <c r="M889" s="4" t="str">
        <f>IF(OR(Customers!U889&lt;300,Customers!U889&gt;850),"Score out of range","")</f>
        <v/>
      </c>
      <c r="N889" s="4" t="str">
        <f>IF(AND(Customers!G889&lt;&gt;"",Customers!G889&lt;=0),"Income ≤ 0","")</f>
        <v/>
      </c>
      <c r="O889" s="4" t="str">
        <f>IF(OR(Customers!G889="",Customers!M889=""),"Missing value","")</f>
        <v/>
      </c>
      <c r="P889" s="4">
        <f t="shared" si="13"/>
        <v>0</v>
      </c>
    </row>
    <row r="890" spans="1:16" x14ac:dyDescent="0.25">
      <c r="A890" s="4" t="str">
        <f>Customers!A890</f>
        <v>CL00883</v>
      </c>
      <c r="B890" s="20">
        <f>IF(Customers!G890="","",(Customers!G890-Statistics!$C$7)/Statistics!$C$9)</f>
        <v>1.1346897520235318E-2</v>
      </c>
      <c r="C890" s="4" t="str">
        <f>IF(Customers!G890="","",IF(OR(Customers!G890&lt;Statistics!$C$15,Customers!G890&gt;Statistics!$C$16),"Outside 1.5·IQR",""))</f>
        <v>Outside 1.5·IQR</v>
      </c>
      <c r="D890" s="4" t="str">
        <f>IF(OR(Customers!B890&lt;18,Customers!B890&gt;100),"Implausible age","")</f>
        <v/>
      </c>
      <c r="E890" s="4" t="str">
        <f>IF(Customers!H890&gt;Customers!B890-18,"Tenure &gt; age-18","")</f>
        <v/>
      </c>
      <c r="F890" s="4" t="str">
        <f>IF(Customers!R890&gt;Customers!Q890,"Card spend &gt; limit","")</f>
        <v/>
      </c>
      <c r="G890" s="4" t="str">
        <f>IF(OR(AND(Customers!S890&gt;0,Customers!T890=0),AND(Customers!S890=0,Customers!T890&gt;0)),"Mortgage/payment inconsistent","")</f>
        <v/>
      </c>
      <c r="H890" s="4" t="str">
        <f>IF(AND(Customers!G890&lt;&gt;"",Customers!G890&gt;0,Customers!T890&gt;Customers!G890/12),"Payment &gt; monthly income","")</f>
        <v/>
      </c>
      <c r="I890" s="4" t="str">
        <f>IF(OR(Customers!I890&gt;DATE(2026,9,13),YEAR(Customers!I890)&lt;1980),"Implausible date","")</f>
        <v/>
      </c>
      <c r="J890" s="4" t="str">
        <f>IF(Customers!I890&gt;DATE(2026,9,13),"",IF(ABS(INT((DATE(2026,9,13)-Customers!I890)/365.25)-Customers!H890)&gt;1,"Date/tenure inconsistent",""))</f>
        <v/>
      </c>
      <c r="K890" s="4" t="str">
        <f>IF(COUNTIF(Customers!$A$2:$A$1001,Customers!A890)&gt;1,"Duplicate ID","")</f>
        <v/>
      </c>
      <c r="L890" s="4" t="str">
        <f>IF(COUNTIFS(Customers!$B$2:$B$1001,Customers!B890,Customers!$D$2:$D$1001,Customers!D890,Customers!$G$2:$G$1001,Customers!G890,Customers!$I$2:$I$1001,Customers!I890,Customers!$L$2:$L$1001,Customers!L890)&gt;1,"Duplicate record","")</f>
        <v/>
      </c>
      <c r="M890" s="4" t="str">
        <f>IF(OR(Customers!U890&lt;300,Customers!U890&gt;850),"Score out of range","")</f>
        <v/>
      </c>
      <c r="N890" s="4" t="str">
        <f>IF(AND(Customers!G890&lt;&gt;"",Customers!G890&lt;=0),"Income ≤ 0","")</f>
        <v/>
      </c>
      <c r="O890" s="4" t="str">
        <f>IF(OR(Customers!G890="",Customers!M890=""),"Missing value","")</f>
        <v/>
      </c>
      <c r="P890" s="4">
        <f t="shared" si="13"/>
        <v>1</v>
      </c>
    </row>
    <row r="891" spans="1:16" x14ac:dyDescent="0.25">
      <c r="A891" s="4" t="str">
        <f>Customers!A891</f>
        <v>CL00884</v>
      </c>
      <c r="B891" s="20">
        <f>IF(Customers!G891="","",(Customers!G891-Statistics!$C$7)/Statistics!$C$9)</f>
        <v>-4.2528412756660361E-2</v>
      </c>
      <c r="C891" s="4" t="str">
        <f>IF(Customers!G891="","",IF(OR(Customers!G891&lt;Statistics!$C$15,Customers!G891&gt;Statistics!$C$16),"Outside 1.5·IQR",""))</f>
        <v/>
      </c>
      <c r="D891" s="4" t="str">
        <f>IF(OR(Customers!B891&lt;18,Customers!B891&gt;100),"Implausible age","")</f>
        <v/>
      </c>
      <c r="E891" s="4" t="str">
        <f>IF(Customers!H891&gt;Customers!B891-18,"Tenure &gt; age-18","")</f>
        <v/>
      </c>
      <c r="F891" s="4" t="str">
        <f>IF(Customers!R891&gt;Customers!Q891,"Card spend &gt; limit","")</f>
        <v/>
      </c>
      <c r="G891" s="4" t="str">
        <f>IF(OR(AND(Customers!S891&gt;0,Customers!T891=0),AND(Customers!S891=0,Customers!T891&gt;0)),"Mortgage/payment inconsistent","")</f>
        <v/>
      </c>
      <c r="H891" s="4" t="str">
        <f>IF(AND(Customers!G891&lt;&gt;"",Customers!G891&gt;0,Customers!T891&gt;Customers!G891/12),"Payment &gt; monthly income","")</f>
        <v/>
      </c>
      <c r="I891" s="4" t="str">
        <f>IF(OR(Customers!I891&gt;DATE(2026,9,13),YEAR(Customers!I891)&lt;1980),"Implausible date","")</f>
        <v/>
      </c>
      <c r="J891" s="4" t="str">
        <f>IF(Customers!I891&gt;DATE(2026,9,13),"",IF(ABS(INT((DATE(2026,9,13)-Customers!I891)/365.25)-Customers!H891)&gt;1,"Date/tenure inconsistent",""))</f>
        <v/>
      </c>
      <c r="K891" s="4" t="str">
        <f>IF(COUNTIF(Customers!$A$2:$A$1001,Customers!A891)&gt;1,"Duplicate ID","")</f>
        <v/>
      </c>
      <c r="L891" s="4" t="str">
        <f>IF(COUNTIFS(Customers!$B$2:$B$1001,Customers!B891,Customers!$D$2:$D$1001,Customers!D891,Customers!$G$2:$G$1001,Customers!G891,Customers!$I$2:$I$1001,Customers!I891,Customers!$L$2:$L$1001,Customers!L891)&gt;1,"Duplicate record","")</f>
        <v/>
      </c>
      <c r="M891" s="4" t="str">
        <f>IF(OR(Customers!U891&lt;300,Customers!U891&gt;850),"Score out of range","")</f>
        <v/>
      </c>
      <c r="N891" s="4" t="str">
        <f>IF(AND(Customers!G891&lt;&gt;"",Customers!G891&lt;=0),"Income ≤ 0","")</f>
        <v/>
      </c>
      <c r="O891" s="4" t="str">
        <f>IF(OR(Customers!G891="",Customers!M891=""),"Missing value","")</f>
        <v/>
      </c>
      <c r="P891" s="4">
        <f t="shared" si="13"/>
        <v>0</v>
      </c>
    </row>
    <row r="892" spans="1:16" x14ac:dyDescent="0.25">
      <c r="A892" s="4" t="str">
        <f>Customers!A892</f>
        <v>CL00885</v>
      </c>
      <c r="B892" s="20">
        <f>IF(Customers!G892="","",(Customers!G892-Statistics!$C$7)/Statistics!$C$9)</f>
        <v>-4.9422876594654323E-2</v>
      </c>
      <c r="C892" s="4" t="str">
        <f>IF(Customers!G892="","",IF(OR(Customers!G892&lt;Statistics!$C$15,Customers!G892&gt;Statistics!$C$16),"Outside 1.5·IQR",""))</f>
        <v/>
      </c>
      <c r="D892" s="4" t="str">
        <f>IF(OR(Customers!B892&lt;18,Customers!B892&gt;100),"Implausible age","")</f>
        <v/>
      </c>
      <c r="E892" s="4" t="str">
        <f>IF(Customers!H892&gt;Customers!B892-18,"Tenure &gt; age-18","")</f>
        <v/>
      </c>
      <c r="F892" s="4" t="str">
        <f>IF(Customers!R892&gt;Customers!Q892,"Card spend &gt; limit","")</f>
        <v/>
      </c>
      <c r="G892" s="4" t="str">
        <f>IF(OR(AND(Customers!S892&gt;0,Customers!T892=0),AND(Customers!S892=0,Customers!T892&gt;0)),"Mortgage/payment inconsistent","")</f>
        <v/>
      </c>
      <c r="H892" s="4" t="str">
        <f>IF(AND(Customers!G892&lt;&gt;"",Customers!G892&gt;0,Customers!T892&gt;Customers!G892/12),"Payment &gt; monthly income","")</f>
        <v/>
      </c>
      <c r="I892" s="4" t="str">
        <f>IF(OR(Customers!I892&gt;DATE(2026,9,13),YEAR(Customers!I892)&lt;1980),"Implausible date","")</f>
        <v/>
      </c>
      <c r="J892" s="4" t="str">
        <f>IF(Customers!I892&gt;DATE(2026,9,13),"",IF(ABS(INT((DATE(2026,9,13)-Customers!I892)/365.25)-Customers!H892)&gt;1,"Date/tenure inconsistent",""))</f>
        <v/>
      </c>
      <c r="K892" s="4" t="str">
        <f>IF(COUNTIF(Customers!$A$2:$A$1001,Customers!A892)&gt;1,"Duplicate ID","")</f>
        <v/>
      </c>
      <c r="L892" s="4" t="str">
        <f>IF(COUNTIFS(Customers!$B$2:$B$1001,Customers!B892,Customers!$D$2:$D$1001,Customers!D892,Customers!$G$2:$G$1001,Customers!G892,Customers!$I$2:$I$1001,Customers!I892,Customers!$L$2:$L$1001,Customers!L892)&gt;1,"Duplicate record","")</f>
        <v/>
      </c>
      <c r="M892" s="4" t="str">
        <f>IF(OR(Customers!U892&lt;300,Customers!U892&gt;850),"Score out of range","")</f>
        <v/>
      </c>
      <c r="N892" s="4" t="str">
        <f>IF(AND(Customers!G892&lt;&gt;"",Customers!G892&lt;=0),"Income ≤ 0","")</f>
        <v/>
      </c>
      <c r="O892" s="4" t="str">
        <f>IF(OR(Customers!G892="",Customers!M892=""),"Missing value","")</f>
        <v/>
      </c>
      <c r="P892" s="4">
        <f t="shared" si="13"/>
        <v>0</v>
      </c>
    </row>
    <row r="893" spans="1:16" x14ac:dyDescent="0.25">
      <c r="A893" s="4" t="str">
        <f>Customers!A893</f>
        <v>CL00886</v>
      </c>
      <c r="B893" s="20">
        <f>IF(Customers!G893="","",(Customers!G893-Statistics!$C$7)/Statistics!$C$9)</f>
        <v>-5.4741462983963957E-2</v>
      </c>
      <c r="C893" s="4" t="str">
        <f>IF(Customers!G893="","",IF(OR(Customers!G893&lt;Statistics!$C$15,Customers!G893&gt;Statistics!$C$16),"Outside 1.5·IQR",""))</f>
        <v/>
      </c>
      <c r="D893" s="4" t="str">
        <f>IF(OR(Customers!B893&lt;18,Customers!B893&gt;100),"Implausible age","")</f>
        <v/>
      </c>
      <c r="E893" s="4" t="str">
        <f>IF(Customers!H893&gt;Customers!B893-18,"Tenure &gt; age-18","")</f>
        <v/>
      </c>
      <c r="F893" s="4" t="str">
        <f>IF(Customers!R893&gt;Customers!Q893,"Card spend &gt; limit","")</f>
        <v/>
      </c>
      <c r="G893" s="4" t="str">
        <f>IF(OR(AND(Customers!S893&gt;0,Customers!T893=0),AND(Customers!S893=0,Customers!T893&gt;0)),"Mortgage/payment inconsistent","")</f>
        <v/>
      </c>
      <c r="H893" s="4" t="str">
        <f>IF(AND(Customers!G893&lt;&gt;"",Customers!G893&gt;0,Customers!T893&gt;Customers!G893/12),"Payment &gt; monthly income","")</f>
        <v/>
      </c>
      <c r="I893" s="4" t="str">
        <f>IF(OR(Customers!I893&gt;DATE(2026,9,13),YEAR(Customers!I893)&lt;1980),"Implausible date","")</f>
        <v/>
      </c>
      <c r="J893" s="4" t="str">
        <f>IF(Customers!I893&gt;DATE(2026,9,13),"",IF(ABS(INT((DATE(2026,9,13)-Customers!I893)/365.25)-Customers!H893)&gt;1,"Date/tenure inconsistent",""))</f>
        <v/>
      </c>
      <c r="K893" s="4" t="str">
        <f>IF(COUNTIF(Customers!$A$2:$A$1001,Customers!A893)&gt;1,"Duplicate ID","")</f>
        <v/>
      </c>
      <c r="L893" s="4" t="str">
        <f>IF(COUNTIFS(Customers!$B$2:$B$1001,Customers!B893,Customers!$D$2:$D$1001,Customers!D893,Customers!$G$2:$G$1001,Customers!G893,Customers!$I$2:$I$1001,Customers!I893,Customers!$L$2:$L$1001,Customers!L893)&gt;1,"Duplicate record","")</f>
        <v/>
      </c>
      <c r="M893" s="4" t="str">
        <f>IF(OR(Customers!U893&lt;300,Customers!U893&gt;850),"Score out of range","")</f>
        <v/>
      </c>
      <c r="N893" s="4" t="str">
        <f>IF(AND(Customers!G893&lt;&gt;"",Customers!G893&lt;=0),"Income ≤ 0","")</f>
        <v/>
      </c>
      <c r="O893" s="4" t="str">
        <f>IF(OR(Customers!G893="",Customers!M893=""),"Missing value","")</f>
        <v/>
      </c>
      <c r="P893" s="4">
        <f t="shared" si="13"/>
        <v>0</v>
      </c>
    </row>
    <row r="894" spans="1:16" x14ac:dyDescent="0.25">
      <c r="A894" s="4" t="str">
        <f>Customers!A894</f>
        <v>CL00887</v>
      </c>
      <c r="B894" s="20">
        <f>IF(Customers!G894="","",(Customers!G894-Statistics!$C$7)/Statistics!$C$9)</f>
        <v>-4.4990721270229635E-2</v>
      </c>
      <c r="C894" s="4" t="str">
        <f>IF(Customers!G894="","",IF(OR(Customers!G894&lt;Statistics!$C$15,Customers!G894&gt;Statistics!$C$16),"Outside 1.5·IQR",""))</f>
        <v/>
      </c>
      <c r="D894" s="4" t="str">
        <f>IF(OR(Customers!B894&lt;18,Customers!B894&gt;100),"Implausible age","")</f>
        <v/>
      </c>
      <c r="E894" s="4" t="str">
        <f>IF(Customers!H894&gt;Customers!B894-18,"Tenure &gt; age-18","")</f>
        <v/>
      </c>
      <c r="F894" s="4" t="str">
        <f>IF(Customers!R894&gt;Customers!Q894,"Card spend &gt; limit","")</f>
        <v/>
      </c>
      <c r="G894" s="4" t="str">
        <f>IF(OR(AND(Customers!S894&gt;0,Customers!T894=0),AND(Customers!S894=0,Customers!T894&gt;0)),"Mortgage/payment inconsistent","")</f>
        <v/>
      </c>
      <c r="H894" s="4" t="str">
        <f>IF(AND(Customers!G894&lt;&gt;"",Customers!G894&gt;0,Customers!T894&gt;Customers!G894/12),"Payment &gt; monthly income","")</f>
        <v/>
      </c>
      <c r="I894" s="4" t="str">
        <f>IF(OR(Customers!I894&gt;DATE(2026,9,13),YEAR(Customers!I894)&lt;1980),"Implausible date","")</f>
        <v/>
      </c>
      <c r="J894" s="4" t="str">
        <f>IF(Customers!I894&gt;DATE(2026,9,13),"",IF(ABS(INT((DATE(2026,9,13)-Customers!I894)/365.25)-Customers!H894)&gt;1,"Date/tenure inconsistent",""))</f>
        <v/>
      </c>
      <c r="K894" s="4" t="str">
        <f>IF(COUNTIF(Customers!$A$2:$A$1001,Customers!A894)&gt;1,"Duplicate ID","")</f>
        <v/>
      </c>
      <c r="L894" s="4" t="str">
        <f>IF(COUNTIFS(Customers!$B$2:$B$1001,Customers!B894,Customers!$D$2:$D$1001,Customers!D894,Customers!$G$2:$G$1001,Customers!G894,Customers!$I$2:$I$1001,Customers!I894,Customers!$L$2:$L$1001,Customers!L894)&gt;1,"Duplicate record","")</f>
        <v/>
      </c>
      <c r="M894" s="4" t="str">
        <f>IF(OR(Customers!U894&lt;300,Customers!U894&gt;850),"Score out of range","")</f>
        <v/>
      </c>
      <c r="N894" s="4" t="str">
        <f>IF(AND(Customers!G894&lt;&gt;"",Customers!G894&lt;=0),"Income ≤ 0","")</f>
        <v/>
      </c>
      <c r="O894" s="4" t="str">
        <f>IF(OR(Customers!G894="",Customers!M894=""),"Missing value","")</f>
        <v/>
      </c>
      <c r="P894" s="4">
        <f t="shared" si="13"/>
        <v>0</v>
      </c>
    </row>
    <row r="895" spans="1:16" x14ac:dyDescent="0.25">
      <c r="A895" s="4" t="str">
        <f>Customers!A895</f>
        <v>CL00888</v>
      </c>
      <c r="B895" s="20">
        <f>IF(Customers!G895="","",(Customers!G895-Statistics!$C$7)/Statistics!$C$9)</f>
        <v>1.2036343904034715E-2</v>
      </c>
      <c r="C895" s="4" t="str">
        <f>IF(Customers!G895="","",IF(OR(Customers!G895&lt;Statistics!$C$15,Customers!G895&gt;Statistics!$C$16),"Outside 1.5·IQR",""))</f>
        <v>Outside 1.5·IQR</v>
      </c>
      <c r="D895" s="4" t="str">
        <f>IF(OR(Customers!B895&lt;18,Customers!B895&gt;100),"Implausible age","")</f>
        <v/>
      </c>
      <c r="E895" s="4" t="str">
        <f>IF(Customers!H895&gt;Customers!B895-18,"Tenure &gt; age-18","")</f>
        <v/>
      </c>
      <c r="F895" s="4" t="str">
        <f>IF(Customers!R895&gt;Customers!Q895,"Card spend &gt; limit","")</f>
        <v/>
      </c>
      <c r="G895" s="4" t="str">
        <f>IF(OR(AND(Customers!S895&gt;0,Customers!T895=0),AND(Customers!S895=0,Customers!T895&gt;0)),"Mortgage/payment inconsistent","")</f>
        <v/>
      </c>
      <c r="H895" s="4" t="str">
        <f>IF(AND(Customers!G895&lt;&gt;"",Customers!G895&gt;0,Customers!T895&gt;Customers!G895/12),"Payment &gt; monthly income","")</f>
        <v/>
      </c>
      <c r="I895" s="4" t="str">
        <f>IF(OR(Customers!I895&gt;DATE(2026,9,13),YEAR(Customers!I895)&lt;1980),"Implausible date","")</f>
        <v/>
      </c>
      <c r="J895" s="4" t="str">
        <f>IF(Customers!I895&gt;DATE(2026,9,13),"",IF(ABS(INT((DATE(2026,9,13)-Customers!I895)/365.25)-Customers!H895)&gt;1,"Date/tenure inconsistent",""))</f>
        <v/>
      </c>
      <c r="K895" s="4" t="str">
        <f>IF(COUNTIF(Customers!$A$2:$A$1001,Customers!A895)&gt;1,"Duplicate ID","")</f>
        <v/>
      </c>
      <c r="L895" s="4" t="str">
        <f>IF(COUNTIFS(Customers!$B$2:$B$1001,Customers!B895,Customers!$D$2:$D$1001,Customers!D895,Customers!$G$2:$G$1001,Customers!G895,Customers!$I$2:$I$1001,Customers!I895,Customers!$L$2:$L$1001,Customers!L895)&gt;1,"Duplicate record","")</f>
        <v/>
      </c>
      <c r="M895" s="4" t="str">
        <f>IF(OR(Customers!U895&lt;300,Customers!U895&gt;850),"Score out of range","")</f>
        <v/>
      </c>
      <c r="N895" s="4" t="str">
        <f>IF(AND(Customers!G895&lt;&gt;"",Customers!G895&lt;=0),"Income ≤ 0","")</f>
        <v/>
      </c>
      <c r="O895" s="4" t="str">
        <f>IF(OR(Customers!G895="",Customers!M895=""),"Missing value","")</f>
        <v/>
      </c>
      <c r="P895" s="4">
        <f t="shared" si="13"/>
        <v>1</v>
      </c>
    </row>
    <row r="896" spans="1:16" x14ac:dyDescent="0.25">
      <c r="A896" s="4" t="str">
        <f>Customers!A896</f>
        <v>CL00889</v>
      </c>
      <c r="B896" s="20">
        <f>IF(Customers!G896="","",(Customers!G896-Statistics!$C$7)/Statistics!$C$9)</f>
        <v>-5.4249001281250098E-2</v>
      </c>
      <c r="C896" s="4" t="str">
        <f>IF(Customers!G896="","",IF(OR(Customers!G896&lt;Statistics!$C$15,Customers!G896&gt;Statistics!$C$16),"Outside 1.5·IQR",""))</f>
        <v/>
      </c>
      <c r="D896" s="4" t="str">
        <f>IF(OR(Customers!B896&lt;18,Customers!B896&gt;100),"Implausible age","")</f>
        <v/>
      </c>
      <c r="E896" s="4" t="str">
        <f>IF(Customers!H896&gt;Customers!B896-18,"Tenure &gt; age-18","")</f>
        <v/>
      </c>
      <c r="F896" s="4" t="str">
        <f>IF(Customers!R896&gt;Customers!Q896,"Card spend &gt; limit","")</f>
        <v/>
      </c>
      <c r="G896" s="4" t="str">
        <f>IF(OR(AND(Customers!S896&gt;0,Customers!T896=0),AND(Customers!S896=0,Customers!T896&gt;0)),"Mortgage/payment inconsistent","")</f>
        <v/>
      </c>
      <c r="H896" s="4" t="str">
        <f>IF(AND(Customers!G896&lt;&gt;"",Customers!G896&gt;0,Customers!T896&gt;Customers!G896/12),"Payment &gt; monthly income","")</f>
        <v/>
      </c>
      <c r="I896" s="4" t="str">
        <f>IF(OR(Customers!I896&gt;DATE(2026,9,13),YEAR(Customers!I896)&lt;1980),"Implausible date","")</f>
        <v/>
      </c>
      <c r="J896" s="4" t="str">
        <f>IF(Customers!I896&gt;DATE(2026,9,13),"",IF(ABS(INT((DATE(2026,9,13)-Customers!I896)/365.25)-Customers!H896)&gt;1,"Date/tenure inconsistent",""))</f>
        <v/>
      </c>
      <c r="K896" s="4" t="str">
        <f>IF(COUNTIF(Customers!$A$2:$A$1001,Customers!A896)&gt;1,"Duplicate ID","")</f>
        <v/>
      </c>
      <c r="L896" s="4" t="str">
        <f>IF(COUNTIFS(Customers!$B$2:$B$1001,Customers!B896,Customers!$D$2:$D$1001,Customers!D896,Customers!$G$2:$G$1001,Customers!G896,Customers!$I$2:$I$1001,Customers!I896,Customers!$L$2:$L$1001,Customers!L896)&gt;1,"Duplicate record","")</f>
        <v/>
      </c>
      <c r="M896" s="4" t="str">
        <f>IF(OR(Customers!U896&lt;300,Customers!U896&gt;850),"Score out of range","")</f>
        <v/>
      </c>
      <c r="N896" s="4" t="str">
        <f>IF(AND(Customers!G896&lt;&gt;"",Customers!G896&lt;=0),"Income ≤ 0","")</f>
        <v/>
      </c>
      <c r="O896" s="4" t="str">
        <f>IF(OR(Customers!G896="",Customers!M896=""),"Missing value","")</f>
        <v/>
      </c>
      <c r="P896" s="4">
        <f t="shared" si="13"/>
        <v>0</v>
      </c>
    </row>
    <row r="897" spans="1:16" x14ac:dyDescent="0.25">
      <c r="A897" s="4" t="str">
        <f>Customers!A897</f>
        <v>CL00890</v>
      </c>
      <c r="B897" s="20">
        <f>IF(Customers!G897="","",(Customers!G897-Statistics!$C$7)/Statistics!$C$9)</f>
        <v>-3.642188764300857E-2</v>
      </c>
      <c r="C897" s="4" t="str">
        <f>IF(Customers!G897="","",IF(OR(Customers!G897&lt;Statistics!$C$15,Customers!G897&gt;Statistics!$C$16),"Outside 1.5·IQR",""))</f>
        <v/>
      </c>
      <c r="D897" s="4" t="str">
        <f>IF(OR(Customers!B897&lt;18,Customers!B897&gt;100),"Implausible age","")</f>
        <v/>
      </c>
      <c r="E897" s="4" t="str">
        <f>IF(Customers!H897&gt;Customers!B897-18,"Tenure &gt; age-18","")</f>
        <v/>
      </c>
      <c r="F897" s="4" t="str">
        <f>IF(Customers!R897&gt;Customers!Q897,"Card spend &gt; limit","")</f>
        <v/>
      </c>
      <c r="G897" s="4" t="str">
        <f>IF(OR(AND(Customers!S897&gt;0,Customers!T897=0),AND(Customers!S897=0,Customers!T897&gt;0)),"Mortgage/payment inconsistent","")</f>
        <v/>
      </c>
      <c r="H897" s="4" t="str">
        <f>IF(AND(Customers!G897&lt;&gt;"",Customers!G897&gt;0,Customers!T897&gt;Customers!G897/12),"Payment &gt; monthly income","")</f>
        <v/>
      </c>
      <c r="I897" s="4" t="str">
        <f>IF(OR(Customers!I897&gt;DATE(2026,9,13),YEAR(Customers!I897)&lt;1980),"Implausible date","")</f>
        <v/>
      </c>
      <c r="J897" s="4" t="str">
        <f>IF(Customers!I897&gt;DATE(2026,9,13),"",IF(ABS(INT((DATE(2026,9,13)-Customers!I897)/365.25)-Customers!H897)&gt;1,"Date/tenure inconsistent",""))</f>
        <v/>
      </c>
      <c r="K897" s="4" t="str">
        <f>IF(COUNTIF(Customers!$A$2:$A$1001,Customers!A897)&gt;1,"Duplicate ID","")</f>
        <v/>
      </c>
      <c r="L897" s="4" t="str">
        <f>IF(COUNTIFS(Customers!$B$2:$B$1001,Customers!B897,Customers!$D$2:$D$1001,Customers!D897,Customers!$G$2:$G$1001,Customers!G897,Customers!$I$2:$I$1001,Customers!I897,Customers!$L$2:$L$1001,Customers!L897)&gt;1,"Duplicate record","")</f>
        <v/>
      </c>
      <c r="M897" s="4" t="str">
        <f>IF(OR(Customers!U897&lt;300,Customers!U897&gt;850),"Score out of range","")</f>
        <v/>
      </c>
      <c r="N897" s="4" t="str">
        <f>IF(AND(Customers!G897&lt;&gt;"",Customers!G897&lt;=0),"Income ≤ 0","")</f>
        <v/>
      </c>
      <c r="O897" s="4" t="str">
        <f>IF(OR(Customers!G897="",Customers!M897=""),"Missing value","")</f>
        <v/>
      </c>
      <c r="P897" s="4">
        <f t="shared" si="13"/>
        <v>0</v>
      </c>
    </row>
    <row r="898" spans="1:16" x14ac:dyDescent="0.25">
      <c r="A898" s="4" t="str">
        <f>Customers!A898</f>
        <v>CL00891</v>
      </c>
      <c r="B898" s="20">
        <f>IF(Customers!G898="","",(Customers!G898-Statistics!$C$7)/Statistics!$C$9)</f>
        <v>-6.0651003416530208E-2</v>
      </c>
      <c r="C898" s="4" t="str">
        <f>IF(Customers!G898="","",IF(OR(Customers!G898&lt;Statistics!$C$15,Customers!G898&gt;Statistics!$C$16),"Outside 1.5·IQR",""))</f>
        <v/>
      </c>
      <c r="D898" s="4" t="str">
        <f>IF(OR(Customers!B898&lt;18,Customers!B898&gt;100),"Implausible age","")</f>
        <v/>
      </c>
      <c r="E898" s="4" t="str">
        <f>IF(Customers!H898&gt;Customers!B898-18,"Tenure &gt; age-18","")</f>
        <v/>
      </c>
      <c r="F898" s="4" t="str">
        <f>IF(Customers!R898&gt;Customers!Q898,"Card spend &gt; limit","")</f>
        <v/>
      </c>
      <c r="G898" s="4" t="str">
        <f>IF(OR(AND(Customers!S898&gt;0,Customers!T898=0),AND(Customers!S898=0,Customers!T898&gt;0)),"Mortgage/payment inconsistent","")</f>
        <v/>
      </c>
      <c r="H898" s="4" t="str">
        <f>IF(AND(Customers!G898&lt;&gt;"",Customers!G898&gt;0,Customers!T898&gt;Customers!G898/12),"Payment &gt; monthly income","")</f>
        <v/>
      </c>
      <c r="I898" s="4" t="str">
        <f>IF(OR(Customers!I898&gt;DATE(2026,9,13),YEAR(Customers!I898)&lt;1980),"Implausible date","")</f>
        <v/>
      </c>
      <c r="J898" s="4" t="str">
        <f>IF(Customers!I898&gt;DATE(2026,9,13),"",IF(ABS(INT((DATE(2026,9,13)-Customers!I898)/365.25)-Customers!H898)&gt;1,"Date/tenure inconsistent",""))</f>
        <v/>
      </c>
      <c r="K898" s="4" t="str">
        <f>IF(COUNTIF(Customers!$A$2:$A$1001,Customers!A898)&gt;1,"Duplicate ID","")</f>
        <v/>
      </c>
      <c r="L898" s="4" t="str">
        <f>IF(COUNTIFS(Customers!$B$2:$B$1001,Customers!B898,Customers!$D$2:$D$1001,Customers!D898,Customers!$G$2:$G$1001,Customers!G898,Customers!$I$2:$I$1001,Customers!I898,Customers!$L$2:$L$1001,Customers!L898)&gt;1,"Duplicate record","")</f>
        <v/>
      </c>
      <c r="M898" s="4" t="str">
        <f>IF(OR(Customers!U898&lt;300,Customers!U898&gt;850),"Score out of range","")</f>
        <v/>
      </c>
      <c r="N898" s="4" t="str">
        <f>IF(AND(Customers!G898&lt;&gt;"",Customers!G898&lt;=0),"Income ≤ 0","")</f>
        <v/>
      </c>
      <c r="O898" s="4" t="str">
        <f>IF(OR(Customers!G898="",Customers!M898=""),"Missing value","")</f>
        <v/>
      </c>
      <c r="P898" s="4">
        <f t="shared" ref="P898:P961" si="14">SUMPRODUCT(--(C898:O898&lt;&gt;""))</f>
        <v>0</v>
      </c>
    </row>
    <row r="899" spans="1:16" x14ac:dyDescent="0.25">
      <c r="A899" s="4" t="str">
        <f>Customers!A899</f>
        <v>CL00892</v>
      </c>
      <c r="B899" s="20">
        <f>IF(Customers!G899="","",(Customers!G899-Statistics!$C$7)/Statistics!$C$9)</f>
        <v>-2.4405822096790517E-2</v>
      </c>
      <c r="C899" s="4" t="str">
        <f>IF(Customers!G899="","",IF(OR(Customers!G899&lt;Statistics!$C$15,Customers!G899&gt;Statistics!$C$16),"Outside 1.5·IQR",""))</f>
        <v/>
      </c>
      <c r="D899" s="4" t="str">
        <f>IF(OR(Customers!B899&lt;18,Customers!B899&gt;100),"Implausible age","")</f>
        <v/>
      </c>
      <c r="E899" s="4" t="str">
        <f>IF(Customers!H899&gt;Customers!B899-18,"Tenure &gt; age-18","")</f>
        <v/>
      </c>
      <c r="F899" s="4" t="str">
        <f>IF(Customers!R899&gt;Customers!Q899,"Card spend &gt; limit","")</f>
        <v/>
      </c>
      <c r="G899" s="4" t="str">
        <f>IF(OR(AND(Customers!S899&gt;0,Customers!T899=0),AND(Customers!S899=0,Customers!T899&gt;0)),"Mortgage/payment inconsistent","")</f>
        <v/>
      </c>
      <c r="H899" s="4" t="str">
        <f>IF(AND(Customers!G899&lt;&gt;"",Customers!G899&gt;0,Customers!T899&gt;Customers!G899/12),"Payment &gt; monthly income","")</f>
        <v/>
      </c>
      <c r="I899" s="4" t="str">
        <f>IF(OR(Customers!I899&gt;DATE(2026,9,13),YEAR(Customers!I899)&lt;1980),"Implausible date","")</f>
        <v/>
      </c>
      <c r="J899" s="4" t="str">
        <f>IF(Customers!I899&gt;DATE(2026,9,13),"",IF(ABS(INT((DATE(2026,9,13)-Customers!I899)/365.25)-Customers!H899)&gt;1,"Date/tenure inconsistent",""))</f>
        <v/>
      </c>
      <c r="K899" s="4" t="str">
        <f>IF(COUNTIF(Customers!$A$2:$A$1001,Customers!A899)&gt;1,"Duplicate ID","")</f>
        <v/>
      </c>
      <c r="L899" s="4" t="str">
        <f>IF(COUNTIFS(Customers!$B$2:$B$1001,Customers!B899,Customers!$D$2:$D$1001,Customers!D899,Customers!$G$2:$G$1001,Customers!G899,Customers!$I$2:$I$1001,Customers!I899,Customers!$L$2:$L$1001,Customers!L899)&gt;1,"Duplicate record","")</f>
        <v/>
      </c>
      <c r="M899" s="4" t="str">
        <f>IF(OR(Customers!U899&lt;300,Customers!U899&gt;850),"Score out of range","")</f>
        <v/>
      </c>
      <c r="N899" s="4" t="str">
        <f>IF(AND(Customers!G899&lt;&gt;"",Customers!G899&lt;=0),"Income ≤ 0","")</f>
        <v/>
      </c>
      <c r="O899" s="4" t="str">
        <f>IF(OR(Customers!G899="",Customers!M899=""),"Missing value","")</f>
        <v/>
      </c>
      <c r="P899" s="4">
        <f t="shared" si="14"/>
        <v>0</v>
      </c>
    </row>
    <row r="900" spans="1:16" x14ac:dyDescent="0.25">
      <c r="A900" s="4" t="str">
        <f>Customers!A900</f>
        <v>CL00893</v>
      </c>
      <c r="B900" s="20">
        <f>IF(Customers!G900="","",(Customers!G900-Statistics!$C$7)/Statistics!$C$9)</f>
        <v>-3.6815857005179649E-2</v>
      </c>
      <c r="C900" s="4" t="str">
        <f>IF(Customers!G900="","",IF(OR(Customers!G900&lt;Statistics!$C$15,Customers!G900&gt;Statistics!$C$16),"Outside 1.5·IQR",""))</f>
        <v/>
      </c>
      <c r="D900" s="4" t="str">
        <f>IF(OR(Customers!B900&lt;18,Customers!B900&gt;100),"Implausible age","")</f>
        <v/>
      </c>
      <c r="E900" s="4" t="str">
        <f>IF(Customers!H900&gt;Customers!B900-18,"Tenure &gt; age-18","")</f>
        <v/>
      </c>
      <c r="F900" s="4" t="str">
        <f>IF(Customers!R900&gt;Customers!Q900,"Card spend &gt; limit","")</f>
        <v/>
      </c>
      <c r="G900" s="4" t="str">
        <f>IF(OR(AND(Customers!S900&gt;0,Customers!T900=0),AND(Customers!S900=0,Customers!T900&gt;0)),"Mortgage/payment inconsistent","")</f>
        <v/>
      </c>
      <c r="H900" s="4" t="str">
        <f>IF(AND(Customers!G900&lt;&gt;"",Customers!G900&gt;0,Customers!T900&gt;Customers!G900/12),"Payment &gt; monthly income","")</f>
        <v/>
      </c>
      <c r="I900" s="4" t="str">
        <f>IF(OR(Customers!I900&gt;DATE(2026,9,13),YEAR(Customers!I900)&lt;1980),"Implausible date","")</f>
        <v/>
      </c>
      <c r="J900" s="4" t="str">
        <f>IF(Customers!I900&gt;DATE(2026,9,13),"",IF(ABS(INT((DATE(2026,9,13)-Customers!I900)/365.25)-Customers!H900)&gt;1,"Date/tenure inconsistent",""))</f>
        <v/>
      </c>
      <c r="K900" s="4" t="str">
        <f>IF(COUNTIF(Customers!$A$2:$A$1001,Customers!A900)&gt;1,"Duplicate ID","")</f>
        <v/>
      </c>
      <c r="L900" s="4" t="str">
        <f>IF(COUNTIFS(Customers!$B$2:$B$1001,Customers!B900,Customers!$D$2:$D$1001,Customers!D900,Customers!$G$2:$G$1001,Customers!G900,Customers!$I$2:$I$1001,Customers!I900,Customers!$L$2:$L$1001,Customers!L900)&gt;1,"Duplicate record","")</f>
        <v/>
      </c>
      <c r="M900" s="4" t="str">
        <f>IF(OR(Customers!U900&lt;300,Customers!U900&gt;850),"Score out of range","")</f>
        <v/>
      </c>
      <c r="N900" s="4" t="str">
        <f>IF(AND(Customers!G900&lt;&gt;"",Customers!G900&lt;=0),"Income ≤ 0","")</f>
        <v/>
      </c>
      <c r="O900" s="4" t="str">
        <f>IF(OR(Customers!G900="",Customers!M900=""),"Missing value","")</f>
        <v/>
      </c>
      <c r="P900" s="4">
        <f t="shared" si="14"/>
        <v>0</v>
      </c>
    </row>
    <row r="901" spans="1:16" x14ac:dyDescent="0.25">
      <c r="A901" s="4" t="str">
        <f>Customers!A901</f>
        <v>CL00894</v>
      </c>
      <c r="B901" s="20">
        <f>IF(Customers!G901="","",(Customers!G901-Statistics!$C$7)/Statistics!$C$9)</f>
        <v>-4.8733430210854932E-2</v>
      </c>
      <c r="C901" s="4" t="str">
        <f>IF(Customers!G901="","",IF(OR(Customers!G901&lt;Statistics!$C$15,Customers!G901&gt;Statistics!$C$16),"Outside 1.5·IQR",""))</f>
        <v/>
      </c>
      <c r="D901" s="4" t="str">
        <f>IF(OR(Customers!B901&lt;18,Customers!B901&gt;100),"Implausible age","")</f>
        <v/>
      </c>
      <c r="E901" s="4" t="str">
        <f>IF(Customers!H901&gt;Customers!B901-18,"Tenure &gt; age-18","")</f>
        <v/>
      </c>
      <c r="F901" s="4" t="str">
        <f>IF(Customers!R901&gt;Customers!Q901,"Card spend &gt; limit","")</f>
        <v/>
      </c>
      <c r="G901" s="4" t="str">
        <f>IF(OR(AND(Customers!S901&gt;0,Customers!T901=0),AND(Customers!S901=0,Customers!T901&gt;0)),"Mortgage/payment inconsistent","")</f>
        <v/>
      </c>
      <c r="H901" s="4" t="str">
        <f>IF(AND(Customers!G901&lt;&gt;"",Customers!G901&gt;0,Customers!T901&gt;Customers!G901/12),"Payment &gt; monthly income","")</f>
        <v/>
      </c>
      <c r="I901" s="4" t="str">
        <f>IF(OR(Customers!I901&gt;DATE(2026,9,13),YEAR(Customers!I901)&lt;1980),"Implausible date","")</f>
        <v/>
      </c>
      <c r="J901" s="4" t="str">
        <f>IF(Customers!I901&gt;DATE(2026,9,13),"",IF(ABS(INT((DATE(2026,9,13)-Customers!I901)/365.25)-Customers!H901)&gt;1,"Date/tenure inconsistent",""))</f>
        <v/>
      </c>
      <c r="K901" s="4" t="str">
        <f>IF(COUNTIF(Customers!$A$2:$A$1001,Customers!A901)&gt;1,"Duplicate ID","")</f>
        <v/>
      </c>
      <c r="L901" s="4" t="str">
        <f>IF(COUNTIFS(Customers!$B$2:$B$1001,Customers!B901,Customers!$D$2:$D$1001,Customers!D901,Customers!$G$2:$G$1001,Customers!G901,Customers!$I$2:$I$1001,Customers!I901,Customers!$L$2:$L$1001,Customers!L901)&gt;1,"Duplicate record","")</f>
        <v/>
      </c>
      <c r="M901" s="4" t="str">
        <f>IF(OR(Customers!U901&lt;300,Customers!U901&gt;850),"Score out of range","")</f>
        <v/>
      </c>
      <c r="N901" s="4" t="str">
        <f>IF(AND(Customers!G901&lt;&gt;"",Customers!G901&lt;=0),"Income ≤ 0","")</f>
        <v/>
      </c>
      <c r="O901" s="4" t="str">
        <f>IF(OR(Customers!G901="",Customers!M901=""),"Missing value","")</f>
        <v/>
      </c>
      <c r="P901" s="4">
        <f t="shared" si="14"/>
        <v>0</v>
      </c>
    </row>
    <row r="902" spans="1:16" x14ac:dyDescent="0.25">
      <c r="A902" s="4" t="str">
        <f>Customers!A902</f>
        <v>CL00895</v>
      </c>
      <c r="B902" s="20">
        <f>IF(Customers!G902="","",(Customers!G902-Statistics!$C$7)/Statistics!$C$9)</f>
        <v>-5.4249001281250098E-2</v>
      </c>
      <c r="C902" s="4" t="str">
        <f>IF(Customers!G902="","",IF(OR(Customers!G902&lt;Statistics!$C$15,Customers!G902&gt;Statistics!$C$16),"Outside 1.5·IQR",""))</f>
        <v/>
      </c>
      <c r="D902" s="4" t="str">
        <f>IF(OR(Customers!B902&lt;18,Customers!B902&gt;100),"Implausible age","")</f>
        <v/>
      </c>
      <c r="E902" s="4" t="str">
        <f>IF(Customers!H902&gt;Customers!B902-18,"Tenure &gt; age-18","")</f>
        <v/>
      </c>
      <c r="F902" s="4" t="str">
        <f>IF(Customers!R902&gt;Customers!Q902,"Card spend &gt; limit","")</f>
        <v/>
      </c>
      <c r="G902" s="4" t="str">
        <f>IF(OR(AND(Customers!S902&gt;0,Customers!T902=0),AND(Customers!S902=0,Customers!T902&gt;0)),"Mortgage/payment inconsistent","")</f>
        <v/>
      </c>
      <c r="H902" s="4" t="str">
        <f>IF(AND(Customers!G902&lt;&gt;"",Customers!G902&gt;0,Customers!T902&gt;Customers!G902/12),"Payment &gt; monthly income","")</f>
        <v/>
      </c>
      <c r="I902" s="4" t="str">
        <f>IF(OR(Customers!I902&gt;DATE(2026,9,13),YEAR(Customers!I902)&lt;1980),"Implausible date","")</f>
        <v/>
      </c>
      <c r="J902" s="4" t="str">
        <f>IF(Customers!I902&gt;DATE(2026,9,13),"",IF(ABS(INT((DATE(2026,9,13)-Customers!I902)/365.25)-Customers!H902)&gt;1,"Date/tenure inconsistent",""))</f>
        <v>Date/tenure inconsistent</v>
      </c>
      <c r="K902" s="4" t="str">
        <f>IF(COUNTIF(Customers!$A$2:$A$1001,Customers!A902)&gt;1,"Duplicate ID","")</f>
        <v/>
      </c>
      <c r="L902" s="4" t="str">
        <f>IF(COUNTIFS(Customers!$B$2:$B$1001,Customers!B902,Customers!$D$2:$D$1001,Customers!D902,Customers!$G$2:$G$1001,Customers!G902,Customers!$I$2:$I$1001,Customers!I902,Customers!$L$2:$L$1001,Customers!L902)&gt;1,"Duplicate record","")</f>
        <v/>
      </c>
      <c r="M902" s="4" t="str">
        <f>IF(OR(Customers!U902&lt;300,Customers!U902&gt;850),"Score out of range","")</f>
        <v/>
      </c>
      <c r="N902" s="4" t="str">
        <f>IF(AND(Customers!G902&lt;&gt;"",Customers!G902&lt;=0),"Income ≤ 0","")</f>
        <v/>
      </c>
      <c r="O902" s="4" t="str">
        <f>IF(OR(Customers!G902="",Customers!M902=""),"Missing value","")</f>
        <v/>
      </c>
      <c r="P902" s="4">
        <f t="shared" si="14"/>
        <v>1</v>
      </c>
    </row>
    <row r="903" spans="1:16" x14ac:dyDescent="0.25">
      <c r="A903" s="4" t="str">
        <f>Customers!A903</f>
        <v>CL00896</v>
      </c>
      <c r="B903" s="20">
        <f>IF(Customers!G903="","",(Customers!G903-Statistics!$C$7)/Statistics!$C$9)</f>
        <v>-2.1254067199421849E-2</v>
      </c>
      <c r="C903" s="4" t="str">
        <f>IF(Customers!G903="","",IF(OR(Customers!G903&lt;Statistics!$C$15,Customers!G903&gt;Statistics!$C$16),"Outside 1.5·IQR",""))</f>
        <v/>
      </c>
      <c r="D903" s="4" t="str">
        <f>IF(OR(Customers!B903&lt;18,Customers!B903&gt;100),"Implausible age","")</f>
        <v/>
      </c>
      <c r="E903" s="4" t="str">
        <f>IF(Customers!H903&gt;Customers!B903-18,"Tenure &gt; age-18","")</f>
        <v/>
      </c>
      <c r="F903" s="4" t="str">
        <f>IF(Customers!R903&gt;Customers!Q903,"Card spend &gt; limit","")</f>
        <v/>
      </c>
      <c r="G903" s="4" t="str">
        <f>IF(OR(AND(Customers!S903&gt;0,Customers!T903=0),AND(Customers!S903=0,Customers!T903&gt;0)),"Mortgage/payment inconsistent","")</f>
        <v/>
      </c>
      <c r="H903" s="4" t="str">
        <f>IF(AND(Customers!G903&lt;&gt;"",Customers!G903&gt;0,Customers!T903&gt;Customers!G903/12),"Payment &gt; monthly income","")</f>
        <v/>
      </c>
      <c r="I903" s="4" t="str">
        <f>IF(OR(Customers!I903&gt;DATE(2026,9,13),YEAR(Customers!I903)&lt;1980),"Implausible date","")</f>
        <v/>
      </c>
      <c r="J903" s="4" t="str">
        <f>IF(Customers!I903&gt;DATE(2026,9,13),"",IF(ABS(INT((DATE(2026,9,13)-Customers!I903)/365.25)-Customers!H903)&gt;1,"Date/tenure inconsistent",""))</f>
        <v/>
      </c>
      <c r="K903" s="4" t="str">
        <f>IF(COUNTIF(Customers!$A$2:$A$1001,Customers!A903)&gt;1,"Duplicate ID","")</f>
        <v/>
      </c>
      <c r="L903" s="4" t="str">
        <f>IF(COUNTIFS(Customers!$B$2:$B$1001,Customers!B903,Customers!$D$2:$D$1001,Customers!D903,Customers!$G$2:$G$1001,Customers!G903,Customers!$I$2:$I$1001,Customers!I903,Customers!$L$2:$L$1001,Customers!L903)&gt;1,"Duplicate record","")</f>
        <v/>
      </c>
      <c r="M903" s="4" t="str">
        <f>IF(OR(Customers!U903&lt;300,Customers!U903&gt;850),"Score out of range","")</f>
        <v/>
      </c>
      <c r="N903" s="4" t="str">
        <f>IF(AND(Customers!G903&lt;&gt;"",Customers!G903&lt;=0),"Income ≤ 0","")</f>
        <v/>
      </c>
      <c r="O903" s="4" t="str">
        <f>IF(OR(Customers!G903="",Customers!M903=""),"Missing value","")</f>
        <v/>
      </c>
      <c r="P903" s="4">
        <f t="shared" si="14"/>
        <v>0</v>
      </c>
    </row>
    <row r="904" spans="1:16" x14ac:dyDescent="0.25">
      <c r="A904" s="4" t="str">
        <f>Customers!A904</f>
        <v>CL00897</v>
      </c>
      <c r="B904" s="20">
        <f>IF(Customers!G904="","",(Customers!G904-Statistics!$C$7)/Statistics!$C$9)</f>
        <v>-4.9225891913568784E-2</v>
      </c>
      <c r="C904" s="4" t="str">
        <f>IF(Customers!G904="","",IF(OR(Customers!G904&lt;Statistics!$C$15,Customers!G904&gt;Statistics!$C$16),"Outside 1.5·IQR",""))</f>
        <v/>
      </c>
      <c r="D904" s="4" t="str">
        <f>IF(OR(Customers!B904&lt;18,Customers!B904&gt;100),"Implausible age","")</f>
        <v/>
      </c>
      <c r="E904" s="4" t="str">
        <f>IF(Customers!H904&gt;Customers!B904-18,"Tenure &gt; age-18","")</f>
        <v/>
      </c>
      <c r="F904" s="4" t="str">
        <f>IF(Customers!R904&gt;Customers!Q904,"Card spend &gt; limit","")</f>
        <v/>
      </c>
      <c r="G904" s="4" t="str">
        <f>IF(OR(AND(Customers!S904&gt;0,Customers!T904=0),AND(Customers!S904=0,Customers!T904&gt;0)),"Mortgage/payment inconsistent","")</f>
        <v/>
      </c>
      <c r="H904" s="4" t="str">
        <f>IF(AND(Customers!G904&lt;&gt;"",Customers!G904&gt;0,Customers!T904&gt;Customers!G904/12),"Payment &gt; monthly income","")</f>
        <v/>
      </c>
      <c r="I904" s="4" t="str">
        <f>IF(OR(Customers!I904&gt;DATE(2026,9,13),YEAR(Customers!I904)&lt;1980),"Implausible date","")</f>
        <v/>
      </c>
      <c r="J904" s="4" t="str">
        <f>IF(Customers!I904&gt;DATE(2026,9,13),"",IF(ABS(INT((DATE(2026,9,13)-Customers!I904)/365.25)-Customers!H904)&gt;1,"Date/tenure inconsistent",""))</f>
        <v/>
      </c>
      <c r="K904" s="4" t="str">
        <f>IF(COUNTIF(Customers!$A$2:$A$1001,Customers!A904)&gt;1,"Duplicate ID","")</f>
        <v/>
      </c>
      <c r="L904" s="4" t="str">
        <f>IF(COUNTIFS(Customers!$B$2:$B$1001,Customers!B904,Customers!$D$2:$D$1001,Customers!D904,Customers!$G$2:$G$1001,Customers!G904,Customers!$I$2:$I$1001,Customers!I904,Customers!$L$2:$L$1001,Customers!L904)&gt;1,"Duplicate record","")</f>
        <v/>
      </c>
      <c r="M904" s="4" t="str">
        <f>IF(OR(Customers!U904&lt;300,Customers!U904&gt;850),"Score out of range","")</f>
        <v/>
      </c>
      <c r="N904" s="4" t="str">
        <f>IF(AND(Customers!G904&lt;&gt;"",Customers!G904&lt;=0),"Income ≤ 0","")</f>
        <v/>
      </c>
      <c r="O904" s="4" t="str">
        <f>IF(OR(Customers!G904="",Customers!M904=""),"Missing value","")</f>
        <v/>
      </c>
      <c r="P904" s="4">
        <f t="shared" si="14"/>
        <v>0</v>
      </c>
    </row>
    <row r="905" spans="1:16" x14ac:dyDescent="0.25">
      <c r="A905" s="4" t="str">
        <f>Customers!A905</f>
        <v>CL00898</v>
      </c>
      <c r="B905" s="20">
        <f>IF(Customers!G905="","",(Customers!G905-Statistics!$C$7)/Statistics!$C$9)</f>
        <v>-5.6514325113733832E-2</v>
      </c>
      <c r="C905" s="4" t="str">
        <f>IF(Customers!G905="","",IF(OR(Customers!G905&lt;Statistics!$C$15,Customers!G905&gt;Statistics!$C$16),"Outside 1.5·IQR",""))</f>
        <v/>
      </c>
      <c r="D905" s="4" t="str">
        <f>IF(OR(Customers!B905&lt;18,Customers!B905&gt;100),"Implausible age","")</f>
        <v/>
      </c>
      <c r="E905" s="4" t="str">
        <f>IF(Customers!H905&gt;Customers!B905-18,"Tenure &gt; age-18","")</f>
        <v/>
      </c>
      <c r="F905" s="4" t="str">
        <f>IF(Customers!R905&gt;Customers!Q905,"Card spend &gt; limit","")</f>
        <v/>
      </c>
      <c r="G905" s="4" t="str">
        <f>IF(OR(AND(Customers!S905&gt;0,Customers!T905=0),AND(Customers!S905=0,Customers!T905&gt;0)),"Mortgage/payment inconsistent","")</f>
        <v/>
      </c>
      <c r="H905" s="4" t="str">
        <f>IF(AND(Customers!G905&lt;&gt;"",Customers!G905&gt;0,Customers!T905&gt;Customers!G905/12),"Payment &gt; monthly income","")</f>
        <v/>
      </c>
      <c r="I905" s="4" t="str">
        <f>IF(OR(Customers!I905&gt;DATE(2026,9,13),YEAR(Customers!I905)&lt;1980),"Implausible date","")</f>
        <v/>
      </c>
      <c r="J905" s="4" t="str">
        <f>IF(Customers!I905&gt;DATE(2026,9,13),"",IF(ABS(INT((DATE(2026,9,13)-Customers!I905)/365.25)-Customers!H905)&gt;1,"Date/tenure inconsistent",""))</f>
        <v/>
      </c>
      <c r="K905" s="4" t="str">
        <f>IF(COUNTIF(Customers!$A$2:$A$1001,Customers!A905)&gt;1,"Duplicate ID","")</f>
        <v/>
      </c>
      <c r="L905" s="4" t="str">
        <f>IF(COUNTIFS(Customers!$B$2:$B$1001,Customers!B905,Customers!$D$2:$D$1001,Customers!D905,Customers!$G$2:$G$1001,Customers!G905,Customers!$I$2:$I$1001,Customers!I905,Customers!$L$2:$L$1001,Customers!L905)&gt;1,"Duplicate record","")</f>
        <v/>
      </c>
      <c r="M905" s="4" t="str">
        <f>IF(OR(Customers!U905&lt;300,Customers!U905&gt;850),"Score out of range","")</f>
        <v/>
      </c>
      <c r="N905" s="4" t="str">
        <f>IF(AND(Customers!G905&lt;&gt;"",Customers!G905&lt;=0),"Income ≤ 0","")</f>
        <v/>
      </c>
      <c r="O905" s="4" t="str">
        <f>IF(OR(Customers!G905="",Customers!M905=""),"Missing value","")</f>
        <v/>
      </c>
      <c r="P905" s="4">
        <f t="shared" si="14"/>
        <v>0</v>
      </c>
    </row>
    <row r="906" spans="1:16" x14ac:dyDescent="0.25">
      <c r="A906" s="4" t="str">
        <f>Customers!A906</f>
        <v>CL00899</v>
      </c>
      <c r="B906" s="20">
        <f>IF(Customers!G906="","",(Customers!G906-Statistics!$C$7)/Statistics!$C$9)</f>
        <v>-2.1352559539964618E-2</v>
      </c>
      <c r="C906" s="4" t="str">
        <f>IF(Customers!G906="","",IF(OR(Customers!G906&lt;Statistics!$C$15,Customers!G906&gt;Statistics!$C$16),"Outside 1.5·IQR",""))</f>
        <v/>
      </c>
      <c r="D906" s="4" t="str">
        <f>IF(OR(Customers!B906&lt;18,Customers!B906&gt;100),"Implausible age","")</f>
        <v/>
      </c>
      <c r="E906" s="4" t="str">
        <f>IF(Customers!H906&gt;Customers!B906-18,"Tenure &gt; age-18","")</f>
        <v/>
      </c>
      <c r="F906" s="4" t="str">
        <f>IF(Customers!R906&gt;Customers!Q906,"Card spend &gt; limit","")</f>
        <v/>
      </c>
      <c r="G906" s="4" t="str">
        <f>IF(OR(AND(Customers!S906&gt;0,Customers!T906=0),AND(Customers!S906=0,Customers!T906&gt;0)),"Mortgage/payment inconsistent","")</f>
        <v/>
      </c>
      <c r="H906" s="4" t="str">
        <f>IF(AND(Customers!G906&lt;&gt;"",Customers!G906&gt;0,Customers!T906&gt;Customers!G906/12),"Payment &gt; monthly income","")</f>
        <v/>
      </c>
      <c r="I906" s="4" t="str">
        <f>IF(OR(Customers!I906&gt;DATE(2026,9,13),YEAR(Customers!I906)&lt;1980),"Implausible date","")</f>
        <v/>
      </c>
      <c r="J906" s="4" t="str">
        <f>IF(Customers!I906&gt;DATE(2026,9,13),"",IF(ABS(INT((DATE(2026,9,13)-Customers!I906)/365.25)-Customers!H906)&gt;1,"Date/tenure inconsistent",""))</f>
        <v/>
      </c>
      <c r="K906" s="4" t="str">
        <f>IF(COUNTIF(Customers!$A$2:$A$1001,Customers!A906)&gt;1,"Duplicate ID","")</f>
        <v/>
      </c>
      <c r="L906" s="4" t="str">
        <f>IF(COUNTIFS(Customers!$B$2:$B$1001,Customers!B906,Customers!$D$2:$D$1001,Customers!D906,Customers!$G$2:$G$1001,Customers!G906,Customers!$I$2:$I$1001,Customers!I906,Customers!$L$2:$L$1001,Customers!L906)&gt;1,"Duplicate record","")</f>
        <v/>
      </c>
      <c r="M906" s="4" t="str">
        <f>IF(OR(Customers!U906&lt;300,Customers!U906&gt;850),"Score out of range","")</f>
        <v/>
      </c>
      <c r="N906" s="4" t="str">
        <f>IF(AND(Customers!G906&lt;&gt;"",Customers!G906&lt;=0),"Income ≤ 0","")</f>
        <v/>
      </c>
      <c r="O906" s="4" t="str">
        <f>IF(OR(Customers!G906="",Customers!M906=""),"Missing value","")</f>
        <v/>
      </c>
      <c r="P906" s="4">
        <f t="shared" si="14"/>
        <v>0</v>
      </c>
    </row>
    <row r="907" spans="1:16" x14ac:dyDescent="0.25">
      <c r="A907" s="4" t="str">
        <f>Customers!A907</f>
        <v>CL00900</v>
      </c>
      <c r="B907" s="20">
        <f>IF(Customers!G907="","",(Customers!G907-Statistics!$C$7)/Statistics!$C$9)</f>
        <v>-6.7249990232895851E-2</v>
      </c>
      <c r="C907" s="4" t="str">
        <f>IF(Customers!G907="","",IF(OR(Customers!G907&lt;Statistics!$C$15,Customers!G907&gt;Statistics!$C$16),"Outside 1.5·IQR",""))</f>
        <v/>
      </c>
      <c r="D907" s="4" t="str">
        <f>IF(OR(Customers!B907&lt;18,Customers!B907&gt;100),"Implausible age","")</f>
        <v/>
      </c>
      <c r="E907" s="4" t="str">
        <f>IF(Customers!H907&gt;Customers!B907-18,"Tenure &gt; age-18","")</f>
        <v/>
      </c>
      <c r="F907" s="4" t="str">
        <f>IF(Customers!R907&gt;Customers!Q907,"Card spend &gt; limit","")</f>
        <v/>
      </c>
      <c r="G907" s="4" t="str">
        <f>IF(OR(AND(Customers!S907&gt;0,Customers!T907=0),AND(Customers!S907=0,Customers!T907&gt;0)),"Mortgage/payment inconsistent","")</f>
        <v/>
      </c>
      <c r="H907" s="4" t="str">
        <f>IF(AND(Customers!G907&lt;&gt;"",Customers!G907&gt;0,Customers!T907&gt;Customers!G907/12),"Payment &gt; monthly income","")</f>
        <v/>
      </c>
      <c r="I907" s="4" t="str">
        <f>IF(OR(Customers!I907&gt;DATE(2026,9,13),YEAR(Customers!I907)&lt;1980),"Implausible date","")</f>
        <v/>
      </c>
      <c r="J907" s="4" t="str">
        <f>IF(Customers!I907&gt;DATE(2026,9,13),"",IF(ABS(INT((DATE(2026,9,13)-Customers!I907)/365.25)-Customers!H907)&gt;1,"Date/tenure inconsistent",""))</f>
        <v/>
      </c>
      <c r="K907" s="4" t="str">
        <f>IF(COUNTIF(Customers!$A$2:$A$1001,Customers!A907)&gt;1,"Duplicate ID","")</f>
        <v/>
      </c>
      <c r="L907" s="4" t="str">
        <f>IF(COUNTIFS(Customers!$B$2:$B$1001,Customers!B907,Customers!$D$2:$D$1001,Customers!D907,Customers!$G$2:$G$1001,Customers!G907,Customers!$I$2:$I$1001,Customers!I907,Customers!$L$2:$L$1001,Customers!L907)&gt;1,"Duplicate record","")</f>
        <v/>
      </c>
      <c r="M907" s="4" t="str">
        <f>IF(OR(Customers!U907&lt;300,Customers!U907&gt;850),"Score out of range","")</f>
        <v/>
      </c>
      <c r="N907" s="4" t="str">
        <f>IF(AND(Customers!G907&lt;&gt;"",Customers!G907&lt;=0),"Income ≤ 0","")</f>
        <v/>
      </c>
      <c r="O907" s="4" t="str">
        <f>IF(OR(Customers!G907="",Customers!M907=""),"Missing value","")</f>
        <v/>
      </c>
      <c r="P907" s="4">
        <f t="shared" si="14"/>
        <v>0</v>
      </c>
    </row>
    <row r="908" spans="1:16" x14ac:dyDescent="0.25">
      <c r="A908" s="4" t="str">
        <f>Customers!A908</f>
        <v>CL00901</v>
      </c>
      <c r="B908" s="20">
        <f>IF(Customers!G908="","",(Customers!G908-Statistics!$C$7)/Statistics!$C$9)</f>
        <v>-4.558167531348626E-2</v>
      </c>
      <c r="C908" s="4" t="str">
        <f>IF(Customers!G908="","",IF(OR(Customers!G908&lt;Statistics!$C$15,Customers!G908&gt;Statistics!$C$16),"Outside 1.5·IQR",""))</f>
        <v/>
      </c>
      <c r="D908" s="4" t="str">
        <f>IF(OR(Customers!B908&lt;18,Customers!B908&gt;100),"Implausible age","")</f>
        <v/>
      </c>
      <c r="E908" s="4" t="str">
        <f>IF(Customers!H908&gt;Customers!B908-18,"Tenure &gt; age-18","")</f>
        <v/>
      </c>
      <c r="F908" s="4" t="str">
        <f>IF(Customers!R908&gt;Customers!Q908,"Card spend &gt; limit","")</f>
        <v/>
      </c>
      <c r="G908" s="4" t="str">
        <f>IF(OR(AND(Customers!S908&gt;0,Customers!T908=0),AND(Customers!S908=0,Customers!T908&gt;0)),"Mortgage/payment inconsistent","")</f>
        <v/>
      </c>
      <c r="H908" s="4" t="str">
        <f>IF(AND(Customers!G908&lt;&gt;"",Customers!G908&gt;0,Customers!T908&gt;Customers!G908/12),"Payment &gt; monthly income","")</f>
        <v/>
      </c>
      <c r="I908" s="4" t="str">
        <f>IF(OR(Customers!I908&gt;DATE(2026,9,13),YEAR(Customers!I908)&lt;1980),"Implausible date","")</f>
        <v/>
      </c>
      <c r="J908" s="4" t="str">
        <f>IF(Customers!I908&gt;DATE(2026,9,13),"",IF(ABS(INT((DATE(2026,9,13)-Customers!I908)/365.25)-Customers!H908)&gt;1,"Date/tenure inconsistent",""))</f>
        <v/>
      </c>
      <c r="K908" s="4" t="str">
        <f>IF(COUNTIF(Customers!$A$2:$A$1001,Customers!A908)&gt;1,"Duplicate ID","")</f>
        <v/>
      </c>
      <c r="L908" s="4" t="str">
        <f>IF(COUNTIFS(Customers!$B$2:$B$1001,Customers!B908,Customers!$D$2:$D$1001,Customers!D908,Customers!$G$2:$G$1001,Customers!G908,Customers!$I$2:$I$1001,Customers!I908,Customers!$L$2:$L$1001,Customers!L908)&gt;1,"Duplicate record","")</f>
        <v/>
      </c>
      <c r="M908" s="4" t="str">
        <f>IF(OR(Customers!U908&lt;300,Customers!U908&gt;850),"Score out of range","")</f>
        <v/>
      </c>
      <c r="N908" s="4" t="str">
        <f>IF(AND(Customers!G908&lt;&gt;"",Customers!G908&lt;=0),"Income ≤ 0","")</f>
        <v/>
      </c>
      <c r="O908" s="4" t="str">
        <f>IF(OR(Customers!G908="",Customers!M908=""),"Missing value","")</f>
        <v/>
      </c>
      <c r="P908" s="4">
        <f t="shared" si="14"/>
        <v>0</v>
      </c>
    </row>
    <row r="909" spans="1:16" x14ac:dyDescent="0.25">
      <c r="A909" s="4" t="str">
        <f>Customers!A909</f>
        <v>CL00902</v>
      </c>
      <c r="B909" s="20">
        <f>IF(Customers!G909="","",(Customers!G909-Statistics!$C$7)/Statistics!$C$9)</f>
        <v>-4.961986127573987E-2</v>
      </c>
      <c r="C909" s="4" t="str">
        <f>IF(Customers!G909="","",IF(OR(Customers!G909&lt;Statistics!$C$15,Customers!G909&gt;Statistics!$C$16),"Outside 1.5·IQR",""))</f>
        <v/>
      </c>
      <c r="D909" s="4" t="str">
        <f>IF(OR(Customers!B909&lt;18,Customers!B909&gt;100),"Implausible age","")</f>
        <v/>
      </c>
      <c r="E909" s="4" t="str">
        <f>IF(Customers!H909&gt;Customers!B909-18,"Tenure &gt; age-18","")</f>
        <v/>
      </c>
      <c r="F909" s="4" t="str">
        <f>IF(Customers!R909&gt;Customers!Q909,"Card spend &gt; limit","")</f>
        <v/>
      </c>
      <c r="G909" s="4" t="str">
        <f>IF(OR(AND(Customers!S909&gt;0,Customers!T909=0),AND(Customers!S909=0,Customers!T909&gt;0)),"Mortgage/payment inconsistent","")</f>
        <v/>
      </c>
      <c r="H909" s="4" t="str">
        <f>IF(AND(Customers!G909&lt;&gt;"",Customers!G909&gt;0,Customers!T909&gt;Customers!G909/12),"Payment &gt; monthly income","")</f>
        <v/>
      </c>
      <c r="I909" s="4" t="str">
        <f>IF(OR(Customers!I909&gt;DATE(2026,9,13),YEAR(Customers!I909)&lt;1980),"Implausible date","")</f>
        <v/>
      </c>
      <c r="J909" s="4" t="str">
        <f>IF(Customers!I909&gt;DATE(2026,9,13),"",IF(ABS(INT((DATE(2026,9,13)-Customers!I909)/365.25)-Customers!H909)&gt;1,"Date/tenure inconsistent",""))</f>
        <v/>
      </c>
      <c r="K909" s="4" t="str">
        <f>IF(COUNTIF(Customers!$A$2:$A$1001,Customers!A909)&gt;1,"Duplicate ID","")</f>
        <v/>
      </c>
      <c r="L909" s="4" t="str">
        <f>IF(COUNTIFS(Customers!$B$2:$B$1001,Customers!B909,Customers!$D$2:$D$1001,Customers!D909,Customers!$G$2:$G$1001,Customers!G909,Customers!$I$2:$I$1001,Customers!I909,Customers!$L$2:$L$1001,Customers!L909)&gt;1,"Duplicate record","")</f>
        <v/>
      </c>
      <c r="M909" s="4" t="str">
        <f>IF(OR(Customers!U909&lt;300,Customers!U909&gt;850),"Score out of range","")</f>
        <v/>
      </c>
      <c r="N909" s="4" t="str">
        <f>IF(AND(Customers!G909&lt;&gt;"",Customers!G909&lt;=0),"Income ≤ 0","")</f>
        <v/>
      </c>
      <c r="O909" s="4" t="str">
        <f>IF(OR(Customers!G909="",Customers!M909=""),"Missing value","")</f>
        <v/>
      </c>
      <c r="P909" s="4">
        <f t="shared" si="14"/>
        <v>0</v>
      </c>
    </row>
    <row r="910" spans="1:16" x14ac:dyDescent="0.25">
      <c r="A910" s="4" t="str">
        <f>Customers!A910</f>
        <v>CL00903</v>
      </c>
      <c r="B910" s="20">
        <f>IF(Customers!G910="","",(Customers!G910-Statistics!$C$7)/Statistics!$C$9)</f>
        <v>-1.5738496129026679E-2</v>
      </c>
      <c r="C910" s="4" t="str">
        <f>IF(Customers!G910="","",IF(OR(Customers!G910&lt;Statistics!$C$15,Customers!G910&gt;Statistics!$C$16),"Outside 1.5·IQR",""))</f>
        <v/>
      </c>
      <c r="D910" s="4" t="str">
        <f>IF(OR(Customers!B910&lt;18,Customers!B910&gt;100),"Implausible age","")</f>
        <v/>
      </c>
      <c r="E910" s="4" t="str">
        <f>IF(Customers!H910&gt;Customers!B910-18,"Tenure &gt; age-18","")</f>
        <v/>
      </c>
      <c r="F910" s="4" t="str">
        <f>IF(Customers!R910&gt;Customers!Q910,"Card spend &gt; limit","")</f>
        <v/>
      </c>
      <c r="G910" s="4" t="str">
        <f>IF(OR(AND(Customers!S910&gt;0,Customers!T910=0),AND(Customers!S910=0,Customers!T910&gt;0)),"Mortgage/payment inconsistent","")</f>
        <v/>
      </c>
      <c r="H910" s="4" t="str">
        <f>IF(AND(Customers!G910&lt;&gt;"",Customers!G910&gt;0,Customers!T910&gt;Customers!G910/12),"Payment &gt; monthly income","")</f>
        <v/>
      </c>
      <c r="I910" s="4" t="str">
        <f>IF(OR(Customers!I910&gt;DATE(2026,9,13),YEAR(Customers!I910)&lt;1980),"Implausible date","")</f>
        <v/>
      </c>
      <c r="J910" s="4" t="str">
        <f>IF(Customers!I910&gt;DATE(2026,9,13),"",IF(ABS(INT((DATE(2026,9,13)-Customers!I910)/365.25)-Customers!H910)&gt;1,"Date/tenure inconsistent",""))</f>
        <v/>
      </c>
      <c r="K910" s="4" t="str">
        <f>IF(COUNTIF(Customers!$A$2:$A$1001,Customers!A910)&gt;1,"Duplicate ID","")</f>
        <v/>
      </c>
      <c r="L910" s="4" t="str">
        <f>IF(COUNTIFS(Customers!$B$2:$B$1001,Customers!B910,Customers!$D$2:$D$1001,Customers!D910,Customers!$G$2:$G$1001,Customers!G910,Customers!$I$2:$I$1001,Customers!I910,Customers!$L$2:$L$1001,Customers!L910)&gt;1,"Duplicate record","")</f>
        <v/>
      </c>
      <c r="M910" s="4" t="str">
        <f>IF(OR(Customers!U910&lt;300,Customers!U910&gt;850),"Score out of range","")</f>
        <v/>
      </c>
      <c r="N910" s="4" t="str">
        <f>IF(AND(Customers!G910&lt;&gt;"",Customers!G910&lt;=0),"Income ≤ 0","")</f>
        <v/>
      </c>
      <c r="O910" s="4" t="str">
        <f>IF(OR(Customers!G910="",Customers!M910=""),"Missing value","")</f>
        <v/>
      </c>
      <c r="P910" s="4">
        <f t="shared" si="14"/>
        <v>0</v>
      </c>
    </row>
    <row r="911" spans="1:16" x14ac:dyDescent="0.25">
      <c r="A911" s="4" t="str">
        <f>Customers!A911</f>
        <v>CL00904</v>
      </c>
      <c r="B911" s="20">
        <f>IF(Customers!G911="","",(Customers!G911-Statistics!$C$7)/Statistics!$C$9)</f>
        <v>-3.8293242113321212E-2</v>
      </c>
      <c r="C911" s="4" t="str">
        <f>IF(Customers!G911="","",IF(OR(Customers!G911&lt;Statistics!$C$15,Customers!G911&gt;Statistics!$C$16),"Outside 1.5·IQR",""))</f>
        <v/>
      </c>
      <c r="D911" s="4" t="str">
        <f>IF(OR(Customers!B911&lt;18,Customers!B911&gt;100),"Implausible age","")</f>
        <v/>
      </c>
      <c r="E911" s="4" t="str">
        <f>IF(Customers!H911&gt;Customers!B911-18,"Tenure &gt; age-18","")</f>
        <v/>
      </c>
      <c r="F911" s="4" t="str">
        <f>IF(Customers!R911&gt;Customers!Q911,"Card spend &gt; limit","")</f>
        <v/>
      </c>
      <c r="G911" s="4" t="str">
        <f>IF(OR(AND(Customers!S911&gt;0,Customers!T911=0),AND(Customers!S911=0,Customers!T911&gt;0)),"Mortgage/payment inconsistent","")</f>
        <v/>
      </c>
      <c r="H911" s="4" t="str">
        <f>IF(AND(Customers!G911&lt;&gt;"",Customers!G911&gt;0,Customers!T911&gt;Customers!G911/12),"Payment &gt; monthly income","")</f>
        <v/>
      </c>
      <c r="I911" s="4" t="str">
        <f>IF(OR(Customers!I911&gt;DATE(2026,9,13),YEAR(Customers!I911)&lt;1980),"Implausible date","")</f>
        <v/>
      </c>
      <c r="J911" s="4" t="str">
        <f>IF(Customers!I911&gt;DATE(2026,9,13),"",IF(ABS(INT((DATE(2026,9,13)-Customers!I911)/365.25)-Customers!H911)&gt;1,"Date/tenure inconsistent",""))</f>
        <v/>
      </c>
      <c r="K911" s="4" t="str">
        <f>IF(COUNTIF(Customers!$A$2:$A$1001,Customers!A911)&gt;1,"Duplicate ID","")</f>
        <v/>
      </c>
      <c r="L911" s="4" t="str">
        <f>IF(COUNTIFS(Customers!$B$2:$B$1001,Customers!B911,Customers!$D$2:$D$1001,Customers!D911,Customers!$G$2:$G$1001,Customers!G911,Customers!$I$2:$I$1001,Customers!I911,Customers!$L$2:$L$1001,Customers!L911)&gt;1,"Duplicate record","")</f>
        <v/>
      </c>
      <c r="M911" s="4" t="str">
        <f>IF(OR(Customers!U911&lt;300,Customers!U911&gt;850),"Score out of range","")</f>
        <v/>
      </c>
      <c r="N911" s="4" t="str">
        <f>IF(AND(Customers!G911&lt;&gt;"",Customers!G911&lt;=0),"Income ≤ 0","")</f>
        <v/>
      </c>
      <c r="O911" s="4" t="str">
        <f>IF(OR(Customers!G911="",Customers!M911=""),"Missing value","")</f>
        <v/>
      </c>
      <c r="P911" s="4">
        <f t="shared" si="14"/>
        <v>0</v>
      </c>
    </row>
    <row r="912" spans="1:16" x14ac:dyDescent="0.25">
      <c r="A912" s="4" t="str">
        <f>Customers!A912</f>
        <v>CL00905</v>
      </c>
      <c r="B912" s="20">
        <f>IF(Customers!G912="","",(Customers!G912-Statistics!$C$7)/Statistics!$C$9)</f>
        <v>-2.6474161248188705E-2</v>
      </c>
      <c r="C912" s="4" t="str">
        <f>IF(Customers!G912="","",IF(OR(Customers!G912&lt;Statistics!$C$15,Customers!G912&gt;Statistics!$C$16),"Outside 1.5·IQR",""))</f>
        <v/>
      </c>
      <c r="D912" s="4" t="str">
        <f>IF(OR(Customers!B912&lt;18,Customers!B912&gt;100),"Implausible age","")</f>
        <v/>
      </c>
      <c r="E912" s="4" t="str">
        <f>IF(Customers!H912&gt;Customers!B912-18,"Tenure &gt; age-18","")</f>
        <v/>
      </c>
      <c r="F912" s="4" t="str">
        <f>IF(Customers!R912&gt;Customers!Q912,"Card spend &gt; limit","")</f>
        <v/>
      </c>
      <c r="G912" s="4" t="str">
        <f>IF(OR(AND(Customers!S912&gt;0,Customers!T912=0),AND(Customers!S912=0,Customers!T912&gt;0)),"Mortgage/payment inconsistent","")</f>
        <v/>
      </c>
      <c r="H912" s="4" t="str">
        <f>IF(AND(Customers!G912&lt;&gt;"",Customers!G912&gt;0,Customers!T912&gt;Customers!G912/12),"Payment &gt; monthly income","")</f>
        <v/>
      </c>
      <c r="I912" s="4" t="str">
        <f>IF(OR(Customers!I912&gt;DATE(2026,9,13),YEAR(Customers!I912)&lt;1980),"Implausible date","")</f>
        <v/>
      </c>
      <c r="J912" s="4" t="str">
        <f>IF(Customers!I912&gt;DATE(2026,9,13),"",IF(ABS(INT((DATE(2026,9,13)-Customers!I912)/365.25)-Customers!H912)&gt;1,"Date/tenure inconsistent",""))</f>
        <v/>
      </c>
      <c r="K912" s="4" t="str">
        <f>IF(COUNTIF(Customers!$A$2:$A$1001,Customers!A912)&gt;1,"Duplicate ID","")</f>
        <v/>
      </c>
      <c r="L912" s="4" t="str">
        <f>IF(COUNTIFS(Customers!$B$2:$B$1001,Customers!B912,Customers!$D$2:$D$1001,Customers!D912,Customers!$G$2:$G$1001,Customers!G912,Customers!$I$2:$I$1001,Customers!I912,Customers!$L$2:$L$1001,Customers!L912)&gt;1,"Duplicate record","")</f>
        <v/>
      </c>
      <c r="M912" s="4" t="str">
        <f>IF(OR(Customers!U912&lt;300,Customers!U912&gt;850),"Score out of range","")</f>
        <v/>
      </c>
      <c r="N912" s="4" t="str">
        <f>IF(AND(Customers!G912&lt;&gt;"",Customers!G912&lt;=0),"Income ≤ 0","")</f>
        <v/>
      </c>
      <c r="O912" s="4" t="str">
        <f>IF(OR(Customers!G912="",Customers!M912=""),"Missing value","")</f>
        <v/>
      </c>
      <c r="P912" s="4">
        <f t="shared" si="14"/>
        <v>0</v>
      </c>
    </row>
    <row r="913" spans="1:16" x14ac:dyDescent="0.25">
      <c r="A913" s="4" t="str">
        <f>Customers!A913</f>
        <v>CL00906</v>
      </c>
      <c r="B913" s="20">
        <f>IF(Customers!G913="","",(Customers!G913-Statistics!$C$7)/Statistics!$C$9)</f>
        <v>-5.3855031919079019E-2</v>
      </c>
      <c r="C913" s="4" t="str">
        <f>IF(Customers!G913="","",IF(OR(Customers!G913&lt;Statistics!$C$15,Customers!G913&gt;Statistics!$C$16),"Outside 1.5·IQR",""))</f>
        <v/>
      </c>
      <c r="D913" s="4" t="str">
        <f>IF(OR(Customers!B913&lt;18,Customers!B913&gt;100),"Implausible age","")</f>
        <v/>
      </c>
      <c r="E913" s="4" t="str">
        <f>IF(Customers!H913&gt;Customers!B913-18,"Tenure &gt; age-18","")</f>
        <v/>
      </c>
      <c r="F913" s="4" t="str">
        <f>IF(Customers!R913&gt;Customers!Q913,"Card spend &gt; limit","")</f>
        <v/>
      </c>
      <c r="G913" s="4" t="str">
        <f>IF(OR(AND(Customers!S913&gt;0,Customers!T913=0),AND(Customers!S913=0,Customers!T913&gt;0)),"Mortgage/payment inconsistent","")</f>
        <v/>
      </c>
      <c r="H913" s="4" t="str">
        <f>IF(AND(Customers!G913&lt;&gt;"",Customers!G913&gt;0,Customers!T913&gt;Customers!G913/12),"Payment &gt; monthly income","")</f>
        <v/>
      </c>
      <c r="I913" s="4" t="str">
        <f>IF(OR(Customers!I913&gt;DATE(2026,9,13),YEAR(Customers!I913)&lt;1980),"Implausible date","")</f>
        <v/>
      </c>
      <c r="J913" s="4" t="str">
        <f>IF(Customers!I913&gt;DATE(2026,9,13),"",IF(ABS(INT((DATE(2026,9,13)-Customers!I913)/365.25)-Customers!H913)&gt;1,"Date/tenure inconsistent",""))</f>
        <v/>
      </c>
      <c r="K913" s="4" t="str">
        <f>IF(COUNTIF(Customers!$A$2:$A$1001,Customers!A913)&gt;1,"Duplicate ID","")</f>
        <v/>
      </c>
      <c r="L913" s="4" t="str">
        <f>IF(COUNTIFS(Customers!$B$2:$B$1001,Customers!B913,Customers!$D$2:$D$1001,Customers!D913,Customers!$G$2:$G$1001,Customers!G913,Customers!$I$2:$I$1001,Customers!I913,Customers!$L$2:$L$1001,Customers!L913)&gt;1,"Duplicate record","")</f>
        <v/>
      </c>
      <c r="M913" s="4" t="str">
        <f>IF(OR(Customers!U913&lt;300,Customers!U913&gt;850),"Score out of range","")</f>
        <v/>
      </c>
      <c r="N913" s="4" t="str">
        <f>IF(AND(Customers!G913&lt;&gt;"",Customers!G913&lt;=0),"Income ≤ 0","")</f>
        <v/>
      </c>
      <c r="O913" s="4" t="str">
        <f>IF(OR(Customers!G913="",Customers!M913=""),"Missing value","")</f>
        <v/>
      </c>
      <c r="P913" s="4">
        <f t="shared" si="14"/>
        <v>0</v>
      </c>
    </row>
    <row r="914" spans="1:16" x14ac:dyDescent="0.25">
      <c r="A914" s="4" t="str">
        <f>Customers!A914</f>
        <v>CL00907</v>
      </c>
      <c r="B914" s="20">
        <f>IF(Customers!G914="","",(Customers!G914-Statistics!$C$7)/Statistics!$C$9)</f>
        <v>-3.2482194021297733E-2</v>
      </c>
      <c r="C914" s="4" t="str">
        <f>IF(Customers!G914="","",IF(OR(Customers!G914&lt;Statistics!$C$15,Customers!G914&gt;Statistics!$C$16),"Outside 1.5·IQR",""))</f>
        <v/>
      </c>
      <c r="D914" s="4" t="str">
        <f>IF(OR(Customers!B914&lt;18,Customers!B914&gt;100),"Implausible age","")</f>
        <v/>
      </c>
      <c r="E914" s="4" t="str">
        <f>IF(Customers!H914&gt;Customers!B914-18,"Tenure &gt; age-18","")</f>
        <v/>
      </c>
      <c r="F914" s="4" t="str">
        <f>IF(Customers!R914&gt;Customers!Q914,"Card spend &gt; limit","")</f>
        <v/>
      </c>
      <c r="G914" s="4" t="str">
        <f>IF(OR(AND(Customers!S914&gt;0,Customers!T914=0),AND(Customers!S914=0,Customers!T914&gt;0)),"Mortgage/payment inconsistent","")</f>
        <v/>
      </c>
      <c r="H914" s="4" t="str">
        <f>IF(AND(Customers!G914&lt;&gt;"",Customers!G914&gt;0,Customers!T914&gt;Customers!G914/12),"Payment &gt; monthly income","")</f>
        <v/>
      </c>
      <c r="I914" s="4" t="str">
        <f>IF(OR(Customers!I914&gt;DATE(2026,9,13),YEAR(Customers!I914)&lt;1980),"Implausible date","")</f>
        <v/>
      </c>
      <c r="J914" s="4" t="str">
        <f>IF(Customers!I914&gt;DATE(2026,9,13),"",IF(ABS(INT((DATE(2026,9,13)-Customers!I914)/365.25)-Customers!H914)&gt;1,"Date/tenure inconsistent",""))</f>
        <v/>
      </c>
      <c r="K914" s="4" t="str">
        <f>IF(COUNTIF(Customers!$A$2:$A$1001,Customers!A914)&gt;1,"Duplicate ID","")</f>
        <v/>
      </c>
      <c r="L914" s="4" t="str">
        <f>IF(COUNTIFS(Customers!$B$2:$B$1001,Customers!B914,Customers!$D$2:$D$1001,Customers!D914,Customers!$G$2:$G$1001,Customers!G914,Customers!$I$2:$I$1001,Customers!I914,Customers!$L$2:$L$1001,Customers!L914)&gt;1,"Duplicate record","")</f>
        <v/>
      </c>
      <c r="M914" s="4" t="str">
        <f>IF(OR(Customers!U914&lt;300,Customers!U914&gt;850),"Score out of range","")</f>
        <v/>
      </c>
      <c r="N914" s="4" t="str">
        <f>IF(AND(Customers!G914&lt;&gt;"",Customers!G914&lt;=0),"Income ≤ 0","")</f>
        <v/>
      </c>
      <c r="O914" s="4" t="str">
        <f>IF(OR(Customers!G914="",Customers!M914=""),"Missing value","")</f>
        <v/>
      </c>
      <c r="P914" s="4">
        <f t="shared" si="14"/>
        <v>0</v>
      </c>
    </row>
    <row r="915" spans="1:16" x14ac:dyDescent="0.25">
      <c r="A915" s="4" t="str">
        <f>Customers!A915</f>
        <v>CL00908</v>
      </c>
      <c r="B915" s="20">
        <f>IF(Customers!G915="","",(Customers!G915-Statistics!$C$7)/Statistics!$C$9)</f>
        <v>-4.1346504670147111E-2</v>
      </c>
      <c r="C915" s="4" t="str">
        <f>IF(Customers!G915="","",IF(OR(Customers!G915&lt;Statistics!$C$15,Customers!G915&gt;Statistics!$C$16),"Outside 1.5·IQR",""))</f>
        <v/>
      </c>
      <c r="D915" s="4" t="str">
        <f>IF(OR(Customers!B915&lt;18,Customers!B915&gt;100),"Implausible age","")</f>
        <v/>
      </c>
      <c r="E915" s="4" t="str">
        <f>IF(Customers!H915&gt;Customers!B915-18,"Tenure &gt; age-18","")</f>
        <v/>
      </c>
      <c r="F915" s="4" t="str">
        <f>IF(Customers!R915&gt;Customers!Q915,"Card spend &gt; limit","")</f>
        <v/>
      </c>
      <c r="G915" s="4" t="str">
        <f>IF(OR(AND(Customers!S915&gt;0,Customers!T915=0),AND(Customers!S915=0,Customers!T915&gt;0)),"Mortgage/payment inconsistent","")</f>
        <v/>
      </c>
      <c r="H915" s="4" t="str">
        <f>IF(AND(Customers!G915&lt;&gt;"",Customers!G915&gt;0,Customers!T915&gt;Customers!G915/12),"Payment &gt; monthly income","")</f>
        <v/>
      </c>
      <c r="I915" s="4" t="str">
        <f>IF(OR(Customers!I915&gt;DATE(2026,9,13),YEAR(Customers!I915)&lt;1980),"Implausible date","")</f>
        <v/>
      </c>
      <c r="J915" s="4" t="str">
        <f>IF(Customers!I915&gt;DATE(2026,9,13),"",IF(ABS(INT((DATE(2026,9,13)-Customers!I915)/365.25)-Customers!H915)&gt;1,"Date/tenure inconsistent",""))</f>
        <v/>
      </c>
      <c r="K915" s="4" t="str">
        <f>IF(COUNTIF(Customers!$A$2:$A$1001,Customers!A915)&gt;1,"Duplicate ID","")</f>
        <v/>
      </c>
      <c r="L915" s="4" t="str">
        <f>IF(COUNTIFS(Customers!$B$2:$B$1001,Customers!B915,Customers!$D$2:$D$1001,Customers!D915,Customers!$G$2:$G$1001,Customers!G915,Customers!$I$2:$I$1001,Customers!I915,Customers!$L$2:$L$1001,Customers!L915)&gt;1,"Duplicate record","")</f>
        <v/>
      </c>
      <c r="M915" s="4" t="str">
        <f>IF(OR(Customers!U915&lt;300,Customers!U915&gt;850),"Score out of range","")</f>
        <v/>
      </c>
      <c r="N915" s="4" t="str">
        <f>IF(AND(Customers!G915&lt;&gt;"",Customers!G915&lt;=0),"Income ≤ 0","")</f>
        <v/>
      </c>
      <c r="O915" s="4" t="str">
        <f>IF(OR(Customers!G915="",Customers!M915=""),"Missing value","")</f>
        <v/>
      </c>
      <c r="P915" s="4">
        <f t="shared" si="14"/>
        <v>0</v>
      </c>
    </row>
    <row r="916" spans="1:16" x14ac:dyDescent="0.25">
      <c r="A916" s="4" t="str">
        <f>Customers!A916</f>
        <v>CL00909</v>
      </c>
      <c r="B916" s="20">
        <f>IF(Customers!G916="","",(Customers!G916-Statistics!$C$7)/Statistics!$C$9)</f>
        <v>-5.3264077875822394E-2</v>
      </c>
      <c r="C916" s="4" t="str">
        <f>IF(Customers!G916="","",IF(OR(Customers!G916&lt;Statistics!$C$15,Customers!G916&gt;Statistics!$C$16),"Outside 1.5·IQR",""))</f>
        <v/>
      </c>
      <c r="D916" s="4" t="str">
        <f>IF(OR(Customers!B916&lt;18,Customers!B916&gt;100),"Implausible age","")</f>
        <v/>
      </c>
      <c r="E916" s="4" t="str">
        <f>IF(Customers!H916&gt;Customers!B916-18,"Tenure &gt; age-18","")</f>
        <v/>
      </c>
      <c r="F916" s="4" t="str">
        <f>IF(Customers!R916&gt;Customers!Q916,"Card spend &gt; limit","")</f>
        <v/>
      </c>
      <c r="G916" s="4" t="str">
        <f>IF(OR(AND(Customers!S916&gt;0,Customers!T916=0),AND(Customers!S916=0,Customers!T916&gt;0)),"Mortgage/payment inconsistent","")</f>
        <v/>
      </c>
      <c r="H916" s="4" t="str">
        <f>IF(AND(Customers!G916&lt;&gt;"",Customers!G916&gt;0,Customers!T916&gt;Customers!G916/12),"Payment &gt; monthly income","")</f>
        <v/>
      </c>
      <c r="I916" s="4" t="str">
        <f>IF(OR(Customers!I916&gt;DATE(2026,9,13),YEAR(Customers!I916)&lt;1980),"Implausible date","")</f>
        <v/>
      </c>
      <c r="J916" s="4" t="str">
        <f>IF(Customers!I916&gt;DATE(2026,9,13),"",IF(ABS(INT((DATE(2026,9,13)-Customers!I916)/365.25)-Customers!H916)&gt;1,"Date/tenure inconsistent",""))</f>
        <v/>
      </c>
      <c r="K916" s="4" t="str">
        <f>IF(COUNTIF(Customers!$A$2:$A$1001,Customers!A916)&gt;1,"Duplicate ID","")</f>
        <v/>
      </c>
      <c r="L916" s="4" t="str">
        <f>IF(COUNTIFS(Customers!$B$2:$B$1001,Customers!B916,Customers!$D$2:$D$1001,Customers!D916,Customers!$G$2:$G$1001,Customers!G916,Customers!$I$2:$I$1001,Customers!I916,Customers!$L$2:$L$1001,Customers!L916)&gt;1,"Duplicate record","")</f>
        <v/>
      </c>
      <c r="M916" s="4" t="str">
        <f>IF(OR(Customers!U916&lt;300,Customers!U916&gt;850),"Score out of range","")</f>
        <v/>
      </c>
      <c r="N916" s="4" t="str">
        <f>IF(AND(Customers!G916&lt;&gt;"",Customers!G916&lt;=0),"Income ≤ 0","")</f>
        <v/>
      </c>
      <c r="O916" s="4" t="str">
        <f>IF(OR(Customers!G916="",Customers!M916=""),"Missing value","")</f>
        <v/>
      </c>
      <c r="P916" s="4">
        <f t="shared" si="14"/>
        <v>0</v>
      </c>
    </row>
    <row r="917" spans="1:16" x14ac:dyDescent="0.25">
      <c r="A917" s="4" t="str">
        <f>Customers!A917</f>
        <v>CL00910</v>
      </c>
      <c r="B917" s="20">
        <f>IF(Customers!G917="","",(Customers!G917-Statistics!$C$7)/Statistics!$C$9)</f>
        <v>-4.961986127573987E-2</v>
      </c>
      <c r="C917" s="4" t="str">
        <f>IF(Customers!G917="","",IF(OR(Customers!G917&lt;Statistics!$C$15,Customers!G917&gt;Statistics!$C$16),"Outside 1.5·IQR",""))</f>
        <v/>
      </c>
      <c r="D917" s="4" t="str">
        <f>IF(OR(Customers!B917&lt;18,Customers!B917&gt;100),"Implausible age","")</f>
        <v/>
      </c>
      <c r="E917" s="4" t="str">
        <f>IF(Customers!H917&gt;Customers!B917-18,"Tenure &gt; age-18","")</f>
        <v/>
      </c>
      <c r="F917" s="4" t="str">
        <f>IF(Customers!R917&gt;Customers!Q917,"Card spend &gt; limit","")</f>
        <v/>
      </c>
      <c r="G917" s="4" t="str">
        <f>IF(OR(AND(Customers!S917&gt;0,Customers!T917=0),AND(Customers!S917=0,Customers!T917&gt;0)),"Mortgage/payment inconsistent","")</f>
        <v/>
      </c>
      <c r="H917" s="4" t="str">
        <f>IF(AND(Customers!G917&lt;&gt;"",Customers!G917&gt;0,Customers!T917&gt;Customers!G917/12),"Payment &gt; monthly income","")</f>
        <v/>
      </c>
      <c r="I917" s="4" t="str">
        <f>IF(OR(Customers!I917&gt;DATE(2026,9,13),YEAR(Customers!I917)&lt;1980),"Implausible date","")</f>
        <v/>
      </c>
      <c r="J917" s="4" t="str">
        <f>IF(Customers!I917&gt;DATE(2026,9,13),"",IF(ABS(INT((DATE(2026,9,13)-Customers!I917)/365.25)-Customers!H917)&gt;1,"Date/tenure inconsistent",""))</f>
        <v/>
      </c>
      <c r="K917" s="4" t="str">
        <f>IF(COUNTIF(Customers!$A$2:$A$1001,Customers!A917)&gt;1,"Duplicate ID","")</f>
        <v/>
      </c>
      <c r="L917" s="4" t="str">
        <f>IF(COUNTIFS(Customers!$B$2:$B$1001,Customers!B917,Customers!$D$2:$D$1001,Customers!D917,Customers!$G$2:$G$1001,Customers!G917,Customers!$I$2:$I$1001,Customers!I917,Customers!$L$2:$L$1001,Customers!L917)&gt;1,"Duplicate record","")</f>
        <v/>
      </c>
      <c r="M917" s="4" t="str">
        <f>IF(OR(Customers!U917&lt;300,Customers!U917&gt;850),"Score out of range","")</f>
        <v/>
      </c>
      <c r="N917" s="4" t="str">
        <f>IF(AND(Customers!G917&lt;&gt;"",Customers!G917&lt;=0),"Income ≤ 0","")</f>
        <v/>
      </c>
      <c r="O917" s="4" t="str">
        <f>IF(OR(Customers!G917="",Customers!M917=""),"Missing value","")</f>
        <v/>
      </c>
      <c r="P917" s="4">
        <f t="shared" si="14"/>
        <v>0</v>
      </c>
    </row>
    <row r="918" spans="1:16" x14ac:dyDescent="0.25">
      <c r="A918" s="4" t="str">
        <f>Customers!A918</f>
        <v>CL00911</v>
      </c>
      <c r="B918" s="20">
        <f>IF(Customers!G918="","",(Customers!G918-Statistics!$C$7)/Statistics!$C$9)</f>
        <v>-3.9672134880920008E-2</v>
      </c>
      <c r="C918" s="4" t="str">
        <f>IF(Customers!G918="","",IF(OR(Customers!G918&lt;Statistics!$C$15,Customers!G918&gt;Statistics!$C$16),"Outside 1.5·IQR",""))</f>
        <v/>
      </c>
      <c r="D918" s="4" t="str">
        <f>IF(OR(Customers!B918&lt;18,Customers!B918&gt;100),"Implausible age","")</f>
        <v/>
      </c>
      <c r="E918" s="4" t="str">
        <f>IF(Customers!H918&gt;Customers!B918-18,"Tenure &gt; age-18","")</f>
        <v/>
      </c>
      <c r="F918" s="4" t="str">
        <f>IF(Customers!R918&gt;Customers!Q918,"Card spend &gt; limit","")</f>
        <v/>
      </c>
      <c r="G918" s="4" t="str">
        <f>IF(OR(AND(Customers!S918&gt;0,Customers!T918=0),AND(Customers!S918=0,Customers!T918&gt;0)),"Mortgage/payment inconsistent","")</f>
        <v/>
      </c>
      <c r="H918" s="4" t="str">
        <f>IF(AND(Customers!G918&lt;&gt;"",Customers!G918&gt;0,Customers!T918&gt;Customers!G918/12),"Payment &gt; monthly income","")</f>
        <v/>
      </c>
      <c r="I918" s="4" t="str">
        <f>IF(OR(Customers!I918&gt;DATE(2026,9,13),YEAR(Customers!I918)&lt;1980),"Implausible date","")</f>
        <v/>
      </c>
      <c r="J918" s="4" t="str">
        <f>IF(Customers!I918&gt;DATE(2026,9,13),"",IF(ABS(INT((DATE(2026,9,13)-Customers!I918)/365.25)-Customers!H918)&gt;1,"Date/tenure inconsistent",""))</f>
        <v/>
      </c>
      <c r="K918" s="4" t="str">
        <f>IF(COUNTIF(Customers!$A$2:$A$1001,Customers!A918)&gt;1,"Duplicate ID","")</f>
        <v/>
      </c>
      <c r="L918" s="4" t="str">
        <f>IF(COUNTIFS(Customers!$B$2:$B$1001,Customers!B918,Customers!$D$2:$D$1001,Customers!D918,Customers!$G$2:$G$1001,Customers!G918,Customers!$I$2:$I$1001,Customers!I918,Customers!$L$2:$L$1001,Customers!L918)&gt;1,"Duplicate record","")</f>
        <v/>
      </c>
      <c r="M918" s="4" t="str">
        <f>IF(OR(Customers!U918&lt;300,Customers!U918&gt;850),"Score out of range","")</f>
        <v/>
      </c>
      <c r="N918" s="4" t="str">
        <f>IF(AND(Customers!G918&lt;&gt;"",Customers!G918&lt;=0),"Income ≤ 0","")</f>
        <v/>
      </c>
      <c r="O918" s="4" t="str">
        <f>IF(OR(Customers!G918="",Customers!M918=""),"Missing value","")</f>
        <v/>
      </c>
      <c r="P918" s="4">
        <f t="shared" si="14"/>
        <v>0</v>
      </c>
    </row>
    <row r="919" spans="1:16" x14ac:dyDescent="0.25">
      <c r="A919" s="4" t="str">
        <f>Customers!A919</f>
        <v>CL00912</v>
      </c>
      <c r="B919" s="20">
        <f>IF(Customers!G919="","",(Customers!G919-Statistics!$C$7)/Statistics!$C$9)</f>
        <v>-2.5686222523846541E-2</v>
      </c>
      <c r="C919" s="4" t="str">
        <f>IF(Customers!G919="","",IF(OR(Customers!G919&lt;Statistics!$C$15,Customers!G919&gt;Statistics!$C$16),"Outside 1.5·IQR",""))</f>
        <v/>
      </c>
      <c r="D919" s="4" t="str">
        <f>IF(OR(Customers!B919&lt;18,Customers!B919&gt;100),"Implausible age","")</f>
        <v/>
      </c>
      <c r="E919" s="4" t="str">
        <f>IF(Customers!H919&gt;Customers!B919-18,"Tenure &gt; age-18","")</f>
        <v/>
      </c>
      <c r="F919" s="4" t="str">
        <f>IF(Customers!R919&gt;Customers!Q919,"Card spend &gt; limit","")</f>
        <v/>
      </c>
      <c r="G919" s="4" t="str">
        <f>IF(OR(AND(Customers!S919&gt;0,Customers!T919=0),AND(Customers!S919=0,Customers!T919&gt;0)),"Mortgage/payment inconsistent","")</f>
        <v/>
      </c>
      <c r="H919" s="4" t="str">
        <f>IF(AND(Customers!G919&lt;&gt;"",Customers!G919&gt;0,Customers!T919&gt;Customers!G919/12),"Payment &gt; monthly income","")</f>
        <v/>
      </c>
      <c r="I919" s="4" t="str">
        <f>IF(OR(Customers!I919&gt;DATE(2026,9,13),YEAR(Customers!I919)&lt;1980),"Implausible date","")</f>
        <v/>
      </c>
      <c r="J919" s="4" t="str">
        <f>IF(Customers!I919&gt;DATE(2026,9,13),"",IF(ABS(INT((DATE(2026,9,13)-Customers!I919)/365.25)-Customers!H919)&gt;1,"Date/tenure inconsistent",""))</f>
        <v/>
      </c>
      <c r="K919" s="4" t="str">
        <f>IF(COUNTIF(Customers!$A$2:$A$1001,Customers!A919)&gt;1,"Duplicate ID","")</f>
        <v/>
      </c>
      <c r="L919" s="4" t="str">
        <f>IF(COUNTIFS(Customers!$B$2:$B$1001,Customers!B919,Customers!$D$2:$D$1001,Customers!D919,Customers!$G$2:$G$1001,Customers!G919,Customers!$I$2:$I$1001,Customers!I919,Customers!$L$2:$L$1001,Customers!L919)&gt;1,"Duplicate record","")</f>
        <v/>
      </c>
      <c r="M919" s="4" t="str">
        <f>IF(OR(Customers!U919&lt;300,Customers!U919&gt;850),"Score out of range","")</f>
        <v/>
      </c>
      <c r="N919" s="4" t="str">
        <f>IF(AND(Customers!G919&lt;&gt;"",Customers!G919&lt;=0),"Income ≤ 0","")</f>
        <v/>
      </c>
      <c r="O919" s="4" t="str">
        <f>IF(OR(Customers!G919="",Customers!M919=""),"Missing value","")</f>
        <v/>
      </c>
      <c r="P919" s="4">
        <f t="shared" si="14"/>
        <v>0</v>
      </c>
    </row>
    <row r="920" spans="1:16" x14ac:dyDescent="0.25">
      <c r="A920" s="4" t="str">
        <f>Customers!A920</f>
        <v>CL00913</v>
      </c>
      <c r="B920" s="20">
        <f>IF(Customers!G920="","",(Customers!G920-Statistics!$C$7)/Statistics!$C$9)</f>
        <v>-4.1051027648518798E-2</v>
      </c>
      <c r="C920" s="4" t="str">
        <f>IF(Customers!G920="","",IF(OR(Customers!G920&lt;Statistics!$C$15,Customers!G920&gt;Statistics!$C$16),"Outside 1.5·IQR",""))</f>
        <v/>
      </c>
      <c r="D920" s="4" t="str">
        <f>IF(OR(Customers!B920&lt;18,Customers!B920&gt;100),"Implausible age","")</f>
        <v/>
      </c>
      <c r="E920" s="4" t="str">
        <f>IF(Customers!H920&gt;Customers!B920-18,"Tenure &gt; age-18","")</f>
        <v/>
      </c>
      <c r="F920" s="4" t="str">
        <f>IF(Customers!R920&gt;Customers!Q920,"Card spend &gt; limit","")</f>
        <v/>
      </c>
      <c r="G920" s="4" t="str">
        <f>IF(OR(AND(Customers!S920&gt;0,Customers!T920=0),AND(Customers!S920=0,Customers!T920&gt;0)),"Mortgage/payment inconsistent","")</f>
        <v/>
      </c>
      <c r="H920" s="4" t="str">
        <f>IF(AND(Customers!G920&lt;&gt;"",Customers!G920&gt;0,Customers!T920&gt;Customers!G920/12),"Payment &gt; monthly income","")</f>
        <v/>
      </c>
      <c r="I920" s="4" t="str">
        <f>IF(OR(Customers!I920&gt;DATE(2026,9,13),YEAR(Customers!I920)&lt;1980),"Implausible date","")</f>
        <v/>
      </c>
      <c r="J920" s="4" t="str">
        <f>IF(Customers!I920&gt;DATE(2026,9,13),"",IF(ABS(INT((DATE(2026,9,13)-Customers!I920)/365.25)-Customers!H920)&gt;1,"Date/tenure inconsistent",""))</f>
        <v/>
      </c>
      <c r="K920" s="4" t="str">
        <f>IF(COUNTIF(Customers!$A$2:$A$1001,Customers!A920)&gt;1,"Duplicate ID","")</f>
        <v/>
      </c>
      <c r="L920" s="4" t="str">
        <f>IF(COUNTIFS(Customers!$B$2:$B$1001,Customers!B920,Customers!$D$2:$D$1001,Customers!D920,Customers!$G$2:$G$1001,Customers!G920,Customers!$I$2:$I$1001,Customers!I920,Customers!$L$2:$L$1001,Customers!L920)&gt;1,"Duplicate record","")</f>
        <v/>
      </c>
      <c r="M920" s="4" t="str">
        <f>IF(OR(Customers!U920&lt;300,Customers!U920&gt;850),"Score out of range","")</f>
        <v/>
      </c>
      <c r="N920" s="4" t="str">
        <f>IF(AND(Customers!G920&lt;&gt;"",Customers!G920&lt;=0),"Income ≤ 0","")</f>
        <v/>
      </c>
      <c r="O920" s="4" t="str">
        <f>IF(OR(Customers!G920="",Customers!M920=""),"Missing value","")</f>
        <v/>
      </c>
      <c r="P920" s="4">
        <f t="shared" si="14"/>
        <v>0</v>
      </c>
    </row>
    <row r="921" spans="1:16" x14ac:dyDescent="0.25">
      <c r="A921" s="4" t="str">
        <f>Customers!A921</f>
        <v>CL00914</v>
      </c>
      <c r="B921" s="20">
        <f>IF(Customers!G921="","",(Customers!G921-Statistics!$C$7)/Statistics!$C$9)</f>
        <v>-6.7545467254524177E-2</v>
      </c>
      <c r="C921" s="4" t="str">
        <f>IF(Customers!G921="","",IF(OR(Customers!G921&lt;Statistics!$C$15,Customers!G921&gt;Statistics!$C$16),"Outside 1.5·IQR",""))</f>
        <v/>
      </c>
      <c r="D921" s="4" t="str">
        <f>IF(OR(Customers!B921&lt;18,Customers!B921&gt;100),"Implausible age","")</f>
        <v/>
      </c>
      <c r="E921" s="4" t="str">
        <f>IF(Customers!H921&gt;Customers!B921-18,"Tenure &gt; age-18","")</f>
        <v/>
      </c>
      <c r="F921" s="4" t="str">
        <f>IF(Customers!R921&gt;Customers!Q921,"Card spend &gt; limit","")</f>
        <v/>
      </c>
      <c r="G921" s="4" t="str">
        <f>IF(OR(AND(Customers!S921&gt;0,Customers!T921=0),AND(Customers!S921=0,Customers!T921&gt;0)),"Mortgage/payment inconsistent","")</f>
        <v/>
      </c>
      <c r="H921" s="4" t="str">
        <f>IF(AND(Customers!G921&lt;&gt;"",Customers!G921&gt;0,Customers!T921&gt;Customers!G921/12),"Payment &gt; monthly income","")</f>
        <v/>
      </c>
      <c r="I921" s="4" t="str">
        <f>IF(OR(Customers!I921&gt;DATE(2026,9,13),YEAR(Customers!I921)&lt;1980),"Implausible date","")</f>
        <v/>
      </c>
      <c r="J921" s="4" t="str">
        <f>IF(Customers!I921&gt;DATE(2026,9,13),"",IF(ABS(INT((DATE(2026,9,13)-Customers!I921)/365.25)-Customers!H921)&gt;1,"Date/tenure inconsistent",""))</f>
        <v/>
      </c>
      <c r="K921" s="4" t="str">
        <f>IF(COUNTIF(Customers!$A$2:$A$1001,Customers!A921)&gt;1,"Duplicate ID","")</f>
        <v/>
      </c>
      <c r="L921" s="4" t="str">
        <f>IF(COUNTIFS(Customers!$B$2:$B$1001,Customers!B921,Customers!$D$2:$D$1001,Customers!D921,Customers!$G$2:$G$1001,Customers!G921,Customers!$I$2:$I$1001,Customers!I921,Customers!$L$2:$L$1001,Customers!L921)&gt;1,"Duplicate record","")</f>
        <v/>
      </c>
      <c r="M921" s="4" t="str">
        <f>IF(OR(Customers!U921&lt;300,Customers!U921&gt;850),"Score out of range","")</f>
        <v/>
      </c>
      <c r="N921" s="4" t="str">
        <f>IF(AND(Customers!G921&lt;&gt;"",Customers!G921&lt;=0),"Income ≤ 0","")</f>
        <v/>
      </c>
      <c r="O921" s="4" t="str">
        <f>IF(OR(Customers!G921="",Customers!M921=""),"Missing value","")</f>
        <v/>
      </c>
      <c r="P921" s="4">
        <f t="shared" si="14"/>
        <v>0</v>
      </c>
    </row>
    <row r="922" spans="1:16" x14ac:dyDescent="0.25">
      <c r="A922" s="4" t="str">
        <f>Customers!A922</f>
        <v>CL00915</v>
      </c>
      <c r="B922" s="20">
        <f>IF(Customers!G922="","",(Customers!G922-Statistics!$C$7)/Statistics!$C$9)</f>
        <v>-4.4301274886430236E-2</v>
      </c>
      <c r="C922" s="4" t="str">
        <f>IF(Customers!G922="","",IF(OR(Customers!G922&lt;Statistics!$C$15,Customers!G922&gt;Statistics!$C$16),"Outside 1.5·IQR",""))</f>
        <v/>
      </c>
      <c r="D922" s="4" t="str">
        <f>IF(OR(Customers!B922&lt;18,Customers!B922&gt;100),"Implausible age","")</f>
        <v/>
      </c>
      <c r="E922" s="4" t="str">
        <f>IF(Customers!H922&gt;Customers!B922-18,"Tenure &gt; age-18","")</f>
        <v/>
      </c>
      <c r="F922" s="4" t="str">
        <f>IF(Customers!R922&gt;Customers!Q922,"Card spend &gt; limit","")</f>
        <v/>
      </c>
      <c r="G922" s="4" t="str">
        <f>IF(OR(AND(Customers!S922&gt;0,Customers!T922=0),AND(Customers!S922=0,Customers!T922&gt;0)),"Mortgage/payment inconsistent","")</f>
        <v/>
      </c>
      <c r="H922" s="4" t="str">
        <f>IF(AND(Customers!G922&lt;&gt;"",Customers!G922&gt;0,Customers!T922&gt;Customers!G922/12),"Payment &gt; monthly income","")</f>
        <v/>
      </c>
      <c r="I922" s="4" t="str">
        <f>IF(OR(Customers!I922&gt;DATE(2026,9,13),YEAR(Customers!I922)&lt;1980),"Implausible date","")</f>
        <v/>
      </c>
      <c r="J922" s="4" t="str">
        <f>IF(Customers!I922&gt;DATE(2026,9,13),"",IF(ABS(INT((DATE(2026,9,13)-Customers!I922)/365.25)-Customers!H922)&gt;1,"Date/tenure inconsistent",""))</f>
        <v/>
      </c>
      <c r="K922" s="4" t="str">
        <f>IF(COUNTIF(Customers!$A$2:$A$1001,Customers!A922)&gt;1,"Duplicate ID","")</f>
        <v/>
      </c>
      <c r="L922" s="4" t="str">
        <f>IF(COUNTIFS(Customers!$B$2:$B$1001,Customers!B922,Customers!$D$2:$D$1001,Customers!D922,Customers!$G$2:$G$1001,Customers!G922,Customers!$I$2:$I$1001,Customers!I922,Customers!$L$2:$L$1001,Customers!L922)&gt;1,"Duplicate record","")</f>
        <v/>
      </c>
      <c r="M922" s="4" t="str">
        <f>IF(OR(Customers!U922&lt;300,Customers!U922&gt;850),"Score out of range","")</f>
        <v/>
      </c>
      <c r="N922" s="4" t="str">
        <f>IF(AND(Customers!G922&lt;&gt;"",Customers!G922&lt;=0),"Income ≤ 0","")</f>
        <v/>
      </c>
      <c r="O922" s="4" t="str">
        <f>IF(OR(Customers!G922="",Customers!M922=""),"Missing value","")</f>
        <v/>
      </c>
      <c r="P922" s="4">
        <f t="shared" si="14"/>
        <v>0</v>
      </c>
    </row>
    <row r="923" spans="1:16" x14ac:dyDescent="0.25">
      <c r="A923" s="4" t="str">
        <f>Customers!A923</f>
        <v>CL00916</v>
      </c>
      <c r="B923" s="20">
        <f>IF(Customers!G923="","",(Customers!G923-Statistics!$C$7)/Statistics!$C$9)</f>
        <v>-4.2331428075574822E-2</v>
      </c>
      <c r="C923" s="4" t="str">
        <f>IF(Customers!G923="","",IF(OR(Customers!G923&lt;Statistics!$C$15,Customers!G923&gt;Statistics!$C$16),"Outside 1.5·IQR",""))</f>
        <v/>
      </c>
      <c r="D923" s="4" t="str">
        <f>IF(OR(Customers!B923&lt;18,Customers!B923&gt;100),"Implausible age","")</f>
        <v/>
      </c>
      <c r="E923" s="4" t="str">
        <f>IF(Customers!H923&gt;Customers!B923-18,"Tenure &gt; age-18","")</f>
        <v/>
      </c>
      <c r="F923" s="4" t="str">
        <f>IF(Customers!R923&gt;Customers!Q923,"Card spend &gt; limit","")</f>
        <v/>
      </c>
      <c r="G923" s="4" t="str">
        <f>IF(OR(AND(Customers!S923&gt;0,Customers!T923=0),AND(Customers!S923=0,Customers!T923&gt;0)),"Mortgage/payment inconsistent","")</f>
        <v/>
      </c>
      <c r="H923" s="4" t="str">
        <f>IF(AND(Customers!G923&lt;&gt;"",Customers!G923&gt;0,Customers!T923&gt;Customers!G923/12),"Payment &gt; monthly income","")</f>
        <v/>
      </c>
      <c r="I923" s="4" t="str">
        <f>IF(OR(Customers!I923&gt;DATE(2026,9,13),YEAR(Customers!I923)&lt;1980),"Implausible date","")</f>
        <v/>
      </c>
      <c r="J923" s="4" t="str">
        <f>IF(Customers!I923&gt;DATE(2026,9,13),"",IF(ABS(INT((DATE(2026,9,13)-Customers!I923)/365.25)-Customers!H923)&gt;1,"Date/tenure inconsistent",""))</f>
        <v/>
      </c>
      <c r="K923" s="4" t="str">
        <f>IF(COUNTIF(Customers!$A$2:$A$1001,Customers!A923)&gt;1,"Duplicate ID","")</f>
        <v/>
      </c>
      <c r="L923" s="4" t="str">
        <f>IF(COUNTIFS(Customers!$B$2:$B$1001,Customers!B923,Customers!$D$2:$D$1001,Customers!D923,Customers!$G$2:$G$1001,Customers!G923,Customers!$I$2:$I$1001,Customers!I923,Customers!$L$2:$L$1001,Customers!L923)&gt;1,"Duplicate record","")</f>
        <v/>
      </c>
      <c r="M923" s="4" t="str">
        <f>IF(OR(Customers!U923&lt;300,Customers!U923&gt;850),"Score out of range","")</f>
        <v/>
      </c>
      <c r="N923" s="4" t="str">
        <f>IF(AND(Customers!G923&lt;&gt;"",Customers!G923&lt;=0),"Income ≤ 0","")</f>
        <v/>
      </c>
      <c r="O923" s="4" t="str">
        <f>IF(OR(Customers!G923="",Customers!M923=""),"Missing value","")</f>
        <v/>
      </c>
      <c r="P923" s="4">
        <f t="shared" si="14"/>
        <v>0</v>
      </c>
    </row>
    <row r="924" spans="1:16" x14ac:dyDescent="0.25">
      <c r="A924" s="4" t="str">
        <f>Customers!A924</f>
        <v>CL00917</v>
      </c>
      <c r="B924" s="20">
        <f>IF(Customers!G924="","",(Customers!G924-Statistics!$C$7)/Statistics!$C$9)</f>
        <v>-4.9324384254111557E-2</v>
      </c>
      <c r="C924" s="4" t="str">
        <f>IF(Customers!G924="","",IF(OR(Customers!G924&lt;Statistics!$C$15,Customers!G924&gt;Statistics!$C$16),"Outside 1.5·IQR",""))</f>
        <v/>
      </c>
      <c r="D924" s="4" t="str">
        <f>IF(OR(Customers!B924&lt;18,Customers!B924&gt;100),"Implausible age","")</f>
        <v/>
      </c>
      <c r="E924" s="4" t="str">
        <f>IF(Customers!H924&gt;Customers!B924-18,"Tenure &gt; age-18","")</f>
        <v/>
      </c>
      <c r="F924" s="4" t="str">
        <f>IF(Customers!R924&gt;Customers!Q924,"Card spend &gt; limit","")</f>
        <v/>
      </c>
      <c r="G924" s="4" t="str">
        <f>IF(OR(AND(Customers!S924&gt;0,Customers!T924=0),AND(Customers!S924=0,Customers!T924&gt;0)),"Mortgage/payment inconsistent","")</f>
        <v/>
      </c>
      <c r="H924" s="4" t="str">
        <f>IF(AND(Customers!G924&lt;&gt;"",Customers!G924&gt;0,Customers!T924&gt;Customers!G924/12),"Payment &gt; monthly income","")</f>
        <v/>
      </c>
      <c r="I924" s="4" t="str">
        <f>IF(OR(Customers!I924&gt;DATE(2026,9,13),YEAR(Customers!I924)&lt;1980),"Implausible date","")</f>
        <v/>
      </c>
      <c r="J924" s="4" t="str">
        <f>IF(Customers!I924&gt;DATE(2026,9,13),"",IF(ABS(INT((DATE(2026,9,13)-Customers!I924)/365.25)-Customers!H924)&gt;1,"Date/tenure inconsistent",""))</f>
        <v/>
      </c>
      <c r="K924" s="4" t="str">
        <f>IF(COUNTIF(Customers!$A$2:$A$1001,Customers!A924)&gt;1,"Duplicate ID","")</f>
        <v/>
      </c>
      <c r="L924" s="4" t="str">
        <f>IF(COUNTIFS(Customers!$B$2:$B$1001,Customers!B924,Customers!$D$2:$D$1001,Customers!D924,Customers!$G$2:$G$1001,Customers!G924,Customers!$I$2:$I$1001,Customers!I924,Customers!$L$2:$L$1001,Customers!L924)&gt;1,"Duplicate record","")</f>
        <v/>
      </c>
      <c r="M924" s="4" t="str">
        <f>IF(OR(Customers!U924&lt;300,Customers!U924&gt;850),"Score out of range","")</f>
        <v/>
      </c>
      <c r="N924" s="4" t="str">
        <f>IF(AND(Customers!G924&lt;&gt;"",Customers!G924&lt;=0),"Income ≤ 0","")</f>
        <v/>
      </c>
      <c r="O924" s="4" t="str">
        <f>IF(OR(Customers!G924="",Customers!M924=""),"Missing value","")</f>
        <v/>
      </c>
      <c r="P924" s="4">
        <f t="shared" si="14"/>
        <v>0</v>
      </c>
    </row>
    <row r="925" spans="1:16" x14ac:dyDescent="0.25">
      <c r="A925" s="4" t="str">
        <f>Customers!A925</f>
        <v>CL00918</v>
      </c>
      <c r="B925" s="20">
        <f>IF(Customers!G925="","",(Customers!G925-Statistics!$C$7)/Statistics!$C$9)</f>
        <v>-1.2192771869486927E-2</v>
      </c>
      <c r="C925" s="4" t="str">
        <f>IF(Customers!G925="","",IF(OR(Customers!G925&lt;Statistics!$C$15,Customers!G925&gt;Statistics!$C$16),"Outside 1.5·IQR",""))</f>
        <v/>
      </c>
      <c r="D925" s="4" t="str">
        <f>IF(OR(Customers!B925&lt;18,Customers!B925&gt;100),"Implausible age","")</f>
        <v/>
      </c>
      <c r="E925" s="4" t="str">
        <f>IF(Customers!H925&gt;Customers!B925-18,"Tenure &gt; age-18","")</f>
        <v/>
      </c>
      <c r="F925" s="4" t="str">
        <f>IF(Customers!R925&gt;Customers!Q925,"Card spend &gt; limit","")</f>
        <v/>
      </c>
      <c r="G925" s="4" t="str">
        <f>IF(OR(AND(Customers!S925&gt;0,Customers!T925=0),AND(Customers!S925=0,Customers!T925&gt;0)),"Mortgage/payment inconsistent","")</f>
        <v>Mortgage/payment inconsistent</v>
      </c>
      <c r="H925" s="4" t="str">
        <f>IF(AND(Customers!G925&lt;&gt;"",Customers!G925&gt;0,Customers!T925&gt;Customers!G925/12),"Payment &gt; monthly income","")</f>
        <v/>
      </c>
      <c r="I925" s="4" t="str">
        <f>IF(OR(Customers!I925&gt;DATE(2026,9,13),YEAR(Customers!I925)&lt;1980),"Implausible date","")</f>
        <v/>
      </c>
      <c r="J925" s="4" t="str">
        <f>IF(Customers!I925&gt;DATE(2026,9,13),"",IF(ABS(INT((DATE(2026,9,13)-Customers!I925)/365.25)-Customers!H925)&gt;1,"Date/tenure inconsistent",""))</f>
        <v/>
      </c>
      <c r="K925" s="4" t="str">
        <f>IF(COUNTIF(Customers!$A$2:$A$1001,Customers!A925)&gt;1,"Duplicate ID","")</f>
        <v/>
      </c>
      <c r="L925" s="4" t="str">
        <f>IF(COUNTIFS(Customers!$B$2:$B$1001,Customers!B925,Customers!$D$2:$D$1001,Customers!D925,Customers!$G$2:$G$1001,Customers!G925,Customers!$I$2:$I$1001,Customers!I925,Customers!$L$2:$L$1001,Customers!L925)&gt;1,"Duplicate record","")</f>
        <v/>
      </c>
      <c r="M925" s="4" t="str">
        <f>IF(OR(Customers!U925&lt;300,Customers!U925&gt;850),"Score out of range","")</f>
        <v/>
      </c>
      <c r="N925" s="4" t="str">
        <f>IF(AND(Customers!G925&lt;&gt;"",Customers!G925&lt;=0),"Income ≤ 0","")</f>
        <v/>
      </c>
      <c r="O925" s="4" t="str">
        <f>IF(OR(Customers!G925="",Customers!M925=""),"Missing value","")</f>
        <v/>
      </c>
      <c r="P925" s="4">
        <f t="shared" si="14"/>
        <v>1</v>
      </c>
    </row>
    <row r="926" spans="1:16" x14ac:dyDescent="0.25">
      <c r="A926" s="4" t="str">
        <f>Customers!A926</f>
        <v>CL00919</v>
      </c>
      <c r="B926" s="20">
        <f>IF(Customers!G926="","",(Customers!G926-Statistics!$C$7)/Statistics!$C$9)</f>
        <v>2.4544871152966618E-2</v>
      </c>
      <c r="C926" s="4" t="str">
        <f>IF(Customers!G926="","",IF(OR(Customers!G926&lt;Statistics!$C$15,Customers!G926&gt;Statistics!$C$16),"Outside 1.5·IQR",""))</f>
        <v>Outside 1.5·IQR</v>
      </c>
      <c r="D926" s="4" t="str">
        <f>IF(OR(Customers!B926&lt;18,Customers!B926&gt;100),"Implausible age","")</f>
        <v/>
      </c>
      <c r="E926" s="4" t="str">
        <f>IF(Customers!H926&gt;Customers!B926-18,"Tenure &gt; age-18","")</f>
        <v/>
      </c>
      <c r="F926" s="4" t="str">
        <f>IF(Customers!R926&gt;Customers!Q926,"Card spend &gt; limit","")</f>
        <v/>
      </c>
      <c r="G926" s="4" t="str">
        <f>IF(OR(AND(Customers!S926&gt;0,Customers!T926=0),AND(Customers!S926=0,Customers!T926&gt;0)),"Mortgage/payment inconsistent","")</f>
        <v/>
      </c>
      <c r="H926" s="4" t="str">
        <f>IF(AND(Customers!G926&lt;&gt;"",Customers!G926&gt;0,Customers!T926&gt;Customers!G926/12),"Payment &gt; monthly income","")</f>
        <v/>
      </c>
      <c r="I926" s="4" t="str">
        <f>IF(OR(Customers!I926&gt;DATE(2026,9,13),YEAR(Customers!I926)&lt;1980),"Implausible date","")</f>
        <v/>
      </c>
      <c r="J926" s="4" t="str">
        <f>IF(Customers!I926&gt;DATE(2026,9,13),"",IF(ABS(INT((DATE(2026,9,13)-Customers!I926)/365.25)-Customers!H926)&gt;1,"Date/tenure inconsistent",""))</f>
        <v/>
      </c>
      <c r="K926" s="4" t="str">
        <f>IF(COUNTIF(Customers!$A$2:$A$1001,Customers!A926)&gt;1,"Duplicate ID","")</f>
        <v/>
      </c>
      <c r="L926" s="4" t="str">
        <f>IF(COUNTIFS(Customers!$B$2:$B$1001,Customers!B926,Customers!$D$2:$D$1001,Customers!D926,Customers!$G$2:$G$1001,Customers!G926,Customers!$I$2:$I$1001,Customers!I926,Customers!$L$2:$L$1001,Customers!L926)&gt;1,"Duplicate record","")</f>
        <v/>
      </c>
      <c r="M926" s="4" t="str">
        <f>IF(OR(Customers!U926&lt;300,Customers!U926&gt;850),"Score out of range","")</f>
        <v/>
      </c>
      <c r="N926" s="4" t="str">
        <f>IF(AND(Customers!G926&lt;&gt;"",Customers!G926&lt;=0),"Income ≤ 0","")</f>
        <v/>
      </c>
      <c r="O926" s="4" t="str">
        <f>IF(OR(Customers!G926="",Customers!M926=""),"Missing value","")</f>
        <v/>
      </c>
      <c r="P926" s="4">
        <f t="shared" si="14"/>
        <v>1</v>
      </c>
    </row>
    <row r="927" spans="1:16" x14ac:dyDescent="0.25">
      <c r="A927" s="4" t="str">
        <f>Customers!A927</f>
        <v>CL00920</v>
      </c>
      <c r="B927" s="20">
        <f>IF(Customers!G927="","",(Customers!G927-Statistics!$C$7)/Statistics!$C$9)</f>
        <v>-1.2783725912743552E-2</v>
      </c>
      <c r="C927" s="4" t="str">
        <f>IF(Customers!G927="","",IF(OR(Customers!G927&lt;Statistics!$C$15,Customers!G927&gt;Statistics!$C$16),"Outside 1.5·IQR",""))</f>
        <v/>
      </c>
      <c r="D927" s="4" t="str">
        <f>IF(OR(Customers!B927&lt;18,Customers!B927&gt;100),"Implausible age","")</f>
        <v/>
      </c>
      <c r="E927" s="4" t="str">
        <f>IF(Customers!H927&gt;Customers!B927-18,"Tenure &gt; age-18","")</f>
        <v/>
      </c>
      <c r="F927" s="4" t="str">
        <f>IF(Customers!R927&gt;Customers!Q927,"Card spend &gt; limit","")</f>
        <v/>
      </c>
      <c r="G927" s="4" t="str">
        <f>IF(OR(AND(Customers!S927&gt;0,Customers!T927=0),AND(Customers!S927=0,Customers!T927&gt;0)),"Mortgage/payment inconsistent","")</f>
        <v/>
      </c>
      <c r="H927" s="4" t="str">
        <f>IF(AND(Customers!G927&lt;&gt;"",Customers!G927&gt;0,Customers!T927&gt;Customers!G927/12),"Payment &gt; monthly income","")</f>
        <v/>
      </c>
      <c r="I927" s="4" t="str">
        <f>IF(OR(Customers!I927&gt;DATE(2026,9,13),YEAR(Customers!I927)&lt;1980),"Implausible date","")</f>
        <v/>
      </c>
      <c r="J927" s="4" t="str">
        <f>IF(Customers!I927&gt;DATE(2026,9,13),"",IF(ABS(INT((DATE(2026,9,13)-Customers!I927)/365.25)-Customers!H927)&gt;1,"Date/tenure inconsistent",""))</f>
        <v/>
      </c>
      <c r="K927" s="4" t="str">
        <f>IF(COUNTIF(Customers!$A$2:$A$1001,Customers!A927)&gt;1,"Duplicate ID","")</f>
        <v/>
      </c>
      <c r="L927" s="4" t="str">
        <f>IF(COUNTIFS(Customers!$B$2:$B$1001,Customers!B927,Customers!$D$2:$D$1001,Customers!D927,Customers!$G$2:$G$1001,Customers!G927,Customers!$I$2:$I$1001,Customers!I927,Customers!$L$2:$L$1001,Customers!L927)&gt;1,"Duplicate record","")</f>
        <v/>
      </c>
      <c r="M927" s="4" t="str">
        <f>IF(OR(Customers!U927&lt;300,Customers!U927&gt;850),"Score out of range","")</f>
        <v/>
      </c>
      <c r="N927" s="4" t="str">
        <f>IF(AND(Customers!G927&lt;&gt;"",Customers!G927&lt;=0),"Income ≤ 0","")</f>
        <v/>
      </c>
      <c r="O927" s="4" t="str">
        <f>IF(OR(Customers!G927="",Customers!M927=""),"Missing value","")</f>
        <v/>
      </c>
      <c r="P927" s="4">
        <f t="shared" si="14"/>
        <v>0</v>
      </c>
    </row>
    <row r="928" spans="1:16" x14ac:dyDescent="0.25">
      <c r="A928" s="4" t="str">
        <f>Customers!A928</f>
        <v>CL00921</v>
      </c>
      <c r="B928" s="20">
        <f>IF(Customers!G928="","",(Customers!G928-Statistics!$C$7)/Statistics!$C$9)</f>
        <v>-4.439976722697301E-2</v>
      </c>
      <c r="C928" s="4" t="str">
        <f>IF(Customers!G928="","",IF(OR(Customers!G928&lt;Statistics!$C$15,Customers!G928&gt;Statistics!$C$16),"Outside 1.5·IQR",""))</f>
        <v/>
      </c>
      <c r="D928" s="4" t="str">
        <f>IF(OR(Customers!B928&lt;18,Customers!B928&gt;100),"Implausible age","")</f>
        <v/>
      </c>
      <c r="E928" s="4" t="str">
        <f>IF(Customers!H928&gt;Customers!B928-18,"Tenure &gt; age-18","")</f>
        <v/>
      </c>
      <c r="F928" s="4" t="str">
        <f>IF(Customers!R928&gt;Customers!Q928,"Card spend &gt; limit","")</f>
        <v/>
      </c>
      <c r="G928" s="4" t="str">
        <f>IF(OR(AND(Customers!S928&gt;0,Customers!T928=0),AND(Customers!S928=0,Customers!T928&gt;0)),"Mortgage/payment inconsistent","")</f>
        <v/>
      </c>
      <c r="H928" s="4" t="str">
        <f>IF(AND(Customers!G928&lt;&gt;"",Customers!G928&gt;0,Customers!T928&gt;Customers!G928/12),"Payment &gt; monthly income","")</f>
        <v/>
      </c>
      <c r="I928" s="4" t="str">
        <f>IF(OR(Customers!I928&gt;DATE(2026,9,13),YEAR(Customers!I928)&lt;1980),"Implausible date","")</f>
        <v/>
      </c>
      <c r="J928" s="4" t="str">
        <f>IF(Customers!I928&gt;DATE(2026,9,13),"",IF(ABS(INT((DATE(2026,9,13)-Customers!I928)/365.25)-Customers!H928)&gt;1,"Date/tenure inconsistent",""))</f>
        <v/>
      </c>
      <c r="K928" s="4" t="str">
        <f>IF(COUNTIF(Customers!$A$2:$A$1001,Customers!A928)&gt;1,"Duplicate ID","")</f>
        <v/>
      </c>
      <c r="L928" s="4" t="str">
        <f>IF(COUNTIFS(Customers!$B$2:$B$1001,Customers!B928,Customers!$D$2:$D$1001,Customers!D928,Customers!$G$2:$G$1001,Customers!G928,Customers!$I$2:$I$1001,Customers!I928,Customers!$L$2:$L$1001,Customers!L928)&gt;1,"Duplicate record","")</f>
        <v/>
      </c>
      <c r="M928" s="4" t="str">
        <f>IF(OR(Customers!U928&lt;300,Customers!U928&gt;850),"Score out of range","")</f>
        <v/>
      </c>
      <c r="N928" s="4" t="str">
        <f>IF(AND(Customers!G928&lt;&gt;"",Customers!G928&lt;=0),"Income ≤ 0","")</f>
        <v/>
      </c>
      <c r="O928" s="4" t="str">
        <f>IF(OR(Customers!G928="",Customers!M928=""),"Missing value","")</f>
        <v/>
      </c>
      <c r="P928" s="4">
        <f t="shared" si="14"/>
        <v>0</v>
      </c>
    </row>
    <row r="929" spans="1:16" x14ac:dyDescent="0.25">
      <c r="A929" s="4" t="str">
        <f>Customers!A929</f>
        <v>CL00922</v>
      </c>
      <c r="B929" s="20">
        <f>IF(Customers!G929="","",(Customers!G929-Statistics!$C$7)/Statistics!$C$9)</f>
        <v>-7.1360075603745687E-2</v>
      </c>
      <c r="C929" s="4" t="str">
        <f>IF(Customers!G929="","",IF(OR(Customers!G929&lt;Statistics!$C$15,Customers!G929&gt;Statistics!$C$16),"Outside 1.5·IQR",""))</f>
        <v/>
      </c>
      <c r="D929" s="4" t="str">
        <f>IF(OR(Customers!B929&lt;18,Customers!B929&gt;100),"Implausible age","")</f>
        <v/>
      </c>
      <c r="E929" s="4" t="str">
        <f>IF(Customers!H929&gt;Customers!B929-18,"Tenure &gt; age-18","")</f>
        <v/>
      </c>
      <c r="F929" s="4" t="str">
        <f>IF(Customers!R929&gt;Customers!Q929,"Card spend &gt; limit","")</f>
        <v/>
      </c>
      <c r="G929" s="4" t="str">
        <f>IF(OR(AND(Customers!S929&gt;0,Customers!T929=0),AND(Customers!S929=0,Customers!T929&gt;0)),"Mortgage/payment inconsistent","")</f>
        <v/>
      </c>
      <c r="H929" s="4" t="str">
        <f>IF(AND(Customers!G929&lt;&gt;"",Customers!G929&gt;0,Customers!T929&gt;Customers!G929/12),"Payment &gt; monthly income","")</f>
        <v/>
      </c>
      <c r="I929" s="4" t="str">
        <f>IF(OR(Customers!I929&gt;DATE(2026,9,13),YEAR(Customers!I929)&lt;1980),"Implausible date","")</f>
        <v/>
      </c>
      <c r="J929" s="4" t="str">
        <f>IF(Customers!I929&gt;DATE(2026,9,13),"",IF(ABS(INT((DATE(2026,9,13)-Customers!I929)/365.25)-Customers!H929)&gt;1,"Date/tenure inconsistent",""))</f>
        <v/>
      </c>
      <c r="K929" s="4" t="str">
        <f>IF(COUNTIF(Customers!$A$2:$A$1001,Customers!A929)&gt;1,"Duplicate ID","")</f>
        <v/>
      </c>
      <c r="L929" s="4" t="str">
        <f>IF(COUNTIFS(Customers!$B$2:$B$1001,Customers!B929,Customers!$D$2:$D$1001,Customers!D929,Customers!$G$2:$G$1001,Customers!G929,Customers!$I$2:$I$1001,Customers!I929,Customers!$L$2:$L$1001,Customers!L929)&gt;1,"Duplicate record","")</f>
        <v/>
      </c>
      <c r="M929" s="4" t="str">
        <f>IF(OR(Customers!U929&lt;300,Customers!U929&gt;850),"Score out of range","")</f>
        <v/>
      </c>
      <c r="N929" s="4" t="str">
        <f>IF(AND(Customers!G929&lt;&gt;"",Customers!G929&lt;=0),"Income ≤ 0","")</f>
        <v/>
      </c>
      <c r="O929" s="4" t="str">
        <f>IF(OR(Customers!G929="",Customers!M929=""),"Missing value","")</f>
        <v/>
      </c>
      <c r="P929" s="4">
        <f t="shared" si="14"/>
        <v>0</v>
      </c>
    </row>
    <row r="930" spans="1:16" x14ac:dyDescent="0.25">
      <c r="A930" s="4" t="str">
        <f>Customers!A930</f>
        <v>CL00923</v>
      </c>
      <c r="B930" s="20">
        <f>IF(Customers!G930="","",(Customers!G930-Statistics!$C$7)/Statistics!$C$9)</f>
        <v>-3.6914349345722422E-2</v>
      </c>
      <c r="C930" s="4" t="str">
        <f>IF(Customers!G930="","",IF(OR(Customers!G930&lt;Statistics!$C$15,Customers!G930&gt;Statistics!$C$16),"Outside 1.5·IQR",""))</f>
        <v/>
      </c>
      <c r="D930" s="4" t="str">
        <f>IF(OR(Customers!B930&lt;18,Customers!B930&gt;100),"Implausible age","")</f>
        <v/>
      </c>
      <c r="E930" s="4" t="str">
        <f>IF(Customers!H930&gt;Customers!B930-18,"Tenure &gt; age-18","")</f>
        <v/>
      </c>
      <c r="F930" s="4" t="str">
        <f>IF(Customers!R930&gt;Customers!Q930,"Card spend &gt; limit","")</f>
        <v/>
      </c>
      <c r="G930" s="4" t="str">
        <f>IF(OR(AND(Customers!S930&gt;0,Customers!T930=0),AND(Customers!S930=0,Customers!T930&gt;0)),"Mortgage/payment inconsistent","")</f>
        <v/>
      </c>
      <c r="H930" s="4" t="str">
        <f>IF(AND(Customers!G930&lt;&gt;"",Customers!G930&gt;0,Customers!T930&gt;Customers!G930/12),"Payment &gt; monthly income","")</f>
        <v/>
      </c>
      <c r="I930" s="4" t="str">
        <f>IF(OR(Customers!I930&gt;DATE(2026,9,13),YEAR(Customers!I930)&lt;1980),"Implausible date","")</f>
        <v/>
      </c>
      <c r="J930" s="4" t="str">
        <f>IF(Customers!I930&gt;DATE(2026,9,13),"",IF(ABS(INT((DATE(2026,9,13)-Customers!I930)/365.25)-Customers!H930)&gt;1,"Date/tenure inconsistent",""))</f>
        <v/>
      </c>
      <c r="K930" s="4" t="str">
        <f>IF(COUNTIF(Customers!$A$2:$A$1001,Customers!A930)&gt;1,"Duplicate ID","")</f>
        <v/>
      </c>
      <c r="L930" s="4" t="str">
        <f>IF(COUNTIFS(Customers!$B$2:$B$1001,Customers!B930,Customers!$D$2:$D$1001,Customers!D930,Customers!$G$2:$G$1001,Customers!G930,Customers!$I$2:$I$1001,Customers!I930,Customers!$L$2:$L$1001,Customers!L930)&gt;1,"Duplicate record","")</f>
        <v/>
      </c>
      <c r="M930" s="4" t="str">
        <f>IF(OR(Customers!U930&lt;300,Customers!U930&gt;850),"Score out of range","")</f>
        <v/>
      </c>
      <c r="N930" s="4" t="str">
        <f>IF(AND(Customers!G930&lt;&gt;"",Customers!G930&lt;=0),"Income ≤ 0","")</f>
        <v/>
      </c>
      <c r="O930" s="4" t="str">
        <f>IF(OR(Customers!G930="",Customers!M930=""),"Missing value","")</f>
        <v/>
      </c>
      <c r="P930" s="4">
        <f t="shared" si="14"/>
        <v>0</v>
      </c>
    </row>
    <row r="931" spans="1:16" x14ac:dyDescent="0.25">
      <c r="A931" s="4" t="str">
        <f>Customers!A931</f>
        <v>CL00924</v>
      </c>
      <c r="B931" s="20">
        <f>IF(Customers!G931="","",(Customers!G931-Statistics!$C$7)/Statistics!$C$9)</f>
        <v>-4.2626905097203134E-2</v>
      </c>
      <c r="C931" s="4" t="str">
        <f>IF(Customers!G931="","",IF(OR(Customers!G931&lt;Statistics!$C$15,Customers!G931&gt;Statistics!$C$16),"Outside 1.5·IQR",""))</f>
        <v/>
      </c>
      <c r="D931" s="4" t="str">
        <f>IF(OR(Customers!B931&lt;18,Customers!B931&gt;100),"Implausible age","")</f>
        <v/>
      </c>
      <c r="E931" s="4" t="str">
        <f>IF(Customers!H931&gt;Customers!B931-18,"Tenure &gt; age-18","")</f>
        <v/>
      </c>
      <c r="F931" s="4" t="str">
        <f>IF(Customers!R931&gt;Customers!Q931,"Card spend &gt; limit","")</f>
        <v/>
      </c>
      <c r="G931" s="4" t="str">
        <f>IF(OR(AND(Customers!S931&gt;0,Customers!T931=0),AND(Customers!S931=0,Customers!T931&gt;0)),"Mortgage/payment inconsistent","")</f>
        <v/>
      </c>
      <c r="H931" s="4" t="str">
        <f>IF(AND(Customers!G931&lt;&gt;"",Customers!G931&gt;0,Customers!T931&gt;Customers!G931/12),"Payment &gt; monthly income","")</f>
        <v/>
      </c>
      <c r="I931" s="4" t="str">
        <f>IF(OR(Customers!I931&gt;DATE(2026,9,13),YEAR(Customers!I931)&lt;1980),"Implausible date","")</f>
        <v/>
      </c>
      <c r="J931" s="4" t="str">
        <f>IF(Customers!I931&gt;DATE(2026,9,13),"",IF(ABS(INT((DATE(2026,9,13)-Customers!I931)/365.25)-Customers!H931)&gt;1,"Date/tenure inconsistent",""))</f>
        <v/>
      </c>
      <c r="K931" s="4" t="str">
        <f>IF(COUNTIF(Customers!$A$2:$A$1001,Customers!A931)&gt;1,"Duplicate ID","")</f>
        <v/>
      </c>
      <c r="L931" s="4" t="str">
        <f>IF(COUNTIFS(Customers!$B$2:$B$1001,Customers!B931,Customers!$D$2:$D$1001,Customers!D931,Customers!$G$2:$G$1001,Customers!G931,Customers!$I$2:$I$1001,Customers!I931,Customers!$L$2:$L$1001,Customers!L931)&gt;1,"Duplicate record","")</f>
        <v/>
      </c>
      <c r="M931" s="4" t="str">
        <f>IF(OR(Customers!U931&lt;300,Customers!U931&gt;850),"Score out of range","")</f>
        <v/>
      </c>
      <c r="N931" s="4" t="str">
        <f>IF(AND(Customers!G931&lt;&gt;"",Customers!G931&lt;=0),"Income ≤ 0","")</f>
        <v/>
      </c>
      <c r="O931" s="4" t="str">
        <f>IF(OR(Customers!G931="",Customers!M931=""),"Missing value","")</f>
        <v/>
      </c>
      <c r="P931" s="4">
        <f t="shared" si="14"/>
        <v>0</v>
      </c>
    </row>
    <row r="932" spans="1:16" x14ac:dyDescent="0.25">
      <c r="A932" s="4" t="str">
        <f>Customers!A932</f>
        <v>CL00925</v>
      </c>
      <c r="B932" s="20">
        <f>IF(Customers!G932="","",(Customers!G932-Statistics!$C$7)/Statistics!$C$9)</f>
        <v>-3.0709331891527854E-2</v>
      </c>
      <c r="C932" s="4" t="str">
        <f>IF(Customers!G932="","",IF(OR(Customers!G932&lt;Statistics!$C$15,Customers!G932&gt;Statistics!$C$16),"Outside 1.5·IQR",""))</f>
        <v/>
      </c>
      <c r="D932" s="4" t="str">
        <f>IF(OR(Customers!B932&lt;18,Customers!B932&gt;100),"Implausible age","")</f>
        <v/>
      </c>
      <c r="E932" s="4" t="str">
        <f>IF(Customers!H932&gt;Customers!B932-18,"Tenure &gt; age-18","")</f>
        <v/>
      </c>
      <c r="F932" s="4" t="str">
        <f>IF(Customers!R932&gt;Customers!Q932,"Card spend &gt; limit","")</f>
        <v/>
      </c>
      <c r="G932" s="4" t="str">
        <f>IF(OR(AND(Customers!S932&gt;0,Customers!T932=0),AND(Customers!S932=0,Customers!T932&gt;0)),"Mortgage/payment inconsistent","")</f>
        <v/>
      </c>
      <c r="H932" s="4" t="str">
        <f>IF(AND(Customers!G932&lt;&gt;"",Customers!G932&gt;0,Customers!T932&gt;Customers!G932/12),"Payment &gt; monthly income","")</f>
        <v/>
      </c>
      <c r="I932" s="4" t="str">
        <f>IF(OR(Customers!I932&gt;DATE(2026,9,13),YEAR(Customers!I932)&lt;1980),"Implausible date","")</f>
        <v/>
      </c>
      <c r="J932" s="4" t="str">
        <f>IF(Customers!I932&gt;DATE(2026,9,13),"",IF(ABS(INT((DATE(2026,9,13)-Customers!I932)/365.25)-Customers!H932)&gt;1,"Date/tenure inconsistent",""))</f>
        <v/>
      </c>
      <c r="K932" s="4" t="str">
        <f>IF(COUNTIF(Customers!$A$2:$A$1001,Customers!A932)&gt;1,"Duplicate ID","")</f>
        <v/>
      </c>
      <c r="L932" s="4" t="str">
        <f>IF(COUNTIFS(Customers!$B$2:$B$1001,Customers!B932,Customers!$D$2:$D$1001,Customers!D932,Customers!$G$2:$G$1001,Customers!G932,Customers!$I$2:$I$1001,Customers!I932,Customers!$L$2:$L$1001,Customers!L932)&gt;1,"Duplicate record","")</f>
        <v/>
      </c>
      <c r="M932" s="4" t="str">
        <f>IF(OR(Customers!U932&lt;300,Customers!U932&gt;850),"Score out of range","")</f>
        <v/>
      </c>
      <c r="N932" s="4" t="str">
        <f>IF(AND(Customers!G932&lt;&gt;"",Customers!G932&lt;=0),"Income ≤ 0","")</f>
        <v/>
      </c>
      <c r="O932" s="4" t="str">
        <f>IF(OR(Customers!G932="",Customers!M932=""),"Missing value","")</f>
        <v/>
      </c>
      <c r="P932" s="4">
        <f t="shared" si="14"/>
        <v>0</v>
      </c>
    </row>
    <row r="933" spans="1:16" x14ac:dyDescent="0.25">
      <c r="A933" s="4" t="str">
        <f>Customers!A933</f>
        <v>CL00926</v>
      </c>
      <c r="B933" s="20">
        <f>IF(Customers!G933="","",(Customers!G933-Statistics!$C$7)/Statistics!$C$9)</f>
        <v>7.4775964829779773E-2</v>
      </c>
      <c r="C933" s="4" t="str">
        <f>IF(Customers!G933="","",IF(OR(Customers!G933&lt;Statistics!$C$15,Customers!G933&gt;Statistics!$C$16),"Outside 1.5·IQR",""))</f>
        <v>Outside 1.5·IQR</v>
      </c>
      <c r="D933" s="4" t="str">
        <f>IF(OR(Customers!B933&lt;18,Customers!B933&gt;100),"Implausible age","")</f>
        <v/>
      </c>
      <c r="E933" s="4" t="str">
        <f>IF(Customers!H933&gt;Customers!B933-18,"Tenure &gt; age-18","")</f>
        <v/>
      </c>
      <c r="F933" s="4" t="str">
        <f>IF(Customers!R933&gt;Customers!Q933,"Card spend &gt; limit","")</f>
        <v/>
      </c>
      <c r="G933" s="4" t="str">
        <f>IF(OR(AND(Customers!S933&gt;0,Customers!T933=0),AND(Customers!S933=0,Customers!T933&gt;0)),"Mortgage/payment inconsistent","")</f>
        <v/>
      </c>
      <c r="H933" s="4" t="str">
        <f>IF(AND(Customers!G933&lt;&gt;"",Customers!G933&gt;0,Customers!T933&gt;Customers!G933/12),"Payment &gt; monthly income","")</f>
        <v/>
      </c>
      <c r="I933" s="4" t="str">
        <f>IF(OR(Customers!I933&gt;DATE(2026,9,13),YEAR(Customers!I933)&lt;1980),"Implausible date","")</f>
        <v/>
      </c>
      <c r="J933" s="4" t="str">
        <f>IF(Customers!I933&gt;DATE(2026,9,13),"",IF(ABS(INT((DATE(2026,9,13)-Customers!I933)/365.25)-Customers!H933)&gt;1,"Date/tenure inconsistent",""))</f>
        <v/>
      </c>
      <c r="K933" s="4" t="str">
        <f>IF(COUNTIF(Customers!$A$2:$A$1001,Customers!A933)&gt;1,"Duplicate ID","")</f>
        <v/>
      </c>
      <c r="L933" s="4" t="str">
        <f>IF(COUNTIFS(Customers!$B$2:$B$1001,Customers!B933,Customers!$D$2:$D$1001,Customers!D933,Customers!$G$2:$G$1001,Customers!G933,Customers!$I$2:$I$1001,Customers!I933,Customers!$L$2:$L$1001,Customers!L933)&gt;1,"Duplicate record","")</f>
        <v/>
      </c>
      <c r="M933" s="4" t="str">
        <f>IF(OR(Customers!U933&lt;300,Customers!U933&gt;850),"Score out of range","")</f>
        <v/>
      </c>
      <c r="N933" s="4" t="str">
        <f>IF(AND(Customers!G933&lt;&gt;"",Customers!G933&lt;=0),"Income ≤ 0","")</f>
        <v/>
      </c>
      <c r="O933" s="4" t="str">
        <f>IF(OR(Customers!G933="",Customers!M933=""),"Missing value","")</f>
        <v/>
      </c>
      <c r="P933" s="4">
        <f t="shared" si="14"/>
        <v>1</v>
      </c>
    </row>
    <row r="934" spans="1:16" x14ac:dyDescent="0.25">
      <c r="A934" s="4" t="str">
        <f>Customers!A934</f>
        <v>CL00927</v>
      </c>
      <c r="B934" s="20">
        <f>IF(Customers!G934="","",(Customers!G934-Statistics!$C$7)/Statistics!$C$9)</f>
        <v>-5.1195738724424199E-2</v>
      </c>
      <c r="C934" s="4" t="str">
        <f>IF(Customers!G934="","",IF(OR(Customers!G934&lt;Statistics!$C$15,Customers!G934&gt;Statistics!$C$16),"Outside 1.5·IQR",""))</f>
        <v/>
      </c>
      <c r="D934" s="4" t="str">
        <f>IF(OR(Customers!B934&lt;18,Customers!B934&gt;100),"Implausible age","")</f>
        <v/>
      </c>
      <c r="E934" s="4" t="str">
        <f>IF(Customers!H934&gt;Customers!B934-18,"Tenure &gt; age-18","")</f>
        <v/>
      </c>
      <c r="F934" s="4" t="str">
        <f>IF(Customers!R934&gt;Customers!Q934,"Card spend &gt; limit","")</f>
        <v/>
      </c>
      <c r="G934" s="4" t="str">
        <f>IF(OR(AND(Customers!S934&gt;0,Customers!T934=0),AND(Customers!S934=0,Customers!T934&gt;0)),"Mortgage/payment inconsistent","")</f>
        <v/>
      </c>
      <c r="H934" s="4" t="str">
        <f>IF(AND(Customers!G934&lt;&gt;"",Customers!G934&gt;0,Customers!T934&gt;Customers!G934/12),"Payment &gt; monthly income","")</f>
        <v/>
      </c>
      <c r="I934" s="4" t="str">
        <f>IF(OR(Customers!I934&gt;DATE(2026,9,13),YEAR(Customers!I934)&lt;1980),"Implausible date","")</f>
        <v/>
      </c>
      <c r="J934" s="4" t="str">
        <f>IF(Customers!I934&gt;DATE(2026,9,13),"",IF(ABS(INT((DATE(2026,9,13)-Customers!I934)/365.25)-Customers!H934)&gt;1,"Date/tenure inconsistent",""))</f>
        <v/>
      </c>
      <c r="K934" s="4" t="str">
        <f>IF(COUNTIF(Customers!$A$2:$A$1001,Customers!A934)&gt;1,"Duplicate ID","")</f>
        <v/>
      </c>
      <c r="L934" s="4" t="str">
        <f>IF(COUNTIFS(Customers!$B$2:$B$1001,Customers!B934,Customers!$D$2:$D$1001,Customers!D934,Customers!$G$2:$G$1001,Customers!G934,Customers!$I$2:$I$1001,Customers!I934,Customers!$L$2:$L$1001,Customers!L934)&gt;1,"Duplicate record","")</f>
        <v/>
      </c>
      <c r="M934" s="4" t="str">
        <f>IF(OR(Customers!U934&lt;300,Customers!U934&gt;850),"Score out of range","")</f>
        <v/>
      </c>
      <c r="N934" s="4" t="str">
        <f>IF(AND(Customers!G934&lt;&gt;"",Customers!G934&lt;=0),"Income ≤ 0","")</f>
        <v/>
      </c>
      <c r="O934" s="4" t="str">
        <f>IF(OR(Customers!G934="",Customers!M934=""),"Missing value","")</f>
        <v/>
      </c>
      <c r="P934" s="4">
        <f t="shared" si="14"/>
        <v>0</v>
      </c>
    </row>
    <row r="935" spans="1:16" x14ac:dyDescent="0.25">
      <c r="A935" s="4" t="str">
        <f>Customers!A935</f>
        <v>CL00928</v>
      </c>
      <c r="B935" s="20">
        <f>IF(Customers!G935="","",(Customers!G935-Statistics!$C$7)/Statistics!$C$9)</f>
        <v>-4.7256045102713369E-2</v>
      </c>
      <c r="C935" s="4" t="str">
        <f>IF(Customers!G935="","",IF(OR(Customers!G935&lt;Statistics!$C$15,Customers!G935&gt;Statistics!$C$16),"Outside 1.5·IQR",""))</f>
        <v/>
      </c>
      <c r="D935" s="4" t="str">
        <f>IF(OR(Customers!B935&lt;18,Customers!B935&gt;100),"Implausible age","")</f>
        <v/>
      </c>
      <c r="E935" s="4" t="str">
        <f>IF(Customers!H935&gt;Customers!B935-18,"Tenure &gt; age-18","")</f>
        <v/>
      </c>
      <c r="F935" s="4" t="str">
        <f>IF(Customers!R935&gt;Customers!Q935,"Card spend &gt; limit","")</f>
        <v/>
      </c>
      <c r="G935" s="4" t="str">
        <f>IF(OR(AND(Customers!S935&gt;0,Customers!T935=0),AND(Customers!S935=0,Customers!T935&gt;0)),"Mortgage/payment inconsistent","")</f>
        <v/>
      </c>
      <c r="H935" s="4" t="str">
        <f>IF(AND(Customers!G935&lt;&gt;"",Customers!G935&gt;0,Customers!T935&gt;Customers!G935/12),"Payment &gt; monthly income","")</f>
        <v/>
      </c>
      <c r="I935" s="4" t="str">
        <f>IF(OR(Customers!I935&gt;DATE(2026,9,13),YEAR(Customers!I935)&lt;1980),"Implausible date","")</f>
        <v/>
      </c>
      <c r="J935" s="4" t="str">
        <f>IF(Customers!I935&gt;DATE(2026,9,13),"",IF(ABS(INT((DATE(2026,9,13)-Customers!I935)/365.25)-Customers!H935)&gt;1,"Date/tenure inconsistent",""))</f>
        <v/>
      </c>
      <c r="K935" s="4" t="str">
        <f>IF(COUNTIF(Customers!$A$2:$A$1001,Customers!A935)&gt;1,"Duplicate ID","")</f>
        <v/>
      </c>
      <c r="L935" s="4" t="str">
        <f>IF(COUNTIFS(Customers!$B$2:$B$1001,Customers!B935,Customers!$D$2:$D$1001,Customers!D935,Customers!$G$2:$G$1001,Customers!G935,Customers!$I$2:$I$1001,Customers!I935,Customers!$L$2:$L$1001,Customers!L935)&gt;1,"Duplicate record","")</f>
        <v/>
      </c>
      <c r="M935" s="4" t="str">
        <f>IF(OR(Customers!U935&lt;300,Customers!U935&gt;850),"Score out of range","")</f>
        <v/>
      </c>
      <c r="N935" s="4" t="str">
        <f>IF(AND(Customers!G935&lt;&gt;"",Customers!G935&lt;=0),"Income ≤ 0","")</f>
        <v/>
      </c>
      <c r="O935" s="4" t="str">
        <f>IF(OR(Customers!G935="",Customers!M935=""),"Missing value","")</f>
        <v/>
      </c>
      <c r="P935" s="4">
        <f t="shared" si="14"/>
        <v>0</v>
      </c>
    </row>
    <row r="936" spans="1:16" x14ac:dyDescent="0.25">
      <c r="A936" s="4" t="str">
        <f>Customers!A936</f>
        <v>CL00929</v>
      </c>
      <c r="B936" s="20">
        <f>IF(Customers!G936="","",(Customers!G936-Statistics!$C$7)/Statistics!$C$9)</f>
        <v>-1.5049049745227283E-2</v>
      </c>
      <c r="C936" s="4" t="str">
        <f>IF(Customers!G936="","",IF(OR(Customers!G936&lt;Statistics!$C$15,Customers!G936&gt;Statistics!$C$16),"Outside 1.5·IQR",""))</f>
        <v/>
      </c>
      <c r="D936" s="4" t="str">
        <f>IF(OR(Customers!B936&lt;18,Customers!B936&gt;100),"Implausible age","")</f>
        <v/>
      </c>
      <c r="E936" s="4" t="str">
        <f>IF(Customers!H936&gt;Customers!B936-18,"Tenure &gt; age-18","")</f>
        <v/>
      </c>
      <c r="F936" s="4" t="str">
        <f>IF(Customers!R936&gt;Customers!Q936,"Card spend &gt; limit","")</f>
        <v/>
      </c>
      <c r="G936" s="4" t="str">
        <f>IF(OR(AND(Customers!S936&gt;0,Customers!T936=0),AND(Customers!S936=0,Customers!T936&gt;0)),"Mortgage/payment inconsistent","")</f>
        <v/>
      </c>
      <c r="H936" s="4" t="str">
        <f>IF(AND(Customers!G936&lt;&gt;"",Customers!G936&gt;0,Customers!T936&gt;Customers!G936/12),"Payment &gt; monthly income","")</f>
        <v/>
      </c>
      <c r="I936" s="4" t="str">
        <f>IF(OR(Customers!I936&gt;DATE(2026,9,13),YEAR(Customers!I936)&lt;1980),"Implausible date","")</f>
        <v/>
      </c>
      <c r="J936" s="4" t="str">
        <f>IF(Customers!I936&gt;DATE(2026,9,13),"",IF(ABS(INT((DATE(2026,9,13)-Customers!I936)/365.25)-Customers!H936)&gt;1,"Date/tenure inconsistent",""))</f>
        <v/>
      </c>
      <c r="K936" s="4" t="str">
        <f>IF(COUNTIF(Customers!$A$2:$A$1001,Customers!A936)&gt;1,"Duplicate ID","")</f>
        <v/>
      </c>
      <c r="L936" s="4" t="str">
        <f>IF(COUNTIFS(Customers!$B$2:$B$1001,Customers!B936,Customers!$D$2:$D$1001,Customers!D936,Customers!$G$2:$G$1001,Customers!G936,Customers!$I$2:$I$1001,Customers!I936,Customers!$L$2:$L$1001,Customers!L936)&gt;1,"Duplicate record","")</f>
        <v/>
      </c>
      <c r="M936" s="4" t="str">
        <f>IF(OR(Customers!U936&lt;300,Customers!U936&gt;850),"Score out of range","")</f>
        <v/>
      </c>
      <c r="N936" s="4" t="str">
        <f>IF(AND(Customers!G936&lt;&gt;"",Customers!G936&lt;=0),"Income ≤ 0","")</f>
        <v/>
      </c>
      <c r="O936" s="4" t="str">
        <f>IF(OR(Customers!G936="",Customers!M936=""),"Missing value","")</f>
        <v/>
      </c>
      <c r="P936" s="4">
        <f t="shared" si="14"/>
        <v>0</v>
      </c>
    </row>
    <row r="937" spans="1:16" x14ac:dyDescent="0.25">
      <c r="A937" s="4" t="str">
        <f>Customers!A937</f>
        <v>CL00930</v>
      </c>
      <c r="B937" s="20">
        <f>IF(Customers!G937="","",(Customers!G937-Statistics!$C$7)/Statistics!$C$9)</f>
        <v>7.2102192174389405E-3</v>
      </c>
      <c r="C937" s="4" t="str">
        <f>IF(Customers!G937="","",IF(OR(Customers!G937&lt;Statistics!$C$15,Customers!G937&gt;Statistics!$C$16),"Outside 1.5·IQR",""))</f>
        <v>Outside 1.5·IQR</v>
      </c>
      <c r="D937" s="4" t="str">
        <f>IF(OR(Customers!B937&lt;18,Customers!B937&gt;100),"Implausible age","")</f>
        <v/>
      </c>
      <c r="E937" s="4" t="str">
        <f>IF(Customers!H937&gt;Customers!B937-18,"Tenure &gt; age-18","")</f>
        <v/>
      </c>
      <c r="F937" s="4" t="str">
        <f>IF(Customers!R937&gt;Customers!Q937,"Card spend &gt; limit","")</f>
        <v/>
      </c>
      <c r="G937" s="4" t="str">
        <f>IF(OR(AND(Customers!S937&gt;0,Customers!T937=0),AND(Customers!S937=0,Customers!T937&gt;0)),"Mortgage/payment inconsistent","")</f>
        <v/>
      </c>
      <c r="H937" s="4" t="str">
        <f>IF(AND(Customers!G937&lt;&gt;"",Customers!G937&gt;0,Customers!T937&gt;Customers!G937/12),"Payment &gt; monthly income","")</f>
        <v/>
      </c>
      <c r="I937" s="4" t="str">
        <f>IF(OR(Customers!I937&gt;DATE(2026,9,13),YEAR(Customers!I937)&lt;1980),"Implausible date","")</f>
        <v/>
      </c>
      <c r="J937" s="4" t="str">
        <f>IF(Customers!I937&gt;DATE(2026,9,13),"",IF(ABS(INT((DATE(2026,9,13)-Customers!I937)/365.25)-Customers!H937)&gt;1,"Date/tenure inconsistent",""))</f>
        <v/>
      </c>
      <c r="K937" s="4" t="str">
        <f>IF(COUNTIF(Customers!$A$2:$A$1001,Customers!A937)&gt;1,"Duplicate ID","")</f>
        <v/>
      </c>
      <c r="L937" s="4" t="str">
        <f>IF(COUNTIFS(Customers!$B$2:$B$1001,Customers!B937,Customers!$D$2:$D$1001,Customers!D937,Customers!$G$2:$G$1001,Customers!G937,Customers!$I$2:$I$1001,Customers!I937,Customers!$L$2:$L$1001,Customers!L937)&gt;1,"Duplicate record","")</f>
        <v/>
      </c>
      <c r="M937" s="4" t="str">
        <f>IF(OR(Customers!U937&lt;300,Customers!U937&gt;850),"Score out of range","")</f>
        <v/>
      </c>
      <c r="N937" s="4" t="str">
        <f>IF(AND(Customers!G937&lt;&gt;"",Customers!G937&lt;=0),"Income ≤ 0","")</f>
        <v/>
      </c>
      <c r="O937" s="4" t="str">
        <f>IF(OR(Customers!G937="",Customers!M937=""),"Missing value","")</f>
        <v/>
      </c>
      <c r="P937" s="4">
        <f t="shared" si="14"/>
        <v>1</v>
      </c>
    </row>
    <row r="938" spans="1:16" x14ac:dyDescent="0.25">
      <c r="A938" s="4" t="str">
        <f>Customers!A938</f>
        <v>CL00931</v>
      </c>
      <c r="B938" s="20">
        <f>IF(Customers!G938="","",(Customers!G938-Statistics!$C$7)/Statistics!$C$9)</f>
        <v>-1.4655080383056199E-2</v>
      </c>
      <c r="C938" s="4" t="str">
        <f>IF(Customers!G938="","",IF(OR(Customers!G938&lt;Statistics!$C$15,Customers!G938&gt;Statistics!$C$16),"Outside 1.5·IQR",""))</f>
        <v/>
      </c>
      <c r="D938" s="4" t="str">
        <f>IF(OR(Customers!B938&lt;18,Customers!B938&gt;100),"Implausible age","")</f>
        <v/>
      </c>
      <c r="E938" s="4" t="str">
        <f>IF(Customers!H938&gt;Customers!B938-18,"Tenure &gt; age-18","")</f>
        <v/>
      </c>
      <c r="F938" s="4" t="str">
        <f>IF(Customers!R938&gt;Customers!Q938,"Card spend &gt; limit","")</f>
        <v/>
      </c>
      <c r="G938" s="4" t="str">
        <f>IF(OR(AND(Customers!S938&gt;0,Customers!T938=0),AND(Customers!S938=0,Customers!T938&gt;0)),"Mortgage/payment inconsistent","")</f>
        <v/>
      </c>
      <c r="H938" s="4" t="str">
        <f>IF(AND(Customers!G938&lt;&gt;"",Customers!G938&gt;0,Customers!T938&gt;Customers!G938/12),"Payment &gt; monthly income","")</f>
        <v/>
      </c>
      <c r="I938" s="4" t="str">
        <f>IF(OR(Customers!I938&gt;DATE(2026,9,13),YEAR(Customers!I938)&lt;1980),"Implausible date","")</f>
        <v/>
      </c>
      <c r="J938" s="4" t="str">
        <f>IF(Customers!I938&gt;DATE(2026,9,13),"",IF(ABS(INT((DATE(2026,9,13)-Customers!I938)/365.25)-Customers!H938)&gt;1,"Date/tenure inconsistent",""))</f>
        <v/>
      </c>
      <c r="K938" s="4" t="str">
        <f>IF(COUNTIF(Customers!$A$2:$A$1001,Customers!A938)&gt;1,"Duplicate ID","")</f>
        <v/>
      </c>
      <c r="L938" s="4" t="str">
        <f>IF(COUNTIFS(Customers!$B$2:$B$1001,Customers!B938,Customers!$D$2:$D$1001,Customers!D938,Customers!$G$2:$G$1001,Customers!G938,Customers!$I$2:$I$1001,Customers!I938,Customers!$L$2:$L$1001,Customers!L938)&gt;1,"Duplicate record","")</f>
        <v/>
      </c>
      <c r="M938" s="4" t="str">
        <f>IF(OR(Customers!U938&lt;300,Customers!U938&gt;850),"Score out of range","")</f>
        <v/>
      </c>
      <c r="N938" s="4" t="str">
        <f>IF(AND(Customers!G938&lt;&gt;"",Customers!G938&lt;=0),"Income ≤ 0","")</f>
        <v/>
      </c>
      <c r="O938" s="4" t="str">
        <f>IF(OR(Customers!G938="",Customers!M938=""),"Missing value","")</f>
        <v/>
      </c>
      <c r="P938" s="4">
        <f t="shared" si="14"/>
        <v>0</v>
      </c>
    </row>
    <row r="939" spans="1:16" x14ac:dyDescent="0.25">
      <c r="A939" s="4" t="str">
        <f>Customers!A939</f>
        <v>CL00932</v>
      </c>
      <c r="B939" s="20">
        <f>IF(Customers!G939="","",(Customers!G939-Statistics!$C$7)/Statistics!$C$9)</f>
        <v>-5.1589708086595285E-2</v>
      </c>
      <c r="C939" s="4" t="str">
        <f>IF(Customers!G939="","",IF(OR(Customers!G939&lt;Statistics!$C$15,Customers!G939&gt;Statistics!$C$16),"Outside 1.5·IQR",""))</f>
        <v/>
      </c>
      <c r="D939" s="4" t="str">
        <f>IF(OR(Customers!B939&lt;18,Customers!B939&gt;100),"Implausible age","")</f>
        <v/>
      </c>
      <c r="E939" s="4" t="str">
        <f>IF(Customers!H939&gt;Customers!B939-18,"Tenure &gt; age-18","")</f>
        <v/>
      </c>
      <c r="F939" s="4" t="str">
        <f>IF(Customers!R939&gt;Customers!Q939,"Card spend &gt; limit","")</f>
        <v/>
      </c>
      <c r="G939" s="4" t="str">
        <f>IF(OR(AND(Customers!S939&gt;0,Customers!T939=0),AND(Customers!S939=0,Customers!T939&gt;0)),"Mortgage/payment inconsistent","")</f>
        <v/>
      </c>
      <c r="H939" s="4" t="str">
        <f>IF(AND(Customers!G939&lt;&gt;"",Customers!G939&gt;0,Customers!T939&gt;Customers!G939/12),"Payment &gt; monthly income","")</f>
        <v/>
      </c>
      <c r="I939" s="4" t="str">
        <f>IF(OR(Customers!I939&gt;DATE(2026,9,13),YEAR(Customers!I939)&lt;1980),"Implausible date","")</f>
        <v/>
      </c>
      <c r="J939" s="4" t="str">
        <f>IF(Customers!I939&gt;DATE(2026,9,13),"",IF(ABS(INT((DATE(2026,9,13)-Customers!I939)/365.25)-Customers!H939)&gt;1,"Date/tenure inconsistent",""))</f>
        <v/>
      </c>
      <c r="K939" s="4" t="str">
        <f>IF(COUNTIF(Customers!$A$2:$A$1001,Customers!A939)&gt;1,"Duplicate ID","")</f>
        <v/>
      </c>
      <c r="L939" s="4" t="str">
        <f>IF(COUNTIFS(Customers!$B$2:$B$1001,Customers!B939,Customers!$D$2:$D$1001,Customers!D939,Customers!$G$2:$G$1001,Customers!G939,Customers!$I$2:$I$1001,Customers!I939,Customers!$L$2:$L$1001,Customers!L939)&gt;1,"Duplicate record","")</f>
        <v/>
      </c>
      <c r="M939" s="4" t="str">
        <f>IF(OR(Customers!U939&lt;300,Customers!U939&gt;850),"Score out of range","")</f>
        <v/>
      </c>
      <c r="N939" s="4" t="str">
        <f>IF(AND(Customers!G939&lt;&gt;"",Customers!G939&lt;=0),"Income ≤ 0","")</f>
        <v/>
      </c>
      <c r="O939" s="4" t="str">
        <f>IF(OR(Customers!G939="",Customers!M939=""),"Missing value","")</f>
        <v/>
      </c>
      <c r="P939" s="4">
        <f t="shared" si="14"/>
        <v>0</v>
      </c>
    </row>
    <row r="940" spans="1:16" x14ac:dyDescent="0.25">
      <c r="A940" s="4" t="str">
        <f>Customers!A940</f>
        <v>CL00933</v>
      </c>
      <c r="B940" s="20">
        <f>IF(Customers!G940="","",(Customers!G940-Statistics!$C$7)/Statistics!$C$9)</f>
        <v>-6.4802161180062146E-3</v>
      </c>
      <c r="C940" s="4" t="str">
        <f>IF(Customers!G940="","",IF(OR(Customers!G940&lt;Statistics!$C$15,Customers!G940&gt;Statistics!$C$16),"Outside 1.5·IQR",""))</f>
        <v/>
      </c>
      <c r="D940" s="4" t="str">
        <f>IF(OR(Customers!B940&lt;18,Customers!B940&gt;100),"Implausible age","")</f>
        <v/>
      </c>
      <c r="E940" s="4" t="str">
        <f>IF(Customers!H940&gt;Customers!B940-18,"Tenure &gt; age-18","")</f>
        <v/>
      </c>
      <c r="F940" s="4" t="str">
        <f>IF(Customers!R940&gt;Customers!Q940,"Card spend &gt; limit","")</f>
        <v/>
      </c>
      <c r="G940" s="4" t="str">
        <f>IF(OR(AND(Customers!S940&gt;0,Customers!T940=0),AND(Customers!S940=0,Customers!T940&gt;0)),"Mortgage/payment inconsistent","")</f>
        <v/>
      </c>
      <c r="H940" s="4" t="str">
        <f>IF(AND(Customers!G940&lt;&gt;"",Customers!G940&gt;0,Customers!T940&gt;Customers!G940/12),"Payment &gt; monthly income","")</f>
        <v/>
      </c>
      <c r="I940" s="4" t="str">
        <f>IF(OR(Customers!I940&gt;DATE(2026,9,13),YEAR(Customers!I940)&lt;1980),"Implausible date","")</f>
        <v/>
      </c>
      <c r="J940" s="4" t="str">
        <f>IF(Customers!I940&gt;DATE(2026,9,13),"",IF(ABS(INT((DATE(2026,9,13)-Customers!I940)/365.25)-Customers!H940)&gt;1,"Date/tenure inconsistent",""))</f>
        <v/>
      </c>
      <c r="K940" s="4" t="str">
        <f>IF(COUNTIF(Customers!$A$2:$A$1001,Customers!A940)&gt;1,"Duplicate ID","")</f>
        <v/>
      </c>
      <c r="L940" s="4" t="str">
        <f>IF(COUNTIFS(Customers!$B$2:$B$1001,Customers!B940,Customers!$D$2:$D$1001,Customers!D940,Customers!$G$2:$G$1001,Customers!G940,Customers!$I$2:$I$1001,Customers!I940,Customers!$L$2:$L$1001,Customers!L940)&gt;1,"Duplicate record","")</f>
        <v/>
      </c>
      <c r="M940" s="4" t="str">
        <f>IF(OR(Customers!U940&lt;300,Customers!U940&gt;850),"Score out of range","")</f>
        <v/>
      </c>
      <c r="N940" s="4" t="str">
        <f>IF(AND(Customers!G940&lt;&gt;"",Customers!G940&lt;=0),"Income ≤ 0","")</f>
        <v/>
      </c>
      <c r="O940" s="4" t="str">
        <f>IF(OR(Customers!G940="",Customers!M940=""),"Missing value","")</f>
        <v/>
      </c>
      <c r="P940" s="4">
        <f t="shared" si="14"/>
        <v>0</v>
      </c>
    </row>
    <row r="941" spans="1:16" x14ac:dyDescent="0.25">
      <c r="A941" s="4" t="str">
        <f>Customers!A941</f>
        <v>CL00934</v>
      </c>
      <c r="B941" s="20">
        <f>IF(Customers!G941="","",(Customers!G941-Statistics!$C$7)/Statistics!$C$9)</f>
        <v>-4.3710320843173611E-2</v>
      </c>
      <c r="C941" s="4" t="str">
        <f>IF(Customers!G941="","",IF(OR(Customers!G941&lt;Statistics!$C$15,Customers!G941&gt;Statistics!$C$16),"Outside 1.5·IQR",""))</f>
        <v/>
      </c>
      <c r="D941" s="4" t="str">
        <f>IF(OR(Customers!B941&lt;18,Customers!B941&gt;100),"Implausible age","")</f>
        <v/>
      </c>
      <c r="E941" s="4" t="str">
        <f>IF(Customers!H941&gt;Customers!B941-18,"Tenure &gt; age-18","")</f>
        <v/>
      </c>
      <c r="F941" s="4" t="str">
        <f>IF(Customers!R941&gt;Customers!Q941,"Card spend &gt; limit","")</f>
        <v/>
      </c>
      <c r="G941" s="4" t="str">
        <f>IF(OR(AND(Customers!S941&gt;0,Customers!T941=0),AND(Customers!S941=0,Customers!T941&gt;0)),"Mortgage/payment inconsistent","")</f>
        <v/>
      </c>
      <c r="H941" s="4" t="str">
        <f>IF(AND(Customers!G941&lt;&gt;"",Customers!G941&gt;0,Customers!T941&gt;Customers!G941/12),"Payment &gt; monthly income","")</f>
        <v/>
      </c>
      <c r="I941" s="4" t="str">
        <f>IF(OR(Customers!I941&gt;DATE(2026,9,13),YEAR(Customers!I941)&lt;1980),"Implausible date","")</f>
        <v/>
      </c>
      <c r="J941" s="4" t="str">
        <f>IF(Customers!I941&gt;DATE(2026,9,13),"",IF(ABS(INT((DATE(2026,9,13)-Customers!I941)/365.25)-Customers!H941)&gt;1,"Date/tenure inconsistent",""))</f>
        <v/>
      </c>
      <c r="K941" s="4" t="str">
        <f>IF(COUNTIF(Customers!$A$2:$A$1001,Customers!A941)&gt;1,"Duplicate ID","")</f>
        <v/>
      </c>
      <c r="L941" s="4" t="str">
        <f>IF(COUNTIFS(Customers!$B$2:$B$1001,Customers!B941,Customers!$D$2:$D$1001,Customers!D941,Customers!$G$2:$G$1001,Customers!G941,Customers!$I$2:$I$1001,Customers!I941,Customers!$L$2:$L$1001,Customers!L941)&gt;1,"Duplicate record","")</f>
        <v/>
      </c>
      <c r="M941" s="4" t="str">
        <f>IF(OR(Customers!U941&lt;300,Customers!U941&gt;850),"Score out of range","")</f>
        <v/>
      </c>
      <c r="N941" s="4" t="str">
        <f>IF(AND(Customers!G941&lt;&gt;"",Customers!G941&lt;=0),"Income ≤ 0","")</f>
        <v/>
      </c>
      <c r="O941" s="4" t="str">
        <f>IF(OR(Customers!G941="",Customers!M941=""),"Missing value","")</f>
        <v/>
      </c>
      <c r="P941" s="4">
        <f t="shared" si="14"/>
        <v>0</v>
      </c>
    </row>
    <row r="942" spans="1:16" x14ac:dyDescent="0.25">
      <c r="A942" s="4" t="str">
        <f>Customers!A942</f>
        <v>CL00935</v>
      </c>
      <c r="B942" s="20">
        <f>IF(Customers!G942="","",(Customers!G942-Statistics!$C$7)/Statistics!$C$9)</f>
        <v>-5.4052016600164558E-2</v>
      </c>
      <c r="C942" s="4" t="str">
        <f>IF(Customers!G942="","",IF(OR(Customers!G942&lt;Statistics!$C$15,Customers!G942&gt;Statistics!$C$16),"Outside 1.5·IQR",""))</f>
        <v/>
      </c>
      <c r="D942" s="4" t="str">
        <f>IF(OR(Customers!B942&lt;18,Customers!B942&gt;100),"Implausible age","")</f>
        <v/>
      </c>
      <c r="E942" s="4" t="str">
        <f>IF(Customers!H942&gt;Customers!B942-18,"Tenure &gt; age-18","")</f>
        <v/>
      </c>
      <c r="F942" s="4" t="str">
        <f>IF(Customers!R942&gt;Customers!Q942,"Card spend &gt; limit","")</f>
        <v/>
      </c>
      <c r="G942" s="4" t="str">
        <f>IF(OR(AND(Customers!S942&gt;0,Customers!T942=0),AND(Customers!S942=0,Customers!T942&gt;0)),"Mortgage/payment inconsistent","")</f>
        <v/>
      </c>
      <c r="H942" s="4" t="str">
        <f>IF(AND(Customers!G942&lt;&gt;"",Customers!G942&gt;0,Customers!T942&gt;Customers!G942/12),"Payment &gt; monthly income","")</f>
        <v/>
      </c>
      <c r="I942" s="4" t="str">
        <f>IF(OR(Customers!I942&gt;DATE(2026,9,13),YEAR(Customers!I942)&lt;1980),"Implausible date","")</f>
        <v/>
      </c>
      <c r="J942" s="4" t="str">
        <f>IF(Customers!I942&gt;DATE(2026,9,13),"",IF(ABS(INT((DATE(2026,9,13)-Customers!I942)/365.25)-Customers!H942)&gt;1,"Date/tenure inconsistent",""))</f>
        <v/>
      </c>
      <c r="K942" s="4" t="str">
        <f>IF(COUNTIF(Customers!$A$2:$A$1001,Customers!A942)&gt;1,"Duplicate ID","")</f>
        <v/>
      </c>
      <c r="L942" s="4" t="str">
        <f>IF(COUNTIFS(Customers!$B$2:$B$1001,Customers!B942,Customers!$D$2:$D$1001,Customers!D942,Customers!$G$2:$G$1001,Customers!G942,Customers!$I$2:$I$1001,Customers!I942,Customers!$L$2:$L$1001,Customers!L942)&gt;1,"Duplicate record","")</f>
        <v/>
      </c>
      <c r="M942" s="4" t="str">
        <f>IF(OR(Customers!U942&lt;300,Customers!U942&gt;850),"Score out of range","")</f>
        <v/>
      </c>
      <c r="N942" s="4" t="str">
        <f>IF(AND(Customers!G942&lt;&gt;"",Customers!G942&lt;=0),"Income ≤ 0","")</f>
        <v/>
      </c>
      <c r="O942" s="4" t="str">
        <f>IF(OR(Customers!G942="",Customers!M942=""),"Missing value","")</f>
        <v/>
      </c>
      <c r="P942" s="4">
        <f t="shared" si="14"/>
        <v>0</v>
      </c>
    </row>
    <row r="943" spans="1:16" x14ac:dyDescent="0.25">
      <c r="A943" s="4" t="str">
        <f>Customers!A943</f>
        <v>CL00936</v>
      </c>
      <c r="B943" s="20">
        <f>IF(Customers!G943="","",(Customers!G943-Statistics!$C$7)/Statistics!$C$9)</f>
        <v>-5.8287187243503708E-2</v>
      </c>
      <c r="C943" s="4" t="str">
        <f>IF(Customers!G943="","",IF(OR(Customers!G943&lt;Statistics!$C$15,Customers!G943&gt;Statistics!$C$16),"Outside 1.5·IQR",""))</f>
        <v/>
      </c>
      <c r="D943" s="4" t="str">
        <f>IF(OR(Customers!B943&lt;18,Customers!B943&gt;100),"Implausible age","")</f>
        <v>Implausible age</v>
      </c>
      <c r="E943" s="4" t="str">
        <f>IF(Customers!H943&gt;Customers!B943-18,"Tenure &gt; age-18","")</f>
        <v/>
      </c>
      <c r="F943" s="4" t="str">
        <f>IF(Customers!R943&gt;Customers!Q943,"Card spend &gt; limit","")</f>
        <v/>
      </c>
      <c r="G943" s="4" t="str">
        <f>IF(OR(AND(Customers!S943&gt;0,Customers!T943=0),AND(Customers!S943=0,Customers!T943&gt;0)),"Mortgage/payment inconsistent","")</f>
        <v/>
      </c>
      <c r="H943" s="4" t="str">
        <f>IF(AND(Customers!G943&lt;&gt;"",Customers!G943&gt;0,Customers!T943&gt;Customers!G943/12),"Payment &gt; monthly income","")</f>
        <v/>
      </c>
      <c r="I943" s="4" t="str">
        <f>IF(OR(Customers!I943&gt;DATE(2026,9,13),YEAR(Customers!I943)&lt;1980),"Implausible date","")</f>
        <v/>
      </c>
      <c r="J943" s="4" t="str">
        <f>IF(Customers!I943&gt;DATE(2026,9,13),"",IF(ABS(INT((DATE(2026,9,13)-Customers!I943)/365.25)-Customers!H943)&gt;1,"Date/tenure inconsistent",""))</f>
        <v/>
      </c>
      <c r="K943" s="4" t="str">
        <f>IF(COUNTIF(Customers!$A$2:$A$1001,Customers!A943)&gt;1,"Duplicate ID","")</f>
        <v/>
      </c>
      <c r="L943" s="4" t="str">
        <f>IF(COUNTIFS(Customers!$B$2:$B$1001,Customers!B943,Customers!$D$2:$D$1001,Customers!D943,Customers!$G$2:$G$1001,Customers!G943,Customers!$I$2:$I$1001,Customers!I943,Customers!$L$2:$L$1001,Customers!L943)&gt;1,"Duplicate record","")</f>
        <v/>
      </c>
      <c r="M943" s="4" t="str">
        <f>IF(OR(Customers!U943&lt;300,Customers!U943&gt;850),"Score out of range","")</f>
        <v/>
      </c>
      <c r="N943" s="4" t="str">
        <f>IF(AND(Customers!G943&lt;&gt;"",Customers!G943&lt;=0),"Income ≤ 0","")</f>
        <v/>
      </c>
      <c r="O943" s="4" t="str">
        <f>IF(OR(Customers!G943="",Customers!M943=""),"Missing value","")</f>
        <v/>
      </c>
      <c r="P943" s="4">
        <f t="shared" si="14"/>
        <v>1</v>
      </c>
    </row>
    <row r="944" spans="1:16" x14ac:dyDescent="0.25">
      <c r="A944" s="4" t="str">
        <f>Customers!A944</f>
        <v>CL00937</v>
      </c>
      <c r="B944" s="20">
        <f>IF(Customers!G944="","",(Customers!G944-Statistics!$C$7)/Statistics!$C$9)</f>
        <v>-4.1543489351232657E-2</v>
      </c>
      <c r="C944" s="4" t="str">
        <f>IF(Customers!G944="","",IF(OR(Customers!G944&lt;Statistics!$C$15,Customers!G944&gt;Statistics!$C$16),"Outside 1.5·IQR",""))</f>
        <v/>
      </c>
      <c r="D944" s="4" t="str">
        <f>IF(OR(Customers!B944&lt;18,Customers!B944&gt;100),"Implausible age","")</f>
        <v/>
      </c>
      <c r="E944" s="4" t="str">
        <f>IF(Customers!H944&gt;Customers!B944-18,"Tenure &gt; age-18","")</f>
        <v/>
      </c>
      <c r="F944" s="4" t="str">
        <f>IF(Customers!R944&gt;Customers!Q944,"Card spend &gt; limit","")</f>
        <v/>
      </c>
      <c r="G944" s="4" t="str">
        <f>IF(OR(AND(Customers!S944&gt;0,Customers!T944=0),AND(Customers!S944=0,Customers!T944&gt;0)),"Mortgage/payment inconsistent","")</f>
        <v/>
      </c>
      <c r="H944" s="4" t="str">
        <f>IF(AND(Customers!G944&lt;&gt;"",Customers!G944&gt;0,Customers!T944&gt;Customers!G944/12),"Payment &gt; monthly income","")</f>
        <v/>
      </c>
      <c r="I944" s="4" t="str">
        <f>IF(OR(Customers!I944&gt;DATE(2026,9,13),YEAR(Customers!I944)&lt;1980),"Implausible date","")</f>
        <v/>
      </c>
      <c r="J944" s="4" t="str">
        <f>IF(Customers!I944&gt;DATE(2026,9,13),"",IF(ABS(INT((DATE(2026,9,13)-Customers!I944)/365.25)-Customers!H944)&gt;1,"Date/tenure inconsistent",""))</f>
        <v/>
      </c>
      <c r="K944" s="4" t="str">
        <f>IF(COUNTIF(Customers!$A$2:$A$1001,Customers!A944)&gt;1,"Duplicate ID","")</f>
        <v/>
      </c>
      <c r="L944" s="4" t="str">
        <f>IF(COUNTIFS(Customers!$B$2:$B$1001,Customers!B944,Customers!$D$2:$D$1001,Customers!D944,Customers!$G$2:$G$1001,Customers!G944,Customers!$I$2:$I$1001,Customers!I944,Customers!$L$2:$L$1001,Customers!L944)&gt;1,"Duplicate record","")</f>
        <v/>
      </c>
      <c r="M944" s="4" t="str">
        <f>IF(OR(Customers!U944&lt;300,Customers!U944&gt;850),"Score out of range","")</f>
        <v/>
      </c>
      <c r="N944" s="4" t="str">
        <f>IF(AND(Customers!G944&lt;&gt;"",Customers!G944&lt;=0),"Income ≤ 0","")</f>
        <v/>
      </c>
      <c r="O944" s="4" t="str">
        <f>IF(OR(Customers!G944="",Customers!M944=""),"Missing value","")</f>
        <v/>
      </c>
      <c r="P944" s="4">
        <f t="shared" si="14"/>
        <v>0</v>
      </c>
    </row>
    <row r="945" spans="1:16" x14ac:dyDescent="0.25">
      <c r="A945" s="4" t="str">
        <f>Customers!A945</f>
        <v>CL00938</v>
      </c>
      <c r="B945" s="20">
        <f>IF(Customers!G945="","",(Customers!G945-Statistics!$C$7)/Statistics!$C$9)</f>
        <v>-4.4596751908058549E-2</v>
      </c>
      <c r="C945" s="4" t="str">
        <f>IF(Customers!G945="","",IF(OR(Customers!G945&lt;Statistics!$C$15,Customers!G945&gt;Statistics!$C$16),"Outside 1.5·IQR",""))</f>
        <v/>
      </c>
      <c r="D945" s="4" t="str">
        <f>IF(OR(Customers!B945&lt;18,Customers!B945&gt;100),"Implausible age","")</f>
        <v/>
      </c>
      <c r="E945" s="4" t="str">
        <f>IF(Customers!H945&gt;Customers!B945-18,"Tenure &gt; age-18","")</f>
        <v/>
      </c>
      <c r="F945" s="4" t="str">
        <f>IF(Customers!R945&gt;Customers!Q945,"Card spend &gt; limit","")</f>
        <v/>
      </c>
      <c r="G945" s="4" t="str">
        <f>IF(OR(AND(Customers!S945&gt;0,Customers!T945=0),AND(Customers!S945=0,Customers!T945&gt;0)),"Mortgage/payment inconsistent","")</f>
        <v/>
      </c>
      <c r="H945" s="4" t="str">
        <f>IF(AND(Customers!G945&lt;&gt;"",Customers!G945&gt;0,Customers!T945&gt;Customers!G945/12),"Payment &gt; monthly income","")</f>
        <v/>
      </c>
      <c r="I945" s="4" t="str">
        <f>IF(OR(Customers!I945&gt;DATE(2026,9,13),YEAR(Customers!I945)&lt;1980),"Implausible date","")</f>
        <v/>
      </c>
      <c r="J945" s="4" t="str">
        <f>IF(Customers!I945&gt;DATE(2026,9,13),"",IF(ABS(INT((DATE(2026,9,13)-Customers!I945)/365.25)-Customers!H945)&gt;1,"Date/tenure inconsistent",""))</f>
        <v/>
      </c>
      <c r="K945" s="4" t="str">
        <f>IF(COUNTIF(Customers!$A$2:$A$1001,Customers!A945)&gt;1,"Duplicate ID","")</f>
        <v/>
      </c>
      <c r="L945" s="4" t="str">
        <f>IF(COUNTIFS(Customers!$B$2:$B$1001,Customers!B945,Customers!$D$2:$D$1001,Customers!D945,Customers!$G$2:$G$1001,Customers!G945,Customers!$I$2:$I$1001,Customers!I945,Customers!$L$2:$L$1001,Customers!L945)&gt;1,"Duplicate record","")</f>
        <v/>
      </c>
      <c r="M945" s="4" t="str">
        <f>IF(OR(Customers!U945&lt;300,Customers!U945&gt;850),"Score out of range","")</f>
        <v/>
      </c>
      <c r="N945" s="4" t="str">
        <f>IF(AND(Customers!G945&lt;&gt;"",Customers!G945&lt;=0),"Income ≤ 0","")</f>
        <v/>
      </c>
      <c r="O945" s="4" t="str">
        <f>IF(OR(Customers!G945="",Customers!M945=""),"Missing value","")</f>
        <v/>
      </c>
      <c r="P945" s="4">
        <f t="shared" si="14"/>
        <v>0</v>
      </c>
    </row>
    <row r="946" spans="1:16" x14ac:dyDescent="0.25">
      <c r="A946" s="4" t="str">
        <f>Customers!A946</f>
        <v>CL00939</v>
      </c>
      <c r="B946" s="20">
        <f>IF(Customers!G946="","",(Customers!G946-Statistics!$C$7)/Statistics!$C$9)</f>
        <v>-3.001988550772846E-2</v>
      </c>
      <c r="C946" s="4" t="str">
        <f>IF(Customers!G946="","",IF(OR(Customers!G946&lt;Statistics!$C$15,Customers!G946&gt;Statistics!$C$16),"Outside 1.5·IQR",""))</f>
        <v/>
      </c>
      <c r="D946" s="4" t="str">
        <f>IF(OR(Customers!B946&lt;18,Customers!B946&gt;100),"Implausible age","")</f>
        <v/>
      </c>
      <c r="E946" s="4" t="str">
        <f>IF(Customers!H946&gt;Customers!B946-18,"Tenure &gt; age-18","")</f>
        <v/>
      </c>
      <c r="F946" s="4" t="str">
        <f>IF(Customers!R946&gt;Customers!Q946,"Card spend &gt; limit","")</f>
        <v/>
      </c>
      <c r="G946" s="4" t="str">
        <f>IF(OR(AND(Customers!S946&gt;0,Customers!T946=0),AND(Customers!S946=0,Customers!T946&gt;0)),"Mortgage/payment inconsistent","")</f>
        <v/>
      </c>
      <c r="H946" s="4" t="str">
        <f>IF(AND(Customers!G946&lt;&gt;"",Customers!G946&gt;0,Customers!T946&gt;Customers!G946/12),"Payment &gt; monthly income","")</f>
        <v/>
      </c>
      <c r="I946" s="4" t="str">
        <f>IF(OR(Customers!I946&gt;DATE(2026,9,13),YEAR(Customers!I946)&lt;1980),"Implausible date","")</f>
        <v/>
      </c>
      <c r="J946" s="4" t="str">
        <f>IF(Customers!I946&gt;DATE(2026,9,13),"",IF(ABS(INT((DATE(2026,9,13)-Customers!I946)/365.25)-Customers!H946)&gt;1,"Date/tenure inconsistent",""))</f>
        <v/>
      </c>
      <c r="K946" s="4" t="str">
        <f>IF(COUNTIF(Customers!$A$2:$A$1001,Customers!A946)&gt;1,"Duplicate ID","")</f>
        <v/>
      </c>
      <c r="L946" s="4" t="str">
        <f>IF(COUNTIFS(Customers!$B$2:$B$1001,Customers!B946,Customers!$D$2:$D$1001,Customers!D946,Customers!$G$2:$G$1001,Customers!G946,Customers!$I$2:$I$1001,Customers!I946,Customers!$L$2:$L$1001,Customers!L946)&gt;1,"Duplicate record","")</f>
        <v/>
      </c>
      <c r="M946" s="4" t="str">
        <f>IF(OR(Customers!U946&lt;300,Customers!U946&gt;850),"Score out of range","")</f>
        <v/>
      </c>
      <c r="N946" s="4" t="str">
        <f>IF(AND(Customers!G946&lt;&gt;"",Customers!G946&lt;=0),"Income ≤ 0","")</f>
        <v/>
      </c>
      <c r="O946" s="4" t="str">
        <f>IF(OR(Customers!G946="",Customers!M946=""),"Missing value","")</f>
        <v/>
      </c>
      <c r="P946" s="4">
        <f t="shared" si="14"/>
        <v>0</v>
      </c>
    </row>
    <row r="947" spans="1:16" x14ac:dyDescent="0.25">
      <c r="A947" s="4" t="str">
        <f>Customers!A947</f>
        <v>CL00940</v>
      </c>
      <c r="B947" s="20">
        <f>IF(Customers!G947="","",(Customers!G947-Statistics!$C$7)/Statistics!$C$9)</f>
        <v>-6.3999742994984413E-2</v>
      </c>
      <c r="C947" s="4" t="str">
        <f>IF(Customers!G947="","",IF(OR(Customers!G947&lt;Statistics!$C$15,Customers!G947&gt;Statistics!$C$16),"Outside 1.5·IQR",""))</f>
        <v/>
      </c>
      <c r="D947" s="4" t="str">
        <f>IF(OR(Customers!B947&lt;18,Customers!B947&gt;100),"Implausible age","")</f>
        <v/>
      </c>
      <c r="E947" s="4" t="str">
        <f>IF(Customers!H947&gt;Customers!B947-18,"Tenure &gt; age-18","")</f>
        <v/>
      </c>
      <c r="F947" s="4" t="str">
        <f>IF(Customers!R947&gt;Customers!Q947,"Card spend &gt; limit","")</f>
        <v/>
      </c>
      <c r="G947" s="4" t="str">
        <f>IF(OR(AND(Customers!S947&gt;0,Customers!T947=0),AND(Customers!S947=0,Customers!T947&gt;0)),"Mortgage/payment inconsistent","")</f>
        <v/>
      </c>
      <c r="H947" s="4" t="str">
        <f>IF(AND(Customers!G947&lt;&gt;"",Customers!G947&gt;0,Customers!T947&gt;Customers!G947/12),"Payment &gt; monthly income","")</f>
        <v/>
      </c>
      <c r="I947" s="4" t="str">
        <f>IF(OR(Customers!I947&gt;DATE(2026,9,13),YEAR(Customers!I947)&lt;1980),"Implausible date","")</f>
        <v/>
      </c>
      <c r="J947" s="4" t="str">
        <f>IF(Customers!I947&gt;DATE(2026,9,13),"",IF(ABS(INT((DATE(2026,9,13)-Customers!I947)/365.25)-Customers!H947)&gt;1,"Date/tenure inconsistent",""))</f>
        <v/>
      </c>
      <c r="K947" s="4" t="str">
        <f>IF(COUNTIF(Customers!$A$2:$A$1001,Customers!A947)&gt;1,"Duplicate ID","")</f>
        <v/>
      </c>
      <c r="L947" s="4" t="str">
        <f>IF(COUNTIFS(Customers!$B$2:$B$1001,Customers!B947,Customers!$D$2:$D$1001,Customers!D947,Customers!$G$2:$G$1001,Customers!G947,Customers!$I$2:$I$1001,Customers!I947,Customers!$L$2:$L$1001,Customers!L947)&gt;1,"Duplicate record","")</f>
        <v/>
      </c>
      <c r="M947" s="4" t="str">
        <f>IF(OR(Customers!U947&lt;300,Customers!U947&gt;850),"Score out of range","")</f>
        <v/>
      </c>
      <c r="N947" s="4" t="str">
        <f>IF(AND(Customers!G947&lt;&gt;"",Customers!G947&lt;=0),"Income ≤ 0","")</f>
        <v/>
      </c>
      <c r="O947" s="4" t="str">
        <f>IF(OR(Customers!G947="",Customers!M947=""),"Missing value","")</f>
        <v/>
      </c>
      <c r="P947" s="4">
        <f t="shared" si="14"/>
        <v>0</v>
      </c>
    </row>
    <row r="948" spans="1:16" x14ac:dyDescent="0.25">
      <c r="A948" s="4" t="str">
        <f>Customers!A948</f>
        <v>CL00941</v>
      </c>
      <c r="B948" s="20">
        <f>IF(Customers!G948="","",(Customers!G948-Statistics!$C$7)/Statistics!$C$9)</f>
        <v>-3.8194749772778445E-2</v>
      </c>
      <c r="C948" s="4" t="str">
        <f>IF(Customers!G948="","",IF(OR(Customers!G948&lt;Statistics!$C$15,Customers!G948&gt;Statistics!$C$16),"Outside 1.5·IQR",""))</f>
        <v/>
      </c>
      <c r="D948" s="4" t="str">
        <f>IF(OR(Customers!B948&lt;18,Customers!B948&gt;100),"Implausible age","")</f>
        <v/>
      </c>
      <c r="E948" s="4" t="str">
        <f>IF(Customers!H948&gt;Customers!B948-18,"Tenure &gt; age-18","")</f>
        <v/>
      </c>
      <c r="F948" s="4" t="str">
        <f>IF(Customers!R948&gt;Customers!Q948,"Card spend &gt; limit","")</f>
        <v/>
      </c>
      <c r="G948" s="4" t="str">
        <f>IF(OR(AND(Customers!S948&gt;0,Customers!T948=0),AND(Customers!S948=0,Customers!T948&gt;0)),"Mortgage/payment inconsistent","")</f>
        <v/>
      </c>
      <c r="H948" s="4" t="str">
        <f>IF(AND(Customers!G948&lt;&gt;"",Customers!G948&gt;0,Customers!T948&gt;Customers!G948/12),"Payment &gt; monthly income","")</f>
        <v/>
      </c>
      <c r="I948" s="4" t="str">
        <f>IF(OR(Customers!I948&gt;DATE(2026,9,13),YEAR(Customers!I948)&lt;1980),"Implausible date","")</f>
        <v/>
      </c>
      <c r="J948" s="4" t="str">
        <f>IF(Customers!I948&gt;DATE(2026,9,13),"",IF(ABS(INT((DATE(2026,9,13)-Customers!I948)/365.25)-Customers!H948)&gt;1,"Date/tenure inconsistent",""))</f>
        <v/>
      </c>
      <c r="K948" s="4" t="str">
        <f>IF(COUNTIF(Customers!$A$2:$A$1001,Customers!A948)&gt;1,"Duplicate ID","")</f>
        <v/>
      </c>
      <c r="L948" s="4" t="str">
        <f>IF(COUNTIFS(Customers!$B$2:$B$1001,Customers!B948,Customers!$D$2:$D$1001,Customers!D948,Customers!$G$2:$G$1001,Customers!G948,Customers!$I$2:$I$1001,Customers!I948,Customers!$L$2:$L$1001,Customers!L948)&gt;1,"Duplicate record","")</f>
        <v/>
      </c>
      <c r="M948" s="4" t="str">
        <f>IF(OR(Customers!U948&lt;300,Customers!U948&gt;850),"Score out of range","")</f>
        <v/>
      </c>
      <c r="N948" s="4" t="str">
        <f>IF(AND(Customers!G948&lt;&gt;"",Customers!G948&lt;=0),"Income ≤ 0","")</f>
        <v/>
      </c>
      <c r="O948" s="4" t="str">
        <f>IF(OR(Customers!G948="",Customers!M948=""),"Missing value","")</f>
        <v/>
      </c>
      <c r="P948" s="4">
        <f t="shared" si="14"/>
        <v>0</v>
      </c>
    </row>
    <row r="949" spans="1:16" x14ac:dyDescent="0.25">
      <c r="A949" s="4" t="str">
        <f>Customers!A949</f>
        <v>CL00942</v>
      </c>
      <c r="B949" s="20">
        <f>IF(Customers!G949="","",(Customers!G949-Statistics!$C$7)/Statistics!$C$9)</f>
        <v>-3.1694255296955562E-2</v>
      </c>
      <c r="C949" s="4" t="str">
        <f>IF(Customers!G949="","",IF(OR(Customers!G949&lt;Statistics!$C$15,Customers!G949&gt;Statistics!$C$16),"Outside 1.5·IQR",""))</f>
        <v/>
      </c>
      <c r="D949" s="4" t="str">
        <f>IF(OR(Customers!B949&lt;18,Customers!B949&gt;100),"Implausible age","")</f>
        <v/>
      </c>
      <c r="E949" s="4" t="str">
        <f>IF(Customers!H949&gt;Customers!B949-18,"Tenure &gt; age-18","")</f>
        <v/>
      </c>
      <c r="F949" s="4" t="str">
        <f>IF(Customers!R949&gt;Customers!Q949,"Card spend &gt; limit","")</f>
        <v/>
      </c>
      <c r="G949" s="4" t="str">
        <f>IF(OR(AND(Customers!S949&gt;0,Customers!T949=0),AND(Customers!S949=0,Customers!T949&gt;0)),"Mortgage/payment inconsistent","")</f>
        <v/>
      </c>
      <c r="H949" s="4" t="str">
        <f>IF(AND(Customers!G949&lt;&gt;"",Customers!G949&gt;0,Customers!T949&gt;Customers!G949/12),"Payment &gt; monthly income","")</f>
        <v/>
      </c>
      <c r="I949" s="4" t="str">
        <f>IF(OR(Customers!I949&gt;DATE(2026,9,13),YEAR(Customers!I949)&lt;1980),"Implausible date","")</f>
        <v/>
      </c>
      <c r="J949" s="4" t="str">
        <f>IF(Customers!I949&gt;DATE(2026,9,13),"",IF(ABS(INT((DATE(2026,9,13)-Customers!I949)/365.25)-Customers!H949)&gt;1,"Date/tenure inconsistent",""))</f>
        <v/>
      </c>
      <c r="K949" s="4" t="str">
        <f>IF(COUNTIF(Customers!$A$2:$A$1001,Customers!A949)&gt;1,"Duplicate ID","")</f>
        <v/>
      </c>
      <c r="L949" s="4" t="str">
        <f>IF(COUNTIFS(Customers!$B$2:$B$1001,Customers!B949,Customers!$D$2:$D$1001,Customers!D949,Customers!$G$2:$G$1001,Customers!G949,Customers!$I$2:$I$1001,Customers!I949,Customers!$L$2:$L$1001,Customers!L949)&gt;1,"Duplicate record","")</f>
        <v/>
      </c>
      <c r="M949" s="4" t="str">
        <f>IF(OR(Customers!U949&lt;300,Customers!U949&gt;850),"Score out of range","")</f>
        <v/>
      </c>
      <c r="N949" s="4" t="str">
        <f>IF(AND(Customers!G949&lt;&gt;"",Customers!G949&lt;=0),"Income ≤ 0","")</f>
        <v/>
      </c>
      <c r="O949" s="4" t="str">
        <f>IF(OR(Customers!G949="",Customers!M949=""),"Missing value","")</f>
        <v/>
      </c>
      <c r="P949" s="4">
        <f t="shared" si="14"/>
        <v>0</v>
      </c>
    </row>
    <row r="950" spans="1:16" x14ac:dyDescent="0.25">
      <c r="A950" s="4" t="str">
        <f>Customers!A950</f>
        <v>CL00943</v>
      </c>
      <c r="B950" s="20">
        <f>IF(Customers!G950="","",(Customers!G950-Statistics!$C$7)/Statistics!$C$9)</f>
        <v>-6.8727375341037428E-2</v>
      </c>
      <c r="C950" s="4" t="str">
        <f>IF(Customers!G950="","",IF(OR(Customers!G950&lt;Statistics!$C$15,Customers!G950&gt;Statistics!$C$16),"Outside 1.5·IQR",""))</f>
        <v/>
      </c>
      <c r="D950" s="4" t="str">
        <f>IF(OR(Customers!B950&lt;18,Customers!B950&gt;100),"Implausible age","")</f>
        <v/>
      </c>
      <c r="E950" s="4" t="str">
        <f>IF(Customers!H950&gt;Customers!B950-18,"Tenure &gt; age-18","")</f>
        <v/>
      </c>
      <c r="F950" s="4" t="str">
        <f>IF(Customers!R950&gt;Customers!Q950,"Card spend &gt; limit","")</f>
        <v/>
      </c>
      <c r="G950" s="4" t="str">
        <f>IF(OR(AND(Customers!S950&gt;0,Customers!T950=0),AND(Customers!S950=0,Customers!T950&gt;0)),"Mortgage/payment inconsistent","")</f>
        <v/>
      </c>
      <c r="H950" s="4" t="str">
        <f>IF(AND(Customers!G950&lt;&gt;"",Customers!G950&gt;0,Customers!T950&gt;Customers!G950/12),"Payment &gt; monthly income","")</f>
        <v/>
      </c>
      <c r="I950" s="4" t="str">
        <f>IF(OR(Customers!I950&gt;DATE(2026,9,13),YEAR(Customers!I950)&lt;1980),"Implausible date","")</f>
        <v/>
      </c>
      <c r="J950" s="4" t="str">
        <f>IF(Customers!I950&gt;DATE(2026,9,13),"",IF(ABS(INT((DATE(2026,9,13)-Customers!I950)/365.25)-Customers!H950)&gt;1,"Date/tenure inconsistent",""))</f>
        <v/>
      </c>
      <c r="K950" s="4" t="str">
        <f>IF(COUNTIF(Customers!$A$2:$A$1001,Customers!A950)&gt;1,"Duplicate ID","")</f>
        <v/>
      </c>
      <c r="L950" s="4" t="str">
        <f>IF(COUNTIFS(Customers!$B$2:$B$1001,Customers!B950,Customers!$D$2:$D$1001,Customers!D950,Customers!$G$2:$G$1001,Customers!G950,Customers!$I$2:$I$1001,Customers!I950,Customers!$L$2:$L$1001,Customers!L950)&gt;1,"Duplicate record","")</f>
        <v/>
      </c>
      <c r="M950" s="4" t="str">
        <f>IF(OR(Customers!U950&lt;300,Customers!U950&gt;850),"Score out of range","")</f>
        <v/>
      </c>
      <c r="N950" s="4" t="str">
        <f>IF(AND(Customers!G950&lt;&gt;"",Customers!G950&lt;=0),"Income ≤ 0","")</f>
        <v/>
      </c>
      <c r="O950" s="4" t="str">
        <f>IF(OR(Customers!G950="",Customers!M950=""),"Missing value","")</f>
        <v/>
      </c>
      <c r="P950" s="4">
        <f t="shared" si="14"/>
        <v>0</v>
      </c>
    </row>
    <row r="951" spans="1:16" x14ac:dyDescent="0.25">
      <c r="A951" s="4" t="str">
        <f>Customers!A951</f>
        <v>CL00944</v>
      </c>
      <c r="B951" s="20">
        <f>IF(Customers!G951="","",(Customers!G951-Statistics!$C$7)/Statistics!$C$9)</f>
        <v>-1.1306340804601989E-2</v>
      </c>
      <c r="C951" s="4" t="str">
        <f>IF(Customers!G951="","",IF(OR(Customers!G951&lt;Statistics!$C$15,Customers!G951&gt;Statistics!$C$16),"Outside 1.5·IQR",""))</f>
        <v/>
      </c>
      <c r="D951" s="4" t="str">
        <f>IF(OR(Customers!B951&lt;18,Customers!B951&gt;100),"Implausible age","")</f>
        <v/>
      </c>
      <c r="E951" s="4" t="str">
        <f>IF(Customers!H951&gt;Customers!B951-18,"Tenure &gt; age-18","")</f>
        <v/>
      </c>
      <c r="F951" s="4" t="str">
        <f>IF(Customers!R951&gt;Customers!Q951,"Card spend &gt; limit","")</f>
        <v/>
      </c>
      <c r="G951" s="4" t="str">
        <f>IF(OR(AND(Customers!S951&gt;0,Customers!T951=0),AND(Customers!S951=0,Customers!T951&gt;0)),"Mortgage/payment inconsistent","")</f>
        <v/>
      </c>
      <c r="H951" s="4" t="str">
        <f>IF(AND(Customers!G951&lt;&gt;"",Customers!G951&gt;0,Customers!T951&gt;Customers!G951/12),"Payment &gt; monthly income","")</f>
        <v/>
      </c>
      <c r="I951" s="4" t="str">
        <f>IF(OR(Customers!I951&gt;DATE(2026,9,13),YEAR(Customers!I951)&lt;1980),"Implausible date","")</f>
        <v/>
      </c>
      <c r="J951" s="4" t="str">
        <f>IF(Customers!I951&gt;DATE(2026,9,13),"",IF(ABS(INT((DATE(2026,9,13)-Customers!I951)/365.25)-Customers!H951)&gt;1,"Date/tenure inconsistent",""))</f>
        <v/>
      </c>
      <c r="K951" s="4" t="str">
        <f>IF(COUNTIF(Customers!$A$2:$A$1001,Customers!A951)&gt;1,"Duplicate ID","")</f>
        <v/>
      </c>
      <c r="L951" s="4" t="str">
        <f>IF(COUNTIFS(Customers!$B$2:$B$1001,Customers!B951,Customers!$D$2:$D$1001,Customers!D951,Customers!$G$2:$G$1001,Customers!G951,Customers!$I$2:$I$1001,Customers!I951,Customers!$L$2:$L$1001,Customers!L951)&gt;1,"Duplicate record","")</f>
        <v/>
      </c>
      <c r="M951" s="4" t="str">
        <f>IF(OR(Customers!U951&lt;300,Customers!U951&gt;850),"Score out of range","")</f>
        <v/>
      </c>
      <c r="N951" s="4" t="str">
        <f>IF(AND(Customers!G951&lt;&gt;"",Customers!G951&lt;=0),"Income ≤ 0","")</f>
        <v/>
      </c>
      <c r="O951" s="4" t="str">
        <f>IF(OR(Customers!G951="",Customers!M951=""),"Missing value","")</f>
        <v/>
      </c>
      <c r="P951" s="4">
        <f t="shared" si="14"/>
        <v>0</v>
      </c>
    </row>
    <row r="952" spans="1:16" x14ac:dyDescent="0.25">
      <c r="A952" s="4" t="str">
        <f>Customers!A952</f>
        <v>CL00945</v>
      </c>
      <c r="B952" s="20">
        <f>IF(Customers!G952="","",(Customers!G952-Statistics!$C$7)/Statistics!$C$9)</f>
        <v>-3.0906316572613397E-2</v>
      </c>
      <c r="C952" s="4" t="str">
        <f>IF(Customers!G952="","",IF(OR(Customers!G952&lt;Statistics!$C$15,Customers!G952&gt;Statistics!$C$16),"Outside 1.5·IQR",""))</f>
        <v/>
      </c>
      <c r="D952" s="4" t="str">
        <f>IF(OR(Customers!B952&lt;18,Customers!B952&gt;100),"Implausible age","")</f>
        <v/>
      </c>
      <c r="E952" s="4" t="str">
        <f>IF(Customers!H952&gt;Customers!B952-18,"Tenure &gt; age-18","")</f>
        <v/>
      </c>
      <c r="F952" s="4" t="str">
        <f>IF(Customers!R952&gt;Customers!Q952,"Card spend &gt; limit","")</f>
        <v/>
      </c>
      <c r="G952" s="4" t="str">
        <f>IF(OR(AND(Customers!S952&gt;0,Customers!T952=0),AND(Customers!S952=0,Customers!T952&gt;0)),"Mortgage/payment inconsistent","")</f>
        <v/>
      </c>
      <c r="H952" s="4" t="str">
        <f>IF(AND(Customers!G952&lt;&gt;"",Customers!G952&gt;0,Customers!T952&gt;Customers!G952/12),"Payment &gt; monthly income","")</f>
        <v/>
      </c>
      <c r="I952" s="4" t="str">
        <f>IF(OR(Customers!I952&gt;DATE(2026,9,13),YEAR(Customers!I952)&lt;1980),"Implausible date","")</f>
        <v/>
      </c>
      <c r="J952" s="4" t="str">
        <f>IF(Customers!I952&gt;DATE(2026,9,13),"",IF(ABS(INT((DATE(2026,9,13)-Customers!I952)/365.25)-Customers!H952)&gt;1,"Date/tenure inconsistent",""))</f>
        <v/>
      </c>
      <c r="K952" s="4" t="str">
        <f>IF(COUNTIF(Customers!$A$2:$A$1001,Customers!A952)&gt;1,"Duplicate ID","")</f>
        <v/>
      </c>
      <c r="L952" s="4" t="str">
        <f>IF(COUNTIFS(Customers!$B$2:$B$1001,Customers!B952,Customers!$D$2:$D$1001,Customers!D952,Customers!$G$2:$G$1001,Customers!G952,Customers!$I$2:$I$1001,Customers!I952,Customers!$L$2:$L$1001,Customers!L952)&gt;1,"Duplicate record","")</f>
        <v/>
      </c>
      <c r="M952" s="4" t="str">
        <f>IF(OR(Customers!U952&lt;300,Customers!U952&gt;850),"Score out of range","")</f>
        <v/>
      </c>
      <c r="N952" s="4" t="str">
        <f>IF(AND(Customers!G952&lt;&gt;"",Customers!G952&lt;=0),"Income ≤ 0","")</f>
        <v/>
      </c>
      <c r="O952" s="4" t="str">
        <f>IF(OR(Customers!G952="",Customers!M952=""),"Missing value","")</f>
        <v/>
      </c>
      <c r="P952" s="4">
        <f t="shared" si="14"/>
        <v>0</v>
      </c>
    </row>
    <row r="953" spans="1:16" x14ac:dyDescent="0.25">
      <c r="A953" s="4" t="str">
        <f>Customers!A953</f>
        <v>CL00946</v>
      </c>
      <c r="B953" s="20">
        <f>IF(Customers!G953="","",(Customers!G953-Statistics!$C$7)/Statistics!$C$9)</f>
        <v>-5.4445985962335644E-2</v>
      </c>
      <c r="C953" s="4" t="str">
        <f>IF(Customers!G953="","",IF(OR(Customers!G953&lt;Statistics!$C$15,Customers!G953&gt;Statistics!$C$16),"Outside 1.5·IQR",""))</f>
        <v/>
      </c>
      <c r="D953" s="4" t="str">
        <f>IF(OR(Customers!B953&lt;18,Customers!B953&gt;100),"Implausible age","")</f>
        <v/>
      </c>
      <c r="E953" s="4" t="str">
        <f>IF(Customers!H953&gt;Customers!B953-18,"Tenure &gt; age-18","")</f>
        <v/>
      </c>
      <c r="F953" s="4" t="str">
        <f>IF(Customers!R953&gt;Customers!Q953,"Card spend &gt; limit","")</f>
        <v/>
      </c>
      <c r="G953" s="4" t="str">
        <f>IF(OR(AND(Customers!S953&gt;0,Customers!T953=0),AND(Customers!S953=0,Customers!T953&gt;0)),"Mortgage/payment inconsistent","")</f>
        <v/>
      </c>
      <c r="H953" s="4" t="str">
        <f>IF(AND(Customers!G953&lt;&gt;"",Customers!G953&gt;0,Customers!T953&gt;Customers!G953/12),"Payment &gt; monthly income","")</f>
        <v/>
      </c>
      <c r="I953" s="4" t="str">
        <f>IF(OR(Customers!I953&gt;DATE(2026,9,13),YEAR(Customers!I953)&lt;1980),"Implausible date","")</f>
        <v/>
      </c>
      <c r="J953" s="4" t="str">
        <f>IF(Customers!I953&gt;DATE(2026,9,13),"",IF(ABS(INT((DATE(2026,9,13)-Customers!I953)/365.25)-Customers!H953)&gt;1,"Date/tenure inconsistent",""))</f>
        <v/>
      </c>
      <c r="K953" s="4" t="str">
        <f>IF(COUNTIF(Customers!$A$2:$A$1001,Customers!A953)&gt;1,"Duplicate ID","")</f>
        <v/>
      </c>
      <c r="L953" s="4" t="str">
        <f>IF(COUNTIFS(Customers!$B$2:$B$1001,Customers!B953,Customers!$D$2:$D$1001,Customers!D953,Customers!$G$2:$G$1001,Customers!G953,Customers!$I$2:$I$1001,Customers!I953,Customers!$L$2:$L$1001,Customers!L953)&gt;1,"Duplicate record","")</f>
        <v/>
      </c>
      <c r="M953" s="4" t="str">
        <f>IF(OR(Customers!U953&lt;300,Customers!U953&gt;850),"Score out of range","")</f>
        <v/>
      </c>
      <c r="N953" s="4" t="str">
        <f>IF(AND(Customers!G953&lt;&gt;"",Customers!G953&lt;=0),"Income ≤ 0","")</f>
        <v/>
      </c>
      <c r="O953" s="4" t="str">
        <f>IF(OR(Customers!G953="",Customers!M953=""),"Missing value","")</f>
        <v/>
      </c>
      <c r="P953" s="4">
        <f t="shared" si="14"/>
        <v>0</v>
      </c>
    </row>
    <row r="954" spans="1:16" x14ac:dyDescent="0.25">
      <c r="A954" s="4" t="str">
        <f>Customers!A954</f>
        <v>CL00947</v>
      </c>
      <c r="B954" s="20">
        <f>IF(Customers!G954="","",(Customers!G954-Statistics!$C$7)/Statistics!$C$9)</f>
        <v>6.3153868645732816E-2</v>
      </c>
      <c r="C954" s="4" t="str">
        <f>IF(Customers!G954="","",IF(OR(Customers!G954&lt;Statistics!$C$15,Customers!G954&gt;Statistics!$C$16),"Outside 1.5·IQR",""))</f>
        <v>Outside 1.5·IQR</v>
      </c>
      <c r="D954" s="4" t="str">
        <f>IF(OR(Customers!B954&lt;18,Customers!B954&gt;100),"Implausible age","")</f>
        <v/>
      </c>
      <c r="E954" s="4" t="str">
        <f>IF(Customers!H954&gt;Customers!B954-18,"Tenure &gt; age-18","")</f>
        <v/>
      </c>
      <c r="F954" s="4" t="str">
        <f>IF(Customers!R954&gt;Customers!Q954,"Card spend &gt; limit","")</f>
        <v/>
      </c>
      <c r="G954" s="4" t="str">
        <f>IF(OR(AND(Customers!S954&gt;0,Customers!T954=0),AND(Customers!S954=0,Customers!T954&gt;0)),"Mortgage/payment inconsistent","")</f>
        <v/>
      </c>
      <c r="H954" s="4" t="str">
        <f>IF(AND(Customers!G954&lt;&gt;"",Customers!G954&gt;0,Customers!T954&gt;Customers!G954/12),"Payment &gt; monthly income","")</f>
        <v/>
      </c>
      <c r="I954" s="4" t="str">
        <f>IF(OR(Customers!I954&gt;DATE(2026,9,13),YEAR(Customers!I954)&lt;1980),"Implausible date","")</f>
        <v/>
      </c>
      <c r="J954" s="4" t="str">
        <f>IF(Customers!I954&gt;DATE(2026,9,13),"",IF(ABS(INT((DATE(2026,9,13)-Customers!I954)/365.25)-Customers!H954)&gt;1,"Date/tenure inconsistent",""))</f>
        <v/>
      </c>
      <c r="K954" s="4" t="str">
        <f>IF(COUNTIF(Customers!$A$2:$A$1001,Customers!A954)&gt;1,"Duplicate ID","")</f>
        <v/>
      </c>
      <c r="L954" s="4" t="str">
        <f>IF(COUNTIFS(Customers!$B$2:$B$1001,Customers!B954,Customers!$D$2:$D$1001,Customers!D954,Customers!$G$2:$G$1001,Customers!G954,Customers!$I$2:$I$1001,Customers!I954,Customers!$L$2:$L$1001,Customers!L954)&gt;1,"Duplicate record","")</f>
        <v/>
      </c>
      <c r="M954" s="4" t="str">
        <f>IF(OR(Customers!U954&lt;300,Customers!U954&gt;850),"Score out of range","")</f>
        <v/>
      </c>
      <c r="N954" s="4" t="str">
        <f>IF(AND(Customers!G954&lt;&gt;"",Customers!G954&lt;=0),"Income ≤ 0","")</f>
        <v/>
      </c>
      <c r="O954" s="4" t="str">
        <f>IF(OR(Customers!G954="",Customers!M954=""),"Missing value","")</f>
        <v/>
      </c>
      <c r="P954" s="4">
        <f t="shared" si="14"/>
        <v>1</v>
      </c>
    </row>
    <row r="955" spans="1:16" x14ac:dyDescent="0.25">
      <c r="A955" s="4" t="str">
        <f>Customers!A955</f>
        <v>CL00948</v>
      </c>
      <c r="B955" s="20">
        <f>IF(Customers!G955="","",(Customers!G955-Statistics!$C$7)/Statistics!$C$9)</f>
        <v>-2.3617883372448349E-2</v>
      </c>
      <c r="C955" s="4" t="str">
        <f>IF(Customers!G955="","",IF(OR(Customers!G955&lt;Statistics!$C$15,Customers!G955&gt;Statistics!$C$16),"Outside 1.5·IQR",""))</f>
        <v/>
      </c>
      <c r="D955" s="4" t="str">
        <f>IF(OR(Customers!B955&lt;18,Customers!B955&gt;100),"Implausible age","")</f>
        <v/>
      </c>
      <c r="E955" s="4" t="str">
        <f>IF(Customers!H955&gt;Customers!B955-18,"Tenure &gt; age-18","")</f>
        <v/>
      </c>
      <c r="F955" s="4" t="str">
        <f>IF(Customers!R955&gt;Customers!Q955,"Card spend &gt; limit","")</f>
        <v/>
      </c>
      <c r="G955" s="4" t="str">
        <f>IF(OR(AND(Customers!S955&gt;0,Customers!T955=0),AND(Customers!S955=0,Customers!T955&gt;0)),"Mortgage/payment inconsistent","")</f>
        <v/>
      </c>
      <c r="H955" s="4" t="str">
        <f>IF(AND(Customers!G955&lt;&gt;"",Customers!G955&gt;0,Customers!T955&gt;Customers!G955/12),"Payment &gt; monthly income","")</f>
        <v/>
      </c>
      <c r="I955" s="4" t="str">
        <f>IF(OR(Customers!I955&gt;DATE(2026,9,13),YEAR(Customers!I955)&lt;1980),"Implausible date","")</f>
        <v/>
      </c>
      <c r="J955" s="4" t="str">
        <f>IF(Customers!I955&gt;DATE(2026,9,13),"",IF(ABS(INT((DATE(2026,9,13)-Customers!I955)/365.25)-Customers!H955)&gt;1,"Date/tenure inconsistent",""))</f>
        <v/>
      </c>
      <c r="K955" s="4" t="str">
        <f>IF(COUNTIF(Customers!$A$2:$A$1001,Customers!A955)&gt;1,"Duplicate ID","")</f>
        <v/>
      </c>
      <c r="L955" s="4" t="str">
        <f>IF(COUNTIFS(Customers!$B$2:$B$1001,Customers!B955,Customers!$D$2:$D$1001,Customers!D955,Customers!$G$2:$G$1001,Customers!G955,Customers!$I$2:$I$1001,Customers!I955,Customers!$L$2:$L$1001,Customers!L955)&gt;1,"Duplicate record","")</f>
        <v/>
      </c>
      <c r="M955" s="4" t="str">
        <f>IF(OR(Customers!U955&lt;300,Customers!U955&gt;850),"Score out of range","")</f>
        <v/>
      </c>
      <c r="N955" s="4" t="str">
        <f>IF(AND(Customers!G955&lt;&gt;"",Customers!G955&lt;=0),"Income ≤ 0","")</f>
        <v/>
      </c>
      <c r="O955" s="4" t="str">
        <f>IF(OR(Customers!G955="",Customers!M955=""),"Missing value","")</f>
        <v/>
      </c>
      <c r="P955" s="4">
        <f t="shared" si="14"/>
        <v>0</v>
      </c>
    </row>
    <row r="956" spans="1:16" x14ac:dyDescent="0.25">
      <c r="A956" s="4" t="str">
        <f>Customers!A956</f>
        <v>CL00949</v>
      </c>
      <c r="B956" s="20">
        <f>IF(Customers!G956="","",(Customers!G956-Statistics!$C$7)/Statistics!$C$9)</f>
        <v>-2.2829944648106185E-2</v>
      </c>
      <c r="C956" s="4" t="str">
        <f>IF(Customers!G956="","",IF(OR(Customers!G956&lt;Statistics!$C$15,Customers!G956&gt;Statistics!$C$16),"Outside 1.5·IQR",""))</f>
        <v/>
      </c>
      <c r="D956" s="4" t="str">
        <f>IF(OR(Customers!B956&lt;18,Customers!B956&gt;100),"Implausible age","")</f>
        <v/>
      </c>
      <c r="E956" s="4" t="str">
        <f>IF(Customers!H956&gt;Customers!B956-18,"Tenure &gt; age-18","")</f>
        <v/>
      </c>
      <c r="F956" s="4" t="str">
        <f>IF(Customers!R956&gt;Customers!Q956,"Card spend &gt; limit","")</f>
        <v/>
      </c>
      <c r="G956" s="4" t="str">
        <f>IF(OR(AND(Customers!S956&gt;0,Customers!T956=0),AND(Customers!S956=0,Customers!T956&gt;0)),"Mortgage/payment inconsistent","")</f>
        <v/>
      </c>
      <c r="H956" s="4" t="str">
        <f>IF(AND(Customers!G956&lt;&gt;"",Customers!G956&gt;0,Customers!T956&gt;Customers!G956/12),"Payment &gt; monthly income","")</f>
        <v/>
      </c>
      <c r="I956" s="4" t="str">
        <f>IF(OR(Customers!I956&gt;DATE(2026,9,13),YEAR(Customers!I956)&lt;1980),"Implausible date","")</f>
        <v/>
      </c>
      <c r="J956" s="4" t="str">
        <f>IF(Customers!I956&gt;DATE(2026,9,13),"",IF(ABS(INT((DATE(2026,9,13)-Customers!I956)/365.25)-Customers!H956)&gt;1,"Date/tenure inconsistent",""))</f>
        <v/>
      </c>
      <c r="K956" s="4" t="str">
        <f>IF(COUNTIF(Customers!$A$2:$A$1001,Customers!A956)&gt;1,"Duplicate ID","")</f>
        <v/>
      </c>
      <c r="L956" s="4" t="str">
        <f>IF(COUNTIFS(Customers!$B$2:$B$1001,Customers!B956,Customers!$D$2:$D$1001,Customers!D956,Customers!$G$2:$G$1001,Customers!G956,Customers!$I$2:$I$1001,Customers!I956,Customers!$L$2:$L$1001,Customers!L956)&gt;1,"Duplicate record","")</f>
        <v/>
      </c>
      <c r="M956" s="4" t="str">
        <f>IF(OR(Customers!U956&lt;300,Customers!U956&gt;850),"Score out of range","")</f>
        <v/>
      </c>
      <c r="N956" s="4" t="str">
        <f>IF(AND(Customers!G956&lt;&gt;"",Customers!G956&lt;=0),"Income ≤ 0","")</f>
        <v/>
      </c>
      <c r="O956" s="4" t="str">
        <f>IF(OR(Customers!G956="",Customers!M956=""),"Missing value","")</f>
        <v/>
      </c>
      <c r="P956" s="4">
        <f t="shared" si="14"/>
        <v>0</v>
      </c>
    </row>
    <row r="957" spans="1:16" x14ac:dyDescent="0.25">
      <c r="A957" s="4" t="str">
        <f>Customers!A957</f>
        <v>CL00950</v>
      </c>
      <c r="B957" s="20">
        <f>IF(Customers!G957="","",(Customers!G957-Statistics!$C$7)/Statistics!$C$9)</f>
        <v>-2.8936469761757979E-2</v>
      </c>
      <c r="C957" s="4" t="str">
        <f>IF(Customers!G957="","",IF(OR(Customers!G957&lt;Statistics!$C$15,Customers!G957&gt;Statistics!$C$16),"Outside 1.5·IQR",""))</f>
        <v/>
      </c>
      <c r="D957" s="4" t="str">
        <f>IF(OR(Customers!B957&lt;18,Customers!B957&gt;100),"Implausible age","")</f>
        <v/>
      </c>
      <c r="E957" s="4" t="str">
        <f>IF(Customers!H957&gt;Customers!B957-18,"Tenure &gt; age-18","")</f>
        <v/>
      </c>
      <c r="F957" s="4" t="str">
        <f>IF(Customers!R957&gt;Customers!Q957,"Card spend &gt; limit","")</f>
        <v/>
      </c>
      <c r="G957" s="4" t="str">
        <f>IF(OR(AND(Customers!S957&gt;0,Customers!T957=0),AND(Customers!S957=0,Customers!T957&gt;0)),"Mortgage/payment inconsistent","")</f>
        <v/>
      </c>
      <c r="H957" s="4" t="str">
        <f>IF(AND(Customers!G957&lt;&gt;"",Customers!G957&gt;0,Customers!T957&gt;Customers!G957/12),"Payment &gt; monthly income","")</f>
        <v/>
      </c>
      <c r="I957" s="4" t="str">
        <f>IF(OR(Customers!I957&gt;DATE(2026,9,13),YEAR(Customers!I957)&lt;1980),"Implausible date","")</f>
        <v/>
      </c>
      <c r="J957" s="4" t="str">
        <f>IF(Customers!I957&gt;DATE(2026,9,13),"",IF(ABS(INT((DATE(2026,9,13)-Customers!I957)/365.25)-Customers!H957)&gt;1,"Date/tenure inconsistent",""))</f>
        <v/>
      </c>
      <c r="K957" s="4" t="str">
        <f>IF(COUNTIF(Customers!$A$2:$A$1001,Customers!A957)&gt;1,"Duplicate ID","")</f>
        <v/>
      </c>
      <c r="L957" s="4" t="str">
        <f>IF(COUNTIFS(Customers!$B$2:$B$1001,Customers!B957,Customers!$D$2:$D$1001,Customers!D957,Customers!$G$2:$G$1001,Customers!G957,Customers!$I$2:$I$1001,Customers!I957,Customers!$L$2:$L$1001,Customers!L957)&gt;1,"Duplicate record","")</f>
        <v/>
      </c>
      <c r="M957" s="4" t="str">
        <f>IF(OR(Customers!U957&lt;300,Customers!U957&gt;850),"Score out of range","")</f>
        <v/>
      </c>
      <c r="N957" s="4" t="str">
        <f>IF(AND(Customers!G957&lt;&gt;"",Customers!G957&lt;=0),"Income ≤ 0","")</f>
        <v/>
      </c>
      <c r="O957" s="4" t="str">
        <f>IF(OR(Customers!G957="",Customers!M957=""),"Missing value","")</f>
        <v/>
      </c>
      <c r="P957" s="4">
        <f t="shared" si="14"/>
        <v>0</v>
      </c>
    </row>
    <row r="958" spans="1:16" x14ac:dyDescent="0.25">
      <c r="A958" s="4" t="str">
        <f>Customers!A958</f>
        <v>CL00951</v>
      </c>
      <c r="B958" s="20">
        <f>IF(Customers!G958="","",(Customers!G958-Statistics!$C$7)/Statistics!$C$9)</f>
        <v>-3.642188764300857E-2</v>
      </c>
      <c r="C958" s="4" t="str">
        <f>IF(Customers!G958="","",IF(OR(Customers!G958&lt;Statistics!$C$15,Customers!G958&gt;Statistics!$C$16),"Outside 1.5·IQR",""))</f>
        <v/>
      </c>
      <c r="D958" s="4" t="str">
        <f>IF(OR(Customers!B958&lt;18,Customers!B958&gt;100),"Implausible age","")</f>
        <v/>
      </c>
      <c r="E958" s="4" t="str">
        <f>IF(Customers!H958&gt;Customers!B958-18,"Tenure &gt; age-18","")</f>
        <v/>
      </c>
      <c r="F958" s="4" t="str">
        <f>IF(Customers!R958&gt;Customers!Q958,"Card spend &gt; limit","")</f>
        <v/>
      </c>
      <c r="G958" s="4" t="str">
        <f>IF(OR(AND(Customers!S958&gt;0,Customers!T958=0),AND(Customers!S958=0,Customers!T958&gt;0)),"Mortgage/payment inconsistent","")</f>
        <v/>
      </c>
      <c r="H958" s="4" t="str">
        <f>IF(AND(Customers!G958&lt;&gt;"",Customers!G958&gt;0,Customers!T958&gt;Customers!G958/12),"Payment &gt; monthly income","")</f>
        <v/>
      </c>
      <c r="I958" s="4" t="str">
        <f>IF(OR(Customers!I958&gt;DATE(2026,9,13),YEAR(Customers!I958)&lt;1980),"Implausible date","")</f>
        <v/>
      </c>
      <c r="J958" s="4" t="str">
        <f>IF(Customers!I958&gt;DATE(2026,9,13),"",IF(ABS(INT((DATE(2026,9,13)-Customers!I958)/365.25)-Customers!H958)&gt;1,"Date/tenure inconsistent",""))</f>
        <v/>
      </c>
      <c r="K958" s="4" t="str">
        <f>IF(COUNTIF(Customers!$A$2:$A$1001,Customers!A958)&gt;1,"Duplicate ID","")</f>
        <v/>
      </c>
      <c r="L958" s="4" t="str">
        <f>IF(COUNTIFS(Customers!$B$2:$B$1001,Customers!B958,Customers!$D$2:$D$1001,Customers!D958,Customers!$G$2:$G$1001,Customers!G958,Customers!$I$2:$I$1001,Customers!I958,Customers!$L$2:$L$1001,Customers!L958)&gt;1,"Duplicate record","")</f>
        <v/>
      </c>
      <c r="M958" s="4" t="str">
        <f>IF(OR(Customers!U958&lt;300,Customers!U958&gt;850),"Score out of range","")</f>
        <v/>
      </c>
      <c r="N958" s="4" t="str">
        <f>IF(AND(Customers!G958&lt;&gt;"",Customers!G958&lt;=0),"Income ≤ 0","")</f>
        <v/>
      </c>
      <c r="O958" s="4" t="str">
        <f>IF(OR(Customers!G958="",Customers!M958=""),"Missing value","")</f>
        <v/>
      </c>
      <c r="P958" s="4">
        <f t="shared" si="14"/>
        <v>0</v>
      </c>
    </row>
    <row r="959" spans="1:16" x14ac:dyDescent="0.25">
      <c r="A959" s="4" t="str">
        <f>Customers!A959</f>
        <v>CL00952</v>
      </c>
      <c r="B959" s="20">
        <f>IF(Customers!G959="","",(Customers!G959-Statistics!$C$7)/Statistics!$C$9)</f>
        <v>-4.3513336162088072E-2</v>
      </c>
      <c r="C959" s="4" t="str">
        <f>IF(Customers!G959="","",IF(OR(Customers!G959&lt;Statistics!$C$15,Customers!G959&gt;Statistics!$C$16),"Outside 1.5·IQR",""))</f>
        <v/>
      </c>
      <c r="D959" s="4" t="str">
        <f>IF(OR(Customers!B959&lt;18,Customers!B959&gt;100),"Implausible age","")</f>
        <v/>
      </c>
      <c r="E959" s="4" t="str">
        <f>IF(Customers!H959&gt;Customers!B959-18,"Tenure &gt; age-18","")</f>
        <v/>
      </c>
      <c r="F959" s="4" t="str">
        <f>IF(Customers!R959&gt;Customers!Q959,"Card spend &gt; limit","")</f>
        <v/>
      </c>
      <c r="G959" s="4" t="str">
        <f>IF(OR(AND(Customers!S959&gt;0,Customers!T959=0),AND(Customers!S959=0,Customers!T959&gt;0)),"Mortgage/payment inconsistent","")</f>
        <v/>
      </c>
      <c r="H959" s="4" t="str">
        <f>IF(AND(Customers!G959&lt;&gt;"",Customers!G959&gt;0,Customers!T959&gt;Customers!G959/12),"Payment &gt; monthly income","")</f>
        <v/>
      </c>
      <c r="I959" s="4" t="str">
        <f>IF(OR(Customers!I959&gt;DATE(2026,9,13),YEAR(Customers!I959)&lt;1980),"Implausible date","")</f>
        <v/>
      </c>
      <c r="J959" s="4" t="str">
        <f>IF(Customers!I959&gt;DATE(2026,9,13),"",IF(ABS(INT((DATE(2026,9,13)-Customers!I959)/365.25)-Customers!H959)&gt;1,"Date/tenure inconsistent",""))</f>
        <v/>
      </c>
      <c r="K959" s="4" t="str">
        <f>IF(COUNTIF(Customers!$A$2:$A$1001,Customers!A959)&gt;1,"Duplicate ID","")</f>
        <v/>
      </c>
      <c r="L959" s="4" t="str">
        <f>IF(COUNTIFS(Customers!$B$2:$B$1001,Customers!B959,Customers!$D$2:$D$1001,Customers!D959,Customers!$G$2:$G$1001,Customers!G959,Customers!$I$2:$I$1001,Customers!I959,Customers!$L$2:$L$1001,Customers!L959)&gt;1,"Duplicate record","")</f>
        <v/>
      </c>
      <c r="M959" s="4" t="str">
        <f>IF(OR(Customers!U959&lt;300,Customers!U959&gt;850),"Score out of range","")</f>
        <v/>
      </c>
      <c r="N959" s="4" t="str">
        <f>IF(AND(Customers!G959&lt;&gt;"",Customers!G959&lt;=0),"Income ≤ 0","")</f>
        <v/>
      </c>
      <c r="O959" s="4" t="str">
        <f>IF(OR(Customers!G959="",Customers!M959=""),"Missing value","")</f>
        <v/>
      </c>
      <c r="P959" s="4">
        <f t="shared" si="14"/>
        <v>0</v>
      </c>
    </row>
    <row r="960" spans="1:16" x14ac:dyDescent="0.25">
      <c r="A960" s="4" t="str">
        <f>Customers!A960</f>
        <v>CL00953</v>
      </c>
      <c r="B960" s="20">
        <f>IF(Customers!G960="","",(Customers!G960-Statistics!$C$7)/Statistics!$C$9)</f>
        <v>-3.7997765091692899E-2</v>
      </c>
      <c r="C960" s="4" t="str">
        <f>IF(Customers!G960="","",IF(OR(Customers!G960&lt;Statistics!$C$15,Customers!G960&gt;Statistics!$C$16),"Outside 1.5·IQR",""))</f>
        <v/>
      </c>
      <c r="D960" s="4" t="str">
        <f>IF(OR(Customers!B960&lt;18,Customers!B960&gt;100),"Implausible age","")</f>
        <v/>
      </c>
      <c r="E960" s="4" t="str">
        <f>IF(Customers!H960&gt;Customers!B960-18,"Tenure &gt; age-18","")</f>
        <v/>
      </c>
      <c r="F960" s="4" t="str">
        <f>IF(Customers!R960&gt;Customers!Q960,"Card spend &gt; limit","")</f>
        <v/>
      </c>
      <c r="G960" s="4" t="str">
        <f>IF(OR(AND(Customers!S960&gt;0,Customers!T960=0),AND(Customers!S960=0,Customers!T960&gt;0)),"Mortgage/payment inconsistent","")</f>
        <v/>
      </c>
      <c r="H960" s="4" t="str">
        <f>IF(AND(Customers!G960&lt;&gt;"",Customers!G960&gt;0,Customers!T960&gt;Customers!G960/12),"Payment &gt; monthly income","")</f>
        <v/>
      </c>
      <c r="I960" s="4" t="str">
        <f>IF(OR(Customers!I960&gt;DATE(2026,9,13),YEAR(Customers!I960)&lt;1980),"Implausible date","")</f>
        <v/>
      </c>
      <c r="J960" s="4" t="str">
        <f>IF(Customers!I960&gt;DATE(2026,9,13),"",IF(ABS(INT((DATE(2026,9,13)-Customers!I960)/365.25)-Customers!H960)&gt;1,"Date/tenure inconsistent",""))</f>
        <v/>
      </c>
      <c r="K960" s="4" t="str">
        <f>IF(COUNTIF(Customers!$A$2:$A$1001,Customers!A960)&gt;1,"Duplicate ID","")</f>
        <v/>
      </c>
      <c r="L960" s="4" t="str">
        <f>IF(COUNTIFS(Customers!$B$2:$B$1001,Customers!B960,Customers!$D$2:$D$1001,Customers!D960,Customers!$G$2:$G$1001,Customers!G960,Customers!$I$2:$I$1001,Customers!I960,Customers!$L$2:$L$1001,Customers!L960)&gt;1,"Duplicate record","")</f>
        <v/>
      </c>
      <c r="M960" s="4" t="str">
        <f>IF(OR(Customers!U960&lt;300,Customers!U960&gt;850),"Score out of range","")</f>
        <v/>
      </c>
      <c r="N960" s="4" t="str">
        <f>IF(AND(Customers!G960&lt;&gt;"",Customers!G960&lt;=0),"Income ≤ 0","")</f>
        <v/>
      </c>
      <c r="O960" s="4" t="str">
        <f>IF(OR(Customers!G960="",Customers!M960=""),"Missing value","")</f>
        <v/>
      </c>
      <c r="P960" s="4">
        <f t="shared" si="14"/>
        <v>0</v>
      </c>
    </row>
    <row r="961" spans="1:16" x14ac:dyDescent="0.25">
      <c r="A961" s="4" t="str">
        <f>Customers!A961</f>
        <v>CL00954</v>
      </c>
      <c r="B961" s="20">
        <f>IF(Customers!G961="","",(Customers!G961-Statistics!$C$7)/Statistics!$C$9)</f>
        <v>-2.7754561675244729E-2</v>
      </c>
      <c r="C961" s="4" t="str">
        <f>IF(Customers!G961="","",IF(OR(Customers!G961&lt;Statistics!$C$15,Customers!G961&gt;Statistics!$C$16),"Outside 1.5·IQR",""))</f>
        <v/>
      </c>
      <c r="D961" s="4" t="str">
        <f>IF(OR(Customers!B961&lt;18,Customers!B961&gt;100),"Implausible age","")</f>
        <v/>
      </c>
      <c r="E961" s="4" t="str">
        <f>IF(Customers!H961&gt;Customers!B961-18,"Tenure &gt; age-18","")</f>
        <v/>
      </c>
      <c r="F961" s="4" t="str">
        <f>IF(Customers!R961&gt;Customers!Q961,"Card spend &gt; limit","")</f>
        <v/>
      </c>
      <c r="G961" s="4" t="str">
        <f>IF(OR(AND(Customers!S961&gt;0,Customers!T961=0),AND(Customers!S961=0,Customers!T961&gt;0)),"Mortgage/payment inconsistent","")</f>
        <v/>
      </c>
      <c r="H961" s="4" t="str">
        <f>IF(AND(Customers!G961&lt;&gt;"",Customers!G961&gt;0,Customers!T961&gt;Customers!G961/12),"Payment &gt; monthly income","")</f>
        <v/>
      </c>
      <c r="I961" s="4" t="str">
        <f>IF(OR(Customers!I961&gt;DATE(2026,9,13),YEAR(Customers!I961)&lt;1980),"Implausible date","")</f>
        <v/>
      </c>
      <c r="J961" s="4" t="str">
        <f>IF(Customers!I961&gt;DATE(2026,9,13),"",IF(ABS(INT((DATE(2026,9,13)-Customers!I961)/365.25)-Customers!H961)&gt;1,"Date/tenure inconsistent",""))</f>
        <v/>
      </c>
      <c r="K961" s="4" t="str">
        <f>IF(COUNTIF(Customers!$A$2:$A$1001,Customers!A961)&gt;1,"Duplicate ID","")</f>
        <v/>
      </c>
      <c r="L961" s="4" t="str">
        <f>IF(COUNTIFS(Customers!$B$2:$B$1001,Customers!B961,Customers!$D$2:$D$1001,Customers!D961,Customers!$G$2:$G$1001,Customers!G961,Customers!$I$2:$I$1001,Customers!I961,Customers!$L$2:$L$1001,Customers!L961)&gt;1,"Duplicate record","")</f>
        <v/>
      </c>
      <c r="M961" s="4" t="str">
        <f>IF(OR(Customers!U961&lt;300,Customers!U961&gt;850),"Score out of range","")</f>
        <v/>
      </c>
      <c r="N961" s="4" t="str">
        <f>IF(AND(Customers!G961&lt;&gt;"",Customers!G961&lt;=0),"Income ≤ 0","")</f>
        <v/>
      </c>
      <c r="O961" s="4" t="str">
        <f>IF(OR(Customers!G961="",Customers!M961=""),"Missing value","")</f>
        <v/>
      </c>
      <c r="P961" s="4">
        <f t="shared" si="14"/>
        <v>0</v>
      </c>
    </row>
    <row r="962" spans="1:16" x14ac:dyDescent="0.25">
      <c r="A962" s="4" t="str">
        <f>Customers!A962</f>
        <v>CL00955</v>
      </c>
      <c r="B962" s="20">
        <f>IF(Customers!G962="","",(Customers!G962-Statistics!$C$7)/Statistics!$C$9)</f>
        <v>-3.7505303388979047E-2</v>
      </c>
      <c r="C962" s="4" t="str">
        <f>IF(Customers!G962="","",IF(OR(Customers!G962&lt;Statistics!$C$15,Customers!G962&gt;Statistics!$C$16),"Outside 1.5·IQR",""))</f>
        <v/>
      </c>
      <c r="D962" s="4" t="str">
        <f>IF(OR(Customers!B962&lt;18,Customers!B962&gt;100),"Implausible age","")</f>
        <v/>
      </c>
      <c r="E962" s="4" t="str">
        <f>IF(Customers!H962&gt;Customers!B962-18,"Tenure &gt; age-18","")</f>
        <v/>
      </c>
      <c r="F962" s="4" t="str">
        <f>IF(Customers!R962&gt;Customers!Q962,"Card spend &gt; limit","")</f>
        <v/>
      </c>
      <c r="G962" s="4" t="str">
        <f>IF(OR(AND(Customers!S962&gt;0,Customers!T962=0),AND(Customers!S962=0,Customers!T962&gt;0)),"Mortgage/payment inconsistent","")</f>
        <v/>
      </c>
      <c r="H962" s="4" t="str">
        <f>IF(AND(Customers!G962&lt;&gt;"",Customers!G962&gt;0,Customers!T962&gt;Customers!G962/12),"Payment &gt; monthly income","")</f>
        <v/>
      </c>
      <c r="I962" s="4" t="str">
        <f>IF(OR(Customers!I962&gt;DATE(2026,9,13),YEAR(Customers!I962)&lt;1980),"Implausible date","")</f>
        <v/>
      </c>
      <c r="J962" s="4" t="str">
        <f>IF(Customers!I962&gt;DATE(2026,9,13),"",IF(ABS(INT((DATE(2026,9,13)-Customers!I962)/365.25)-Customers!H962)&gt;1,"Date/tenure inconsistent",""))</f>
        <v/>
      </c>
      <c r="K962" s="4" t="str">
        <f>IF(COUNTIF(Customers!$A$2:$A$1001,Customers!A962)&gt;1,"Duplicate ID","")</f>
        <v/>
      </c>
      <c r="L962" s="4" t="str">
        <f>IF(COUNTIFS(Customers!$B$2:$B$1001,Customers!B962,Customers!$D$2:$D$1001,Customers!D962,Customers!$G$2:$G$1001,Customers!G962,Customers!$I$2:$I$1001,Customers!I962,Customers!$L$2:$L$1001,Customers!L962)&gt;1,"Duplicate record","")</f>
        <v/>
      </c>
      <c r="M962" s="4" t="str">
        <f>IF(OR(Customers!U962&lt;300,Customers!U962&gt;850),"Score out of range","")</f>
        <v/>
      </c>
      <c r="N962" s="4" t="str">
        <f>IF(AND(Customers!G962&lt;&gt;"",Customers!G962&lt;=0),"Income ≤ 0","")</f>
        <v/>
      </c>
      <c r="O962" s="4" t="str">
        <f>IF(OR(Customers!G962="",Customers!M962=""),"Missing value","")</f>
        <v/>
      </c>
      <c r="P962" s="4">
        <f t="shared" ref="P962:P1025" si="15">SUMPRODUCT(--(C962:O962&lt;&gt;""))</f>
        <v>0</v>
      </c>
    </row>
    <row r="963" spans="1:16" x14ac:dyDescent="0.25">
      <c r="A963" s="4" t="str">
        <f>Customers!A963</f>
        <v>CL00956</v>
      </c>
      <c r="B963" s="20">
        <f>IF(Customers!G963="","",(Customers!G963-Statistics!$C$7)/Statistics!$C$9)</f>
        <v>-5.080176936225312E-2</v>
      </c>
      <c r="C963" s="4" t="str">
        <f>IF(Customers!G963="","",IF(OR(Customers!G963&lt;Statistics!$C$15,Customers!G963&gt;Statistics!$C$16),"Outside 1.5·IQR",""))</f>
        <v/>
      </c>
      <c r="D963" s="4" t="str">
        <f>IF(OR(Customers!B963&lt;18,Customers!B963&gt;100),"Implausible age","")</f>
        <v/>
      </c>
      <c r="E963" s="4" t="str">
        <f>IF(Customers!H963&gt;Customers!B963-18,"Tenure &gt; age-18","")</f>
        <v/>
      </c>
      <c r="F963" s="4" t="str">
        <f>IF(Customers!R963&gt;Customers!Q963,"Card spend &gt; limit","")</f>
        <v/>
      </c>
      <c r="G963" s="4" t="str">
        <f>IF(OR(AND(Customers!S963&gt;0,Customers!T963=0),AND(Customers!S963=0,Customers!T963&gt;0)),"Mortgage/payment inconsistent","")</f>
        <v/>
      </c>
      <c r="H963" s="4" t="str">
        <f>IF(AND(Customers!G963&lt;&gt;"",Customers!G963&gt;0,Customers!T963&gt;Customers!G963/12),"Payment &gt; monthly income","")</f>
        <v/>
      </c>
      <c r="I963" s="4" t="str">
        <f>IF(OR(Customers!I963&gt;DATE(2026,9,13),YEAR(Customers!I963)&lt;1980),"Implausible date","")</f>
        <v/>
      </c>
      <c r="J963" s="4" t="str">
        <f>IF(Customers!I963&gt;DATE(2026,9,13),"",IF(ABS(INT((DATE(2026,9,13)-Customers!I963)/365.25)-Customers!H963)&gt;1,"Date/tenure inconsistent",""))</f>
        <v/>
      </c>
      <c r="K963" s="4" t="str">
        <f>IF(COUNTIF(Customers!$A$2:$A$1001,Customers!A963)&gt;1,"Duplicate ID","")</f>
        <v/>
      </c>
      <c r="L963" s="4" t="str">
        <f>IF(COUNTIFS(Customers!$B$2:$B$1001,Customers!B963,Customers!$D$2:$D$1001,Customers!D963,Customers!$G$2:$G$1001,Customers!G963,Customers!$I$2:$I$1001,Customers!I963,Customers!$L$2:$L$1001,Customers!L963)&gt;1,"Duplicate record","")</f>
        <v/>
      </c>
      <c r="M963" s="4" t="str">
        <f>IF(OR(Customers!U963&lt;300,Customers!U963&gt;850),"Score out of range","")</f>
        <v/>
      </c>
      <c r="N963" s="4" t="str">
        <f>IF(AND(Customers!G963&lt;&gt;"",Customers!G963&lt;=0),"Income ≤ 0","")</f>
        <v/>
      </c>
      <c r="O963" s="4" t="str">
        <f>IF(OR(Customers!G963="",Customers!M963=""),"Missing value","")</f>
        <v/>
      </c>
      <c r="P963" s="4">
        <f t="shared" si="15"/>
        <v>0</v>
      </c>
    </row>
    <row r="964" spans="1:16" x14ac:dyDescent="0.25">
      <c r="A964" s="4" t="str">
        <f>Customers!A964</f>
        <v>CL00957</v>
      </c>
      <c r="B964" s="20">
        <f>IF(Customers!G964="","",(Customers!G964-Statistics!$C$7)/Statistics!$C$9)</f>
        <v>-6.5477128103125976E-2</v>
      </c>
      <c r="C964" s="4" t="str">
        <f>IF(Customers!G964="","",IF(OR(Customers!G964&lt;Statistics!$C$15,Customers!G964&gt;Statistics!$C$16),"Outside 1.5·IQR",""))</f>
        <v/>
      </c>
      <c r="D964" s="4" t="str">
        <f>IF(OR(Customers!B964&lt;18,Customers!B964&gt;100),"Implausible age","")</f>
        <v/>
      </c>
      <c r="E964" s="4" t="str">
        <f>IF(Customers!H964&gt;Customers!B964-18,"Tenure &gt; age-18","")</f>
        <v/>
      </c>
      <c r="F964" s="4" t="str">
        <f>IF(Customers!R964&gt;Customers!Q964,"Card spend &gt; limit","")</f>
        <v/>
      </c>
      <c r="G964" s="4" t="str">
        <f>IF(OR(AND(Customers!S964&gt;0,Customers!T964=0),AND(Customers!S964=0,Customers!T964&gt;0)),"Mortgage/payment inconsistent","")</f>
        <v/>
      </c>
      <c r="H964" s="4" t="str">
        <f>IF(AND(Customers!G964&lt;&gt;"",Customers!G964&gt;0,Customers!T964&gt;Customers!G964/12),"Payment &gt; monthly income","")</f>
        <v/>
      </c>
      <c r="I964" s="4" t="str">
        <f>IF(OR(Customers!I964&gt;DATE(2026,9,13),YEAR(Customers!I964)&lt;1980),"Implausible date","")</f>
        <v/>
      </c>
      <c r="J964" s="4" t="str">
        <f>IF(Customers!I964&gt;DATE(2026,9,13),"",IF(ABS(INT((DATE(2026,9,13)-Customers!I964)/365.25)-Customers!H964)&gt;1,"Date/tenure inconsistent",""))</f>
        <v/>
      </c>
      <c r="K964" s="4" t="str">
        <f>IF(COUNTIF(Customers!$A$2:$A$1001,Customers!A964)&gt;1,"Duplicate ID","")</f>
        <v/>
      </c>
      <c r="L964" s="4" t="str">
        <f>IF(COUNTIFS(Customers!$B$2:$B$1001,Customers!B964,Customers!$D$2:$D$1001,Customers!D964,Customers!$G$2:$G$1001,Customers!G964,Customers!$I$2:$I$1001,Customers!I964,Customers!$L$2:$L$1001,Customers!L964)&gt;1,"Duplicate record","")</f>
        <v/>
      </c>
      <c r="M964" s="4" t="str">
        <f>IF(OR(Customers!U964&lt;300,Customers!U964&gt;850),"Score out of range","")</f>
        <v/>
      </c>
      <c r="N964" s="4" t="str">
        <f>IF(AND(Customers!G964&lt;&gt;"",Customers!G964&lt;=0),"Income ≤ 0","")</f>
        <v/>
      </c>
      <c r="O964" s="4" t="str">
        <f>IF(OR(Customers!G964="",Customers!M964=""),"Missing value","")</f>
        <v/>
      </c>
      <c r="P964" s="4">
        <f t="shared" si="15"/>
        <v>0</v>
      </c>
    </row>
    <row r="965" spans="1:16" x14ac:dyDescent="0.25">
      <c r="A965" s="4" t="str">
        <f>Customers!A965</f>
        <v>CL00958</v>
      </c>
      <c r="B965" s="20">
        <f>IF(Customers!G965="","",(Customers!G965-Statistics!$C$7)/Statistics!$C$9)</f>
        <v>-4.696056808108505E-2</v>
      </c>
      <c r="C965" s="4" t="str">
        <f>IF(Customers!G965="","",IF(OR(Customers!G965&lt;Statistics!$C$15,Customers!G965&gt;Statistics!$C$16),"Outside 1.5·IQR",""))</f>
        <v/>
      </c>
      <c r="D965" s="4" t="str">
        <f>IF(OR(Customers!B965&lt;18,Customers!B965&gt;100),"Implausible age","")</f>
        <v/>
      </c>
      <c r="E965" s="4" t="str">
        <f>IF(Customers!H965&gt;Customers!B965-18,"Tenure &gt; age-18","")</f>
        <v/>
      </c>
      <c r="F965" s="4" t="str">
        <f>IF(Customers!R965&gt;Customers!Q965,"Card spend &gt; limit","")</f>
        <v/>
      </c>
      <c r="G965" s="4" t="str">
        <f>IF(OR(AND(Customers!S965&gt;0,Customers!T965=0),AND(Customers!S965=0,Customers!T965&gt;0)),"Mortgage/payment inconsistent","")</f>
        <v/>
      </c>
      <c r="H965" s="4" t="str">
        <f>IF(AND(Customers!G965&lt;&gt;"",Customers!G965&gt;0,Customers!T965&gt;Customers!G965/12),"Payment &gt; monthly income","")</f>
        <v/>
      </c>
      <c r="I965" s="4" t="str">
        <f>IF(OR(Customers!I965&gt;DATE(2026,9,13),YEAR(Customers!I965)&lt;1980),"Implausible date","")</f>
        <v/>
      </c>
      <c r="J965" s="4" t="str">
        <f>IF(Customers!I965&gt;DATE(2026,9,13),"",IF(ABS(INT((DATE(2026,9,13)-Customers!I965)/365.25)-Customers!H965)&gt;1,"Date/tenure inconsistent",""))</f>
        <v/>
      </c>
      <c r="K965" s="4" t="str">
        <f>IF(COUNTIF(Customers!$A$2:$A$1001,Customers!A965)&gt;1,"Duplicate ID","")</f>
        <v/>
      </c>
      <c r="L965" s="4" t="str">
        <f>IF(COUNTIFS(Customers!$B$2:$B$1001,Customers!B965,Customers!$D$2:$D$1001,Customers!D965,Customers!$G$2:$G$1001,Customers!G965,Customers!$I$2:$I$1001,Customers!I965,Customers!$L$2:$L$1001,Customers!L965)&gt;1,"Duplicate record","")</f>
        <v/>
      </c>
      <c r="M965" s="4" t="str">
        <f>IF(OR(Customers!U965&lt;300,Customers!U965&gt;850),"Score out of range","")</f>
        <v/>
      </c>
      <c r="N965" s="4" t="str">
        <f>IF(AND(Customers!G965&lt;&gt;"",Customers!G965&lt;=0),"Income ≤ 0","")</f>
        <v/>
      </c>
      <c r="O965" s="4" t="str">
        <f>IF(OR(Customers!G965="",Customers!M965=""),"Missing value","")</f>
        <v/>
      </c>
      <c r="P965" s="4">
        <f t="shared" si="15"/>
        <v>0</v>
      </c>
    </row>
    <row r="966" spans="1:16" x14ac:dyDescent="0.25">
      <c r="A966" s="4" t="str">
        <f>Customers!A966</f>
        <v>CL00959</v>
      </c>
      <c r="B966" s="20">
        <f>IF(Customers!G966="","",(Customers!G966-Statistics!$C$7)/Statistics!$C$9)</f>
        <v>-5.4445985962335644E-2</v>
      </c>
      <c r="C966" s="4" t="str">
        <f>IF(Customers!G966="","",IF(OR(Customers!G966&lt;Statistics!$C$15,Customers!G966&gt;Statistics!$C$16),"Outside 1.5·IQR",""))</f>
        <v/>
      </c>
      <c r="D966" s="4" t="str">
        <f>IF(OR(Customers!B966&lt;18,Customers!B966&gt;100),"Implausible age","")</f>
        <v/>
      </c>
      <c r="E966" s="4" t="str">
        <f>IF(Customers!H966&gt;Customers!B966-18,"Tenure &gt; age-18","")</f>
        <v/>
      </c>
      <c r="F966" s="4" t="str">
        <f>IF(Customers!R966&gt;Customers!Q966,"Card spend &gt; limit","")</f>
        <v/>
      </c>
      <c r="G966" s="4" t="str">
        <f>IF(OR(AND(Customers!S966&gt;0,Customers!T966=0),AND(Customers!S966=0,Customers!T966&gt;0)),"Mortgage/payment inconsistent","")</f>
        <v/>
      </c>
      <c r="H966" s="4" t="str">
        <f>IF(AND(Customers!G966&lt;&gt;"",Customers!G966&gt;0,Customers!T966&gt;Customers!G966/12),"Payment &gt; monthly income","")</f>
        <v/>
      </c>
      <c r="I966" s="4" t="str">
        <f>IF(OR(Customers!I966&gt;DATE(2026,9,13),YEAR(Customers!I966)&lt;1980),"Implausible date","")</f>
        <v/>
      </c>
      <c r="J966" s="4" t="str">
        <f>IF(Customers!I966&gt;DATE(2026,9,13),"",IF(ABS(INT((DATE(2026,9,13)-Customers!I966)/365.25)-Customers!H966)&gt;1,"Date/tenure inconsistent",""))</f>
        <v/>
      </c>
      <c r="K966" s="4" t="str">
        <f>IF(COUNTIF(Customers!$A$2:$A$1001,Customers!A966)&gt;1,"Duplicate ID","")</f>
        <v/>
      </c>
      <c r="L966" s="4" t="str">
        <f>IF(COUNTIFS(Customers!$B$2:$B$1001,Customers!B966,Customers!$D$2:$D$1001,Customers!D966,Customers!$G$2:$G$1001,Customers!G966,Customers!$I$2:$I$1001,Customers!I966,Customers!$L$2:$L$1001,Customers!L966)&gt;1,"Duplicate record","")</f>
        <v/>
      </c>
      <c r="M966" s="4" t="str">
        <f>IF(OR(Customers!U966&lt;300,Customers!U966&gt;850),"Score out of range","")</f>
        <v/>
      </c>
      <c r="N966" s="4" t="str">
        <f>IF(AND(Customers!G966&lt;&gt;"",Customers!G966&lt;=0),"Income ≤ 0","")</f>
        <v/>
      </c>
      <c r="O966" s="4" t="str">
        <f>IF(OR(Customers!G966="",Customers!M966=""),"Missing value","")</f>
        <v/>
      </c>
      <c r="P966" s="4">
        <f t="shared" si="15"/>
        <v>0</v>
      </c>
    </row>
    <row r="967" spans="1:16" x14ac:dyDescent="0.25">
      <c r="A967" s="4" t="str">
        <f>Customers!A967</f>
        <v>CL00960</v>
      </c>
      <c r="B967" s="20">
        <f>IF(Customers!G967="","",(Customers!G967-Statistics!$C$7)/Statistics!$C$9)</f>
        <v>-4.696056808108505E-2</v>
      </c>
      <c r="C967" s="4" t="str">
        <f>IF(Customers!G967="","",IF(OR(Customers!G967&lt;Statistics!$C$15,Customers!G967&gt;Statistics!$C$16),"Outside 1.5·IQR",""))</f>
        <v/>
      </c>
      <c r="D967" s="4" t="str">
        <f>IF(OR(Customers!B967&lt;18,Customers!B967&gt;100),"Implausible age","")</f>
        <v/>
      </c>
      <c r="E967" s="4" t="str">
        <f>IF(Customers!H967&gt;Customers!B967-18,"Tenure &gt; age-18","")</f>
        <v/>
      </c>
      <c r="F967" s="4" t="str">
        <f>IF(Customers!R967&gt;Customers!Q967,"Card spend &gt; limit","")</f>
        <v/>
      </c>
      <c r="G967" s="4" t="str">
        <f>IF(OR(AND(Customers!S967&gt;0,Customers!T967=0),AND(Customers!S967=0,Customers!T967&gt;0)),"Mortgage/payment inconsistent","")</f>
        <v/>
      </c>
      <c r="H967" s="4" t="str">
        <f>IF(AND(Customers!G967&lt;&gt;"",Customers!G967&gt;0,Customers!T967&gt;Customers!G967/12),"Payment &gt; monthly income","")</f>
        <v/>
      </c>
      <c r="I967" s="4" t="str">
        <f>IF(OR(Customers!I967&gt;DATE(2026,9,13),YEAR(Customers!I967)&lt;1980),"Implausible date","")</f>
        <v/>
      </c>
      <c r="J967" s="4" t="str">
        <f>IF(Customers!I967&gt;DATE(2026,9,13),"",IF(ABS(INT((DATE(2026,9,13)-Customers!I967)/365.25)-Customers!H967)&gt;1,"Date/tenure inconsistent",""))</f>
        <v/>
      </c>
      <c r="K967" s="4" t="str">
        <f>IF(COUNTIF(Customers!$A$2:$A$1001,Customers!A967)&gt;1,"Duplicate ID","")</f>
        <v/>
      </c>
      <c r="L967" s="4" t="str">
        <f>IF(COUNTIFS(Customers!$B$2:$B$1001,Customers!B967,Customers!$D$2:$D$1001,Customers!D967,Customers!$G$2:$G$1001,Customers!G967,Customers!$I$2:$I$1001,Customers!I967,Customers!$L$2:$L$1001,Customers!L967)&gt;1,"Duplicate record","")</f>
        <v/>
      </c>
      <c r="M967" s="4" t="str">
        <f>IF(OR(Customers!U967&lt;300,Customers!U967&gt;850),"Score out of range","")</f>
        <v/>
      </c>
      <c r="N967" s="4" t="str">
        <f>IF(AND(Customers!G967&lt;&gt;"",Customers!G967&lt;=0),"Income ≤ 0","")</f>
        <v/>
      </c>
      <c r="O967" s="4" t="str">
        <f>IF(OR(Customers!G967="",Customers!M967=""),"Missing value","")</f>
        <v/>
      </c>
      <c r="P967" s="4">
        <f t="shared" si="15"/>
        <v>0</v>
      </c>
    </row>
    <row r="968" spans="1:16" x14ac:dyDescent="0.25">
      <c r="A968" s="4" t="str">
        <f>Customers!A968</f>
        <v>CL00961</v>
      </c>
      <c r="B968" s="20">
        <f>IF(Customers!G968="","",(Customers!G968-Statistics!$C$7)/Statistics!$C$9)</f>
        <v>-4.9225891913568784E-2</v>
      </c>
      <c r="C968" s="4" t="str">
        <f>IF(Customers!G968="","",IF(OR(Customers!G968&lt;Statistics!$C$15,Customers!G968&gt;Statistics!$C$16),"Outside 1.5·IQR",""))</f>
        <v/>
      </c>
      <c r="D968" s="4" t="str">
        <f>IF(OR(Customers!B968&lt;18,Customers!B968&gt;100),"Implausible age","")</f>
        <v/>
      </c>
      <c r="E968" s="4" t="str">
        <f>IF(Customers!H968&gt;Customers!B968-18,"Tenure &gt; age-18","")</f>
        <v/>
      </c>
      <c r="F968" s="4" t="str">
        <f>IF(Customers!R968&gt;Customers!Q968,"Card spend &gt; limit","")</f>
        <v/>
      </c>
      <c r="G968" s="4" t="str">
        <f>IF(OR(AND(Customers!S968&gt;0,Customers!T968=0),AND(Customers!S968=0,Customers!T968&gt;0)),"Mortgage/payment inconsistent","")</f>
        <v/>
      </c>
      <c r="H968" s="4" t="str">
        <f>IF(AND(Customers!G968&lt;&gt;"",Customers!G968&gt;0,Customers!T968&gt;Customers!G968/12),"Payment &gt; monthly income","")</f>
        <v/>
      </c>
      <c r="I968" s="4" t="str">
        <f>IF(OR(Customers!I968&gt;DATE(2026,9,13),YEAR(Customers!I968)&lt;1980),"Implausible date","")</f>
        <v/>
      </c>
      <c r="J968" s="4" t="str">
        <f>IF(Customers!I968&gt;DATE(2026,9,13),"",IF(ABS(INT((DATE(2026,9,13)-Customers!I968)/365.25)-Customers!H968)&gt;1,"Date/tenure inconsistent",""))</f>
        <v/>
      </c>
      <c r="K968" s="4" t="str">
        <f>IF(COUNTIF(Customers!$A$2:$A$1001,Customers!A968)&gt;1,"Duplicate ID","")</f>
        <v/>
      </c>
      <c r="L968" s="4" t="str">
        <f>IF(COUNTIFS(Customers!$B$2:$B$1001,Customers!B968,Customers!$D$2:$D$1001,Customers!D968,Customers!$G$2:$G$1001,Customers!G968,Customers!$I$2:$I$1001,Customers!I968,Customers!$L$2:$L$1001,Customers!L968)&gt;1,"Duplicate record","")</f>
        <v/>
      </c>
      <c r="M968" s="4" t="str">
        <f>IF(OR(Customers!U968&lt;300,Customers!U968&gt;850),"Score out of range","")</f>
        <v/>
      </c>
      <c r="N968" s="4" t="str">
        <f>IF(AND(Customers!G968&lt;&gt;"",Customers!G968&lt;=0),"Income ≤ 0","")</f>
        <v/>
      </c>
      <c r="O968" s="4" t="str">
        <f>IF(OR(Customers!G968="",Customers!M968=""),"Missing value","")</f>
        <v/>
      </c>
      <c r="P968" s="4">
        <f t="shared" si="15"/>
        <v>0</v>
      </c>
    </row>
    <row r="969" spans="1:16" x14ac:dyDescent="0.25">
      <c r="A969" s="4" t="str">
        <f>Customers!A969</f>
        <v>CL00962</v>
      </c>
      <c r="B969" s="20">
        <f>IF(Customers!G969="","",(Customers!G969-Statistics!$C$7)/Statistics!$C$9)</f>
        <v>-6.1340449800329606E-2</v>
      </c>
      <c r="C969" s="4" t="str">
        <f>IF(Customers!G969="","",IF(OR(Customers!G969&lt;Statistics!$C$15,Customers!G969&gt;Statistics!$C$16),"Outside 1.5·IQR",""))</f>
        <v/>
      </c>
      <c r="D969" s="4" t="str">
        <f>IF(OR(Customers!B969&lt;18,Customers!B969&gt;100),"Implausible age","")</f>
        <v/>
      </c>
      <c r="E969" s="4" t="str">
        <f>IF(Customers!H969&gt;Customers!B969-18,"Tenure &gt; age-18","")</f>
        <v/>
      </c>
      <c r="F969" s="4" t="str">
        <f>IF(Customers!R969&gt;Customers!Q969,"Card spend &gt; limit","")</f>
        <v/>
      </c>
      <c r="G969" s="4" t="str">
        <f>IF(OR(AND(Customers!S969&gt;0,Customers!T969=0),AND(Customers!S969=0,Customers!T969&gt;0)),"Mortgage/payment inconsistent","")</f>
        <v/>
      </c>
      <c r="H969" s="4" t="str">
        <f>IF(AND(Customers!G969&lt;&gt;"",Customers!G969&gt;0,Customers!T969&gt;Customers!G969/12),"Payment &gt; monthly income","")</f>
        <v/>
      </c>
      <c r="I969" s="4" t="str">
        <f>IF(OR(Customers!I969&gt;DATE(2026,9,13),YEAR(Customers!I969)&lt;1980),"Implausible date","")</f>
        <v/>
      </c>
      <c r="J969" s="4" t="str">
        <f>IF(Customers!I969&gt;DATE(2026,9,13),"",IF(ABS(INT((DATE(2026,9,13)-Customers!I969)/365.25)-Customers!H969)&gt;1,"Date/tenure inconsistent",""))</f>
        <v/>
      </c>
      <c r="K969" s="4" t="str">
        <f>IF(COUNTIF(Customers!$A$2:$A$1001,Customers!A969)&gt;1,"Duplicate ID","")</f>
        <v/>
      </c>
      <c r="L969" s="4" t="str">
        <f>IF(COUNTIFS(Customers!$B$2:$B$1001,Customers!B969,Customers!$D$2:$D$1001,Customers!D969,Customers!$G$2:$G$1001,Customers!G969,Customers!$I$2:$I$1001,Customers!I969,Customers!$L$2:$L$1001,Customers!L969)&gt;1,"Duplicate record","")</f>
        <v/>
      </c>
      <c r="M969" s="4" t="str">
        <f>IF(OR(Customers!U969&lt;300,Customers!U969&gt;850),"Score out of range","")</f>
        <v/>
      </c>
      <c r="N969" s="4" t="str">
        <f>IF(AND(Customers!G969&lt;&gt;"",Customers!G969&lt;=0),"Income ≤ 0","")</f>
        <v/>
      </c>
      <c r="O969" s="4" t="str">
        <f>IF(OR(Customers!G969="",Customers!M969=""),"Missing value","")</f>
        <v/>
      </c>
      <c r="P969" s="4">
        <f t="shared" si="15"/>
        <v>0</v>
      </c>
    </row>
    <row r="970" spans="1:16" x14ac:dyDescent="0.25">
      <c r="A970" s="4" t="str">
        <f>Customers!A970</f>
        <v>CL00963</v>
      </c>
      <c r="B970" s="20">
        <f>IF(Customers!G970="","",(Customers!G970-Statistics!$C$7)/Statistics!$C$9)</f>
        <v>-3.5436964237580859E-2</v>
      </c>
      <c r="C970" s="4" t="str">
        <f>IF(Customers!G970="","",IF(OR(Customers!G970&lt;Statistics!$C$15,Customers!G970&gt;Statistics!$C$16),"Outside 1.5·IQR",""))</f>
        <v/>
      </c>
      <c r="D970" s="4" t="str">
        <f>IF(OR(Customers!B970&lt;18,Customers!B970&gt;100),"Implausible age","")</f>
        <v/>
      </c>
      <c r="E970" s="4" t="str">
        <f>IF(Customers!H970&gt;Customers!B970-18,"Tenure &gt; age-18","")</f>
        <v/>
      </c>
      <c r="F970" s="4" t="str">
        <f>IF(Customers!R970&gt;Customers!Q970,"Card spend &gt; limit","")</f>
        <v/>
      </c>
      <c r="G970" s="4" t="str">
        <f>IF(OR(AND(Customers!S970&gt;0,Customers!T970=0),AND(Customers!S970=0,Customers!T970&gt;0)),"Mortgage/payment inconsistent","")</f>
        <v/>
      </c>
      <c r="H970" s="4" t="str">
        <f>IF(AND(Customers!G970&lt;&gt;"",Customers!G970&gt;0,Customers!T970&gt;Customers!G970/12),"Payment &gt; monthly income","")</f>
        <v/>
      </c>
      <c r="I970" s="4" t="str">
        <f>IF(OR(Customers!I970&gt;DATE(2026,9,13),YEAR(Customers!I970)&lt;1980),"Implausible date","")</f>
        <v/>
      </c>
      <c r="J970" s="4" t="str">
        <f>IF(Customers!I970&gt;DATE(2026,9,13),"",IF(ABS(INT((DATE(2026,9,13)-Customers!I970)/365.25)-Customers!H970)&gt;1,"Date/tenure inconsistent",""))</f>
        <v/>
      </c>
      <c r="K970" s="4" t="str">
        <f>IF(COUNTIF(Customers!$A$2:$A$1001,Customers!A970)&gt;1,"Duplicate ID","")</f>
        <v/>
      </c>
      <c r="L970" s="4" t="str">
        <f>IF(COUNTIFS(Customers!$B$2:$B$1001,Customers!B970,Customers!$D$2:$D$1001,Customers!D970,Customers!$G$2:$G$1001,Customers!G970,Customers!$I$2:$I$1001,Customers!I970,Customers!$L$2:$L$1001,Customers!L970)&gt;1,"Duplicate record","")</f>
        <v/>
      </c>
      <c r="M970" s="4" t="str">
        <f>IF(OR(Customers!U970&lt;300,Customers!U970&gt;850),"Score out of range","")</f>
        <v/>
      </c>
      <c r="N970" s="4" t="str">
        <f>IF(AND(Customers!G970&lt;&gt;"",Customers!G970&lt;=0),"Income ≤ 0","")</f>
        <v/>
      </c>
      <c r="O970" s="4" t="str">
        <f>IF(OR(Customers!G970="",Customers!M970=""),"Missing value","")</f>
        <v/>
      </c>
      <c r="P970" s="4">
        <f t="shared" si="15"/>
        <v>0</v>
      </c>
    </row>
    <row r="971" spans="1:16" x14ac:dyDescent="0.25">
      <c r="A971" s="4" t="str">
        <f>Customers!A971</f>
        <v>CL00964</v>
      </c>
      <c r="B971" s="20">
        <f>IF(Customers!G971="","",(Customers!G971-Statistics!$C$7)/Statistics!$C$9)</f>
        <v>-3.6520379983551336E-2</v>
      </c>
      <c r="C971" s="4" t="str">
        <f>IF(Customers!G971="","",IF(OR(Customers!G971&lt;Statistics!$C$15,Customers!G971&gt;Statistics!$C$16),"Outside 1.5·IQR",""))</f>
        <v/>
      </c>
      <c r="D971" s="4" t="str">
        <f>IF(OR(Customers!B971&lt;18,Customers!B971&gt;100),"Implausible age","")</f>
        <v/>
      </c>
      <c r="E971" s="4" t="str">
        <f>IF(Customers!H971&gt;Customers!B971-18,"Tenure &gt; age-18","")</f>
        <v/>
      </c>
      <c r="F971" s="4" t="str">
        <f>IF(Customers!R971&gt;Customers!Q971,"Card spend &gt; limit","")</f>
        <v/>
      </c>
      <c r="G971" s="4" t="str">
        <f>IF(OR(AND(Customers!S971&gt;0,Customers!T971=0),AND(Customers!S971=0,Customers!T971&gt;0)),"Mortgage/payment inconsistent","")</f>
        <v/>
      </c>
      <c r="H971" s="4" t="str">
        <f>IF(AND(Customers!G971&lt;&gt;"",Customers!G971&gt;0,Customers!T971&gt;Customers!G971/12),"Payment &gt; monthly income","")</f>
        <v/>
      </c>
      <c r="I971" s="4" t="str">
        <f>IF(OR(Customers!I971&gt;DATE(2026,9,13),YEAR(Customers!I971)&lt;1980),"Implausible date","")</f>
        <v/>
      </c>
      <c r="J971" s="4" t="str">
        <f>IF(Customers!I971&gt;DATE(2026,9,13),"",IF(ABS(INT((DATE(2026,9,13)-Customers!I971)/365.25)-Customers!H971)&gt;1,"Date/tenure inconsistent",""))</f>
        <v/>
      </c>
      <c r="K971" s="4" t="str">
        <f>IF(COUNTIF(Customers!$A$2:$A$1001,Customers!A971)&gt;1,"Duplicate ID","")</f>
        <v/>
      </c>
      <c r="L971" s="4" t="str">
        <f>IF(COUNTIFS(Customers!$B$2:$B$1001,Customers!B971,Customers!$D$2:$D$1001,Customers!D971,Customers!$G$2:$G$1001,Customers!G971,Customers!$I$2:$I$1001,Customers!I971,Customers!$L$2:$L$1001,Customers!L971)&gt;1,"Duplicate record","")</f>
        <v/>
      </c>
      <c r="M971" s="4" t="str">
        <f>IF(OR(Customers!U971&lt;300,Customers!U971&gt;850),"Score out of range","")</f>
        <v/>
      </c>
      <c r="N971" s="4" t="str">
        <f>IF(AND(Customers!G971&lt;&gt;"",Customers!G971&lt;=0),"Income ≤ 0","")</f>
        <v/>
      </c>
      <c r="O971" s="4" t="str">
        <f>IF(OR(Customers!G971="",Customers!M971=""),"Missing value","")</f>
        <v/>
      </c>
      <c r="P971" s="4">
        <f t="shared" si="15"/>
        <v>0</v>
      </c>
    </row>
    <row r="972" spans="1:16" x14ac:dyDescent="0.25">
      <c r="A972" s="4" t="str">
        <f>Customers!A972</f>
        <v>CL00965</v>
      </c>
      <c r="B972" s="20">
        <f>IF(Customers!G972="","",(Customers!G972-Statistics!$C$7)/Statistics!$C$9)</f>
        <v>-6.7756931396345272E-3</v>
      </c>
      <c r="C972" s="4" t="str">
        <f>IF(Customers!G972="","",IF(OR(Customers!G972&lt;Statistics!$C$15,Customers!G972&gt;Statistics!$C$16),"Outside 1.5·IQR",""))</f>
        <v/>
      </c>
      <c r="D972" s="4" t="str">
        <f>IF(OR(Customers!B972&lt;18,Customers!B972&gt;100),"Implausible age","")</f>
        <v/>
      </c>
      <c r="E972" s="4" t="str">
        <f>IF(Customers!H972&gt;Customers!B972-18,"Tenure &gt; age-18","")</f>
        <v/>
      </c>
      <c r="F972" s="4" t="str">
        <f>IF(Customers!R972&gt;Customers!Q972,"Card spend &gt; limit","")</f>
        <v/>
      </c>
      <c r="G972" s="4" t="str">
        <f>IF(OR(AND(Customers!S972&gt;0,Customers!T972=0),AND(Customers!S972=0,Customers!T972&gt;0)),"Mortgage/payment inconsistent","")</f>
        <v/>
      </c>
      <c r="H972" s="4" t="str">
        <f>IF(AND(Customers!G972&lt;&gt;"",Customers!G972&gt;0,Customers!T972&gt;Customers!G972/12),"Payment &gt; monthly income","")</f>
        <v/>
      </c>
      <c r="I972" s="4" t="str">
        <f>IF(OR(Customers!I972&gt;DATE(2026,9,13),YEAR(Customers!I972)&lt;1980),"Implausible date","")</f>
        <v/>
      </c>
      <c r="J972" s="4" t="str">
        <f>IF(Customers!I972&gt;DATE(2026,9,13),"",IF(ABS(INT((DATE(2026,9,13)-Customers!I972)/365.25)-Customers!H972)&gt;1,"Date/tenure inconsistent",""))</f>
        <v/>
      </c>
      <c r="K972" s="4" t="str">
        <f>IF(COUNTIF(Customers!$A$2:$A$1001,Customers!A972)&gt;1,"Duplicate ID","")</f>
        <v/>
      </c>
      <c r="L972" s="4" t="str">
        <f>IF(COUNTIFS(Customers!$B$2:$B$1001,Customers!B972,Customers!$D$2:$D$1001,Customers!D972,Customers!$G$2:$G$1001,Customers!G972,Customers!$I$2:$I$1001,Customers!I972,Customers!$L$2:$L$1001,Customers!L972)&gt;1,"Duplicate record","")</f>
        <v/>
      </c>
      <c r="M972" s="4" t="str">
        <f>IF(OR(Customers!U972&lt;300,Customers!U972&gt;850),"Score out of range","")</f>
        <v/>
      </c>
      <c r="N972" s="4" t="str">
        <f>IF(AND(Customers!G972&lt;&gt;"",Customers!G972&lt;=0),"Income ≤ 0","")</f>
        <v/>
      </c>
      <c r="O972" s="4" t="str">
        <f>IF(OR(Customers!G972="",Customers!M972=""),"Missing value","")</f>
        <v/>
      </c>
      <c r="P972" s="4">
        <f t="shared" si="15"/>
        <v>0</v>
      </c>
    </row>
    <row r="973" spans="1:16" x14ac:dyDescent="0.25">
      <c r="A973" s="4" t="str">
        <f>Customers!A973</f>
        <v>CL00966</v>
      </c>
      <c r="B973" s="20">
        <f>IF(Customers!G973="","",(Customers!G973-Statistics!$C$7)/Statistics!$C$9)</f>
        <v>-5.6021863411019973E-2</v>
      </c>
      <c r="C973" s="4" t="str">
        <f>IF(Customers!G973="","",IF(OR(Customers!G973&lt;Statistics!$C$15,Customers!G973&gt;Statistics!$C$16),"Outside 1.5·IQR",""))</f>
        <v/>
      </c>
      <c r="D973" s="4" t="str">
        <f>IF(OR(Customers!B973&lt;18,Customers!B973&gt;100),"Implausible age","")</f>
        <v/>
      </c>
      <c r="E973" s="4" t="str">
        <f>IF(Customers!H973&gt;Customers!B973-18,"Tenure &gt; age-18","")</f>
        <v/>
      </c>
      <c r="F973" s="4" t="str">
        <f>IF(Customers!R973&gt;Customers!Q973,"Card spend &gt; limit","")</f>
        <v/>
      </c>
      <c r="G973" s="4" t="str">
        <f>IF(OR(AND(Customers!S973&gt;0,Customers!T973=0),AND(Customers!S973=0,Customers!T973&gt;0)),"Mortgage/payment inconsistent","")</f>
        <v/>
      </c>
      <c r="H973" s="4" t="str">
        <f>IF(AND(Customers!G973&lt;&gt;"",Customers!G973&gt;0,Customers!T973&gt;Customers!G973/12),"Payment &gt; monthly income","")</f>
        <v/>
      </c>
      <c r="I973" s="4" t="str">
        <f>IF(OR(Customers!I973&gt;DATE(2026,9,13),YEAR(Customers!I973)&lt;1980),"Implausible date","")</f>
        <v/>
      </c>
      <c r="J973" s="4" t="str">
        <f>IF(Customers!I973&gt;DATE(2026,9,13),"",IF(ABS(INT((DATE(2026,9,13)-Customers!I973)/365.25)-Customers!H973)&gt;1,"Date/tenure inconsistent",""))</f>
        <v/>
      </c>
      <c r="K973" s="4" t="str">
        <f>IF(COUNTIF(Customers!$A$2:$A$1001,Customers!A973)&gt;1,"Duplicate ID","")</f>
        <v/>
      </c>
      <c r="L973" s="4" t="str">
        <f>IF(COUNTIFS(Customers!$B$2:$B$1001,Customers!B973,Customers!$D$2:$D$1001,Customers!D973,Customers!$G$2:$G$1001,Customers!G973,Customers!$I$2:$I$1001,Customers!I973,Customers!$L$2:$L$1001,Customers!L973)&gt;1,"Duplicate record","")</f>
        <v/>
      </c>
      <c r="M973" s="4" t="str">
        <f>IF(OR(Customers!U973&lt;300,Customers!U973&gt;850),"Score out of range","")</f>
        <v/>
      </c>
      <c r="N973" s="4" t="str">
        <f>IF(AND(Customers!G973&lt;&gt;"",Customers!G973&lt;=0),"Income ≤ 0","")</f>
        <v/>
      </c>
      <c r="O973" s="4" t="str">
        <f>IF(OR(Customers!G973="",Customers!M973=""),"Missing value","")</f>
        <v/>
      </c>
      <c r="P973" s="4">
        <f t="shared" si="15"/>
        <v>0</v>
      </c>
    </row>
    <row r="974" spans="1:16" x14ac:dyDescent="0.25">
      <c r="A974" s="4" t="str">
        <f>Customers!A974</f>
        <v>CL00967</v>
      </c>
      <c r="B974" s="20">
        <f>IF(Customers!G974="","",(Customers!G974-Statistics!$C$7)/Statistics!$C$9)</f>
        <v>1.1543882201320859E-2</v>
      </c>
      <c r="C974" s="4" t="str">
        <f>IF(Customers!G974="","",IF(OR(Customers!G974&lt;Statistics!$C$15,Customers!G974&gt;Statistics!$C$16),"Outside 1.5·IQR",""))</f>
        <v>Outside 1.5·IQR</v>
      </c>
      <c r="D974" s="4" t="str">
        <f>IF(OR(Customers!B974&lt;18,Customers!B974&gt;100),"Implausible age","")</f>
        <v/>
      </c>
      <c r="E974" s="4" t="str">
        <f>IF(Customers!H974&gt;Customers!B974-18,"Tenure &gt; age-18","")</f>
        <v/>
      </c>
      <c r="F974" s="4" t="str">
        <f>IF(Customers!R974&gt;Customers!Q974,"Card spend &gt; limit","")</f>
        <v/>
      </c>
      <c r="G974" s="4" t="str">
        <f>IF(OR(AND(Customers!S974&gt;0,Customers!T974=0),AND(Customers!S974=0,Customers!T974&gt;0)),"Mortgage/payment inconsistent","")</f>
        <v/>
      </c>
      <c r="H974" s="4" t="str">
        <f>IF(AND(Customers!G974&lt;&gt;"",Customers!G974&gt;0,Customers!T974&gt;Customers!G974/12),"Payment &gt; monthly income","")</f>
        <v/>
      </c>
      <c r="I974" s="4" t="str">
        <f>IF(OR(Customers!I974&gt;DATE(2026,9,13),YEAR(Customers!I974)&lt;1980),"Implausible date","")</f>
        <v/>
      </c>
      <c r="J974" s="4" t="str">
        <f>IF(Customers!I974&gt;DATE(2026,9,13),"",IF(ABS(INT((DATE(2026,9,13)-Customers!I974)/365.25)-Customers!H974)&gt;1,"Date/tenure inconsistent",""))</f>
        <v/>
      </c>
      <c r="K974" s="4" t="str">
        <f>IF(COUNTIF(Customers!$A$2:$A$1001,Customers!A974)&gt;1,"Duplicate ID","")</f>
        <v/>
      </c>
      <c r="L974" s="4" t="str">
        <f>IF(COUNTIFS(Customers!$B$2:$B$1001,Customers!B974,Customers!$D$2:$D$1001,Customers!D974,Customers!$G$2:$G$1001,Customers!G974,Customers!$I$2:$I$1001,Customers!I974,Customers!$L$2:$L$1001,Customers!L974)&gt;1,"Duplicate record","")</f>
        <v/>
      </c>
      <c r="M974" s="4" t="str">
        <f>IF(OR(Customers!U974&lt;300,Customers!U974&gt;850),"Score out of range","")</f>
        <v/>
      </c>
      <c r="N974" s="4" t="str">
        <f>IF(AND(Customers!G974&lt;&gt;"",Customers!G974&lt;=0),"Income ≤ 0","")</f>
        <v/>
      </c>
      <c r="O974" s="4" t="str">
        <f>IF(OR(Customers!G974="",Customers!M974=""),"Missing value","")</f>
        <v/>
      </c>
      <c r="P974" s="4">
        <f t="shared" si="15"/>
        <v>1</v>
      </c>
    </row>
    <row r="975" spans="1:16" x14ac:dyDescent="0.25">
      <c r="A975" s="4" t="str">
        <f>Customers!A975</f>
        <v>CL00968</v>
      </c>
      <c r="B975" s="20">
        <f>IF(Customers!G975="","",(Customers!G975-Statistics!$C$7)/Statistics!$C$9)</f>
        <v>-5.2476139151480222E-2</v>
      </c>
      <c r="C975" s="4" t="str">
        <f>IF(Customers!G975="","",IF(OR(Customers!G975&lt;Statistics!$C$15,Customers!G975&gt;Statistics!$C$16),"Outside 1.5·IQR",""))</f>
        <v/>
      </c>
      <c r="D975" s="4" t="str">
        <f>IF(OR(Customers!B975&lt;18,Customers!B975&gt;100),"Implausible age","")</f>
        <v/>
      </c>
      <c r="E975" s="4" t="str">
        <f>IF(Customers!H975&gt;Customers!B975-18,"Tenure &gt; age-18","")</f>
        <v/>
      </c>
      <c r="F975" s="4" t="str">
        <f>IF(Customers!R975&gt;Customers!Q975,"Card spend &gt; limit","")</f>
        <v/>
      </c>
      <c r="G975" s="4" t="str">
        <f>IF(OR(AND(Customers!S975&gt;0,Customers!T975=0),AND(Customers!S975=0,Customers!T975&gt;0)),"Mortgage/payment inconsistent","")</f>
        <v/>
      </c>
      <c r="H975" s="4" t="str">
        <f>IF(AND(Customers!G975&lt;&gt;"",Customers!G975&gt;0,Customers!T975&gt;Customers!G975/12),"Payment &gt; monthly income","")</f>
        <v/>
      </c>
      <c r="I975" s="4" t="str">
        <f>IF(OR(Customers!I975&gt;DATE(2026,9,13),YEAR(Customers!I975)&lt;1980),"Implausible date","")</f>
        <v/>
      </c>
      <c r="J975" s="4" t="str">
        <f>IF(Customers!I975&gt;DATE(2026,9,13),"",IF(ABS(INT((DATE(2026,9,13)-Customers!I975)/365.25)-Customers!H975)&gt;1,"Date/tenure inconsistent",""))</f>
        <v/>
      </c>
      <c r="K975" s="4" t="str">
        <f>IF(COUNTIF(Customers!$A$2:$A$1001,Customers!A975)&gt;1,"Duplicate ID","")</f>
        <v/>
      </c>
      <c r="L975" s="4" t="str">
        <f>IF(COUNTIFS(Customers!$B$2:$B$1001,Customers!B975,Customers!$D$2:$D$1001,Customers!D975,Customers!$G$2:$G$1001,Customers!G975,Customers!$I$2:$I$1001,Customers!I975,Customers!$L$2:$L$1001,Customers!L975)&gt;1,"Duplicate record","")</f>
        <v/>
      </c>
      <c r="M975" s="4" t="str">
        <f>IF(OR(Customers!U975&lt;300,Customers!U975&gt;850),"Score out of range","")</f>
        <v/>
      </c>
      <c r="N975" s="4" t="str">
        <f>IF(AND(Customers!G975&lt;&gt;"",Customers!G975&lt;=0),"Income ≤ 0","")</f>
        <v/>
      </c>
      <c r="O975" s="4" t="str">
        <f>IF(OR(Customers!G975="",Customers!M975=""),"Missing value","")</f>
        <v/>
      </c>
      <c r="P975" s="4">
        <f t="shared" si="15"/>
        <v>0</v>
      </c>
    </row>
    <row r="976" spans="1:16" x14ac:dyDescent="0.25">
      <c r="A976" s="4" t="str">
        <f>Customers!A976</f>
        <v>CL00969</v>
      </c>
      <c r="B976" s="20">
        <f>IF(Customers!G976="","",(Customers!G976-Statistics!$C$7)/Statistics!$C$9)</f>
        <v>-1.0222925058631508E-2</v>
      </c>
      <c r="C976" s="4" t="str">
        <f>IF(Customers!G976="","",IF(OR(Customers!G976&lt;Statistics!$C$15,Customers!G976&gt;Statistics!$C$16),"Outside 1.5·IQR",""))</f>
        <v/>
      </c>
      <c r="D976" s="4" t="str">
        <f>IF(OR(Customers!B976&lt;18,Customers!B976&gt;100),"Implausible age","")</f>
        <v/>
      </c>
      <c r="E976" s="4" t="str">
        <f>IF(Customers!H976&gt;Customers!B976-18,"Tenure &gt; age-18","")</f>
        <v/>
      </c>
      <c r="F976" s="4" t="str">
        <f>IF(Customers!R976&gt;Customers!Q976,"Card spend &gt; limit","")</f>
        <v/>
      </c>
      <c r="G976" s="4" t="str">
        <f>IF(OR(AND(Customers!S976&gt;0,Customers!T976=0),AND(Customers!S976=0,Customers!T976&gt;0)),"Mortgage/payment inconsistent","")</f>
        <v/>
      </c>
      <c r="H976" s="4" t="str">
        <f>IF(AND(Customers!G976&lt;&gt;"",Customers!G976&gt;0,Customers!T976&gt;Customers!G976/12),"Payment &gt; monthly income","")</f>
        <v/>
      </c>
      <c r="I976" s="4" t="str">
        <f>IF(OR(Customers!I976&gt;DATE(2026,9,13),YEAR(Customers!I976)&lt;1980),"Implausible date","")</f>
        <v/>
      </c>
      <c r="J976" s="4" t="str">
        <f>IF(Customers!I976&gt;DATE(2026,9,13),"",IF(ABS(INT((DATE(2026,9,13)-Customers!I976)/365.25)-Customers!H976)&gt;1,"Date/tenure inconsistent",""))</f>
        <v/>
      </c>
      <c r="K976" s="4" t="str">
        <f>IF(COUNTIF(Customers!$A$2:$A$1001,Customers!A976)&gt;1,"Duplicate ID","")</f>
        <v/>
      </c>
      <c r="L976" s="4" t="str">
        <f>IF(COUNTIFS(Customers!$B$2:$B$1001,Customers!B976,Customers!$D$2:$D$1001,Customers!D976,Customers!$G$2:$G$1001,Customers!G976,Customers!$I$2:$I$1001,Customers!I976,Customers!$L$2:$L$1001,Customers!L976)&gt;1,"Duplicate record","")</f>
        <v/>
      </c>
      <c r="M976" s="4" t="str">
        <f>IF(OR(Customers!U976&lt;300,Customers!U976&gt;850),"Score out of range","")</f>
        <v/>
      </c>
      <c r="N976" s="4" t="str">
        <f>IF(AND(Customers!G976&lt;&gt;"",Customers!G976&lt;=0),"Income ≤ 0","")</f>
        <v/>
      </c>
      <c r="O976" s="4" t="str">
        <f>IF(OR(Customers!G976="",Customers!M976=""),"Missing value","")</f>
        <v/>
      </c>
      <c r="P976" s="4">
        <f t="shared" si="15"/>
        <v>0</v>
      </c>
    </row>
    <row r="977" spans="1:16" x14ac:dyDescent="0.25">
      <c r="A977" s="4" t="str">
        <f>Customers!A977</f>
        <v>CL00970</v>
      </c>
      <c r="B977" s="20">
        <f>IF(Customers!G977="","",(Customers!G977-Statistics!$C$7)/Statistics!$C$9)</f>
        <v>-3.9475150199834462E-2</v>
      </c>
      <c r="C977" s="4" t="str">
        <f>IF(Customers!G977="","",IF(OR(Customers!G977&lt;Statistics!$C$15,Customers!G977&gt;Statistics!$C$16),"Outside 1.5·IQR",""))</f>
        <v/>
      </c>
      <c r="D977" s="4" t="str">
        <f>IF(OR(Customers!B977&lt;18,Customers!B977&gt;100),"Implausible age","")</f>
        <v/>
      </c>
      <c r="E977" s="4" t="str">
        <f>IF(Customers!H977&gt;Customers!B977-18,"Tenure &gt; age-18","")</f>
        <v/>
      </c>
      <c r="F977" s="4" t="str">
        <f>IF(Customers!R977&gt;Customers!Q977,"Card spend &gt; limit","")</f>
        <v/>
      </c>
      <c r="G977" s="4" t="str">
        <f>IF(OR(AND(Customers!S977&gt;0,Customers!T977=0),AND(Customers!S977=0,Customers!T977&gt;0)),"Mortgage/payment inconsistent","")</f>
        <v/>
      </c>
      <c r="H977" s="4" t="str">
        <f>IF(AND(Customers!G977&lt;&gt;"",Customers!G977&gt;0,Customers!T977&gt;Customers!G977/12),"Payment &gt; monthly income","")</f>
        <v/>
      </c>
      <c r="I977" s="4" t="str">
        <f>IF(OR(Customers!I977&gt;DATE(2026,9,13),YEAR(Customers!I977)&lt;1980),"Implausible date","")</f>
        <v/>
      </c>
      <c r="J977" s="4" t="str">
        <f>IF(Customers!I977&gt;DATE(2026,9,13),"",IF(ABS(INT((DATE(2026,9,13)-Customers!I977)/365.25)-Customers!H977)&gt;1,"Date/tenure inconsistent",""))</f>
        <v/>
      </c>
      <c r="K977" s="4" t="str">
        <f>IF(COUNTIF(Customers!$A$2:$A$1001,Customers!A977)&gt;1,"Duplicate ID","")</f>
        <v/>
      </c>
      <c r="L977" s="4" t="str">
        <f>IF(COUNTIFS(Customers!$B$2:$B$1001,Customers!B977,Customers!$D$2:$D$1001,Customers!D977,Customers!$G$2:$G$1001,Customers!G977,Customers!$I$2:$I$1001,Customers!I977,Customers!$L$2:$L$1001,Customers!L977)&gt;1,"Duplicate record","")</f>
        <v/>
      </c>
      <c r="M977" s="4" t="str">
        <f>IF(OR(Customers!U977&lt;300,Customers!U977&gt;850),"Score out of range","")</f>
        <v/>
      </c>
      <c r="N977" s="4" t="str">
        <f>IF(AND(Customers!G977&lt;&gt;"",Customers!G977&lt;=0),"Income ≤ 0","")</f>
        <v/>
      </c>
      <c r="O977" s="4" t="str">
        <f>IF(OR(Customers!G977="",Customers!M977=""),"Missing value","")</f>
        <v/>
      </c>
      <c r="P977" s="4">
        <f t="shared" si="15"/>
        <v>0</v>
      </c>
    </row>
    <row r="978" spans="1:16" x14ac:dyDescent="0.25">
      <c r="A978" s="4" t="str">
        <f>Customers!A978</f>
        <v>CL00971</v>
      </c>
      <c r="B978" s="20">
        <f>IF(Customers!G978="","",(Customers!G978-Statistics!$C$7)/Statistics!$C$9)</f>
        <v>-4.5877152335114572E-2</v>
      </c>
      <c r="C978" s="4" t="str">
        <f>IF(Customers!G978="","",IF(OR(Customers!G978&lt;Statistics!$C$15,Customers!G978&gt;Statistics!$C$16),"Outside 1.5·IQR",""))</f>
        <v/>
      </c>
      <c r="D978" s="4" t="str">
        <f>IF(OR(Customers!B978&lt;18,Customers!B978&gt;100),"Implausible age","")</f>
        <v/>
      </c>
      <c r="E978" s="4" t="str">
        <f>IF(Customers!H978&gt;Customers!B978-18,"Tenure &gt; age-18","")</f>
        <v/>
      </c>
      <c r="F978" s="4" t="str">
        <f>IF(Customers!R978&gt;Customers!Q978,"Card spend &gt; limit","")</f>
        <v/>
      </c>
      <c r="G978" s="4" t="str">
        <f>IF(OR(AND(Customers!S978&gt;0,Customers!T978=0),AND(Customers!S978=0,Customers!T978&gt;0)),"Mortgage/payment inconsistent","")</f>
        <v/>
      </c>
      <c r="H978" s="4" t="str">
        <f>IF(AND(Customers!G978&lt;&gt;"",Customers!G978&gt;0,Customers!T978&gt;Customers!G978/12),"Payment &gt; monthly income","")</f>
        <v/>
      </c>
      <c r="I978" s="4" t="str">
        <f>IF(OR(Customers!I978&gt;DATE(2026,9,13),YEAR(Customers!I978)&lt;1980),"Implausible date","")</f>
        <v/>
      </c>
      <c r="J978" s="4" t="str">
        <f>IF(Customers!I978&gt;DATE(2026,9,13),"",IF(ABS(INT((DATE(2026,9,13)-Customers!I978)/365.25)-Customers!H978)&gt;1,"Date/tenure inconsistent",""))</f>
        <v/>
      </c>
      <c r="K978" s="4" t="str">
        <f>IF(COUNTIF(Customers!$A$2:$A$1001,Customers!A978)&gt;1,"Duplicate ID","")</f>
        <v/>
      </c>
      <c r="L978" s="4" t="str">
        <f>IF(COUNTIFS(Customers!$B$2:$B$1001,Customers!B978,Customers!$D$2:$D$1001,Customers!D978,Customers!$G$2:$G$1001,Customers!G978,Customers!$I$2:$I$1001,Customers!I978,Customers!$L$2:$L$1001,Customers!L978)&gt;1,"Duplicate record","")</f>
        <v/>
      </c>
      <c r="M978" s="4" t="str">
        <f>IF(OR(Customers!U978&lt;300,Customers!U978&gt;850),"Score out of range","")</f>
        <v/>
      </c>
      <c r="N978" s="4" t="str">
        <f>IF(AND(Customers!G978&lt;&gt;"",Customers!G978&lt;=0),"Income ≤ 0","")</f>
        <v/>
      </c>
      <c r="O978" s="4" t="str">
        <f>IF(OR(Customers!G978="",Customers!M978=""),"Missing value","")</f>
        <v>Missing value</v>
      </c>
      <c r="P978" s="4">
        <f t="shared" si="15"/>
        <v>1</v>
      </c>
    </row>
    <row r="979" spans="1:16" x14ac:dyDescent="0.25">
      <c r="A979" s="4" t="str">
        <f>Customers!A979</f>
        <v>CL00972</v>
      </c>
      <c r="B979" s="20">
        <f>IF(Customers!G979="","",(Customers!G979-Statistics!$C$7)/Statistics!$C$9)</f>
        <v>-3.4156563810524836E-2</v>
      </c>
      <c r="C979" s="4" t="str">
        <f>IF(Customers!G979="","",IF(OR(Customers!G979&lt;Statistics!$C$15,Customers!G979&gt;Statistics!$C$16),"Outside 1.5·IQR",""))</f>
        <v/>
      </c>
      <c r="D979" s="4" t="str">
        <f>IF(OR(Customers!B979&lt;18,Customers!B979&gt;100),"Implausible age","")</f>
        <v/>
      </c>
      <c r="E979" s="4" t="str">
        <f>IF(Customers!H979&gt;Customers!B979-18,"Tenure &gt; age-18","")</f>
        <v/>
      </c>
      <c r="F979" s="4" t="str">
        <f>IF(Customers!R979&gt;Customers!Q979,"Card spend &gt; limit","")</f>
        <v/>
      </c>
      <c r="G979" s="4" t="str">
        <f>IF(OR(AND(Customers!S979&gt;0,Customers!T979=0),AND(Customers!S979=0,Customers!T979&gt;0)),"Mortgage/payment inconsistent","")</f>
        <v/>
      </c>
      <c r="H979" s="4" t="str">
        <f>IF(AND(Customers!G979&lt;&gt;"",Customers!G979&gt;0,Customers!T979&gt;Customers!G979/12),"Payment &gt; monthly income","")</f>
        <v/>
      </c>
      <c r="I979" s="4" t="str">
        <f>IF(OR(Customers!I979&gt;DATE(2026,9,13),YEAR(Customers!I979)&lt;1980),"Implausible date","")</f>
        <v/>
      </c>
      <c r="J979" s="4" t="str">
        <f>IF(Customers!I979&gt;DATE(2026,9,13),"",IF(ABS(INT((DATE(2026,9,13)-Customers!I979)/365.25)-Customers!H979)&gt;1,"Date/tenure inconsistent",""))</f>
        <v/>
      </c>
      <c r="K979" s="4" t="str">
        <f>IF(COUNTIF(Customers!$A$2:$A$1001,Customers!A979)&gt;1,"Duplicate ID","")</f>
        <v/>
      </c>
      <c r="L979" s="4" t="str">
        <f>IF(COUNTIFS(Customers!$B$2:$B$1001,Customers!B979,Customers!$D$2:$D$1001,Customers!D979,Customers!$G$2:$G$1001,Customers!G979,Customers!$I$2:$I$1001,Customers!I979,Customers!$L$2:$L$1001,Customers!L979)&gt;1,"Duplicate record","")</f>
        <v/>
      </c>
      <c r="M979" s="4" t="str">
        <f>IF(OR(Customers!U979&lt;300,Customers!U979&gt;850),"Score out of range","")</f>
        <v/>
      </c>
      <c r="N979" s="4" t="str">
        <f>IF(AND(Customers!G979&lt;&gt;"",Customers!G979&lt;=0),"Income ≤ 0","")</f>
        <v/>
      </c>
      <c r="O979" s="4" t="str">
        <f>IF(OR(Customers!G979="",Customers!M979=""),"Missing value","")</f>
        <v/>
      </c>
      <c r="P979" s="4">
        <f t="shared" si="15"/>
        <v>0</v>
      </c>
    </row>
    <row r="980" spans="1:16" x14ac:dyDescent="0.25">
      <c r="A980" s="4" t="str">
        <f>Customers!A980</f>
        <v>CL00973</v>
      </c>
      <c r="B980" s="20">
        <f>IF(Customers!G980="","",(Customers!G980-Statistics!$C$7)/Statistics!$C$9)</f>
        <v>-4.7354537443256135E-2</v>
      </c>
      <c r="C980" s="4" t="str">
        <f>IF(Customers!G980="","",IF(OR(Customers!G980&lt;Statistics!$C$15,Customers!G980&gt;Statistics!$C$16),"Outside 1.5·IQR",""))</f>
        <v/>
      </c>
      <c r="D980" s="4" t="str">
        <f>IF(OR(Customers!B980&lt;18,Customers!B980&gt;100),"Implausible age","")</f>
        <v/>
      </c>
      <c r="E980" s="4" t="str">
        <f>IF(Customers!H980&gt;Customers!B980-18,"Tenure &gt; age-18","")</f>
        <v/>
      </c>
      <c r="F980" s="4" t="str">
        <f>IF(Customers!R980&gt;Customers!Q980,"Card spend &gt; limit","")</f>
        <v/>
      </c>
      <c r="G980" s="4" t="str">
        <f>IF(OR(AND(Customers!S980&gt;0,Customers!T980=0),AND(Customers!S980=0,Customers!T980&gt;0)),"Mortgage/payment inconsistent","")</f>
        <v/>
      </c>
      <c r="H980" s="4" t="str">
        <f>IF(AND(Customers!G980&lt;&gt;"",Customers!G980&gt;0,Customers!T980&gt;Customers!G980/12),"Payment &gt; monthly income","")</f>
        <v/>
      </c>
      <c r="I980" s="4" t="str">
        <f>IF(OR(Customers!I980&gt;DATE(2026,9,13),YEAR(Customers!I980)&lt;1980),"Implausible date","")</f>
        <v/>
      </c>
      <c r="J980" s="4" t="str">
        <f>IF(Customers!I980&gt;DATE(2026,9,13),"",IF(ABS(INT((DATE(2026,9,13)-Customers!I980)/365.25)-Customers!H980)&gt;1,"Date/tenure inconsistent",""))</f>
        <v/>
      </c>
      <c r="K980" s="4" t="str">
        <f>IF(COUNTIF(Customers!$A$2:$A$1001,Customers!A980)&gt;1,"Duplicate ID","")</f>
        <v/>
      </c>
      <c r="L980" s="4" t="str">
        <f>IF(COUNTIFS(Customers!$B$2:$B$1001,Customers!B980,Customers!$D$2:$D$1001,Customers!D980,Customers!$G$2:$G$1001,Customers!G980,Customers!$I$2:$I$1001,Customers!I980,Customers!$L$2:$L$1001,Customers!L980)&gt;1,"Duplicate record","")</f>
        <v/>
      </c>
      <c r="M980" s="4" t="str">
        <f>IF(OR(Customers!U980&lt;300,Customers!U980&gt;850),"Score out of range","")</f>
        <v/>
      </c>
      <c r="N980" s="4" t="str">
        <f>IF(AND(Customers!G980&lt;&gt;"",Customers!G980&lt;=0),"Income ≤ 0","")</f>
        <v/>
      </c>
      <c r="O980" s="4" t="str">
        <f>IF(OR(Customers!G980="",Customers!M980=""),"Missing value","")</f>
        <v/>
      </c>
      <c r="P980" s="4">
        <f t="shared" si="15"/>
        <v>0</v>
      </c>
    </row>
    <row r="981" spans="1:16" x14ac:dyDescent="0.25">
      <c r="A981" s="4" t="str">
        <f>Customers!A981</f>
        <v>CL00974</v>
      </c>
      <c r="B981" s="20">
        <f>IF(Customers!G981="","",(Customers!G981-Statistics!$C$7)/Statistics!$C$9)</f>
        <v>-1.9973666772365829E-2</v>
      </c>
      <c r="C981" s="4" t="str">
        <f>IF(Customers!G981="","",IF(OR(Customers!G981&lt;Statistics!$C$15,Customers!G981&gt;Statistics!$C$16),"Outside 1.5·IQR",""))</f>
        <v/>
      </c>
      <c r="D981" s="4" t="str">
        <f>IF(OR(Customers!B981&lt;18,Customers!B981&gt;100),"Implausible age","")</f>
        <v/>
      </c>
      <c r="E981" s="4" t="str">
        <f>IF(Customers!H981&gt;Customers!B981-18,"Tenure &gt; age-18","")</f>
        <v/>
      </c>
      <c r="F981" s="4" t="str">
        <f>IF(Customers!R981&gt;Customers!Q981,"Card spend &gt; limit","")</f>
        <v/>
      </c>
      <c r="G981" s="4" t="str">
        <f>IF(OR(AND(Customers!S981&gt;0,Customers!T981=0),AND(Customers!S981=0,Customers!T981&gt;0)),"Mortgage/payment inconsistent","")</f>
        <v/>
      </c>
      <c r="H981" s="4" t="str">
        <f>IF(AND(Customers!G981&lt;&gt;"",Customers!G981&gt;0,Customers!T981&gt;Customers!G981/12),"Payment &gt; monthly income","")</f>
        <v/>
      </c>
      <c r="I981" s="4" t="str">
        <f>IF(OR(Customers!I981&gt;DATE(2026,9,13),YEAR(Customers!I981)&lt;1980),"Implausible date","")</f>
        <v/>
      </c>
      <c r="J981" s="4" t="str">
        <f>IF(Customers!I981&gt;DATE(2026,9,13),"",IF(ABS(INT((DATE(2026,9,13)-Customers!I981)/365.25)-Customers!H981)&gt;1,"Date/tenure inconsistent",""))</f>
        <v/>
      </c>
      <c r="K981" s="4" t="str">
        <f>IF(COUNTIF(Customers!$A$2:$A$1001,Customers!A981)&gt;1,"Duplicate ID","")</f>
        <v/>
      </c>
      <c r="L981" s="4" t="str">
        <f>IF(COUNTIFS(Customers!$B$2:$B$1001,Customers!B981,Customers!$D$2:$D$1001,Customers!D981,Customers!$G$2:$G$1001,Customers!G981,Customers!$I$2:$I$1001,Customers!I981,Customers!$L$2:$L$1001,Customers!L981)&gt;1,"Duplicate record","")</f>
        <v/>
      </c>
      <c r="M981" s="4" t="str">
        <f>IF(OR(Customers!U981&lt;300,Customers!U981&gt;850),"Score out of range","")</f>
        <v/>
      </c>
      <c r="N981" s="4" t="str">
        <f>IF(AND(Customers!G981&lt;&gt;"",Customers!G981&lt;=0),"Income ≤ 0","")</f>
        <v/>
      </c>
      <c r="O981" s="4" t="str">
        <f>IF(OR(Customers!G981="",Customers!M981=""),"Missing value","")</f>
        <v/>
      </c>
      <c r="P981" s="4">
        <f t="shared" si="15"/>
        <v>0</v>
      </c>
    </row>
    <row r="982" spans="1:16" x14ac:dyDescent="0.25">
      <c r="A982" s="4" t="str">
        <f>Customers!A982</f>
        <v>CL00975</v>
      </c>
      <c r="B982" s="20">
        <f>IF(Customers!G982="","",(Customers!G982-Statistics!$C$7)/Statistics!$C$9)</f>
        <v>-5.2771616173108535E-2</v>
      </c>
      <c r="C982" s="4" t="str">
        <f>IF(Customers!G982="","",IF(OR(Customers!G982&lt;Statistics!$C$15,Customers!G982&gt;Statistics!$C$16),"Outside 1.5·IQR",""))</f>
        <v/>
      </c>
      <c r="D982" s="4" t="str">
        <f>IF(OR(Customers!B982&lt;18,Customers!B982&gt;100),"Implausible age","")</f>
        <v/>
      </c>
      <c r="E982" s="4" t="str">
        <f>IF(Customers!H982&gt;Customers!B982-18,"Tenure &gt; age-18","")</f>
        <v/>
      </c>
      <c r="F982" s="4" t="str">
        <f>IF(Customers!R982&gt;Customers!Q982,"Card spend &gt; limit","")</f>
        <v/>
      </c>
      <c r="G982" s="4" t="str">
        <f>IF(OR(AND(Customers!S982&gt;0,Customers!T982=0),AND(Customers!S982=0,Customers!T982&gt;0)),"Mortgage/payment inconsistent","")</f>
        <v/>
      </c>
      <c r="H982" s="4" t="str">
        <f>IF(AND(Customers!G982&lt;&gt;"",Customers!G982&gt;0,Customers!T982&gt;Customers!G982/12),"Payment &gt; monthly income","")</f>
        <v/>
      </c>
      <c r="I982" s="4" t="str">
        <f>IF(OR(Customers!I982&gt;DATE(2026,9,13),YEAR(Customers!I982)&lt;1980),"Implausible date","")</f>
        <v/>
      </c>
      <c r="J982" s="4" t="str">
        <f>IF(Customers!I982&gt;DATE(2026,9,13),"",IF(ABS(INT((DATE(2026,9,13)-Customers!I982)/365.25)-Customers!H982)&gt;1,"Date/tenure inconsistent",""))</f>
        <v/>
      </c>
      <c r="K982" s="4" t="str">
        <f>IF(COUNTIF(Customers!$A$2:$A$1001,Customers!A982)&gt;1,"Duplicate ID","")</f>
        <v/>
      </c>
      <c r="L982" s="4" t="str">
        <f>IF(COUNTIFS(Customers!$B$2:$B$1001,Customers!B982,Customers!$D$2:$D$1001,Customers!D982,Customers!$G$2:$G$1001,Customers!G982,Customers!$I$2:$I$1001,Customers!I982,Customers!$L$2:$L$1001,Customers!L982)&gt;1,"Duplicate record","")</f>
        <v/>
      </c>
      <c r="M982" s="4" t="str">
        <f>IF(OR(Customers!U982&lt;300,Customers!U982&gt;850),"Score out of range","")</f>
        <v/>
      </c>
      <c r="N982" s="4" t="str">
        <f>IF(AND(Customers!G982&lt;&gt;"",Customers!G982&lt;=0),"Income ≤ 0","")</f>
        <v/>
      </c>
      <c r="O982" s="4" t="str">
        <f>IF(OR(Customers!G982="",Customers!M982=""),"Missing value","")</f>
        <v/>
      </c>
      <c r="P982" s="4">
        <f t="shared" si="15"/>
        <v>0</v>
      </c>
    </row>
    <row r="983" spans="1:16" x14ac:dyDescent="0.25">
      <c r="A983" s="4" t="str">
        <f>Customers!A983</f>
        <v>CL00976</v>
      </c>
      <c r="B983" s="20">
        <f>IF(Customers!G983="","",(Customers!G983-Statistics!$C$7)/Statistics!$C$9)</f>
        <v>0.10314175890609779</v>
      </c>
      <c r="C983" s="4" t="str">
        <f>IF(Customers!G983="","",IF(OR(Customers!G983&lt;Statistics!$C$15,Customers!G983&gt;Statistics!$C$16),"Outside 1.5·IQR",""))</f>
        <v>Outside 1.5·IQR</v>
      </c>
      <c r="D983" s="4" t="str">
        <f>IF(OR(Customers!B983&lt;18,Customers!B983&gt;100),"Implausible age","")</f>
        <v/>
      </c>
      <c r="E983" s="4" t="str">
        <f>IF(Customers!H983&gt;Customers!B983-18,"Tenure &gt; age-18","")</f>
        <v/>
      </c>
      <c r="F983" s="4" t="str">
        <f>IF(Customers!R983&gt;Customers!Q983,"Card spend &gt; limit","")</f>
        <v/>
      </c>
      <c r="G983" s="4" t="str">
        <f>IF(OR(AND(Customers!S983&gt;0,Customers!T983=0),AND(Customers!S983=0,Customers!T983&gt;0)),"Mortgage/payment inconsistent","")</f>
        <v/>
      </c>
      <c r="H983" s="4" t="str">
        <f>IF(AND(Customers!G983&lt;&gt;"",Customers!G983&gt;0,Customers!T983&gt;Customers!G983/12),"Payment &gt; monthly income","")</f>
        <v/>
      </c>
      <c r="I983" s="4" t="str">
        <f>IF(OR(Customers!I983&gt;DATE(2026,9,13),YEAR(Customers!I983)&lt;1980),"Implausible date","")</f>
        <v/>
      </c>
      <c r="J983" s="4" t="str">
        <f>IF(Customers!I983&gt;DATE(2026,9,13),"",IF(ABS(INT((DATE(2026,9,13)-Customers!I983)/365.25)-Customers!H983)&gt;1,"Date/tenure inconsistent",""))</f>
        <v/>
      </c>
      <c r="K983" s="4" t="str">
        <f>IF(COUNTIF(Customers!$A$2:$A$1001,Customers!A983)&gt;1,"Duplicate ID","")</f>
        <v/>
      </c>
      <c r="L983" s="4" t="str">
        <f>IF(COUNTIFS(Customers!$B$2:$B$1001,Customers!B983,Customers!$D$2:$D$1001,Customers!D983,Customers!$G$2:$G$1001,Customers!G983,Customers!$I$2:$I$1001,Customers!I983,Customers!$L$2:$L$1001,Customers!L983)&gt;1,"Duplicate record","")</f>
        <v/>
      </c>
      <c r="M983" s="4" t="str">
        <f>IF(OR(Customers!U983&lt;300,Customers!U983&gt;850),"Score out of range","")</f>
        <v/>
      </c>
      <c r="N983" s="4" t="str">
        <f>IF(AND(Customers!G983&lt;&gt;"",Customers!G983&lt;=0),"Income ≤ 0","")</f>
        <v/>
      </c>
      <c r="O983" s="4" t="str">
        <f>IF(OR(Customers!G983="",Customers!M983=""),"Missing value","")</f>
        <v/>
      </c>
      <c r="P983" s="4">
        <f t="shared" si="15"/>
        <v>1</v>
      </c>
    </row>
    <row r="984" spans="1:16" x14ac:dyDescent="0.25">
      <c r="A984" s="4" t="str">
        <f>Customers!A984</f>
        <v>CL00977</v>
      </c>
      <c r="B984" s="20">
        <f>IF(Customers!G984="","",(Customers!G984-Statistics!$C$7)/Statistics!$C$9)</f>
        <v>-3.6717364664636883E-2</v>
      </c>
      <c r="C984" s="4" t="str">
        <f>IF(Customers!G984="","",IF(OR(Customers!G984&lt;Statistics!$C$15,Customers!G984&gt;Statistics!$C$16),"Outside 1.5·IQR",""))</f>
        <v/>
      </c>
      <c r="D984" s="4" t="str">
        <f>IF(OR(Customers!B984&lt;18,Customers!B984&gt;100),"Implausible age","")</f>
        <v/>
      </c>
      <c r="E984" s="4" t="str">
        <f>IF(Customers!H984&gt;Customers!B984-18,"Tenure &gt; age-18","")</f>
        <v/>
      </c>
      <c r="F984" s="4" t="str">
        <f>IF(Customers!R984&gt;Customers!Q984,"Card spend &gt; limit","")</f>
        <v/>
      </c>
      <c r="G984" s="4" t="str">
        <f>IF(OR(AND(Customers!S984&gt;0,Customers!T984=0),AND(Customers!S984=0,Customers!T984&gt;0)),"Mortgage/payment inconsistent","")</f>
        <v/>
      </c>
      <c r="H984" s="4" t="str">
        <f>IF(AND(Customers!G984&lt;&gt;"",Customers!G984&gt;0,Customers!T984&gt;Customers!G984/12),"Payment &gt; monthly income","")</f>
        <v/>
      </c>
      <c r="I984" s="4" t="str">
        <f>IF(OR(Customers!I984&gt;DATE(2026,9,13),YEAR(Customers!I984)&lt;1980),"Implausible date","")</f>
        <v/>
      </c>
      <c r="J984" s="4" t="str">
        <f>IF(Customers!I984&gt;DATE(2026,9,13),"",IF(ABS(INT((DATE(2026,9,13)-Customers!I984)/365.25)-Customers!H984)&gt;1,"Date/tenure inconsistent",""))</f>
        <v/>
      </c>
      <c r="K984" s="4" t="str">
        <f>IF(COUNTIF(Customers!$A$2:$A$1001,Customers!A984)&gt;1,"Duplicate ID","")</f>
        <v/>
      </c>
      <c r="L984" s="4" t="str">
        <f>IF(COUNTIFS(Customers!$B$2:$B$1001,Customers!B984,Customers!$D$2:$D$1001,Customers!D984,Customers!$G$2:$G$1001,Customers!G984,Customers!$I$2:$I$1001,Customers!I984,Customers!$L$2:$L$1001,Customers!L984)&gt;1,"Duplicate record","")</f>
        <v/>
      </c>
      <c r="M984" s="4" t="str">
        <f>IF(OR(Customers!U984&lt;300,Customers!U984&gt;850),"Score out of range","")</f>
        <v/>
      </c>
      <c r="N984" s="4" t="str">
        <f>IF(AND(Customers!G984&lt;&gt;"",Customers!G984&lt;=0),"Income ≤ 0","")</f>
        <v/>
      </c>
      <c r="O984" s="4" t="str">
        <f>IF(OR(Customers!G984="",Customers!M984=""),"Missing value","")</f>
        <v/>
      </c>
      <c r="P984" s="4">
        <f t="shared" si="15"/>
        <v>0</v>
      </c>
    </row>
    <row r="985" spans="1:16" x14ac:dyDescent="0.25">
      <c r="A985" s="4" t="str">
        <f>Customers!A985</f>
        <v>CL00978</v>
      </c>
      <c r="B985" s="20">
        <f>IF(Customers!G985="","",(Customers!G985-Statistics!$C$7)/Statistics!$C$9)</f>
        <v>1.2582599287917149</v>
      </c>
      <c r="C985" s="4" t="str">
        <f>IF(Customers!G985="","",IF(OR(Customers!G985&lt;Statistics!$C$15,Customers!G985&gt;Statistics!$C$16),"Outside 1.5·IQR",""))</f>
        <v>Outside 1.5·IQR</v>
      </c>
      <c r="D985" s="4" t="str">
        <f>IF(OR(Customers!B985&lt;18,Customers!B985&gt;100),"Implausible age","")</f>
        <v/>
      </c>
      <c r="E985" s="4" t="str">
        <f>IF(Customers!H985&gt;Customers!B985-18,"Tenure &gt; age-18","")</f>
        <v/>
      </c>
      <c r="F985" s="4" t="str">
        <f>IF(Customers!R985&gt;Customers!Q985,"Card spend &gt; limit","")</f>
        <v/>
      </c>
      <c r="G985" s="4" t="str">
        <f>IF(OR(AND(Customers!S985&gt;0,Customers!T985=0),AND(Customers!S985=0,Customers!T985&gt;0)),"Mortgage/payment inconsistent","")</f>
        <v/>
      </c>
      <c r="H985" s="4" t="str">
        <f>IF(AND(Customers!G985&lt;&gt;"",Customers!G985&gt;0,Customers!T985&gt;Customers!G985/12),"Payment &gt; monthly income","")</f>
        <v/>
      </c>
      <c r="I985" s="4" t="str">
        <f>IF(OR(Customers!I985&gt;DATE(2026,9,13),YEAR(Customers!I985)&lt;1980),"Implausible date","")</f>
        <v/>
      </c>
      <c r="J985" s="4" t="str">
        <f>IF(Customers!I985&gt;DATE(2026,9,13),"",IF(ABS(INT((DATE(2026,9,13)-Customers!I985)/365.25)-Customers!H985)&gt;1,"Date/tenure inconsistent",""))</f>
        <v/>
      </c>
      <c r="K985" s="4" t="str">
        <f>IF(COUNTIF(Customers!$A$2:$A$1001,Customers!A985)&gt;1,"Duplicate ID","")</f>
        <v/>
      </c>
      <c r="L985" s="4" t="str">
        <f>IF(COUNTIFS(Customers!$B$2:$B$1001,Customers!B985,Customers!$D$2:$D$1001,Customers!D985,Customers!$G$2:$G$1001,Customers!G985,Customers!$I$2:$I$1001,Customers!I985,Customers!$L$2:$L$1001,Customers!L985)&gt;1,"Duplicate record","")</f>
        <v/>
      </c>
      <c r="M985" s="4" t="str">
        <f>IF(OR(Customers!U985&lt;300,Customers!U985&gt;850),"Score out of range","")</f>
        <v/>
      </c>
      <c r="N985" s="4" t="str">
        <f>IF(AND(Customers!G985&lt;&gt;"",Customers!G985&lt;=0),"Income ≤ 0","")</f>
        <v/>
      </c>
      <c r="O985" s="4" t="str">
        <f>IF(OR(Customers!G985="",Customers!M985=""),"Missing value","")</f>
        <v/>
      </c>
      <c r="P985" s="4">
        <f t="shared" si="15"/>
        <v>1</v>
      </c>
    </row>
    <row r="986" spans="1:16" x14ac:dyDescent="0.25">
      <c r="A986" s="4" t="str">
        <f>Customers!A986</f>
        <v>CL00979</v>
      </c>
      <c r="B986" s="20">
        <f>IF(Customers!G986="","",(Customers!G986-Statistics!$C$7)/Statistics!$C$9)</f>
        <v>-4.3316351481002532E-2</v>
      </c>
      <c r="C986" s="4" t="str">
        <f>IF(Customers!G986="","",IF(OR(Customers!G986&lt;Statistics!$C$15,Customers!G986&gt;Statistics!$C$16),"Outside 1.5·IQR",""))</f>
        <v/>
      </c>
      <c r="D986" s="4" t="str">
        <f>IF(OR(Customers!B986&lt;18,Customers!B986&gt;100),"Implausible age","")</f>
        <v/>
      </c>
      <c r="E986" s="4" t="str">
        <f>IF(Customers!H986&gt;Customers!B986-18,"Tenure &gt; age-18","")</f>
        <v/>
      </c>
      <c r="F986" s="4" t="str">
        <f>IF(Customers!R986&gt;Customers!Q986,"Card spend &gt; limit","")</f>
        <v/>
      </c>
      <c r="G986" s="4" t="str">
        <f>IF(OR(AND(Customers!S986&gt;0,Customers!T986=0),AND(Customers!S986=0,Customers!T986&gt;0)),"Mortgage/payment inconsistent","")</f>
        <v/>
      </c>
      <c r="H986" s="4" t="str">
        <f>IF(AND(Customers!G986&lt;&gt;"",Customers!G986&gt;0,Customers!T986&gt;Customers!G986/12),"Payment &gt; monthly income","")</f>
        <v/>
      </c>
      <c r="I986" s="4" t="str">
        <f>IF(OR(Customers!I986&gt;DATE(2026,9,13),YEAR(Customers!I986)&lt;1980),"Implausible date","")</f>
        <v/>
      </c>
      <c r="J986" s="4" t="str">
        <f>IF(Customers!I986&gt;DATE(2026,9,13),"",IF(ABS(INT((DATE(2026,9,13)-Customers!I986)/365.25)-Customers!H986)&gt;1,"Date/tenure inconsistent",""))</f>
        <v/>
      </c>
      <c r="K986" s="4" t="str">
        <f>IF(COUNTIF(Customers!$A$2:$A$1001,Customers!A986)&gt;1,"Duplicate ID","")</f>
        <v/>
      </c>
      <c r="L986" s="4" t="str">
        <f>IF(COUNTIFS(Customers!$B$2:$B$1001,Customers!B986,Customers!$D$2:$D$1001,Customers!D986,Customers!$G$2:$G$1001,Customers!G986,Customers!$I$2:$I$1001,Customers!I986,Customers!$L$2:$L$1001,Customers!L986)&gt;1,"Duplicate record","")</f>
        <v/>
      </c>
      <c r="M986" s="4" t="str">
        <f>IF(OR(Customers!U986&lt;300,Customers!U986&gt;850),"Score out of range","")</f>
        <v/>
      </c>
      <c r="N986" s="4" t="str">
        <f>IF(AND(Customers!G986&lt;&gt;"",Customers!G986&lt;=0),"Income ≤ 0","")</f>
        <v/>
      </c>
      <c r="O986" s="4" t="str">
        <f>IF(OR(Customers!G986="",Customers!M986=""),"Missing value","")</f>
        <v/>
      </c>
      <c r="P986" s="4">
        <f t="shared" si="15"/>
        <v>0</v>
      </c>
    </row>
    <row r="987" spans="1:16" x14ac:dyDescent="0.25">
      <c r="A987" s="4" t="str">
        <f>Customers!A987</f>
        <v>CL00980</v>
      </c>
      <c r="B987" s="20">
        <f>IF(Customers!G987="","",(Customers!G987-Statistics!$C$7)/Statistics!$C$9)</f>
        <v>-5.3953524259621785E-2</v>
      </c>
      <c r="C987" s="4" t="str">
        <f>IF(Customers!G987="","",IF(OR(Customers!G987&lt;Statistics!$C$15,Customers!G987&gt;Statistics!$C$16),"Outside 1.5·IQR",""))</f>
        <v/>
      </c>
      <c r="D987" s="4" t="str">
        <f>IF(OR(Customers!B987&lt;18,Customers!B987&gt;100),"Implausible age","")</f>
        <v/>
      </c>
      <c r="E987" s="4" t="str">
        <f>IF(Customers!H987&gt;Customers!B987-18,"Tenure &gt; age-18","")</f>
        <v/>
      </c>
      <c r="F987" s="4" t="str">
        <f>IF(Customers!R987&gt;Customers!Q987,"Card spend &gt; limit","")</f>
        <v/>
      </c>
      <c r="G987" s="4" t="str">
        <f>IF(OR(AND(Customers!S987&gt;0,Customers!T987=0),AND(Customers!S987=0,Customers!T987&gt;0)),"Mortgage/payment inconsistent","")</f>
        <v/>
      </c>
      <c r="H987" s="4" t="str">
        <f>IF(AND(Customers!G987&lt;&gt;"",Customers!G987&gt;0,Customers!T987&gt;Customers!G987/12),"Payment &gt; monthly income","")</f>
        <v/>
      </c>
      <c r="I987" s="4" t="str">
        <f>IF(OR(Customers!I987&gt;DATE(2026,9,13),YEAR(Customers!I987)&lt;1980),"Implausible date","")</f>
        <v/>
      </c>
      <c r="J987" s="4" t="str">
        <f>IF(Customers!I987&gt;DATE(2026,9,13),"",IF(ABS(INT((DATE(2026,9,13)-Customers!I987)/365.25)-Customers!H987)&gt;1,"Date/tenure inconsistent",""))</f>
        <v/>
      </c>
      <c r="K987" s="4" t="str">
        <f>IF(COUNTIF(Customers!$A$2:$A$1001,Customers!A987)&gt;1,"Duplicate ID","")</f>
        <v/>
      </c>
      <c r="L987" s="4" t="str">
        <f>IF(COUNTIFS(Customers!$B$2:$B$1001,Customers!B987,Customers!$D$2:$D$1001,Customers!D987,Customers!$G$2:$G$1001,Customers!G987,Customers!$I$2:$I$1001,Customers!I987,Customers!$L$2:$L$1001,Customers!L987)&gt;1,"Duplicate record","")</f>
        <v/>
      </c>
      <c r="M987" s="4" t="str">
        <f>IF(OR(Customers!U987&lt;300,Customers!U987&gt;850),"Score out of range","")</f>
        <v/>
      </c>
      <c r="N987" s="4" t="str">
        <f>IF(AND(Customers!G987&lt;&gt;"",Customers!G987&lt;=0),"Income ≤ 0","")</f>
        <v/>
      </c>
      <c r="O987" s="4" t="str">
        <f>IF(OR(Customers!G987="",Customers!M987=""),"Missing value","")</f>
        <v/>
      </c>
      <c r="P987" s="4">
        <f t="shared" si="15"/>
        <v>0</v>
      </c>
    </row>
    <row r="988" spans="1:16" x14ac:dyDescent="0.25">
      <c r="A988" s="4" t="str">
        <f>Customers!A988</f>
        <v>CL00981</v>
      </c>
      <c r="B988" s="20">
        <f>IF(Customers!G988="","",(Customers!G988-Statistics!$C$7)/Statistics!$C$9)</f>
        <v>-3.5042994875409773E-2</v>
      </c>
      <c r="C988" s="4" t="str">
        <f>IF(Customers!G988="","",IF(OR(Customers!G988&lt;Statistics!$C$15,Customers!G988&gt;Statistics!$C$16),"Outside 1.5·IQR",""))</f>
        <v/>
      </c>
      <c r="D988" s="4" t="str">
        <f>IF(OR(Customers!B988&lt;18,Customers!B988&gt;100),"Implausible age","")</f>
        <v/>
      </c>
      <c r="E988" s="4" t="str">
        <f>IF(Customers!H988&gt;Customers!B988-18,"Tenure &gt; age-18","")</f>
        <v/>
      </c>
      <c r="F988" s="4" t="str">
        <f>IF(Customers!R988&gt;Customers!Q988,"Card spend &gt; limit","")</f>
        <v/>
      </c>
      <c r="G988" s="4" t="str">
        <f>IF(OR(AND(Customers!S988&gt;0,Customers!T988=0),AND(Customers!S988=0,Customers!T988&gt;0)),"Mortgage/payment inconsistent","")</f>
        <v/>
      </c>
      <c r="H988" s="4" t="str">
        <f>IF(AND(Customers!G988&lt;&gt;"",Customers!G988&gt;0,Customers!T988&gt;Customers!G988/12),"Payment &gt; monthly income","")</f>
        <v/>
      </c>
      <c r="I988" s="4" t="str">
        <f>IF(OR(Customers!I988&gt;DATE(2026,9,13),YEAR(Customers!I988)&lt;1980),"Implausible date","")</f>
        <v/>
      </c>
      <c r="J988" s="4" t="str">
        <f>IF(Customers!I988&gt;DATE(2026,9,13),"",IF(ABS(INT((DATE(2026,9,13)-Customers!I988)/365.25)-Customers!H988)&gt;1,"Date/tenure inconsistent",""))</f>
        <v/>
      </c>
      <c r="K988" s="4" t="str">
        <f>IF(COUNTIF(Customers!$A$2:$A$1001,Customers!A988)&gt;1,"Duplicate ID","")</f>
        <v/>
      </c>
      <c r="L988" s="4" t="str">
        <f>IF(COUNTIFS(Customers!$B$2:$B$1001,Customers!B988,Customers!$D$2:$D$1001,Customers!D988,Customers!$G$2:$G$1001,Customers!G988,Customers!$I$2:$I$1001,Customers!I988,Customers!$L$2:$L$1001,Customers!L988)&gt;1,"Duplicate record","")</f>
        <v/>
      </c>
      <c r="M988" s="4" t="str">
        <f>IF(OR(Customers!U988&lt;300,Customers!U988&gt;850),"Score out of range","")</f>
        <v/>
      </c>
      <c r="N988" s="4" t="str">
        <f>IF(AND(Customers!G988&lt;&gt;"",Customers!G988&lt;=0),"Income ≤ 0","")</f>
        <v/>
      </c>
      <c r="O988" s="4" t="str">
        <f>IF(OR(Customers!G988="",Customers!M988=""),"Missing value","")</f>
        <v/>
      </c>
      <c r="P988" s="4">
        <f t="shared" si="15"/>
        <v>0</v>
      </c>
    </row>
    <row r="989" spans="1:16" x14ac:dyDescent="0.25">
      <c r="A989" s="4" t="str">
        <f>Customers!A989</f>
        <v>CL00982</v>
      </c>
      <c r="B989" s="20">
        <f>IF(Customers!G989="","",(Customers!G989-Statistics!$C$7)/Statistics!$C$9)</f>
        <v>-4.6074137016200112E-2</v>
      </c>
      <c r="C989" s="4" t="str">
        <f>IF(Customers!G989="","",IF(OR(Customers!G989&lt;Statistics!$C$15,Customers!G989&gt;Statistics!$C$16),"Outside 1.5·IQR",""))</f>
        <v/>
      </c>
      <c r="D989" s="4" t="str">
        <f>IF(OR(Customers!B989&lt;18,Customers!B989&gt;100),"Implausible age","")</f>
        <v/>
      </c>
      <c r="E989" s="4" t="str">
        <f>IF(Customers!H989&gt;Customers!B989-18,"Tenure &gt; age-18","")</f>
        <v/>
      </c>
      <c r="F989" s="4" t="str">
        <f>IF(Customers!R989&gt;Customers!Q989,"Card spend &gt; limit","")</f>
        <v/>
      </c>
      <c r="G989" s="4" t="str">
        <f>IF(OR(AND(Customers!S989&gt;0,Customers!T989=0),AND(Customers!S989=0,Customers!T989&gt;0)),"Mortgage/payment inconsistent","")</f>
        <v/>
      </c>
      <c r="H989" s="4" t="str">
        <f>IF(AND(Customers!G989&lt;&gt;"",Customers!G989&gt;0,Customers!T989&gt;Customers!G989/12),"Payment &gt; monthly income","")</f>
        <v/>
      </c>
      <c r="I989" s="4" t="str">
        <f>IF(OR(Customers!I989&gt;DATE(2026,9,13),YEAR(Customers!I989)&lt;1980),"Implausible date","")</f>
        <v/>
      </c>
      <c r="J989" s="4" t="str">
        <f>IF(Customers!I989&gt;DATE(2026,9,13),"",IF(ABS(INT((DATE(2026,9,13)-Customers!I989)/365.25)-Customers!H989)&gt;1,"Date/tenure inconsistent",""))</f>
        <v/>
      </c>
      <c r="K989" s="4" t="str">
        <f>IF(COUNTIF(Customers!$A$2:$A$1001,Customers!A989)&gt;1,"Duplicate ID","")</f>
        <v/>
      </c>
      <c r="L989" s="4" t="str">
        <f>IF(COUNTIFS(Customers!$B$2:$B$1001,Customers!B989,Customers!$D$2:$D$1001,Customers!D989,Customers!$G$2:$G$1001,Customers!G989,Customers!$I$2:$I$1001,Customers!I989,Customers!$L$2:$L$1001,Customers!L989)&gt;1,"Duplicate record","")</f>
        <v/>
      </c>
      <c r="M989" s="4" t="str">
        <f>IF(OR(Customers!U989&lt;300,Customers!U989&gt;850),"Score out of range","")</f>
        <v/>
      </c>
      <c r="N989" s="4" t="str">
        <f>IF(AND(Customers!G989&lt;&gt;"",Customers!G989&lt;=0),"Income ≤ 0","")</f>
        <v/>
      </c>
      <c r="O989" s="4" t="str">
        <f>IF(OR(Customers!G989="",Customers!M989=""),"Missing value","")</f>
        <v/>
      </c>
      <c r="P989" s="4">
        <f t="shared" si="15"/>
        <v>0</v>
      </c>
    </row>
    <row r="990" spans="1:16" x14ac:dyDescent="0.25">
      <c r="A990" s="4" t="str">
        <f>Customers!A990</f>
        <v>CL00983</v>
      </c>
      <c r="B990" s="20">
        <f>IF(Customers!G990="","",(Customers!G990-Statistics!$C$7)/Statistics!$C$9)</f>
        <v>4.0303645639809961E-2</v>
      </c>
      <c r="C990" s="4" t="str">
        <f>IF(Customers!G990="","",IF(OR(Customers!G990&lt;Statistics!$C$15,Customers!G990&gt;Statistics!$C$16),"Outside 1.5·IQR",""))</f>
        <v>Outside 1.5·IQR</v>
      </c>
      <c r="D990" s="4" t="str">
        <f>IF(OR(Customers!B990&lt;18,Customers!B990&gt;100),"Implausible age","")</f>
        <v/>
      </c>
      <c r="E990" s="4" t="str">
        <f>IF(Customers!H990&gt;Customers!B990-18,"Tenure &gt; age-18","")</f>
        <v/>
      </c>
      <c r="F990" s="4" t="str">
        <f>IF(Customers!R990&gt;Customers!Q990,"Card spend &gt; limit","")</f>
        <v/>
      </c>
      <c r="G990" s="4" t="str">
        <f>IF(OR(AND(Customers!S990&gt;0,Customers!T990=0),AND(Customers!S990=0,Customers!T990&gt;0)),"Mortgage/payment inconsistent","")</f>
        <v/>
      </c>
      <c r="H990" s="4" t="str">
        <f>IF(AND(Customers!G990&lt;&gt;"",Customers!G990&gt;0,Customers!T990&gt;Customers!G990/12),"Payment &gt; monthly income","")</f>
        <v/>
      </c>
      <c r="I990" s="4" t="str">
        <f>IF(OR(Customers!I990&gt;DATE(2026,9,13),YEAR(Customers!I990)&lt;1980),"Implausible date","")</f>
        <v/>
      </c>
      <c r="J990" s="4" t="str">
        <f>IF(Customers!I990&gt;DATE(2026,9,13),"",IF(ABS(INT((DATE(2026,9,13)-Customers!I990)/365.25)-Customers!H990)&gt;1,"Date/tenure inconsistent",""))</f>
        <v/>
      </c>
      <c r="K990" s="4" t="str">
        <f>IF(COUNTIF(Customers!$A$2:$A$1001,Customers!A990)&gt;1,"Duplicate ID","")</f>
        <v/>
      </c>
      <c r="L990" s="4" t="str">
        <f>IF(COUNTIFS(Customers!$B$2:$B$1001,Customers!B990,Customers!$D$2:$D$1001,Customers!D990,Customers!$G$2:$G$1001,Customers!G990,Customers!$I$2:$I$1001,Customers!I990,Customers!$L$2:$L$1001,Customers!L990)&gt;1,"Duplicate record","")</f>
        <v/>
      </c>
      <c r="M990" s="4" t="str">
        <f>IF(OR(Customers!U990&lt;300,Customers!U990&gt;850),"Score out of range","")</f>
        <v/>
      </c>
      <c r="N990" s="4" t="str">
        <f>IF(AND(Customers!G990&lt;&gt;"",Customers!G990&lt;=0),"Income ≤ 0","")</f>
        <v/>
      </c>
      <c r="O990" s="4" t="str">
        <f>IF(OR(Customers!G990="",Customers!M990=""),"Missing value","")</f>
        <v/>
      </c>
      <c r="P990" s="4">
        <f t="shared" si="15"/>
        <v>1</v>
      </c>
    </row>
    <row r="991" spans="1:16" x14ac:dyDescent="0.25">
      <c r="A991" s="4" t="str">
        <f>Customers!A991</f>
        <v>CL00984</v>
      </c>
      <c r="B991" s="20">
        <f>IF(Customers!G991="","",(Customers!G991-Statistics!$C$7)/Statistics!$C$9)</f>
        <v>-2.7754561675244729E-2</v>
      </c>
      <c r="C991" s="4" t="str">
        <f>IF(Customers!G991="","",IF(OR(Customers!G991&lt;Statistics!$C$15,Customers!G991&gt;Statistics!$C$16),"Outside 1.5·IQR",""))</f>
        <v/>
      </c>
      <c r="D991" s="4" t="str">
        <f>IF(OR(Customers!B991&lt;18,Customers!B991&gt;100),"Implausible age","")</f>
        <v/>
      </c>
      <c r="E991" s="4" t="str">
        <f>IF(Customers!H991&gt;Customers!B991-18,"Tenure &gt; age-18","")</f>
        <v/>
      </c>
      <c r="F991" s="4" t="str">
        <f>IF(Customers!R991&gt;Customers!Q991,"Card spend &gt; limit","")</f>
        <v/>
      </c>
      <c r="G991" s="4" t="str">
        <f>IF(OR(AND(Customers!S991&gt;0,Customers!T991=0),AND(Customers!S991=0,Customers!T991&gt;0)),"Mortgage/payment inconsistent","")</f>
        <v/>
      </c>
      <c r="H991" s="4" t="str">
        <f>IF(AND(Customers!G991&lt;&gt;"",Customers!G991&gt;0,Customers!T991&gt;Customers!G991/12),"Payment &gt; monthly income","")</f>
        <v/>
      </c>
      <c r="I991" s="4" t="str">
        <f>IF(OR(Customers!I991&gt;DATE(2026,9,13),YEAR(Customers!I991)&lt;1980),"Implausible date","")</f>
        <v/>
      </c>
      <c r="J991" s="4" t="str">
        <f>IF(Customers!I991&gt;DATE(2026,9,13),"",IF(ABS(INT((DATE(2026,9,13)-Customers!I991)/365.25)-Customers!H991)&gt;1,"Date/tenure inconsistent",""))</f>
        <v/>
      </c>
      <c r="K991" s="4" t="str">
        <f>IF(COUNTIF(Customers!$A$2:$A$1001,Customers!A991)&gt;1,"Duplicate ID","")</f>
        <v/>
      </c>
      <c r="L991" s="4" t="str">
        <f>IF(COUNTIFS(Customers!$B$2:$B$1001,Customers!B991,Customers!$D$2:$D$1001,Customers!D991,Customers!$G$2:$G$1001,Customers!G991,Customers!$I$2:$I$1001,Customers!I991,Customers!$L$2:$L$1001,Customers!L991)&gt;1,"Duplicate record","")</f>
        <v/>
      </c>
      <c r="M991" s="4" t="str">
        <f>IF(OR(Customers!U991&lt;300,Customers!U991&gt;850),"Score out of range","")</f>
        <v/>
      </c>
      <c r="N991" s="4" t="str">
        <f>IF(AND(Customers!G991&lt;&gt;"",Customers!G991&lt;=0),"Income ≤ 0","")</f>
        <v/>
      </c>
      <c r="O991" s="4" t="str">
        <f>IF(OR(Customers!G991="",Customers!M991=""),"Missing value","")</f>
        <v/>
      </c>
      <c r="P991" s="4">
        <f t="shared" si="15"/>
        <v>0</v>
      </c>
    </row>
    <row r="992" spans="1:16" x14ac:dyDescent="0.25">
      <c r="A992" s="4" t="str">
        <f>Customers!A992</f>
        <v>CL00985</v>
      </c>
      <c r="B992" s="20">
        <f>IF(Customers!G992="","",(Customers!G992-Statistics!$C$7)/Statistics!$C$9)</f>
        <v>-2.9231946783386292E-2</v>
      </c>
      <c r="C992" s="4" t="str">
        <f>IF(Customers!G992="","",IF(OR(Customers!G992&lt;Statistics!$C$15,Customers!G992&gt;Statistics!$C$16),"Outside 1.5·IQR",""))</f>
        <v/>
      </c>
      <c r="D992" s="4" t="str">
        <f>IF(OR(Customers!B992&lt;18,Customers!B992&gt;100),"Implausible age","")</f>
        <v/>
      </c>
      <c r="E992" s="4" t="str">
        <f>IF(Customers!H992&gt;Customers!B992-18,"Tenure &gt; age-18","")</f>
        <v/>
      </c>
      <c r="F992" s="4" t="str">
        <f>IF(Customers!R992&gt;Customers!Q992,"Card spend &gt; limit","")</f>
        <v/>
      </c>
      <c r="G992" s="4" t="str">
        <f>IF(OR(AND(Customers!S992&gt;0,Customers!T992=0),AND(Customers!S992=0,Customers!T992&gt;0)),"Mortgage/payment inconsistent","")</f>
        <v/>
      </c>
      <c r="H992" s="4" t="str">
        <f>IF(AND(Customers!G992&lt;&gt;"",Customers!G992&gt;0,Customers!T992&gt;Customers!G992/12),"Payment &gt; monthly income","")</f>
        <v/>
      </c>
      <c r="I992" s="4" t="str">
        <f>IF(OR(Customers!I992&gt;DATE(2026,9,13),YEAR(Customers!I992)&lt;1980),"Implausible date","")</f>
        <v/>
      </c>
      <c r="J992" s="4" t="str">
        <f>IF(Customers!I992&gt;DATE(2026,9,13),"",IF(ABS(INT((DATE(2026,9,13)-Customers!I992)/365.25)-Customers!H992)&gt;1,"Date/tenure inconsistent",""))</f>
        <v/>
      </c>
      <c r="K992" s="4" t="str">
        <f>IF(COUNTIF(Customers!$A$2:$A$1001,Customers!A992)&gt;1,"Duplicate ID","")</f>
        <v/>
      </c>
      <c r="L992" s="4" t="str">
        <f>IF(COUNTIFS(Customers!$B$2:$B$1001,Customers!B992,Customers!$D$2:$D$1001,Customers!D992,Customers!$G$2:$G$1001,Customers!G992,Customers!$I$2:$I$1001,Customers!I992,Customers!$L$2:$L$1001,Customers!L992)&gt;1,"Duplicate record","")</f>
        <v/>
      </c>
      <c r="M992" s="4" t="str">
        <f>IF(OR(Customers!U992&lt;300,Customers!U992&gt;850),"Score out of range","")</f>
        <v/>
      </c>
      <c r="N992" s="4" t="str">
        <f>IF(AND(Customers!G992&lt;&gt;"",Customers!G992&lt;=0),"Income ≤ 0","")</f>
        <v/>
      </c>
      <c r="O992" s="4" t="str">
        <f>IF(OR(Customers!G992="",Customers!M992=""),"Missing value","")</f>
        <v/>
      </c>
      <c r="P992" s="4">
        <f t="shared" si="15"/>
        <v>0</v>
      </c>
    </row>
    <row r="993" spans="1:16" x14ac:dyDescent="0.25">
      <c r="A993" s="4" t="str">
        <f>Customers!A993</f>
        <v>CL00986</v>
      </c>
      <c r="B993" s="20">
        <f>IF(Customers!G993="","",(Customers!G993-Statistics!$C$7)/Statistics!$C$9)</f>
        <v>-5.1491215746052511E-2</v>
      </c>
      <c r="C993" s="4" t="str">
        <f>IF(Customers!G993="","",IF(OR(Customers!G993&lt;Statistics!$C$15,Customers!G993&gt;Statistics!$C$16),"Outside 1.5·IQR",""))</f>
        <v/>
      </c>
      <c r="D993" s="4" t="str">
        <f>IF(OR(Customers!B993&lt;18,Customers!B993&gt;100),"Implausible age","")</f>
        <v/>
      </c>
      <c r="E993" s="4" t="str">
        <f>IF(Customers!H993&gt;Customers!B993-18,"Tenure &gt; age-18","")</f>
        <v/>
      </c>
      <c r="F993" s="4" t="str">
        <f>IF(Customers!R993&gt;Customers!Q993,"Card spend &gt; limit","")</f>
        <v/>
      </c>
      <c r="G993" s="4" t="str">
        <f>IF(OR(AND(Customers!S993&gt;0,Customers!T993=0),AND(Customers!S993=0,Customers!T993&gt;0)),"Mortgage/payment inconsistent","")</f>
        <v/>
      </c>
      <c r="H993" s="4" t="str">
        <f>IF(AND(Customers!G993&lt;&gt;"",Customers!G993&gt;0,Customers!T993&gt;Customers!G993/12),"Payment &gt; monthly income","")</f>
        <v/>
      </c>
      <c r="I993" s="4" t="str">
        <f>IF(OR(Customers!I993&gt;DATE(2026,9,13),YEAR(Customers!I993)&lt;1980),"Implausible date","")</f>
        <v/>
      </c>
      <c r="J993" s="4" t="str">
        <f>IF(Customers!I993&gt;DATE(2026,9,13),"",IF(ABS(INT((DATE(2026,9,13)-Customers!I993)/365.25)-Customers!H993)&gt;1,"Date/tenure inconsistent",""))</f>
        <v/>
      </c>
      <c r="K993" s="4" t="str">
        <f>IF(COUNTIF(Customers!$A$2:$A$1001,Customers!A993)&gt;1,"Duplicate ID","")</f>
        <v/>
      </c>
      <c r="L993" s="4" t="str">
        <f>IF(COUNTIFS(Customers!$B$2:$B$1001,Customers!B993,Customers!$D$2:$D$1001,Customers!D993,Customers!$G$2:$G$1001,Customers!G993,Customers!$I$2:$I$1001,Customers!I993,Customers!$L$2:$L$1001,Customers!L993)&gt;1,"Duplicate record","")</f>
        <v/>
      </c>
      <c r="M993" s="4" t="str">
        <f>IF(OR(Customers!U993&lt;300,Customers!U993&gt;850),"Score out of range","")</f>
        <v/>
      </c>
      <c r="N993" s="4" t="str">
        <f>IF(AND(Customers!G993&lt;&gt;"",Customers!G993&lt;=0),"Income ≤ 0","")</f>
        <v/>
      </c>
      <c r="O993" s="4" t="str">
        <f>IF(OR(Customers!G993="",Customers!M993=""),"Missing value","")</f>
        <v/>
      </c>
      <c r="P993" s="4">
        <f t="shared" si="15"/>
        <v>0</v>
      </c>
    </row>
    <row r="994" spans="1:16" x14ac:dyDescent="0.25">
      <c r="A994" s="4" t="str">
        <f>Customers!A994</f>
        <v>CL00987</v>
      </c>
      <c r="B994" s="20">
        <f>IF(Customers!G994="","",(Customers!G994-Statistics!$C$7)/Statistics!$C$9)</f>
        <v>-3.6815857005179649E-2</v>
      </c>
      <c r="C994" s="4" t="str">
        <f>IF(Customers!G994="","",IF(OR(Customers!G994&lt;Statistics!$C$15,Customers!G994&gt;Statistics!$C$16),"Outside 1.5·IQR",""))</f>
        <v/>
      </c>
      <c r="D994" s="4" t="str">
        <f>IF(OR(Customers!B994&lt;18,Customers!B994&gt;100),"Implausible age","")</f>
        <v/>
      </c>
      <c r="E994" s="4" t="str">
        <f>IF(Customers!H994&gt;Customers!B994-18,"Tenure &gt; age-18","")</f>
        <v/>
      </c>
      <c r="F994" s="4" t="str">
        <f>IF(Customers!R994&gt;Customers!Q994,"Card spend &gt; limit","")</f>
        <v/>
      </c>
      <c r="G994" s="4" t="str">
        <f>IF(OR(AND(Customers!S994&gt;0,Customers!T994=0),AND(Customers!S994=0,Customers!T994&gt;0)),"Mortgage/payment inconsistent","")</f>
        <v/>
      </c>
      <c r="H994" s="4" t="str">
        <f>IF(AND(Customers!G994&lt;&gt;"",Customers!G994&gt;0,Customers!T994&gt;Customers!G994/12),"Payment &gt; monthly income","")</f>
        <v/>
      </c>
      <c r="I994" s="4" t="str">
        <f>IF(OR(Customers!I994&gt;DATE(2026,9,13),YEAR(Customers!I994)&lt;1980),"Implausible date","")</f>
        <v/>
      </c>
      <c r="J994" s="4" t="str">
        <f>IF(Customers!I994&gt;DATE(2026,9,13),"",IF(ABS(INT((DATE(2026,9,13)-Customers!I994)/365.25)-Customers!H994)&gt;1,"Date/tenure inconsistent",""))</f>
        <v/>
      </c>
      <c r="K994" s="4" t="str">
        <f>IF(COUNTIF(Customers!$A$2:$A$1001,Customers!A994)&gt;1,"Duplicate ID","")</f>
        <v/>
      </c>
      <c r="L994" s="4" t="str">
        <f>IF(COUNTIFS(Customers!$B$2:$B$1001,Customers!B994,Customers!$D$2:$D$1001,Customers!D994,Customers!$G$2:$G$1001,Customers!G994,Customers!$I$2:$I$1001,Customers!I994,Customers!$L$2:$L$1001,Customers!L994)&gt;1,"Duplicate record","")</f>
        <v/>
      </c>
      <c r="M994" s="4" t="str">
        <f>IF(OR(Customers!U994&lt;300,Customers!U994&gt;850),"Score out of range","")</f>
        <v/>
      </c>
      <c r="N994" s="4" t="str">
        <f>IF(AND(Customers!G994&lt;&gt;"",Customers!G994&lt;=0),"Income ≤ 0","")</f>
        <v/>
      </c>
      <c r="O994" s="4" t="str">
        <f>IF(OR(Customers!G994="",Customers!M994=""),"Missing value","")</f>
        <v/>
      </c>
      <c r="P994" s="4">
        <f t="shared" si="15"/>
        <v>0</v>
      </c>
    </row>
    <row r="995" spans="1:16" x14ac:dyDescent="0.25">
      <c r="A995" s="4" t="str">
        <f>Customers!A995</f>
        <v>CL00988</v>
      </c>
      <c r="B995" s="20">
        <f>IF(Customers!G995="","",(Customers!G995-Statistics!$C$7)/Statistics!$C$9)</f>
        <v>-4.0657058286347712E-2</v>
      </c>
      <c r="C995" s="4" t="str">
        <f>IF(Customers!G995="","",IF(OR(Customers!G995&lt;Statistics!$C$15,Customers!G995&gt;Statistics!$C$16),"Outside 1.5·IQR",""))</f>
        <v/>
      </c>
      <c r="D995" s="4" t="str">
        <f>IF(OR(Customers!B995&lt;18,Customers!B995&gt;100),"Implausible age","")</f>
        <v/>
      </c>
      <c r="E995" s="4" t="str">
        <f>IF(Customers!H995&gt;Customers!B995-18,"Tenure &gt; age-18","")</f>
        <v/>
      </c>
      <c r="F995" s="4" t="str">
        <f>IF(Customers!R995&gt;Customers!Q995,"Card spend &gt; limit","")</f>
        <v/>
      </c>
      <c r="G995" s="4" t="str">
        <f>IF(OR(AND(Customers!S995&gt;0,Customers!T995=0),AND(Customers!S995=0,Customers!T995&gt;0)),"Mortgage/payment inconsistent","")</f>
        <v/>
      </c>
      <c r="H995" s="4" t="str">
        <f>IF(AND(Customers!G995&lt;&gt;"",Customers!G995&gt;0,Customers!T995&gt;Customers!G995/12),"Payment &gt; monthly income","")</f>
        <v/>
      </c>
      <c r="I995" s="4" t="str">
        <f>IF(OR(Customers!I995&gt;DATE(2026,9,13),YEAR(Customers!I995)&lt;1980),"Implausible date","")</f>
        <v/>
      </c>
      <c r="J995" s="4" t="str">
        <f>IF(Customers!I995&gt;DATE(2026,9,13),"",IF(ABS(INT((DATE(2026,9,13)-Customers!I995)/365.25)-Customers!H995)&gt;1,"Date/tenure inconsistent",""))</f>
        <v/>
      </c>
      <c r="K995" s="4" t="str">
        <f>IF(COUNTIF(Customers!$A$2:$A$1001,Customers!A995)&gt;1,"Duplicate ID","")</f>
        <v/>
      </c>
      <c r="L995" s="4" t="str">
        <f>IF(COUNTIFS(Customers!$B$2:$B$1001,Customers!B995,Customers!$D$2:$D$1001,Customers!D995,Customers!$G$2:$G$1001,Customers!G995,Customers!$I$2:$I$1001,Customers!I995,Customers!$L$2:$L$1001,Customers!L995)&gt;1,"Duplicate record","")</f>
        <v/>
      </c>
      <c r="M995" s="4" t="str">
        <f>IF(OR(Customers!U995&lt;300,Customers!U995&gt;850),"Score out of range","")</f>
        <v/>
      </c>
      <c r="N995" s="4" t="str">
        <f>IF(AND(Customers!G995&lt;&gt;"",Customers!G995&lt;=0),"Income ≤ 0","")</f>
        <v/>
      </c>
      <c r="O995" s="4" t="str">
        <f>IF(OR(Customers!G995="",Customers!M995=""),"Missing value","")</f>
        <v/>
      </c>
      <c r="P995" s="4">
        <f t="shared" si="15"/>
        <v>0</v>
      </c>
    </row>
    <row r="996" spans="1:16" x14ac:dyDescent="0.25">
      <c r="A996" s="4" t="str">
        <f>Customers!A996</f>
        <v>CL00989</v>
      </c>
      <c r="B996" s="20">
        <f>IF(Customers!G996="","",(Customers!G996-Statistics!$C$7)/Statistics!$C$9)</f>
        <v>-5.790769734206818E-3</v>
      </c>
      <c r="C996" s="4" t="str">
        <f>IF(Customers!G996="","",IF(OR(Customers!G996&lt;Statistics!$C$15,Customers!G996&gt;Statistics!$C$16),"Outside 1.5·IQR",""))</f>
        <v/>
      </c>
      <c r="D996" s="4" t="str">
        <f>IF(OR(Customers!B996&lt;18,Customers!B996&gt;100),"Implausible age","")</f>
        <v/>
      </c>
      <c r="E996" s="4" t="str">
        <f>IF(Customers!H996&gt;Customers!B996-18,"Tenure &gt; age-18","")</f>
        <v/>
      </c>
      <c r="F996" s="4" t="str">
        <f>IF(Customers!R996&gt;Customers!Q996,"Card spend &gt; limit","")</f>
        <v/>
      </c>
      <c r="G996" s="4" t="str">
        <f>IF(OR(AND(Customers!S996&gt;0,Customers!T996=0),AND(Customers!S996=0,Customers!T996&gt;0)),"Mortgage/payment inconsistent","")</f>
        <v/>
      </c>
      <c r="H996" s="4" t="str">
        <f>IF(AND(Customers!G996&lt;&gt;"",Customers!G996&gt;0,Customers!T996&gt;Customers!G996/12),"Payment &gt; monthly income","")</f>
        <v/>
      </c>
      <c r="I996" s="4" t="str">
        <f>IF(OR(Customers!I996&gt;DATE(2026,9,13),YEAR(Customers!I996)&lt;1980),"Implausible date","")</f>
        <v/>
      </c>
      <c r="J996" s="4" t="str">
        <f>IF(Customers!I996&gt;DATE(2026,9,13),"",IF(ABS(INT((DATE(2026,9,13)-Customers!I996)/365.25)-Customers!H996)&gt;1,"Date/tenure inconsistent",""))</f>
        <v/>
      </c>
      <c r="K996" s="4" t="str">
        <f>IF(COUNTIF(Customers!$A$2:$A$1001,Customers!A996)&gt;1,"Duplicate ID","")</f>
        <v/>
      </c>
      <c r="L996" s="4" t="str">
        <f>IF(COUNTIFS(Customers!$B$2:$B$1001,Customers!B996,Customers!$D$2:$D$1001,Customers!D996,Customers!$G$2:$G$1001,Customers!G996,Customers!$I$2:$I$1001,Customers!I996,Customers!$L$2:$L$1001,Customers!L996)&gt;1,"Duplicate record","")</f>
        <v/>
      </c>
      <c r="M996" s="4" t="str">
        <f>IF(OR(Customers!U996&lt;300,Customers!U996&gt;850),"Score out of range","")</f>
        <v/>
      </c>
      <c r="N996" s="4" t="str">
        <f>IF(AND(Customers!G996&lt;&gt;"",Customers!G996&lt;=0),"Income ≤ 0","")</f>
        <v/>
      </c>
      <c r="O996" s="4" t="str">
        <f>IF(OR(Customers!G996="",Customers!M996=""),"Missing value","")</f>
        <v/>
      </c>
      <c r="P996" s="4">
        <f t="shared" si="15"/>
        <v>0</v>
      </c>
    </row>
    <row r="997" spans="1:16" x14ac:dyDescent="0.25">
      <c r="A997" s="4" t="str">
        <f>Customers!A997</f>
        <v>CL00990</v>
      </c>
      <c r="B997" s="20">
        <f>IF(Customers!G997="","",(Customers!G997-Statistics!$C$7)/Statistics!$C$9)</f>
        <v>-4.5286198291857947E-2</v>
      </c>
      <c r="C997" s="4" t="str">
        <f>IF(Customers!G997="","",IF(OR(Customers!G997&lt;Statistics!$C$15,Customers!G997&gt;Statistics!$C$16),"Outside 1.5·IQR",""))</f>
        <v/>
      </c>
      <c r="D997" s="4" t="str">
        <f>IF(OR(Customers!B997&lt;18,Customers!B997&gt;100),"Implausible age","")</f>
        <v/>
      </c>
      <c r="E997" s="4" t="str">
        <f>IF(Customers!H997&gt;Customers!B997-18,"Tenure &gt; age-18","")</f>
        <v/>
      </c>
      <c r="F997" s="4" t="str">
        <f>IF(Customers!R997&gt;Customers!Q997,"Card spend &gt; limit","")</f>
        <v/>
      </c>
      <c r="G997" s="4" t="str">
        <f>IF(OR(AND(Customers!S997&gt;0,Customers!T997=0),AND(Customers!S997=0,Customers!T997&gt;0)),"Mortgage/payment inconsistent","")</f>
        <v/>
      </c>
      <c r="H997" s="4" t="str">
        <f>IF(AND(Customers!G997&lt;&gt;"",Customers!G997&gt;0,Customers!T997&gt;Customers!G997/12),"Payment &gt; monthly income","")</f>
        <v/>
      </c>
      <c r="I997" s="4" t="str">
        <f>IF(OR(Customers!I997&gt;DATE(2026,9,13),YEAR(Customers!I997)&lt;1980),"Implausible date","")</f>
        <v/>
      </c>
      <c r="J997" s="4" t="str">
        <f>IF(Customers!I997&gt;DATE(2026,9,13),"",IF(ABS(INT((DATE(2026,9,13)-Customers!I997)/365.25)-Customers!H997)&gt;1,"Date/tenure inconsistent",""))</f>
        <v/>
      </c>
      <c r="K997" s="4" t="str">
        <f>IF(COUNTIF(Customers!$A$2:$A$1001,Customers!A997)&gt;1,"Duplicate ID","")</f>
        <v/>
      </c>
      <c r="L997" s="4" t="str">
        <f>IF(COUNTIFS(Customers!$B$2:$B$1001,Customers!B997,Customers!$D$2:$D$1001,Customers!D997,Customers!$G$2:$G$1001,Customers!G997,Customers!$I$2:$I$1001,Customers!I997,Customers!$L$2:$L$1001,Customers!L997)&gt;1,"Duplicate record","")</f>
        <v/>
      </c>
      <c r="M997" s="4" t="str">
        <f>IF(OR(Customers!U997&lt;300,Customers!U997&gt;850),"Score out of range","")</f>
        <v/>
      </c>
      <c r="N997" s="4" t="str">
        <f>IF(AND(Customers!G997&lt;&gt;"",Customers!G997&lt;=0),"Income ≤ 0","")</f>
        <v/>
      </c>
      <c r="O997" s="4" t="str">
        <f>IF(OR(Customers!G997="",Customers!M997=""),"Missing value","")</f>
        <v/>
      </c>
      <c r="P997" s="4">
        <f t="shared" si="15"/>
        <v>0</v>
      </c>
    </row>
    <row r="998" spans="1:16" x14ac:dyDescent="0.25">
      <c r="A998" s="4" t="str">
        <f>Customers!A998</f>
        <v>CL00991</v>
      </c>
      <c r="B998" s="20">
        <f>IF(Customers!G998="","",(Customers!G998-Statistics!$C$7)/Statistics!$C$9)</f>
        <v>-3.8687211475492297E-2</v>
      </c>
      <c r="C998" s="4" t="str">
        <f>IF(Customers!G998="","",IF(OR(Customers!G998&lt;Statistics!$C$15,Customers!G998&gt;Statistics!$C$16),"Outside 1.5·IQR",""))</f>
        <v/>
      </c>
      <c r="D998" s="4" t="str">
        <f>IF(OR(Customers!B998&lt;18,Customers!B998&gt;100),"Implausible age","")</f>
        <v/>
      </c>
      <c r="E998" s="4" t="str">
        <f>IF(Customers!H998&gt;Customers!B998-18,"Tenure &gt; age-18","")</f>
        <v/>
      </c>
      <c r="F998" s="4" t="str">
        <f>IF(Customers!R998&gt;Customers!Q998,"Card spend &gt; limit","")</f>
        <v/>
      </c>
      <c r="G998" s="4" t="str">
        <f>IF(OR(AND(Customers!S998&gt;0,Customers!T998=0),AND(Customers!S998=0,Customers!T998&gt;0)),"Mortgage/payment inconsistent","")</f>
        <v/>
      </c>
      <c r="H998" s="4" t="str">
        <f>IF(AND(Customers!G998&lt;&gt;"",Customers!G998&gt;0,Customers!T998&gt;Customers!G998/12),"Payment &gt; monthly income","")</f>
        <v/>
      </c>
      <c r="I998" s="4" t="str">
        <f>IF(OR(Customers!I998&gt;DATE(2026,9,13),YEAR(Customers!I998)&lt;1980),"Implausible date","")</f>
        <v/>
      </c>
      <c r="J998" s="4" t="str">
        <f>IF(Customers!I998&gt;DATE(2026,9,13),"",IF(ABS(INT((DATE(2026,9,13)-Customers!I998)/365.25)-Customers!H998)&gt;1,"Date/tenure inconsistent",""))</f>
        <v/>
      </c>
      <c r="K998" s="4" t="str">
        <f>IF(COUNTIF(Customers!$A$2:$A$1001,Customers!A998)&gt;1,"Duplicate ID","")</f>
        <v/>
      </c>
      <c r="L998" s="4" t="str">
        <f>IF(COUNTIFS(Customers!$B$2:$B$1001,Customers!B998,Customers!$D$2:$D$1001,Customers!D998,Customers!$G$2:$G$1001,Customers!G998,Customers!$I$2:$I$1001,Customers!I998,Customers!$L$2:$L$1001,Customers!L998)&gt;1,"Duplicate record","")</f>
        <v/>
      </c>
      <c r="M998" s="4" t="str">
        <f>IF(OR(Customers!U998&lt;300,Customers!U998&gt;850),"Score out of range","")</f>
        <v/>
      </c>
      <c r="N998" s="4" t="str">
        <f>IF(AND(Customers!G998&lt;&gt;"",Customers!G998&lt;=0),"Income ≤ 0","")</f>
        <v/>
      </c>
      <c r="O998" s="4" t="str">
        <f>IF(OR(Customers!G998="",Customers!M998=""),"Missing value","")</f>
        <v/>
      </c>
      <c r="P998" s="4">
        <f t="shared" si="15"/>
        <v>0</v>
      </c>
    </row>
    <row r="999" spans="1:16" x14ac:dyDescent="0.25">
      <c r="A999" s="4" t="str">
        <f>Customers!A999</f>
        <v>CL00992</v>
      </c>
      <c r="B999" s="20">
        <f>IF(Customers!G999="","",(Customers!G999-Statistics!$C$7)/Statistics!$C$9)</f>
        <v>-3.8687211475492297E-2</v>
      </c>
      <c r="C999" s="4" t="str">
        <f>IF(Customers!G999="","",IF(OR(Customers!G999&lt;Statistics!$C$15,Customers!G999&gt;Statistics!$C$16),"Outside 1.5·IQR",""))</f>
        <v/>
      </c>
      <c r="D999" s="4" t="str">
        <f>IF(OR(Customers!B999&lt;18,Customers!B999&gt;100),"Implausible age","")</f>
        <v/>
      </c>
      <c r="E999" s="4" t="str">
        <f>IF(Customers!H999&gt;Customers!B999-18,"Tenure &gt; age-18","")</f>
        <v/>
      </c>
      <c r="F999" s="4" t="str">
        <f>IF(Customers!R999&gt;Customers!Q999,"Card spend &gt; limit","")</f>
        <v/>
      </c>
      <c r="G999" s="4" t="str">
        <f>IF(OR(AND(Customers!S999&gt;0,Customers!T999=0),AND(Customers!S999=0,Customers!T999&gt;0)),"Mortgage/payment inconsistent","")</f>
        <v/>
      </c>
      <c r="H999" s="4" t="str">
        <f>IF(AND(Customers!G999&lt;&gt;"",Customers!G999&gt;0,Customers!T999&gt;Customers!G999/12),"Payment &gt; monthly income","")</f>
        <v/>
      </c>
      <c r="I999" s="4" t="str">
        <f>IF(OR(Customers!I999&gt;DATE(2026,9,13),YEAR(Customers!I999)&lt;1980),"Implausible date","")</f>
        <v/>
      </c>
      <c r="J999" s="4" t="str">
        <f>IF(Customers!I999&gt;DATE(2026,9,13),"",IF(ABS(INT((DATE(2026,9,13)-Customers!I999)/365.25)-Customers!H999)&gt;1,"Date/tenure inconsistent",""))</f>
        <v/>
      </c>
      <c r="K999" s="4" t="str">
        <f>IF(COUNTIF(Customers!$A$2:$A$1001,Customers!A999)&gt;1,"Duplicate ID","")</f>
        <v/>
      </c>
      <c r="L999" s="4" t="str">
        <f>IF(COUNTIFS(Customers!$B$2:$B$1001,Customers!B999,Customers!$D$2:$D$1001,Customers!D999,Customers!$G$2:$G$1001,Customers!G999,Customers!$I$2:$I$1001,Customers!I999,Customers!$L$2:$L$1001,Customers!L999)&gt;1,"Duplicate record","")</f>
        <v/>
      </c>
      <c r="M999" s="4" t="str">
        <f>IF(OR(Customers!U999&lt;300,Customers!U999&gt;850),"Score out of range","")</f>
        <v/>
      </c>
      <c r="N999" s="4" t="str">
        <f>IF(AND(Customers!G999&lt;&gt;"",Customers!G999&lt;=0),"Income ≤ 0","")</f>
        <v/>
      </c>
      <c r="O999" s="4" t="str">
        <f>IF(OR(Customers!G999="",Customers!M999=""),"Missing value","")</f>
        <v/>
      </c>
      <c r="P999" s="4">
        <f t="shared" si="15"/>
        <v>0</v>
      </c>
    </row>
    <row r="1000" spans="1:16" x14ac:dyDescent="0.25">
      <c r="A1000" s="4" t="str">
        <f>Customers!A1000</f>
        <v>CL00993</v>
      </c>
      <c r="B1000" s="20">
        <f>IF(Customers!G1000="","",(Customers!G1000-Statistics!$C$7)/Statistics!$C$9)</f>
        <v>-2.5193760821132685E-2</v>
      </c>
      <c r="C1000" s="4" t="str">
        <f>IF(Customers!G1000="","",IF(OR(Customers!G1000&lt;Statistics!$C$15,Customers!G1000&gt;Statistics!$C$16),"Outside 1.5·IQR",""))</f>
        <v/>
      </c>
      <c r="D1000" s="4" t="str">
        <f>IF(OR(Customers!B1000&lt;18,Customers!B1000&gt;100),"Implausible age","")</f>
        <v/>
      </c>
      <c r="E1000" s="4" t="str">
        <f>IF(Customers!H1000&gt;Customers!B1000-18,"Tenure &gt; age-18","")</f>
        <v/>
      </c>
      <c r="F1000" s="4" t="str">
        <f>IF(Customers!R1000&gt;Customers!Q1000,"Card spend &gt; limit","")</f>
        <v/>
      </c>
      <c r="G1000" s="4" t="str">
        <f>IF(OR(AND(Customers!S1000&gt;0,Customers!T1000=0),AND(Customers!S1000=0,Customers!T1000&gt;0)),"Mortgage/payment inconsistent","")</f>
        <v/>
      </c>
      <c r="H1000" s="4" t="str">
        <f>IF(AND(Customers!G1000&lt;&gt;"",Customers!G1000&gt;0,Customers!T1000&gt;Customers!G1000/12),"Payment &gt; monthly income","")</f>
        <v/>
      </c>
      <c r="I1000" s="4" t="str">
        <f>IF(OR(Customers!I1000&gt;DATE(2026,9,13),YEAR(Customers!I1000)&lt;1980),"Implausible date","")</f>
        <v/>
      </c>
      <c r="J1000" s="4" t="str">
        <f>IF(Customers!I1000&gt;DATE(2026,9,13),"",IF(ABS(INT((DATE(2026,9,13)-Customers!I1000)/365.25)-Customers!H1000)&gt;1,"Date/tenure inconsistent",""))</f>
        <v/>
      </c>
      <c r="K1000" s="4" t="str">
        <f>IF(COUNTIF(Customers!$A$2:$A$1001,Customers!A1000)&gt;1,"Duplicate ID","")</f>
        <v/>
      </c>
      <c r="L1000" s="4" t="str">
        <f>IF(COUNTIFS(Customers!$B$2:$B$1001,Customers!B1000,Customers!$D$2:$D$1001,Customers!D1000,Customers!$G$2:$G$1001,Customers!G1000,Customers!$I$2:$I$1001,Customers!I1000,Customers!$L$2:$L$1001,Customers!L1000)&gt;1,"Duplicate record","")</f>
        <v/>
      </c>
      <c r="M1000" s="4" t="str">
        <f>IF(OR(Customers!U1000&lt;300,Customers!U1000&gt;850),"Score out of range","")</f>
        <v/>
      </c>
      <c r="N1000" s="4" t="str">
        <f>IF(AND(Customers!G1000&lt;&gt;"",Customers!G1000&lt;=0),"Income ≤ 0","")</f>
        <v/>
      </c>
      <c r="O1000" s="4" t="str">
        <f>IF(OR(Customers!G1000="",Customers!M1000=""),"Missing value","")</f>
        <v/>
      </c>
      <c r="P1000" s="4">
        <f t="shared" si="15"/>
        <v>0</v>
      </c>
    </row>
    <row r="1001" spans="1:16" x14ac:dyDescent="0.25">
      <c r="A1001" s="4" t="str">
        <f>Customers!A1001</f>
        <v>CL00994</v>
      </c>
      <c r="B1001" s="20">
        <f>IF(Customers!G1001="","",(Customers!G1001-Statistics!$C$7)/Statistics!$C$9)</f>
        <v>-1.7905327620967637E-2</v>
      </c>
      <c r="C1001" s="4" t="str">
        <f>IF(Customers!G1001="","",IF(OR(Customers!G1001&lt;Statistics!$C$15,Customers!G1001&gt;Statistics!$C$16),"Outside 1.5·IQR",""))</f>
        <v/>
      </c>
      <c r="D1001" s="4" t="str">
        <f>IF(OR(Customers!B1001&lt;18,Customers!B1001&gt;100),"Implausible age","")</f>
        <v/>
      </c>
      <c r="E1001" s="4" t="str">
        <f>IF(Customers!H1001&gt;Customers!B1001-18,"Tenure &gt; age-18","")</f>
        <v/>
      </c>
      <c r="F1001" s="4" t="str">
        <f>IF(Customers!R1001&gt;Customers!Q1001,"Card spend &gt; limit","")</f>
        <v/>
      </c>
      <c r="G1001" s="4" t="str">
        <f>IF(OR(AND(Customers!S1001&gt;0,Customers!T1001=0),AND(Customers!S1001=0,Customers!T1001&gt;0)),"Mortgage/payment inconsistent","")</f>
        <v/>
      </c>
      <c r="H1001" s="4" t="str">
        <f>IF(AND(Customers!G1001&lt;&gt;"",Customers!G1001&gt;0,Customers!T1001&gt;Customers!G1001/12),"Payment &gt; monthly income","")</f>
        <v/>
      </c>
      <c r="I1001" s="4" t="str">
        <f>IF(OR(Customers!I1001&gt;DATE(2026,9,13),YEAR(Customers!I1001)&lt;1980),"Implausible date","")</f>
        <v/>
      </c>
      <c r="J1001" s="4" t="str">
        <f>IF(Customers!I1001&gt;DATE(2026,9,13),"",IF(ABS(INT((DATE(2026,9,13)-Customers!I1001)/365.25)-Customers!H1001)&gt;1,"Date/tenure inconsistent",""))</f>
        <v/>
      </c>
      <c r="K1001" s="4" t="str">
        <f>IF(COUNTIF(Customers!$A$2:$A$1001,Customers!A1001)&gt;1,"Duplicate ID","")</f>
        <v/>
      </c>
      <c r="L1001" s="4" t="str">
        <f>IF(COUNTIFS(Customers!$B$2:$B$1001,Customers!B1001,Customers!$D$2:$D$1001,Customers!D1001,Customers!$G$2:$G$1001,Customers!G1001,Customers!$I$2:$I$1001,Customers!I1001,Customers!$L$2:$L$1001,Customers!L1001)&gt;1,"Duplicate record","")</f>
        <v/>
      </c>
      <c r="M1001" s="4" t="str">
        <f>IF(OR(Customers!U1001&lt;300,Customers!U1001&gt;850),"Score out of range","")</f>
        <v/>
      </c>
      <c r="N1001" s="4" t="str">
        <f>IF(AND(Customers!G1001&lt;&gt;"",Customers!G1001&lt;=0),"Income ≤ 0","")</f>
        <v/>
      </c>
      <c r="O1001" s="4" t="str">
        <f>IF(OR(Customers!G1001="",Customers!M1001=""),"Missing value","")</f>
        <v/>
      </c>
      <c r="P1001" s="4">
        <f t="shared" si="15"/>
        <v>0</v>
      </c>
    </row>
  </sheetData>
  <autoFilter ref="A1:P1001" xr:uid="{00000000-0009-0000-0000-000003000000}"/>
  <mergeCells count="1">
    <mergeCell ref="R1:S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0"/>
  <sheetViews>
    <sheetView zoomScaleNormal="100" workbookViewId="0">
      <pane ySplit="4" topLeftCell="A5" activePane="bottomLeft" state="frozen"/>
      <selection pane="bottomLeft"/>
    </sheetView>
  </sheetViews>
  <sheetFormatPr defaultColWidth="8.7109375" defaultRowHeight="15" x14ac:dyDescent="0.25"/>
  <cols>
    <col min="1" max="1" width="5" customWidth="1"/>
    <col min="2" max="3" width="30" customWidth="1"/>
    <col min="4" max="4" width="11" customWidth="1"/>
    <col min="5" max="5" width="10" customWidth="1"/>
    <col min="6" max="6" width="30" customWidth="1"/>
    <col min="7" max="7" width="28" customWidth="1"/>
    <col min="8" max="9" width="62" customWidth="1"/>
  </cols>
  <sheetData>
    <row r="1" spans="1:9" ht="16.5" x14ac:dyDescent="0.25">
      <c r="A1" s="8" t="s">
        <v>1186</v>
      </c>
    </row>
    <row r="2" spans="1:9" ht="75" customHeight="1" x14ac:dyDescent="0.25">
      <c r="A2" s="2" t="s">
        <v>1187</v>
      </c>
      <c r="B2" s="2"/>
      <c r="C2" s="2"/>
      <c r="D2" s="2"/>
      <c r="E2" s="2"/>
      <c r="F2" s="2"/>
      <c r="G2" s="2"/>
      <c r="H2" s="2"/>
      <c r="I2" s="2"/>
    </row>
    <row r="4" spans="1:9" ht="30" customHeight="1" x14ac:dyDescent="0.25">
      <c r="A4" s="23" t="s">
        <v>1188</v>
      </c>
      <c r="B4" s="23" t="s">
        <v>1189</v>
      </c>
      <c r="C4" s="23" t="s">
        <v>1190</v>
      </c>
      <c r="D4" s="23" t="s">
        <v>0</v>
      </c>
      <c r="E4" s="23" t="s">
        <v>1191</v>
      </c>
      <c r="F4" s="23" t="s">
        <v>1192</v>
      </c>
      <c r="G4" s="23" t="s">
        <v>1193</v>
      </c>
      <c r="H4" s="23" t="s">
        <v>1194</v>
      </c>
      <c r="I4" s="23" t="s">
        <v>1195</v>
      </c>
    </row>
    <row r="5" spans="1:9" ht="48" x14ac:dyDescent="0.25">
      <c r="A5" s="24">
        <v>1</v>
      </c>
      <c r="B5" s="24" t="s">
        <v>1196</v>
      </c>
      <c r="C5" s="24" t="s">
        <v>1197</v>
      </c>
      <c r="D5" s="24" t="s">
        <v>265</v>
      </c>
      <c r="E5" s="24" t="s">
        <v>1198</v>
      </c>
      <c r="F5" s="24" t="s">
        <v>6</v>
      </c>
      <c r="G5" s="24" t="s">
        <v>1199</v>
      </c>
      <c r="H5" s="24" t="s">
        <v>1200</v>
      </c>
      <c r="I5" s="24" t="s">
        <v>1201</v>
      </c>
    </row>
    <row r="6" spans="1:9" ht="48" x14ac:dyDescent="0.25">
      <c r="A6" s="24">
        <v>2</v>
      </c>
      <c r="B6" s="24" t="s">
        <v>1196</v>
      </c>
      <c r="C6" s="24" t="s">
        <v>1197</v>
      </c>
      <c r="D6" s="24" t="s">
        <v>479</v>
      </c>
      <c r="E6" s="24" t="s">
        <v>1202</v>
      </c>
      <c r="F6" s="24" t="s">
        <v>6</v>
      </c>
      <c r="G6" s="24" t="s">
        <v>1203</v>
      </c>
      <c r="H6" s="24" t="s">
        <v>1204</v>
      </c>
      <c r="I6" s="24" t="s">
        <v>1201</v>
      </c>
    </row>
    <row r="7" spans="1:9" ht="36" x14ac:dyDescent="0.25">
      <c r="A7" s="24">
        <v>3</v>
      </c>
      <c r="B7" s="24" t="s">
        <v>1196</v>
      </c>
      <c r="C7" s="24" t="s">
        <v>1205</v>
      </c>
      <c r="D7" s="24" t="s">
        <v>537</v>
      </c>
      <c r="E7" s="24" t="s">
        <v>1206</v>
      </c>
      <c r="F7" s="24" t="s">
        <v>21</v>
      </c>
      <c r="G7" s="24" t="s">
        <v>1207</v>
      </c>
      <c r="H7" s="24" t="s">
        <v>1208</v>
      </c>
      <c r="I7" s="24" t="s">
        <v>1201</v>
      </c>
    </row>
    <row r="8" spans="1:9" ht="36" x14ac:dyDescent="0.25">
      <c r="A8" s="24">
        <v>4</v>
      </c>
      <c r="B8" s="24" t="s">
        <v>1196</v>
      </c>
      <c r="C8" s="24" t="s">
        <v>1209</v>
      </c>
      <c r="D8" s="24" t="s">
        <v>722</v>
      </c>
      <c r="E8" s="24" t="s">
        <v>1210</v>
      </c>
      <c r="F8" s="24" t="s">
        <v>13</v>
      </c>
      <c r="G8" s="24" t="s">
        <v>1211</v>
      </c>
      <c r="H8" s="24" t="s">
        <v>1212</v>
      </c>
      <c r="I8" s="24" t="s">
        <v>1201</v>
      </c>
    </row>
    <row r="9" spans="1:9" ht="36" x14ac:dyDescent="0.25">
      <c r="A9" s="24">
        <v>5</v>
      </c>
      <c r="B9" s="24" t="s">
        <v>1196</v>
      </c>
      <c r="C9" s="24" t="s">
        <v>1213</v>
      </c>
      <c r="D9" s="24" t="s">
        <v>839</v>
      </c>
      <c r="E9" s="24" t="s">
        <v>1214</v>
      </c>
      <c r="F9" s="24" t="s">
        <v>12</v>
      </c>
      <c r="G9" s="24" t="s">
        <v>1215</v>
      </c>
      <c r="H9" s="24" t="s">
        <v>1216</v>
      </c>
      <c r="I9" s="24" t="s">
        <v>1201</v>
      </c>
    </row>
    <row r="10" spans="1:9" ht="36" x14ac:dyDescent="0.25">
      <c r="A10" s="24">
        <v>6</v>
      </c>
      <c r="B10" s="24" t="s">
        <v>1196</v>
      </c>
      <c r="C10" s="24" t="s">
        <v>1217</v>
      </c>
      <c r="D10" s="24" t="s">
        <v>1019</v>
      </c>
      <c r="E10" s="24" t="s">
        <v>1218</v>
      </c>
      <c r="F10" s="24" t="s">
        <v>1219</v>
      </c>
      <c r="G10" s="24" t="s">
        <v>1220</v>
      </c>
      <c r="H10" s="24" t="s">
        <v>1221</v>
      </c>
      <c r="I10" s="24" t="s">
        <v>1201</v>
      </c>
    </row>
    <row r="11" spans="1:9" ht="36" x14ac:dyDescent="0.25">
      <c r="A11" s="24">
        <v>7</v>
      </c>
      <c r="B11" s="24" t="s">
        <v>1196</v>
      </c>
      <c r="C11" s="24" t="s">
        <v>1209</v>
      </c>
      <c r="D11" s="24" t="s">
        <v>1029</v>
      </c>
      <c r="E11" s="24" t="s">
        <v>1222</v>
      </c>
      <c r="F11" s="24" t="s">
        <v>13</v>
      </c>
      <c r="G11" s="24" t="s">
        <v>1223</v>
      </c>
      <c r="H11" s="24" t="s">
        <v>1224</v>
      </c>
      <c r="I11" s="24" t="s">
        <v>1201</v>
      </c>
    </row>
    <row r="12" spans="1:9" ht="36" x14ac:dyDescent="0.25">
      <c r="A12" s="24">
        <v>8</v>
      </c>
      <c r="B12" s="24" t="s">
        <v>1196</v>
      </c>
      <c r="C12" s="24" t="s">
        <v>1213</v>
      </c>
      <c r="D12" s="24" t="s">
        <v>1057</v>
      </c>
      <c r="E12" s="24" t="s">
        <v>1225</v>
      </c>
      <c r="F12" s="24" t="s">
        <v>12</v>
      </c>
      <c r="G12" s="24" t="s">
        <v>1226</v>
      </c>
      <c r="H12" s="24" t="s">
        <v>1227</v>
      </c>
      <c r="I12" s="24" t="s">
        <v>1201</v>
      </c>
    </row>
    <row r="13" spans="1:9" ht="48" x14ac:dyDescent="0.25">
      <c r="A13" s="24">
        <v>9</v>
      </c>
      <c r="B13" s="24" t="s">
        <v>1196</v>
      </c>
      <c r="C13" s="24" t="s">
        <v>1197</v>
      </c>
      <c r="D13" s="24" t="s">
        <v>1059</v>
      </c>
      <c r="E13" s="24" t="s">
        <v>1228</v>
      </c>
      <c r="F13" s="24" t="s">
        <v>6</v>
      </c>
      <c r="G13" s="24" t="s">
        <v>1229</v>
      </c>
      <c r="H13" s="24" t="s">
        <v>1230</v>
      </c>
      <c r="I13" s="24" t="s">
        <v>1201</v>
      </c>
    </row>
    <row r="14" spans="1:9" ht="36" x14ac:dyDescent="0.25">
      <c r="A14" s="24">
        <v>10</v>
      </c>
      <c r="B14" s="24" t="s">
        <v>1231</v>
      </c>
      <c r="C14" s="24" t="s">
        <v>1232</v>
      </c>
      <c r="D14" s="24" t="s">
        <v>101</v>
      </c>
      <c r="E14" s="24" t="s">
        <v>1233</v>
      </c>
      <c r="F14" s="24" t="s">
        <v>1</v>
      </c>
      <c r="G14" s="24" t="s">
        <v>1234</v>
      </c>
      <c r="H14" s="24" t="s">
        <v>1235</v>
      </c>
      <c r="I14" s="24" t="s">
        <v>1236</v>
      </c>
    </row>
    <row r="15" spans="1:9" ht="36" x14ac:dyDescent="0.25">
      <c r="A15" s="24">
        <v>11</v>
      </c>
      <c r="B15" s="24" t="s">
        <v>1231</v>
      </c>
      <c r="C15" s="24" t="s">
        <v>1237</v>
      </c>
      <c r="D15" s="24" t="s">
        <v>298</v>
      </c>
      <c r="E15" s="24" t="s">
        <v>1238</v>
      </c>
      <c r="F15" s="24" t="s">
        <v>6</v>
      </c>
      <c r="G15" s="24" t="s">
        <v>1239</v>
      </c>
      <c r="H15" s="24" t="s">
        <v>1240</v>
      </c>
      <c r="I15" s="24" t="s">
        <v>1236</v>
      </c>
    </row>
    <row r="16" spans="1:9" ht="48" x14ac:dyDescent="0.25">
      <c r="A16" s="24">
        <v>12</v>
      </c>
      <c r="B16" s="24" t="s">
        <v>1231</v>
      </c>
      <c r="C16" s="24" t="s">
        <v>1241</v>
      </c>
      <c r="D16" s="24" t="s">
        <v>499</v>
      </c>
      <c r="E16" s="24" t="s">
        <v>1242</v>
      </c>
      <c r="F16" s="24" t="s">
        <v>6</v>
      </c>
      <c r="G16" s="24" t="s">
        <v>1243</v>
      </c>
      <c r="H16" s="24" t="s">
        <v>1244</v>
      </c>
      <c r="I16" s="24" t="s">
        <v>1236</v>
      </c>
    </row>
    <row r="17" spans="1:9" ht="36" x14ac:dyDescent="0.25">
      <c r="A17" s="24">
        <v>13</v>
      </c>
      <c r="B17" s="24" t="s">
        <v>1231</v>
      </c>
      <c r="C17" s="24" t="s">
        <v>1232</v>
      </c>
      <c r="D17" s="24" t="s">
        <v>523</v>
      </c>
      <c r="E17" s="24" t="s">
        <v>1245</v>
      </c>
      <c r="F17" s="24" t="s">
        <v>1</v>
      </c>
      <c r="G17" s="24" t="s">
        <v>1246</v>
      </c>
      <c r="H17" s="24" t="s">
        <v>1247</v>
      </c>
      <c r="I17" s="24" t="s">
        <v>1236</v>
      </c>
    </row>
    <row r="18" spans="1:9" ht="36" x14ac:dyDescent="0.25">
      <c r="A18" s="24">
        <v>14</v>
      </c>
      <c r="B18" s="24" t="s">
        <v>1231</v>
      </c>
      <c r="C18" s="24" t="s">
        <v>1248</v>
      </c>
      <c r="D18" s="24" t="s">
        <v>588</v>
      </c>
      <c r="E18" s="24" t="s">
        <v>1249</v>
      </c>
      <c r="F18" s="24" t="s">
        <v>20</v>
      </c>
      <c r="G18" s="24" t="s">
        <v>1250</v>
      </c>
      <c r="H18" s="24" t="s">
        <v>1251</v>
      </c>
      <c r="I18" s="24" t="s">
        <v>1236</v>
      </c>
    </row>
    <row r="19" spans="1:9" ht="36" x14ac:dyDescent="0.25">
      <c r="A19" s="24">
        <v>15</v>
      </c>
      <c r="B19" s="24" t="s">
        <v>1231</v>
      </c>
      <c r="C19" s="24" t="s">
        <v>1248</v>
      </c>
      <c r="D19" s="24" t="s">
        <v>634</v>
      </c>
      <c r="E19" s="24" t="s">
        <v>1252</v>
      </c>
      <c r="F19" s="24" t="s">
        <v>20</v>
      </c>
      <c r="G19" s="24" t="s">
        <v>1253</v>
      </c>
      <c r="H19" s="24" t="s">
        <v>1254</v>
      </c>
      <c r="I19" s="24" t="s">
        <v>1236</v>
      </c>
    </row>
    <row r="20" spans="1:9" ht="36" x14ac:dyDescent="0.25">
      <c r="A20" s="24">
        <v>16</v>
      </c>
      <c r="B20" s="24" t="s">
        <v>1231</v>
      </c>
      <c r="C20" s="24" t="s">
        <v>1255</v>
      </c>
      <c r="D20" s="24" t="s">
        <v>642</v>
      </c>
      <c r="E20" s="24" t="s">
        <v>1256</v>
      </c>
      <c r="F20" s="24" t="s">
        <v>11</v>
      </c>
      <c r="G20" s="24" t="s">
        <v>1257</v>
      </c>
      <c r="H20" s="24" t="s">
        <v>1258</v>
      </c>
      <c r="I20" s="24" t="s">
        <v>1236</v>
      </c>
    </row>
    <row r="21" spans="1:9" ht="36" x14ac:dyDescent="0.25">
      <c r="A21" s="24">
        <v>17</v>
      </c>
      <c r="B21" s="24" t="s">
        <v>1231</v>
      </c>
      <c r="C21" s="24" t="s">
        <v>1232</v>
      </c>
      <c r="D21" s="24" t="s">
        <v>770</v>
      </c>
      <c r="E21" s="24" t="s">
        <v>1259</v>
      </c>
      <c r="F21" s="24" t="s">
        <v>1</v>
      </c>
      <c r="G21" s="24" t="s">
        <v>1260</v>
      </c>
      <c r="H21" s="24" t="s">
        <v>1261</v>
      </c>
      <c r="I21" s="24" t="s">
        <v>1236</v>
      </c>
    </row>
    <row r="22" spans="1:9" ht="36" x14ac:dyDescent="0.25">
      <c r="A22" s="24">
        <v>18</v>
      </c>
      <c r="B22" s="24" t="s">
        <v>1231</v>
      </c>
      <c r="C22" s="24" t="s">
        <v>1262</v>
      </c>
      <c r="D22" s="24" t="s">
        <v>863</v>
      </c>
      <c r="E22" s="24" t="s">
        <v>1263</v>
      </c>
      <c r="F22" s="24" t="s">
        <v>15</v>
      </c>
      <c r="G22" s="24" t="s">
        <v>1264</v>
      </c>
      <c r="H22" s="24" t="s">
        <v>1265</v>
      </c>
      <c r="I22" s="24" t="s">
        <v>1236</v>
      </c>
    </row>
    <row r="23" spans="1:9" ht="36" x14ac:dyDescent="0.25">
      <c r="A23" s="24">
        <v>19</v>
      </c>
      <c r="B23" s="24" t="s">
        <v>1231</v>
      </c>
      <c r="C23" s="24" t="s">
        <v>1237</v>
      </c>
      <c r="D23" s="24" t="s">
        <v>1003</v>
      </c>
      <c r="E23" s="24" t="s">
        <v>1266</v>
      </c>
      <c r="F23" s="24" t="s">
        <v>6</v>
      </c>
      <c r="G23" s="24" t="s">
        <v>1267</v>
      </c>
      <c r="H23" s="24" t="s">
        <v>1268</v>
      </c>
      <c r="I23" s="24" t="s">
        <v>1236</v>
      </c>
    </row>
    <row r="24" spans="1:9" ht="36" x14ac:dyDescent="0.25">
      <c r="A24" s="24">
        <v>20</v>
      </c>
      <c r="B24" s="24" t="s">
        <v>1269</v>
      </c>
      <c r="C24" s="24" t="s">
        <v>1270</v>
      </c>
      <c r="D24" s="24" t="s">
        <v>119</v>
      </c>
      <c r="E24" s="24" t="s">
        <v>1271</v>
      </c>
      <c r="F24" s="24" t="s">
        <v>20</v>
      </c>
      <c r="G24" s="24" t="s">
        <v>1272</v>
      </c>
      <c r="H24" s="24" t="s">
        <v>1273</v>
      </c>
      <c r="I24" s="24" t="s">
        <v>1274</v>
      </c>
    </row>
    <row r="25" spans="1:9" ht="36" x14ac:dyDescent="0.25">
      <c r="A25" s="24">
        <v>21</v>
      </c>
      <c r="B25" s="24" t="s">
        <v>1269</v>
      </c>
      <c r="C25" s="24" t="s">
        <v>1270</v>
      </c>
      <c r="D25" s="24" t="s">
        <v>263</v>
      </c>
      <c r="E25" s="24" t="s">
        <v>1275</v>
      </c>
      <c r="F25" s="24" t="s">
        <v>20</v>
      </c>
      <c r="G25" s="24" t="s">
        <v>1272</v>
      </c>
      <c r="H25" s="24" t="s">
        <v>1273</v>
      </c>
      <c r="I25" s="24" t="s">
        <v>1274</v>
      </c>
    </row>
    <row r="26" spans="1:9" ht="36" x14ac:dyDescent="0.25">
      <c r="A26" s="24">
        <v>22</v>
      </c>
      <c r="B26" s="24" t="s">
        <v>1269</v>
      </c>
      <c r="C26" s="24" t="s">
        <v>1276</v>
      </c>
      <c r="D26" s="24" t="s">
        <v>336</v>
      </c>
      <c r="E26" s="24" t="s">
        <v>1277</v>
      </c>
      <c r="F26" s="24" t="s">
        <v>1</v>
      </c>
      <c r="G26" s="24" t="s">
        <v>1278</v>
      </c>
      <c r="H26" s="24" t="s">
        <v>1279</v>
      </c>
      <c r="I26" s="24" t="s">
        <v>1274</v>
      </c>
    </row>
    <row r="27" spans="1:9" ht="36" x14ac:dyDescent="0.25">
      <c r="A27" s="24">
        <v>23</v>
      </c>
      <c r="B27" s="24" t="s">
        <v>1269</v>
      </c>
      <c r="C27" s="24" t="s">
        <v>1280</v>
      </c>
      <c r="D27" s="24" t="s">
        <v>378</v>
      </c>
      <c r="E27" s="24" t="s">
        <v>1281</v>
      </c>
      <c r="F27" s="24" t="s">
        <v>6</v>
      </c>
      <c r="G27" s="24" t="s">
        <v>1282</v>
      </c>
      <c r="H27" s="24" t="s">
        <v>1283</v>
      </c>
      <c r="I27" s="24" t="s">
        <v>1274</v>
      </c>
    </row>
    <row r="28" spans="1:9" ht="36" x14ac:dyDescent="0.25">
      <c r="A28" s="24">
        <v>24</v>
      </c>
      <c r="B28" s="24" t="s">
        <v>1269</v>
      </c>
      <c r="C28" s="24" t="s">
        <v>1284</v>
      </c>
      <c r="D28" s="24" t="s">
        <v>391</v>
      </c>
      <c r="E28" s="24" t="s">
        <v>1285</v>
      </c>
      <c r="F28" s="24" t="s">
        <v>6</v>
      </c>
      <c r="G28" s="24" t="s">
        <v>1286</v>
      </c>
      <c r="H28" s="24" t="s">
        <v>1287</v>
      </c>
      <c r="I28" s="24" t="s">
        <v>1274</v>
      </c>
    </row>
    <row r="29" spans="1:9" ht="36" x14ac:dyDescent="0.25">
      <c r="A29" s="24">
        <v>25</v>
      </c>
      <c r="B29" s="24" t="s">
        <v>1269</v>
      </c>
      <c r="C29" s="24" t="s">
        <v>1280</v>
      </c>
      <c r="D29" s="24" t="s">
        <v>442</v>
      </c>
      <c r="E29" s="24" t="s">
        <v>1288</v>
      </c>
      <c r="F29" s="24" t="s">
        <v>6</v>
      </c>
      <c r="G29" s="24" t="s">
        <v>1282</v>
      </c>
      <c r="H29" s="24" t="s">
        <v>1283</v>
      </c>
      <c r="I29" s="24" t="s">
        <v>1274</v>
      </c>
    </row>
    <row r="30" spans="1:9" ht="36" x14ac:dyDescent="0.25">
      <c r="A30" s="24">
        <v>26</v>
      </c>
      <c r="B30" s="24" t="s">
        <v>1269</v>
      </c>
      <c r="C30" s="24" t="s">
        <v>1284</v>
      </c>
      <c r="D30" s="24" t="s">
        <v>580</v>
      </c>
      <c r="E30" s="24" t="s">
        <v>1289</v>
      </c>
      <c r="F30" s="24" t="s">
        <v>12</v>
      </c>
      <c r="G30" s="24" t="s">
        <v>1286</v>
      </c>
      <c r="H30" s="24" t="s">
        <v>1290</v>
      </c>
      <c r="I30" s="24" t="s">
        <v>1274</v>
      </c>
    </row>
    <row r="31" spans="1:9" ht="36" x14ac:dyDescent="0.25">
      <c r="A31" s="24">
        <v>27</v>
      </c>
      <c r="B31" s="24" t="s">
        <v>1269</v>
      </c>
      <c r="C31" s="24" t="s">
        <v>1270</v>
      </c>
      <c r="D31" s="24" t="s">
        <v>689</v>
      </c>
      <c r="E31" s="24" t="s">
        <v>1291</v>
      </c>
      <c r="F31" s="24" t="s">
        <v>20</v>
      </c>
      <c r="G31" s="24" t="s">
        <v>1272</v>
      </c>
      <c r="H31" s="24" t="s">
        <v>1273</v>
      </c>
      <c r="I31" s="24" t="s">
        <v>1274</v>
      </c>
    </row>
    <row r="32" spans="1:9" ht="36" x14ac:dyDescent="0.25">
      <c r="A32" s="24">
        <v>28</v>
      </c>
      <c r="B32" s="24" t="s">
        <v>1269</v>
      </c>
      <c r="C32" s="24" t="s">
        <v>1280</v>
      </c>
      <c r="D32" s="24" t="s">
        <v>743</v>
      </c>
      <c r="E32" s="24" t="s">
        <v>1292</v>
      </c>
      <c r="F32" s="24" t="s">
        <v>6</v>
      </c>
      <c r="G32" s="24" t="s">
        <v>1282</v>
      </c>
      <c r="H32" s="24" t="s">
        <v>1283</v>
      </c>
      <c r="I32" s="24" t="s">
        <v>1274</v>
      </c>
    </row>
    <row r="33" spans="1:9" ht="36" x14ac:dyDescent="0.25">
      <c r="A33" s="24">
        <v>29</v>
      </c>
      <c r="B33" s="24" t="s">
        <v>1269</v>
      </c>
      <c r="C33" s="24" t="s">
        <v>1284</v>
      </c>
      <c r="D33" s="24" t="s">
        <v>764</v>
      </c>
      <c r="E33" s="24" t="s">
        <v>1293</v>
      </c>
      <c r="F33" s="24" t="s">
        <v>6</v>
      </c>
      <c r="G33" s="24" t="s">
        <v>1286</v>
      </c>
      <c r="H33" s="24" t="s">
        <v>1287</v>
      </c>
      <c r="I33" s="24" t="s">
        <v>1274</v>
      </c>
    </row>
    <row r="34" spans="1:9" ht="36" x14ac:dyDescent="0.25">
      <c r="A34" s="24">
        <v>30</v>
      </c>
      <c r="B34" s="24" t="s">
        <v>1269</v>
      </c>
      <c r="C34" s="24" t="s">
        <v>1284</v>
      </c>
      <c r="D34" s="24" t="s">
        <v>799</v>
      </c>
      <c r="E34" s="24" t="s">
        <v>1294</v>
      </c>
      <c r="F34" s="24" t="s">
        <v>12</v>
      </c>
      <c r="G34" s="24" t="s">
        <v>1286</v>
      </c>
      <c r="H34" s="24" t="s">
        <v>1290</v>
      </c>
      <c r="I34" s="24" t="s">
        <v>1274</v>
      </c>
    </row>
    <row r="35" spans="1:9" ht="36" x14ac:dyDescent="0.25">
      <c r="A35" s="24">
        <v>31</v>
      </c>
      <c r="B35" s="24" t="s">
        <v>1269</v>
      </c>
      <c r="C35" s="24" t="s">
        <v>1280</v>
      </c>
      <c r="D35" s="24" t="s">
        <v>829</v>
      </c>
      <c r="E35" s="24" t="s">
        <v>1295</v>
      </c>
      <c r="F35" s="24" t="s">
        <v>6</v>
      </c>
      <c r="G35" s="24" t="s">
        <v>1282</v>
      </c>
      <c r="H35" s="24" t="s">
        <v>1283</v>
      </c>
      <c r="I35" s="24" t="s">
        <v>1274</v>
      </c>
    </row>
    <row r="36" spans="1:9" ht="36" x14ac:dyDescent="0.25">
      <c r="A36" s="24">
        <v>32</v>
      </c>
      <c r="B36" s="24" t="s">
        <v>1269</v>
      </c>
      <c r="C36" s="24" t="s">
        <v>1284</v>
      </c>
      <c r="D36" s="24" t="s">
        <v>921</v>
      </c>
      <c r="E36" s="24" t="s">
        <v>1296</v>
      </c>
      <c r="F36" s="24" t="s">
        <v>6</v>
      </c>
      <c r="G36" s="24" t="s">
        <v>1286</v>
      </c>
      <c r="H36" s="24" t="s">
        <v>1287</v>
      </c>
      <c r="I36" s="24" t="s">
        <v>1274</v>
      </c>
    </row>
    <row r="37" spans="1:9" ht="36" x14ac:dyDescent="0.25">
      <c r="A37" s="24">
        <v>33</v>
      </c>
      <c r="B37" s="24" t="s">
        <v>1269</v>
      </c>
      <c r="C37" s="24" t="s">
        <v>1276</v>
      </c>
      <c r="D37" s="24" t="s">
        <v>1017</v>
      </c>
      <c r="E37" s="24" t="s">
        <v>1297</v>
      </c>
      <c r="F37" s="24" t="s">
        <v>1</v>
      </c>
      <c r="G37" s="24" t="s">
        <v>1278</v>
      </c>
      <c r="H37" s="24" t="s">
        <v>1279</v>
      </c>
      <c r="I37" s="24" t="s">
        <v>1274</v>
      </c>
    </row>
    <row r="38" spans="1:9" ht="36" x14ac:dyDescent="0.25">
      <c r="A38" s="24">
        <v>34</v>
      </c>
      <c r="B38" s="24" t="s">
        <v>1269</v>
      </c>
      <c r="C38" s="24" t="s">
        <v>1284</v>
      </c>
      <c r="D38" s="24" t="s">
        <v>1052</v>
      </c>
      <c r="E38" s="24" t="s">
        <v>1298</v>
      </c>
      <c r="F38" s="24" t="s">
        <v>12</v>
      </c>
      <c r="G38" s="24" t="s">
        <v>1286</v>
      </c>
      <c r="H38" s="24" t="s">
        <v>1290</v>
      </c>
      <c r="I38" s="24" t="s">
        <v>1274</v>
      </c>
    </row>
    <row r="39" spans="1:9" ht="36" x14ac:dyDescent="0.25">
      <c r="A39" s="24">
        <v>35</v>
      </c>
      <c r="B39" s="24" t="s">
        <v>1299</v>
      </c>
      <c r="C39" s="24" t="s">
        <v>1300</v>
      </c>
      <c r="D39" s="24" t="s">
        <v>28</v>
      </c>
      <c r="E39" s="24" t="s">
        <v>1301</v>
      </c>
      <c r="F39" s="24" t="s">
        <v>1302</v>
      </c>
      <c r="G39" s="24" t="s">
        <v>1303</v>
      </c>
      <c r="H39" s="24" t="s">
        <v>1304</v>
      </c>
      <c r="I39" s="24" t="s">
        <v>1305</v>
      </c>
    </row>
    <row r="40" spans="1:9" ht="36" x14ac:dyDescent="0.25">
      <c r="A40" s="24">
        <v>36</v>
      </c>
      <c r="B40" s="24" t="s">
        <v>1299</v>
      </c>
      <c r="C40" s="24" t="s">
        <v>1306</v>
      </c>
      <c r="D40" s="24" t="s">
        <v>91</v>
      </c>
      <c r="E40" s="24" t="s">
        <v>1307</v>
      </c>
      <c r="F40" s="24" t="s">
        <v>1308</v>
      </c>
      <c r="G40" s="24" t="s">
        <v>1309</v>
      </c>
      <c r="H40" s="24" t="s">
        <v>1310</v>
      </c>
      <c r="I40" s="24" t="s">
        <v>1305</v>
      </c>
    </row>
    <row r="41" spans="1:9" ht="24" x14ac:dyDescent="0.25">
      <c r="A41" s="24">
        <v>37</v>
      </c>
      <c r="B41" s="24" t="s">
        <v>1299</v>
      </c>
      <c r="C41" s="24" t="s">
        <v>1311</v>
      </c>
      <c r="D41" s="24" t="s">
        <v>151</v>
      </c>
      <c r="E41" s="24" t="s">
        <v>1312</v>
      </c>
      <c r="F41" s="24" t="s">
        <v>1313</v>
      </c>
      <c r="G41" s="24" t="s">
        <v>1314</v>
      </c>
      <c r="H41" s="24" t="s">
        <v>1315</v>
      </c>
      <c r="I41" s="24" t="s">
        <v>1305</v>
      </c>
    </row>
    <row r="42" spans="1:9" ht="36" x14ac:dyDescent="0.25">
      <c r="A42" s="24">
        <v>38</v>
      </c>
      <c r="B42" s="24" t="s">
        <v>1299</v>
      </c>
      <c r="C42" s="24" t="s">
        <v>1306</v>
      </c>
      <c r="D42" s="24" t="s">
        <v>331</v>
      </c>
      <c r="E42" s="24" t="s">
        <v>1316</v>
      </c>
      <c r="F42" s="24" t="s">
        <v>1308</v>
      </c>
      <c r="G42" s="24" t="s">
        <v>1317</v>
      </c>
      <c r="H42" s="24" t="s">
        <v>1318</v>
      </c>
      <c r="I42" s="24" t="s">
        <v>1305</v>
      </c>
    </row>
    <row r="43" spans="1:9" ht="24" x14ac:dyDescent="0.25">
      <c r="A43" s="24">
        <v>39</v>
      </c>
      <c r="B43" s="24" t="s">
        <v>1299</v>
      </c>
      <c r="C43" s="24" t="s">
        <v>1319</v>
      </c>
      <c r="D43" s="24" t="s">
        <v>338</v>
      </c>
      <c r="E43" s="24" t="s">
        <v>1320</v>
      </c>
      <c r="F43" s="24" t="s">
        <v>1321</v>
      </c>
      <c r="G43" s="24" t="s">
        <v>1322</v>
      </c>
      <c r="H43" s="24" t="s">
        <v>1323</v>
      </c>
      <c r="I43" s="24" t="s">
        <v>1305</v>
      </c>
    </row>
    <row r="44" spans="1:9" ht="36" x14ac:dyDescent="0.25">
      <c r="A44" s="24">
        <v>40</v>
      </c>
      <c r="B44" s="24" t="s">
        <v>1299</v>
      </c>
      <c r="C44" s="24" t="s">
        <v>1324</v>
      </c>
      <c r="D44" s="24" t="s">
        <v>376</v>
      </c>
      <c r="E44" s="24" t="s">
        <v>1325</v>
      </c>
      <c r="F44" s="24" t="s">
        <v>1326</v>
      </c>
      <c r="G44" s="24" t="s">
        <v>1327</v>
      </c>
      <c r="H44" s="24" t="s">
        <v>1328</v>
      </c>
      <c r="I44" s="24" t="s">
        <v>1305</v>
      </c>
    </row>
    <row r="45" spans="1:9" ht="36" x14ac:dyDescent="0.25">
      <c r="A45" s="24">
        <v>41</v>
      </c>
      <c r="B45" s="24" t="s">
        <v>1299</v>
      </c>
      <c r="C45" s="24" t="s">
        <v>1324</v>
      </c>
      <c r="D45" s="24" t="s">
        <v>511</v>
      </c>
      <c r="E45" s="24" t="s">
        <v>1329</v>
      </c>
      <c r="F45" s="24" t="s">
        <v>1326</v>
      </c>
      <c r="G45" s="24" t="s">
        <v>1330</v>
      </c>
      <c r="H45" s="24" t="s">
        <v>1331</v>
      </c>
      <c r="I45" s="24" t="s">
        <v>1305</v>
      </c>
    </row>
    <row r="46" spans="1:9" ht="24" x14ac:dyDescent="0.25">
      <c r="A46" s="24">
        <v>42</v>
      </c>
      <c r="B46" s="24" t="s">
        <v>1299</v>
      </c>
      <c r="C46" s="24" t="s">
        <v>1332</v>
      </c>
      <c r="D46" s="24" t="s">
        <v>581</v>
      </c>
      <c r="E46" s="24" t="s">
        <v>1333</v>
      </c>
      <c r="F46" s="24" t="s">
        <v>1334</v>
      </c>
      <c r="G46" s="24" t="s">
        <v>1335</v>
      </c>
      <c r="H46" s="24" t="s">
        <v>1336</v>
      </c>
      <c r="I46" s="24" t="s">
        <v>1305</v>
      </c>
    </row>
    <row r="47" spans="1:9" ht="36" x14ac:dyDescent="0.25">
      <c r="A47" s="24">
        <v>43</v>
      </c>
      <c r="B47" s="24" t="s">
        <v>1299</v>
      </c>
      <c r="C47" s="24" t="s">
        <v>1337</v>
      </c>
      <c r="D47" s="24" t="s">
        <v>650</v>
      </c>
      <c r="E47" s="24" t="s">
        <v>1338</v>
      </c>
      <c r="F47" s="24" t="s">
        <v>1339</v>
      </c>
      <c r="G47" s="24" t="s">
        <v>1340</v>
      </c>
      <c r="H47" s="24" t="s">
        <v>1341</v>
      </c>
      <c r="I47" s="24" t="s">
        <v>1305</v>
      </c>
    </row>
    <row r="48" spans="1:9" ht="36" x14ac:dyDescent="0.25">
      <c r="A48" s="24">
        <v>44</v>
      </c>
      <c r="B48" s="24" t="s">
        <v>1299</v>
      </c>
      <c r="C48" s="24" t="s">
        <v>1300</v>
      </c>
      <c r="D48" s="24" t="s">
        <v>685</v>
      </c>
      <c r="E48" s="24" t="s">
        <v>1211</v>
      </c>
      <c r="F48" s="24" t="s">
        <v>1302</v>
      </c>
      <c r="G48" s="24" t="s">
        <v>1342</v>
      </c>
      <c r="H48" s="24" t="s">
        <v>1343</v>
      </c>
      <c r="I48" s="24" t="s">
        <v>1305</v>
      </c>
    </row>
    <row r="49" spans="1:9" ht="36" x14ac:dyDescent="0.25">
      <c r="A49" s="24">
        <v>45</v>
      </c>
      <c r="B49" s="24" t="s">
        <v>1299</v>
      </c>
      <c r="C49" s="24" t="s">
        <v>1344</v>
      </c>
      <c r="D49" s="24" t="s">
        <v>715</v>
      </c>
      <c r="E49" s="24" t="s">
        <v>1345</v>
      </c>
      <c r="F49" s="24" t="s">
        <v>1346</v>
      </c>
      <c r="G49" s="24" t="s">
        <v>1347</v>
      </c>
      <c r="H49" s="24" t="s">
        <v>1348</v>
      </c>
      <c r="I49" s="24" t="s">
        <v>1305</v>
      </c>
    </row>
    <row r="50" spans="1:9" ht="36" x14ac:dyDescent="0.25">
      <c r="A50" s="24">
        <v>46</v>
      </c>
      <c r="B50" s="24" t="s">
        <v>1299</v>
      </c>
      <c r="C50" s="24" t="s">
        <v>1337</v>
      </c>
      <c r="D50" s="24" t="s">
        <v>735</v>
      </c>
      <c r="E50" s="24" t="s">
        <v>1349</v>
      </c>
      <c r="F50" s="24" t="s">
        <v>1339</v>
      </c>
      <c r="G50" s="24" t="s">
        <v>1350</v>
      </c>
      <c r="H50" s="24" t="s">
        <v>1351</v>
      </c>
      <c r="I50" s="24" t="s">
        <v>1305</v>
      </c>
    </row>
    <row r="51" spans="1:9" ht="36" x14ac:dyDescent="0.25">
      <c r="A51" s="24">
        <v>47</v>
      </c>
      <c r="B51" s="24" t="s">
        <v>1299</v>
      </c>
      <c r="C51" s="24" t="s">
        <v>1344</v>
      </c>
      <c r="D51" s="24" t="s">
        <v>756</v>
      </c>
      <c r="E51" s="24" t="s">
        <v>1352</v>
      </c>
      <c r="F51" s="24" t="s">
        <v>1346</v>
      </c>
      <c r="G51" s="24" t="s">
        <v>1353</v>
      </c>
      <c r="H51" s="24" t="s">
        <v>1354</v>
      </c>
      <c r="I51" s="24" t="s">
        <v>1305</v>
      </c>
    </row>
    <row r="52" spans="1:9" ht="24" x14ac:dyDescent="0.25">
      <c r="A52" s="24">
        <v>48</v>
      </c>
      <c r="B52" s="24" t="s">
        <v>1299</v>
      </c>
      <c r="C52" s="24" t="s">
        <v>1319</v>
      </c>
      <c r="D52" s="24" t="s">
        <v>771</v>
      </c>
      <c r="E52" s="24" t="s">
        <v>1355</v>
      </c>
      <c r="F52" s="24" t="s">
        <v>1321</v>
      </c>
      <c r="G52" s="24" t="s">
        <v>1356</v>
      </c>
      <c r="H52" s="24" t="s">
        <v>1357</v>
      </c>
      <c r="I52" s="24" t="s">
        <v>1305</v>
      </c>
    </row>
    <row r="53" spans="1:9" ht="24" x14ac:dyDescent="0.25">
      <c r="A53" s="24">
        <v>49</v>
      </c>
      <c r="B53" s="24" t="s">
        <v>1299</v>
      </c>
      <c r="C53" s="24" t="s">
        <v>1358</v>
      </c>
      <c r="D53" s="24" t="s">
        <v>789</v>
      </c>
      <c r="E53" s="24" t="s">
        <v>1359</v>
      </c>
      <c r="F53" s="24" t="s">
        <v>1360</v>
      </c>
      <c r="G53" s="24" t="s">
        <v>1361</v>
      </c>
      <c r="H53" s="24" t="s">
        <v>1362</v>
      </c>
      <c r="I53" s="24" t="s">
        <v>1305</v>
      </c>
    </row>
    <row r="54" spans="1:9" ht="36" x14ac:dyDescent="0.25">
      <c r="A54" s="24">
        <v>50</v>
      </c>
      <c r="B54" s="24" t="s">
        <v>1299</v>
      </c>
      <c r="C54" s="24" t="s">
        <v>1344</v>
      </c>
      <c r="D54" s="24" t="s">
        <v>837</v>
      </c>
      <c r="E54" s="24" t="s">
        <v>1363</v>
      </c>
      <c r="F54" s="24" t="s">
        <v>1346</v>
      </c>
      <c r="G54" s="24" t="s">
        <v>1364</v>
      </c>
      <c r="H54" s="24" t="s">
        <v>1365</v>
      </c>
      <c r="I54" s="24" t="s">
        <v>1305</v>
      </c>
    </row>
    <row r="55" spans="1:9" ht="24" x14ac:dyDescent="0.25">
      <c r="A55" s="24">
        <v>51</v>
      </c>
      <c r="B55" s="24" t="s">
        <v>1299</v>
      </c>
      <c r="C55" s="24" t="s">
        <v>1319</v>
      </c>
      <c r="D55" s="24" t="s">
        <v>869</v>
      </c>
      <c r="E55" s="24" t="s">
        <v>1366</v>
      </c>
      <c r="F55" s="24" t="s">
        <v>1321</v>
      </c>
      <c r="G55" s="24" t="s">
        <v>1367</v>
      </c>
      <c r="H55" s="24" t="s">
        <v>1368</v>
      </c>
      <c r="I55" s="24" t="s">
        <v>1305</v>
      </c>
    </row>
    <row r="56" spans="1:9" ht="24" x14ac:dyDescent="0.25">
      <c r="A56" s="24">
        <v>52</v>
      </c>
      <c r="B56" s="24" t="s">
        <v>1299</v>
      </c>
      <c r="C56" s="24" t="s">
        <v>1369</v>
      </c>
      <c r="D56" s="24" t="s">
        <v>902</v>
      </c>
      <c r="E56" s="24" t="s">
        <v>1370</v>
      </c>
      <c r="F56" s="24" t="s">
        <v>1371</v>
      </c>
      <c r="G56" s="24" t="s">
        <v>1372</v>
      </c>
      <c r="H56" s="24" t="s">
        <v>1373</v>
      </c>
      <c r="I56" s="24" t="s">
        <v>1305</v>
      </c>
    </row>
    <row r="57" spans="1:9" ht="24" x14ac:dyDescent="0.25">
      <c r="A57" s="24">
        <v>53</v>
      </c>
      <c r="B57" s="24" t="s">
        <v>1299</v>
      </c>
      <c r="C57" s="24" t="s">
        <v>1369</v>
      </c>
      <c r="D57" s="24" t="s">
        <v>913</v>
      </c>
      <c r="E57" s="24" t="s">
        <v>1374</v>
      </c>
      <c r="F57" s="24" t="s">
        <v>1371</v>
      </c>
      <c r="G57" s="24" t="s">
        <v>1375</v>
      </c>
      <c r="H57" s="24" t="s">
        <v>1376</v>
      </c>
      <c r="I57" s="24" t="s">
        <v>1305</v>
      </c>
    </row>
    <row r="58" spans="1:9" ht="24" x14ac:dyDescent="0.25">
      <c r="A58" s="24">
        <v>54</v>
      </c>
      <c r="B58" s="24" t="s">
        <v>1299</v>
      </c>
      <c r="C58" s="24" t="s">
        <v>1332</v>
      </c>
      <c r="D58" s="24" t="s">
        <v>930</v>
      </c>
      <c r="E58" s="24" t="s">
        <v>1377</v>
      </c>
      <c r="F58" s="24" t="s">
        <v>1334</v>
      </c>
      <c r="G58" s="24" t="s">
        <v>1378</v>
      </c>
      <c r="H58" s="24" t="s">
        <v>1379</v>
      </c>
      <c r="I58" s="24" t="s">
        <v>1305</v>
      </c>
    </row>
    <row r="59" spans="1:9" ht="24" x14ac:dyDescent="0.25">
      <c r="A59" s="24">
        <v>55</v>
      </c>
      <c r="B59" s="24" t="s">
        <v>1299</v>
      </c>
      <c r="C59" s="24" t="s">
        <v>1311</v>
      </c>
      <c r="D59" s="24" t="s">
        <v>976</v>
      </c>
      <c r="E59" s="24" t="s">
        <v>1380</v>
      </c>
      <c r="F59" s="24" t="s">
        <v>1313</v>
      </c>
      <c r="G59" s="24" t="s">
        <v>1381</v>
      </c>
      <c r="H59" s="24" t="s">
        <v>1382</v>
      </c>
      <c r="I59" s="24" t="s">
        <v>1305</v>
      </c>
    </row>
    <row r="60" spans="1:9" ht="24" x14ac:dyDescent="0.25">
      <c r="A60" s="24">
        <v>56</v>
      </c>
      <c r="B60" s="24" t="s">
        <v>1299</v>
      </c>
      <c r="C60" s="24" t="s">
        <v>1358</v>
      </c>
      <c r="D60" s="24" t="s">
        <v>999</v>
      </c>
      <c r="E60" s="24" t="s">
        <v>1383</v>
      </c>
      <c r="F60" s="24" t="s">
        <v>1360</v>
      </c>
      <c r="G60" s="24" t="s">
        <v>1384</v>
      </c>
      <c r="H60" s="24" t="s">
        <v>1385</v>
      </c>
      <c r="I60" s="24" t="s">
        <v>1305</v>
      </c>
    </row>
    <row r="61" spans="1:9" ht="24" x14ac:dyDescent="0.25">
      <c r="A61" s="24">
        <v>57</v>
      </c>
      <c r="B61" s="24" t="s">
        <v>1386</v>
      </c>
      <c r="C61" s="24" t="s">
        <v>1387</v>
      </c>
      <c r="D61" s="24" t="s">
        <v>172</v>
      </c>
      <c r="E61" s="24" t="s">
        <v>1388</v>
      </c>
      <c r="F61" s="24" t="s">
        <v>1313</v>
      </c>
      <c r="G61" s="24" t="s">
        <v>1389</v>
      </c>
      <c r="H61" s="24" t="s">
        <v>1390</v>
      </c>
      <c r="I61" s="24" t="s">
        <v>1391</v>
      </c>
    </row>
    <row r="62" spans="1:9" ht="24" x14ac:dyDescent="0.25">
      <c r="A62" s="24">
        <v>58</v>
      </c>
      <c r="B62" s="24" t="s">
        <v>1386</v>
      </c>
      <c r="C62" s="24" t="s">
        <v>1392</v>
      </c>
      <c r="D62" s="24" t="s">
        <v>341</v>
      </c>
      <c r="E62" s="24" t="s">
        <v>1393</v>
      </c>
      <c r="F62" s="24" t="s">
        <v>8</v>
      </c>
      <c r="G62" s="24" t="s">
        <v>1394</v>
      </c>
      <c r="H62" s="24" t="s">
        <v>1395</v>
      </c>
      <c r="I62" s="24" t="s">
        <v>1391</v>
      </c>
    </row>
    <row r="63" spans="1:9" ht="24" x14ac:dyDescent="0.25">
      <c r="A63" s="24">
        <v>59</v>
      </c>
      <c r="B63" s="24" t="s">
        <v>1386</v>
      </c>
      <c r="C63" s="24" t="s">
        <v>1392</v>
      </c>
      <c r="D63" s="24" t="s">
        <v>365</v>
      </c>
      <c r="E63" s="24" t="s">
        <v>1396</v>
      </c>
      <c r="F63" s="24" t="s">
        <v>8</v>
      </c>
      <c r="G63" s="24" t="s">
        <v>1397</v>
      </c>
      <c r="H63" s="24" t="s">
        <v>1398</v>
      </c>
      <c r="I63" s="24" t="s">
        <v>1391</v>
      </c>
    </row>
    <row r="64" spans="1:9" ht="24" x14ac:dyDescent="0.25">
      <c r="A64" s="24">
        <v>60</v>
      </c>
      <c r="B64" s="24" t="s">
        <v>1386</v>
      </c>
      <c r="C64" s="24" t="s">
        <v>1387</v>
      </c>
      <c r="D64" s="24" t="s">
        <v>601</v>
      </c>
      <c r="E64" s="24" t="s">
        <v>1399</v>
      </c>
      <c r="F64" s="24" t="s">
        <v>1313</v>
      </c>
      <c r="G64" s="24" t="s">
        <v>1400</v>
      </c>
      <c r="H64" s="24" t="s">
        <v>1401</v>
      </c>
      <c r="I64" s="24" t="s">
        <v>1391</v>
      </c>
    </row>
    <row r="65" spans="1:9" ht="36" x14ac:dyDescent="0.25">
      <c r="A65" s="24">
        <v>61</v>
      </c>
      <c r="B65" s="24" t="s">
        <v>1402</v>
      </c>
      <c r="C65" s="24" t="s">
        <v>1403</v>
      </c>
      <c r="D65" s="24" t="s">
        <v>85</v>
      </c>
      <c r="E65" s="24" t="s">
        <v>1404</v>
      </c>
      <c r="F65" s="24" t="s">
        <v>3</v>
      </c>
      <c r="G65" s="24" t="s">
        <v>1405</v>
      </c>
      <c r="H65" s="24" t="s">
        <v>1406</v>
      </c>
      <c r="I65" s="24" t="s">
        <v>1407</v>
      </c>
    </row>
    <row r="66" spans="1:9" ht="36" x14ac:dyDescent="0.25">
      <c r="A66" s="24">
        <v>62</v>
      </c>
      <c r="B66" s="24" t="s">
        <v>1402</v>
      </c>
      <c r="C66" s="24" t="s">
        <v>1403</v>
      </c>
      <c r="D66" s="24" t="s">
        <v>121</v>
      </c>
      <c r="E66" s="24" t="s">
        <v>1408</v>
      </c>
      <c r="F66" s="24" t="s">
        <v>3</v>
      </c>
      <c r="G66" s="24" t="s">
        <v>1409</v>
      </c>
      <c r="H66" s="24" t="s">
        <v>1410</v>
      </c>
      <c r="I66" s="24" t="s">
        <v>1407</v>
      </c>
    </row>
    <row r="67" spans="1:9" ht="36" x14ac:dyDescent="0.25">
      <c r="A67" s="24">
        <v>63</v>
      </c>
      <c r="B67" s="24" t="s">
        <v>1402</v>
      </c>
      <c r="C67" s="24" t="s">
        <v>1403</v>
      </c>
      <c r="D67" s="24" t="s">
        <v>242</v>
      </c>
      <c r="E67" s="24" t="s">
        <v>1411</v>
      </c>
      <c r="F67" s="24" t="s">
        <v>3</v>
      </c>
      <c r="G67" s="24" t="s">
        <v>1412</v>
      </c>
      <c r="H67" s="24" t="s">
        <v>1413</v>
      </c>
      <c r="I67" s="24" t="s">
        <v>1407</v>
      </c>
    </row>
    <row r="68" spans="1:9" ht="36" x14ac:dyDescent="0.25">
      <c r="A68" s="24">
        <v>64</v>
      </c>
      <c r="B68" s="24" t="s">
        <v>1402</v>
      </c>
      <c r="C68" s="24" t="s">
        <v>1414</v>
      </c>
      <c r="D68" s="24" t="s">
        <v>286</v>
      </c>
      <c r="E68" s="24" t="s">
        <v>1415</v>
      </c>
      <c r="F68" s="24" t="s">
        <v>9</v>
      </c>
      <c r="G68" s="24" t="s">
        <v>1416</v>
      </c>
      <c r="H68" s="24" t="s">
        <v>1417</v>
      </c>
      <c r="I68" s="24" t="s">
        <v>1407</v>
      </c>
    </row>
    <row r="69" spans="1:9" ht="36" x14ac:dyDescent="0.25">
      <c r="A69" s="24">
        <v>65</v>
      </c>
      <c r="B69" s="24" t="s">
        <v>1402</v>
      </c>
      <c r="C69" s="24" t="s">
        <v>1418</v>
      </c>
      <c r="D69" s="24" t="s">
        <v>320</v>
      </c>
      <c r="E69" s="24" t="s">
        <v>1419</v>
      </c>
      <c r="F69" s="24" t="s">
        <v>2</v>
      </c>
      <c r="G69" s="24" t="s">
        <v>1420</v>
      </c>
      <c r="H69" s="24" t="s">
        <v>1421</v>
      </c>
      <c r="I69" s="24" t="s">
        <v>1407</v>
      </c>
    </row>
    <row r="70" spans="1:9" ht="36" x14ac:dyDescent="0.25">
      <c r="A70" s="24">
        <v>66</v>
      </c>
      <c r="B70" s="24" t="s">
        <v>1402</v>
      </c>
      <c r="C70" s="24" t="s">
        <v>1422</v>
      </c>
      <c r="D70" s="24" t="s">
        <v>387</v>
      </c>
      <c r="E70" s="24" t="s">
        <v>1423</v>
      </c>
      <c r="F70" s="24" t="s">
        <v>4</v>
      </c>
      <c r="G70" s="24" t="s">
        <v>1424</v>
      </c>
      <c r="H70" s="24" t="s">
        <v>1425</v>
      </c>
      <c r="I70" s="24" t="s">
        <v>1407</v>
      </c>
    </row>
    <row r="71" spans="1:9" ht="36" x14ac:dyDescent="0.25">
      <c r="A71" s="24">
        <v>67</v>
      </c>
      <c r="B71" s="24" t="s">
        <v>1402</v>
      </c>
      <c r="C71" s="24" t="s">
        <v>1403</v>
      </c>
      <c r="D71" s="24" t="s">
        <v>409</v>
      </c>
      <c r="E71" s="24" t="s">
        <v>1426</v>
      </c>
      <c r="F71" s="24" t="s">
        <v>3</v>
      </c>
      <c r="G71" s="24" t="s">
        <v>1427</v>
      </c>
      <c r="H71" s="24" t="s">
        <v>1428</v>
      </c>
      <c r="I71" s="24" t="s">
        <v>1407</v>
      </c>
    </row>
    <row r="72" spans="1:9" ht="36" x14ac:dyDescent="0.25">
      <c r="A72" s="24">
        <v>68</v>
      </c>
      <c r="B72" s="24" t="s">
        <v>1402</v>
      </c>
      <c r="C72" s="24" t="s">
        <v>1403</v>
      </c>
      <c r="D72" s="24" t="s">
        <v>473</v>
      </c>
      <c r="E72" s="24" t="s">
        <v>1429</v>
      </c>
      <c r="F72" s="24" t="s">
        <v>3</v>
      </c>
      <c r="G72" s="24" t="s">
        <v>1430</v>
      </c>
      <c r="H72" s="24" t="s">
        <v>1431</v>
      </c>
      <c r="I72" s="24" t="s">
        <v>1407</v>
      </c>
    </row>
    <row r="73" spans="1:9" ht="36" x14ac:dyDescent="0.25">
      <c r="A73" s="24">
        <v>69</v>
      </c>
      <c r="B73" s="24" t="s">
        <v>1402</v>
      </c>
      <c r="C73" s="24" t="s">
        <v>1418</v>
      </c>
      <c r="D73" s="24" t="s">
        <v>504</v>
      </c>
      <c r="E73" s="24" t="s">
        <v>1432</v>
      </c>
      <c r="F73" s="24" t="s">
        <v>2</v>
      </c>
      <c r="G73" s="24" t="s">
        <v>1433</v>
      </c>
      <c r="H73" s="24" t="s">
        <v>1434</v>
      </c>
      <c r="I73" s="24" t="s">
        <v>1407</v>
      </c>
    </row>
    <row r="74" spans="1:9" ht="36" x14ac:dyDescent="0.25">
      <c r="A74" s="24">
        <v>70</v>
      </c>
      <c r="B74" s="24" t="s">
        <v>1402</v>
      </c>
      <c r="C74" s="24" t="s">
        <v>1414</v>
      </c>
      <c r="D74" s="24" t="s">
        <v>512</v>
      </c>
      <c r="E74" s="24" t="s">
        <v>1435</v>
      </c>
      <c r="F74" s="24" t="s">
        <v>9</v>
      </c>
      <c r="G74" s="24" t="s">
        <v>1436</v>
      </c>
      <c r="H74" s="24" t="s">
        <v>1437</v>
      </c>
      <c r="I74" s="24" t="s">
        <v>1407</v>
      </c>
    </row>
    <row r="75" spans="1:9" ht="36" x14ac:dyDescent="0.25">
      <c r="A75" s="24">
        <v>71</v>
      </c>
      <c r="B75" s="24" t="s">
        <v>1402</v>
      </c>
      <c r="C75" s="24" t="s">
        <v>1414</v>
      </c>
      <c r="D75" s="24" t="s">
        <v>545</v>
      </c>
      <c r="E75" s="24" t="s">
        <v>1438</v>
      </c>
      <c r="F75" s="24" t="s">
        <v>9</v>
      </c>
      <c r="G75" s="24" t="s">
        <v>1439</v>
      </c>
      <c r="H75" s="24" t="s">
        <v>1440</v>
      </c>
      <c r="I75" s="24" t="s">
        <v>1407</v>
      </c>
    </row>
    <row r="76" spans="1:9" ht="36" x14ac:dyDescent="0.25">
      <c r="A76" s="24">
        <v>72</v>
      </c>
      <c r="B76" s="24" t="s">
        <v>1402</v>
      </c>
      <c r="C76" s="24" t="s">
        <v>1422</v>
      </c>
      <c r="D76" s="24" t="s">
        <v>640</v>
      </c>
      <c r="E76" s="24" t="s">
        <v>1441</v>
      </c>
      <c r="F76" s="24" t="s">
        <v>4</v>
      </c>
      <c r="G76" s="24" t="s">
        <v>1442</v>
      </c>
      <c r="H76" s="24" t="s">
        <v>1443</v>
      </c>
      <c r="I76" s="24" t="s">
        <v>1407</v>
      </c>
    </row>
    <row r="77" spans="1:9" ht="36" x14ac:dyDescent="0.25">
      <c r="A77" s="24">
        <v>73</v>
      </c>
      <c r="B77" s="24" t="s">
        <v>1402</v>
      </c>
      <c r="C77" s="24" t="s">
        <v>1418</v>
      </c>
      <c r="D77" s="24" t="s">
        <v>652</v>
      </c>
      <c r="E77" s="24" t="s">
        <v>1444</v>
      </c>
      <c r="F77" s="24" t="s">
        <v>2</v>
      </c>
      <c r="G77" s="24" t="s">
        <v>1445</v>
      </c>
      <c r="H77" s="24" t="s">
        <v>1446</v>
      </c>
      <c r="I77" s="24" t="s">
        <v>1407</v>
      </c>
    </row>
    <row r="78" spans="1:9" ht="36" x14ac:dyDescent="0.25">
      <c r="A78" s="24">
        <v>74</v>
      </c>
      <c r="B78" s="24" t="s">
        <v>1402</v>
      </c>
      <c r="C78" s="24" t="s">
        <v>1403</v>
      </c>
      <c r="D78" s="24" t="s">
        <v>846</v>
      </c>
      <c r="E78" s="24" t="s">
        <v>1447</v>
      </c>
      <c r="F78" s="24" t="s">
        <v>3</v>
      </c>
      <c r="G78" s="24" t="s">
        <v>1448</v>
      </c>
      <c r="H78" s="24" t="s">
        <v>1449</v>
      </c>
      <c r="I78" s="24" t="s">
        <v>1407</v>
      </c>
    </row>
    <row r="79" spans="1:9" ht="36" x14ac:dyDescent="0.25">
      <c r="A79" s="24">
        <v>75</v>
      </c>
      <c r="B79" s="24" t="s">
        <v>1402</v>
      </c>
      <c r="C79" s="24" t="s">
        <v>1418</v>
      </c>
      <c r="D79" s="24" t="s">
        <v>856</v>
      </c>
      <c r="E79" s="24" t="s">
        <v>1450</v>
      </c>
      <c r="F79" s="24" t="s">
        <v>2</v>
      </c>
      <c r="G79" s="24" t="s">
        <v>1451</v>
      </c>
      <c r="H79" s="24" t="s">
        <v>1452</v>
      </c>
      <c r="I79" s="24" t="s">
        <v>1407</v>
      </c>
    </row>
    <row r="80" spans="1:9" ht="36" x14ac:dyDescent="0.25">
      <c r="A80" s="24">
        <v>76</v>
      </c>
      <c r="B80" s="24" t="s">
        <v>1402</v>
      </c>
      <c r="C80" s="24" t="s">
        <v>1414</v>
      </c>
      <c r="D80" s="24" t="s">
        <v>877</v>
      </c>
      <c r="E80" s="24" t="s">
        <v>1453</v>
      </c>
      <c r="F80" s="24" t="s">
        <v>9</v>
      </c>
      <c r="G80" s="24" t="s">
        <v>1454</v>
      </c>
      <c r="H80" s="24" t="s">
        <v>1455</v>
      </c>
      <c r="I80" s="24" t="s">
        <v>1407</v>
      </c>
    </row>
    <row r="81" spans="1:9" ht="36" x14ac:dyDescent="0.25">
      <c r="A81" s="24">
        <v>77</v>
      </c>
      <c r="B81" s="24" t="s">
        <v>1402</v>
      </c>
      <c r="C81" s="24" t="s">
        <v>1418</v>
      </c>
      <c r="D81" s="24" t="s">
        <v>891</v>
      </c>
      <c r="E81" s="24" t="s">
        <v>1456</v>
      </c>
      <c r="F81" s="24" t="s">
        <v>2</v>
      </c>
      <c r="G81" s="24" t="s">
        <v>1457</v>
      </c>
      <c r="H81" s="24" t="s">
        <v>1458</v>
      </c>
      <c r="I81" s="24" t="s">
        <v>1407</v>
      </c>
    </row>
    <row r="82" spans="1:9" ht="36" x14ac:dyDescent="0.25">
      <c r="A82" s="24">
        <v>78</v>
      </c>
      <c r="B82" s="24" t="s">
        <v>1459</v>
      </c>
      <c r="C82" s="24" t="s">
        <v>1460</v>
      </c>
      <c r="D82" s="24" t="s">
        <v>107</v>
      </c>
      <c r="E82" s="24" t="s">
        <v>1461</v>
      </c>
      <c r="F82" s="24" t="s">
        <v>1462</v>
      </c>
      <c r="G82" s="24" t="s">
        <v>1463</v>
      </c>
      <c r="H82" s="24" t="s">
        <v>1464</v>
      </c>
      <c r="I82" s="24" t="s">
        <v>1465</v>
      </c>
    </row>
    <row r="83" spans="1:9" ht="36" x14ac:dyDescent="0.25">
      <c r="A83" s="24">
        <v>79</v>
      </c>
      <c r="B83" s="24" t="s">
        <v>1459</v>
      </c>
      <c r="C83" s="24" t="s">
        <v>1466</v>
      </c>
      <c r="D83" s="24" t="s">
        <v>200</v>
      </c>
      <c r="E83" s="24" t="s">
        <v>1467</v>
      </c>
      <c r="F83" s="24" t="s">
        <v>1468</v>
      </c>
      <c r="G83" s="24" t="s">
        <v>1469</v>
      </c>
      <c r="H83" s="24" t="s">
        <v>1470</v>
      </c>
      <c r="I83" s="24" t="s">
        <v>1465</v>
      </c>
    </row>
    <row r="84" spans="1:9" ht="36" x14ac:dyDescent="0.25">
      <c r="A84" s="24">
        <v>80</v>
      </c>
      <c r="B84" s="24" t="s">
        <v>1459</v>
      </c>
      <c r="C84" s="24" t="s">
        <v>1460</v>
      </c>
      <c r="D84" s="24" t="s">
        <v>215</v>
      </c>
      <c r="E84" s="24" t="s">
        <v>1471</v>
      </c>
      <c r="F84" s="24" t="s">
        <v>1462</v>
      </c>
      <c r="G84" s="24" t="s">
        <v>1472</v>
      </c>
      <c r="H84" s="24" t="s">
        <v>1473</v>
      </c>
      <c r="I84" s="24" t="s">
        <v>1465</v>
      </c>
    </row>
    <row r="85" spans="1:9" ht="36" x14ac:dyDescent="0.25">
      <c r="A85" s="24">
        <v>81</v>
      </c>
      <c r="B85" s="24" t="s">
        <v>1459</v>
      </c>
      <c r="C85" s="24" t="s">
        <v>1466</v>
      </c>
      <c r="D85" s="24" t="s">
        <v>258</v>
      </c>
      <c r="E85" s="24" t="s">
        <v>1474</v>
      </c>
      <c r="F85" s="24" t="s">
        <v>1468</v>
      </c>
      <c r="G85" s="24" t="s">
        <v>1475</v>
      </c>
      <c r="H85" s="24" t="s">
        <v>1476</v>
      </c>
      <c r="I85" s="24" t="s">
        <v>1465</v>
      </c>
    </row>
    <row r="86" spans="1:9" ht="36" x14ac:dyDescent="0.25">
      <c r="A86" s="24">
        <v>82</v>
      </c>
      <c r="B86" s="24" t="s">
        <v>1459</v>
      </c>
      <c r="C86" s="24" t="s">
        <v>1460</v>
      </c>
      <c r="D86" s="24" t="s">
        <v>324</v>
      </c>
      <c r="E86" s="24" t="s">
        <v>1477</v>
      </c>
      <c r="F86" s="24" t="s">
        <v>1462</v>
      </c>
      <c r="G86" s="24" t="s">
        <v>1478</v>
      </c>
      <c r="H86" s="24" t="s">
        <v>1479</v>
      </c>
      <c r="I86" s="24" t="s">
        <v>1465</v>
      </c>
    </row>
    <row r="87" spans="1:9" ht="36" x14ac:dyDescent="0.25">
      <c r="A87" s="24">
        <v>83</v>
      </c>
      <c r="B87" s="24" t="s">
        <v>1459</v>
      </c>
      <c r="C87" s="24" t="s">
        <v>1466</v>
      </c>
      <c r="D87" s="24" t="s">
        <v>761</v>
      </c>
      <c r="E87" s="24" t="s">
        <v>1480</v>
      </c>
      <c r="F87" s="24" t="s">
        <v>1468</v>
      </c>
      <c r="G87" s="24" t="s">
        <v>1481</v>
      </c>
      <c r="H87" s="24" t="s">
        <v>1482</v>
      </c>
      <c r="I87" s="24" t="s">
        <v>1465</v>
      </c>
    </row>
    <row r="88" spans="1:9" ht="72" x14ac:dyDescent="0.25">
      <c r="A88" s="24">
        <v>84</v>
      </c>
      <c r="B88" s="24" t="s">
        <v>1483</v>
      </c>
      <c r="C88" s="24" t="s">
        <v>1484</v>
      </c>
      <c r="D88" s="24" t="s">
        <v>278</v>
      </c>
      <c r="E88" s="24" t="s">
        <v>1485</v>
      </c>
      <c r="F88" s="24" t="s">
        <v>1486</v>
      </c>
      <c r="G88" s="24" t="s">
        <v>1487</v>
      </c>
      <c r="H88" s="24" t="s">
        <v>1488</v>
      </c>
      <c r="I88" s="24" t="s">
        <v>1489</v>
      </c>
    </row>
    <row r="89" spans="1:9" ht="72" x14ac:dyDescent="0.25">
      <c r="A89" s="24">
        <v>85</v>
      </c>
      <c r="B89" s="24" t="s">
        <v>1483</v>
      </c>
      <c r="C89" s="24" t="s">
        <v>1484</v>
      </c>
      <c r="D89" s="24" t="s">
        <v>317</v>
      </c>
      <c r="E89" s="24" t="s">
        <v>1490</v>
      </c>
      <c r="F89" s="24" t="s">
        <v>1486</v>
      </c>
      <c r="G89" s="24" t="s">
        <v>1487</v>
      </c>
      <c r="H89" s="24" t="s">
        <v>1488</v>
      </c>
      <c r="I89" s="24" t="s">
        <v>1489</v>
      </c>
    </row>
    <row r="90" spans="1:9" ht="72" x14ac:dyDescent="0.25">
      <c r="A90" s="24">
        <v>86</v>
      </c>
      <c r="B90" s="24" t="s">
        <v>1483</v>
      </c>
      <c r="C90" s="24" t="s">
        <v>1484</v>
      </c>
      <c r="D90" s="24" t="s">
        <v>403</v>
      </c>
      <c r="E90" s="24" t="s">
        <v>1491</v>
      </c>
      <c r="F90" s="24" t="s">
        <v>1486</v>
      </c>
      <c r="G90" s="24" t="s">
        <v>1487</v>
      </c>
      <c r="H90" s="24" t="s">
        <v>1488</v>
      </c>
      <c r="I90" s="24" t="s">
        <v>1489</v>
      </c>
    </row>
    <row r="91" spans="1:9" ht="72" x14ac:dyDescent="0.25">
      <c r="A91" s="24">
        <v>87</v>
      </c>
      <c r="B91" s="24" t="s">
        <v>1483</v>
      </c>
      <c r="C91" s="24" t="s">
        <v>1484</v>
      </c>
      <c r="D91" s="24" t="s">
        <v>423</v>
      </c>
      <c r="E91" s="24" t="s">
        <v>1492</v>
      </c>
      <c r="F91" s="24" t="s">
        <v>1486</v>
      </c>
      <c r="G91" s="24" t="s">
        <v>1487</v>
      </c>
      <c r="H91" s="24" t="s">
        <v>1488</v>
      </c>
      <c r="I91" s="24" t="s">
        <v>1489</v>
      </c>
    </row>
    <row r="92" spans="1:9" ht="72" x14ac:dyDescent="0.25">
      <c r="A92" s="24">
        <v>88</v>
      </c>
      <c r="B92" s="24" t="s">
        <v>1483</v>
      </c>
      <c r="C92" s="24" t="s">
        <v>1484</v>
      </c>
      <c r="D92" s="24" t="s">
        <v>553</v>
      </c>
      <c r="E92" s="24" t="s">
        <v>1493</v>
      </c>
      <c r="F92" s="24" t="s">
        <v>1486</v>
      </c>
      <c r="G92" s="24" t="s">
        <v>1487</v>
      </c>
      <c r="H92" s="24" t="s">
        <v>1488</v>
      </c>
      <c r="I92" s="24" t="s">
        <v>1489</v>
      </c>
    </row>
    <row r="93" spans="1:9" ht="72" x14ac:dyDescent="0.25">
      <c r="A93" s="24">
        <v>89</v>
      </c>
      <c r="B93" s="24" t="s">
        <v>1483</v>
      </c>
      <c r="C93" s="24" t="s">
        <v>1484</v>
      </c>
      <c r="D93" s="24" t="s">
        <v>733</v>
      </c>
      <c r="E93" s="24" t="s">
        <v>1494</v>
      </c>
      <c r="F93" s="24" t="s">
        <v>1486</v>
      </c>
      <c r="G93" s="24" t="s">
        <v>1487</v>
      </c>
      <c r="H93" s="24" t="s">
        <v>1488</v>
      </c>
      <c r="I93" s="24" t="s">
        <v>1489</v>
      </c>
    </row>
    <row r="94" spans="1:9" ht="72" x14ac:dyDescent="0.25">
      <c r="A94" s="24">
        <v>90</v>
      </c>
      <c r="B94" s="24" t="s">
        <v>1483</v>
      </c>
      <c r="C94" s="24" t="s">
        <v>1484</v>
      </c>
      <c r="D94" s="24" t="s">
        <v>747</v>
      </c>
      <c r="E94" s="24" t="s">
        <v>1495</v>
      </c>
      <c r="F94" s="24" t="s">
        <v>1486</v>
      </c>
      <c r="G94" s="24" t="s">
        <v>1487</v>
      </c>
      <c r="H94" s="24" t="s">
        <v>1488</v>
      </c>
      <c r="I94" s="24" t="s">
        <v>1489</v>
      </c>
    </row>
    <row r="95" spans="1:9" ht="72" x14ac:dyDescent="0.25">
      <c r="A95" s="24">
        <v>91</v>
      </c>
      <c r="B95" s="24" t="s">
        <v>1483</v>
      </c>
      <c r="C95" s="24" t="s">
        <v>1484</v>
      </c>
      <c r="D95" s="24" t="s">
        <v>752</v>
      </c>
      <c r="E95" s="24" t="s">
        <v>1496</v>
      </c>
      <c r="F95" s="24" t="s">
        <v>1486</v>
      </c>
      <c r="G95" s="24" t="s">
        <v>1487</v>
      </c>
      <c r="H95" s="24" t="s">
        <v>1488</v>
      </c>
      <c r="I95" s="24" t="s">
        <v>1489</v>
      </c>
    </row>
    <row r="96" spans="1:9" ht="72" x14ac:dyDescent="0.25">
      <c r="A96" s="24">
        <v>92</v>
      </c>
      <c r="B96" s="24" t="s">
        <v>1483</v>
      </c>
      <c r="C96" s="24" t="s">
        <v>1484</v>
      </c>
      <c r="D96" s="24" t="s">
        <v>774</v>
      </c>
      <c r="E96" s="24" t="s">
        <v>1497</v>
      </c>
      <c r="F96" s="24" t="s">
        <v>1486</v>
      </c>
      <c r="G96" s="24" t="s">
        <v>1487</v>
      </c>
      <c r="H96" s="24" t="s">
        <v>1488</v>
      </c>
      <c r="I96" s="24" t="s">
        <v>1489</v>
      </c>
    </row>
    <row r="97" spans="1:9" ht="72" x14ac:dyDescent="0.25">
      <c r="A97" s="24">
        <v>93</v>
      </c>
      <c r="B97" s="24" t="s">
        <v>1483</v>
      </c>
      <c r="C97" s="24" t="s">
        <v>1484</v>
      </c>
      <c r="D97" s="24" t="s">
        <v>962</v>
      </c>
      <c r="E97" s="24" t="s">
        <v>1498</v>
      </c>
      <c r="F97" s="24" t="s">
        <v>1486</v>
      </c>
      <c r="G97" s="24" t="s">
        <v>1487</v>
      </c>
      <c r="H97" s="24" t="s">
        <v>1488</v>
      </c>
      <c r="I97" s="24" t="s">
        <v>1489</v>
      </c>
    </row>
    <row r="98" spans="1:9" ht="72" x14ac:dyDescent="0.25">
      <c r="A98" s="24">
        <v>94</v>
      </c>
      <c r="B98" s="24" t="s">
        <v>1483</v>
      </c>
      <c r="C98" s="24" t="s">
        <v>1484</v>
      </c>
      <c r="D98" s="24" t="s">
        <v>972</v>
      </c>
      <c r="E98" s="24" t="s">
        <v>1499</v>
      </c>
      <c r="F98" s="24" t="s">
        <v>1486</v>
      </c>
      <c r="G98" s="24" t="s">
        <v>1487</v>
      </c>
      <c r="H98" s="24" t="s">
        <v>1488</v>
      </c>
      <c r="I98" s="24" t="s">
        <v>1489</v>
      </c>
    </row>
    <row r="99" spans="1:9" ht="72" x14ac:dyDescent="0.25">
      <c r="A99" s="24">
        <v>95</v>
      </c>
      <c r="B99" s="24" t="s">
        <v>1483</v>
      </c>
      <c r="C99" s="24" t="s">
        <v>1484</v>
      </c>
      <c r="D99" s="24" t="s">
        <v>1043</v>
      </c>
      <c r="E99" s="24" t="s">
        <v>1500</v>
      </c>
      <c r="F99" s="24" t="s">
        <v>1486</v>
      </c>
      <c r="G99" s="24" t="s">
        <v>1487</v>
      </c>
      <c r="H99" s="24" t="s">
        <v>1488</v>
      </c>
      <c r="I99" s="24" t="s">
        <v>1489</v>
      </c>
    </row>
    <row r="101" spans="1:9" x14ac:dyDescent="0.25">
      <c r="B101" s="19" t="s">
        <v>1501</v>
      </c>
    </row>
    <row r="102" spans="1:9" x14ac:dyDescent="0.25">
      <c r="B102" s="4" t="s">
        <v>1196</v>
      </c>
      <c r="C102" s="25">
        <f t="shared" ref="C102:C109" si="0">COUNTIF($B$5:$B$99,B102)</f>
        <v>9</v>
      </c>
    </row>
    <row r="103" spans="1:9" x14ac:dyDescent="0.25">
      <c r="B103" s="4" t="s">
        <v>1231</v>
      </c>
      <c r="C103" s="25">
        <f t="shared" si="0"/>
        <v>10</v>
      </c>
    </row>
    <row r="104" spans="1:9" x14ac:dyDescent="0.25">
      <c r="B104" s="4" t="s">
        <v>1269</v>
      </c>
      <c r="C104" s="25">
        <f t="shared" si="0"/>
        <v>15</v>
      </c>
    </row>
    <row r="105" spans="1:9" x14ac:dyDescent="0.25">
      <c r="B105" s="4" t="s">
        <v>1299</v>
      </c>
      <c r="C105" s="25">
        <f t="shared" si="0"/>
        <v>22</v>
      </c>
    </row>
    <row r="106" spans="1:9" x14ac:dyDescent="0.25">
      <c r="B106" s="4" t="s">
        <v>1386</v>
      </c>
      <c r="C106" s="25">
        <f t="shared" si="0"/>
        <v>4</v>
      </c>
    </row>
    <row r="107" spans="1:9" x14ac:dyDescent="0.25">
      <c r="B107" s="4" t="s">
        <v>1402</v>
      </c>
      <c r="C107" s="25">
        <f t="shared" si="0"/>
        <v>17</v>
      </c>
    </row>
    <row r="108" spans="1:9" x14ac:dyDescent="0.25">
      <c r="B108" s="4" t="s">
        <v>1459</v>
      </c>
      <c r="C108" s="25">
        <f t="shared" si="0"/>
        <v>6</v>
      </c>
    </row>
    <row r="109" spans="1:9" x14ac:dyDescent="0.25">
      <c r="B109" s="4" t="s">
        <v>1483</v>
      </c>
      <c r="C109" s="25">
        <f t="shared" si="0"/>
        <v>12</v>
      </c>
    </row>
    <row r="110" spans="1:9" x14ac:dyDescent="0.25">
      <c r="B110" s="25" t="s">
        <v>1502</v>
      </c>
      <c r="C110" s="25">
        <f>COUNTA($A$5:$A$99)</f>
        <v>95</v>
      </c>
    </row>
  </sheetData>
  <autoFilter ref="A4:I99" xr:uid="{00000000-0009-0000-0000-000004000000}"/>
  <mergeCells count="1">
    <mergeCell ref="A2:I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Customers</vt:lpstr>
      <vt:lpstr>Data_Dictionary</vt:lpstr>
      <vt:lpstr>Statistics</vt:lpstr>
      <vt:lpstr>Checks</vt:lpstr>
      <vt:lpstr>Outlier_Key_Trainer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Antonio Piemontese</cp:lastModifiedBy>
  <cp:revision>0</cp:revision>
  <dcterms:created xsi:type="dcterms:W3CDTF">2026-09-13T13:39:12Z</dcterms:created>
  <dcterms:modified xsi:type="dcterms:W3CDTF">2026-09-13T22:18:34Z</dcterms:modified>
  <dc:language>en-US</dc:language>
</cp:coreProperties>
</file>