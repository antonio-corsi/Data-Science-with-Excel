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Model" sheetId="3" state="visible" r:id="rId5"/>
    <sheet name="Evaluation" sheetId="4" state="visible" r:id="rId6"/>
    <sheet name="Predict" sheetId="5" state="visible" r:id="rId7"/>
  </sheets>
  <definedNames>
    <definedName function="false" hidden="true" localSheetId="2" name="solver_adj" vbProcedure="false">Model!$C$4:$C$7</definedName>
    <definedName function="false" hidden="true" localSheetId="2" name="solver_cvg" vbProcedure="false">0.0000001</definedName>
    <definedName function="false" hidden="true" localSheetId="2" name="solver_eng" vbProcedure="false">1</definedName>
    <definedName function="false" hidden="true" localSheetId="2" name="solver_msl" vbProcedure="false">2</definedName>
    <definedName function="false" hidden="true" localSheetId="2" name="solver_neg" vbProcedure="false">2</definedName>
    <definedName function="false" hidden="true" localSheetId="2" name="solver_num" vbProcedure="false">0</definedName>
    <definedName function="false" hidden="true" localSheetId="2" name="solver_opt" vbProcedure="false">Model!$C$12</definedName>
    <definedName function="false" hidden="true" localSheetId="2" name="solver_typ" vbProcedure="false">1</definedName>
    <definedName function="false" hidden="true" localSheetId="2" name="solver_val" vbProcedure="false">0</definedName>
    <definedName function="false" hidden="true" localSheetId="2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1 if Balance &gt; threshold in Model!C9, else 0</t>
        </r>
      </text>
    </comment>
  </commentList>
</comments>
</file>

<file path=xl/sharedStrings.xml><?xml version="1.0" encoding="utf-8"?>
<sst xmlns="http://schemas.openxmlformats.org/spreadsheetml/2006/main" count="314" uniqueCount="105">
  <si>
    <t xml:space="preserve">Logistic Regression with Excel Solver – Credit dataset (synthetic)</t>
  </si>
  <si>
    <t xml:space="preserve">Purpose</t>
  </si>
  <si>
    <t xml:space="preserve">Predict whether a bank customer has a HIGH credit card balance (Balance &gt; threshold) from Income, Limit and Student status,</t>
  </si>
  <si>
    <t xml:space="preserve">estimating the logistic regression coefficients by Maximum Likelihood with the Excel Solver add-in.</t>
  </si>
  <si>
    <t xml:space="preserve">Data</t>
  </si>
  <si>
    <t xml:space="preserve">200 synthetic customers modelled on the structure of the classic 'Credit' dataset (Income, Limit, Rating, Cards, Age, Education, Student, Balance).</t>
  </si>
  <si>
    <t xml:space="preserve">The values are simulated, not real customers. Income and Limit are expressed in thousands of dollars ($000) to keep coefficients on a similar scale.</t>
  </si>
  <si>
    <t xml:space="preserve">Response: HighBalance = 1 if Balance &gt; threshold (default $500, editable in Model!C9), otherwise 0.</t>
  </si>
  <si>
    <t xml:space="preserve">Model</t>
  </si>
  <si>
    <t xml:space="preserve">z = b0 + b1·Income + b2·Limit + b3·Student        p = P(HighBalance = 1) = 1 / (1 + e^(−z))</t>
  </si>
  <si>
    <t xml:space="preserve">Log-likelihood = Σ [ y·ln(p) + (1 − y)·ln(1 − p) ]  →  Solver changes b0…b3 to MAXIMIZE it (Model!C12).</t>
  </si>
  <si>
    <t xml:space="preserve">How to run the Solver</t>
  </si>
  <si>
    <t xml:space="preserve">1. If Solver is not in the Data tab: File &gt; Options &gt; Add-ins &gt; Manage: Excel Add-ins &gt; Go &gt; tick 'Solver Add-in'.</t>
  </si>
  <si>
    <t xml:space="preserve">2. Go to the Model sheet. Coefficients C4:C7 start at 0 (log-likelihood = 200·ln(0.5) ≈ −138.63).</t>
  </si>
  <si>
    <t xml:space="preserve">3. Data &gt; Solver. The settings should already be filled in; if not, enter them manually:</t>
  </si>
  <si>
    <t xml:space="preserve">      Set Objective: $C$12      To: Max      By Changing Variable Cells: $C$4:$C$7</t>
  </si>
  <si>
    <t xml:space="preserve">      UNTICK 'Make Unconstrained Variables Non-Negative' (coefficients can be negative)</t>
  </si>
  <si>
    <t xml:space="preserve">      Select a Solving Method: GRG Nonlinear  → Solve → Keep Solver Solution</t>
  </si>
  <si>
    <t xml:space="preserve">4. Check the Evaluation sheet: confusion matrix, accuracy, pseudo-R², odds ratios, and comparison with a reference solution.</t>
  </si>
  <si>
    <t xml:space="preserve">5. Use the Predict sheet to score a new customer.</t>
  </si>
  <si>
    <t xml:space="preserve">Tips</t>
  </si>
  <si>
    <t xml:space="preserve">If Solver stops early, click Solve again, or in Options &gt; GRG Nonlinear tick 'Use Multistart' / lower the Convergence value (e.g. 0.00000001).</t>
  </si>
  <si>
    <t xml:space="preserve">To restart from scratch, set C4:C7 back to 0.</t>
  </si>
  <si>
    <t xml:space="preserve">Colour legend</t>
  </si>
  <si>
    <t xml:space="preserve">Blue text on yellow = inputs you can change (coefficients, threshold, cut-off, Predict inputs). Black = formulas. Blue text = raw data.</t>
  </si>
  <si>
    <t xml:space="preserve">ID</t>
  </si>
  <si>
    <t xml:space="preserve">Income ($000)</t>
  </si>
  <si>
    <t xml:space="preserve">Limit ($000)</t>
  </si>
  <si>
    <t xml:space="preserve">Rating</t>
  </si>
  <si>
    <t xml:space="preserve">Cards</t>
  </si>
  <si>
    <t xml:space="preserve">Age</t>
  </si>
  <si>
    <t xml:space="preserve">Education (years)</t>
  </si>
  <si>
    <t xml:space="preserve">Student</t>
  </si>
  <si>
    <t xml:space="preserve">Balance ($)</t>
  </si>
  <si>
    <t xml:space="preserve">Student (1=Yes)</t>
  </si>
  <si>
    <t xml:space="preserve">HighBalance (y)</t>
  </si>
  <si>
    <t xml:space="preserve">No</t>
  </si>
  <si>
    <t xml:space="preserve">Yes</t>
  </si>
  <si>
    <t xml:space="preserve">Logistic regression – parameters, objective and row-level calculations</t>
  </si>
  <si>
    <t xml:space="preserve">Parameter</t>
  </si>
  <si>
    <t xml:space="preserve">Variable</t>
  </si>
  <si>
    <t xml:space="preserve">Coefficient</t>
  </si>
  <si>
    <t xml:space="preserve">b0</t>
  </si>
  <si>
    <t xml:space="preserve">Intercept</t>
  </si>
  <si>
    <t xml:space="preserve">← Solver changes C4:C7</t>
  </si>
  <si>
    <t xml:space="preserve">b1</t>
  </si>
  <si>
    <t xml:space="preserve">b2</t>
  </si>
  <si>
    <t xml:space="preserve">b3</t>
  </si>
  <si>
    <t xml:space="preserve">Balance threshold ($)</t>
  </si>
  <si>
    <t xml:space="preserve">Classification cut-off (p)</t>
  </si>
  <si>
    <t xml:space="preserve">Log-likelihood (objective – MAXIMIZE)</t>
  </si>
  <si>
    <t xml:space="preserve">Number of observations</t>
  </si>
  <si>
    <t xml:space="preserve">−2 · Log-likelihood (deviance)</t>
  </si>
  <si>
    <t xml:space="preserve">y (HighBalance)</t>
  </si>
  <si>
    <t xml:space="preserve">z (linear predictor)</t>
  </si>
  <si>
    <t xml:space="preserve">p = 1/(1+e^−z)</t>
  </si>
  <si>
    <t xml:space="preserve">Log-lik contribution</t>
  </si>
  <si>
    <t xml:space="preserve">Predicted class</t>
  </si>
  <si>
    <t xml:space="preserve">Model evaluation (updates after running Solver)</t>
  </si>
  <si>
    <t xml:space="preserve">Confusion matrix (training data)</t>
  </si>
  <si>
    <t xml:space="preserve">Predicted 0</t>
  </si>
  <si>
    <t xml:space="preserve">Predicted 1</t>
  </si>
  <si>
    <t xml:space="preserve">Total</t>
  </si>
  <si>
    <t xml:space="preserve">Actual 0</t>
  </si>
  <si>
    <t xml:space="preserve">Actual 1</t>
  </si>
  <si>
    <t xml:space="preserve">Metrics</t>
  </si>
  <si>
    <t xml:space="preserve">Accuracy</t>
  </si>
  <si>
    <t xml:space="preserve">Share of customers classified correctly</t>
  </si>
  <si>
    <t xml:space="preserve">Sensitivity (recall, TPR)</t>
  </si>
  <si>
    <t xml:space="preserve">High-balance customers correctly flagged</t>
  </si>
  <si>
    <t xml:space="preserve">Specificity (TNR)</t>
  </si>
  <si>
    <t xml:space="preserve">Low-balance customers correctly flagged</t>
  </si>
  <si>
    <t xml:space="preserve">Precision</t>
  </si>
  <si>
    <t xml:space="preserve">Flagged customers that are really high-balance</t>
  </si>
  <si>
    <t xml:space="preserve">Share of HighBalance = 1 (base rate)</t>
  </si>
  <si>
    <t xml:space="preserve">Also the null model probability</t>
  </si>
  <si>
    <t xml:space="preserve">Log-likelihood (fitted model)</t>
  </si>
  <si>
    <t xml:space="preserve">Log-likelihood (null model)</t>
  </si>
  <si>
    <t xml:space="preserve">Intercept-only model</t>
  </si>
  <si>
    <t xml:space="preserve">McFadden pseudo-R²</t>
  </si>
  <si>
    <t xml:space="preserve">1 − LL(model)/LL(null); 0.2–0.4 is a good fit</t>
  </si>
  <si>
    <t xml:space="preserve">Likelihood-ratio statistic</t>
  </si>
  <si>
    <t xml:space="preserve">Chi-square with 3 degrees of freedom</t>
  </si>
  <si>
    <t xml:space="preserve">LR test p-value</t>
  </si>
  <si>
    <t xml:space="preserve">&lt; 0.05 → predictors jointly significant</t>
  </si>
  <si>
    <t xml:space="preserve">Coefficients, odds ratios and check against a reference solution</t>
  </si>
  <si>
    <t xml:space="preserve">Solver estimate</t>
  </si>
  <si>
    <t xml:space="preserve">Odds ratio = e^b</t>
  </si>
  <si>
    <t xml:space="preserve">Reference estimate</t>
  </si>
  <si>
    <t xml:space="preserve">Difference</t>
  </si>
  <si>
    <t xml:space="preserve">Reference std. error</t>
  </si>
  <si>
    <t xml:space="preserve">Wald z = b / SE</t>
  </si>
  <si>
    <t xml:space="preserve">b0 – Intercept</t>
  </si>
  <si>
    <t xml:space="preserve">b1 – Income ($000)</t>
  </si>
  <si>
    <t xml:space="preserve">b2 – Limit ($000)</t>
  </si>
  <si>
    <t xml:space="preserve">b3 – Student (1=Yes)</t>
  </si>
  <si>
    <t xml:space="preserve">Reference log-likelihood</t>
  </si>
  <si>
    <t xml:space="preserve">Source of reference values: maximum-likelihood fit of the same model on the same 200 rows (Newton-Raphson in Python, threshold $500). After running Solver, the "Difference" column should be close to 0. Odds ratio: multiplicative change in the odds of HighBalance for +1 unit of the variable.</t>
  </si>
  <si>
    <t xml:space="preserve">Score a new customer</t>
  </si>
  <si>
    <t xml:space="preserve">Student (1=Yes, 0=No)</t>
  </si>
  <si>
    <t xml:space="preserve">z</t>
  </si>
  <si>
    <t xml:space="preserve">Probability of high balance</t>
  </si>
  <si>
    <t xml:space="preserve">Predicted class (cut-off in Model!C10)</t>
  </si>
  <si>
    <t xml:space="preserve">Odds = p / (1 − p)</t>
  </si>
  <si>
    <t xml:space="preserve">Run Solver first: with all coefficients at 0 every customer gets p = 50%.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</si>
</sst>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00"/>
    <numFmt numFmtId="166" formatCode="0.0000"/>
    <numFmt numFmtId="167" formatCode="General"/>
    <numFmt numFmtId="168" formatCode="0.0%"/>
    <numFmt numFmtId="169" formatCode="0.00"/>
    <numFmt numFmtId="170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11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1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EF1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Predicted probability vs linear predictor 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"p"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Model!$F$17:$F$216</c:f>
              <c:numCache>
                <c:formatCode>0.0000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xVal>
          <c:yVal>
            <c:numRef>
              <c:f>Model!$G$17:$G$216</c:f>
              <c:numCache>
                <c:formatCode>0.0000</c:formatCode>
                <c:ptCount val="2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</c:numCache>
            </c:numRef>
          </c:yVal>
          <c:smooth val="1"/>
        </c:ser>
        <c:axId val="53873543"/>
        <c:axId val="72751590"/>
      </c:scatterChart>
      <c:valAx>
        <c:axId val="538735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 = b0 + b1·Income + b2·Limit + b3·Student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51590"/>
        <c:crosses val="autoZero"/>
        <c:crossBetween val="midCat"/>
      </c:valAx>
      <c:valAx>
        <c:axId val="72751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(HighBalance = 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735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160560</xdr:rowOff>
    </xdr:from>
    <xdr:to>
      <xdr:col>18</xdr:col>
      <xdr:colOff>364680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956304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31.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</row>
    <row r="2" customFormat="false" ht="15" hidden="false" customHeight="false" outlineLevel="0" collapsed="false">
      <c r="A2" s="5" t="n">
        <v>1</v>
      </c>
      <c r="B2" s="5" t="n">
        <v>44.9</v>
      </c>
      <c r="C2" s="5" t="n">
        <v>3.81</v>
      </c>
      <c r="D2" s="5" t="n">
        <v>293</v>
      </c>
      <c r="E2" s="5" t="n">
        <v>2</v>
      </c>
      <c r="F2" s="5" t="n">
        <v>42</v>
      </c>
      <c r="G2" s="5" t="n">
        <v>10</v>
      </c>
      <c r="H2" s="5" t="s">
        <v>36</v>
      </c>
      <c r="I2" s="5" t="n">
        <v>287</v>
      </c>
      <c r="J2" s="2" t="n">
        <f aca="false">IF(H2="Yes",1,0)</f>
        <v>0</v>
      </c>
      <c r="K2" s="2" t="n">
        <f aca="false">IF(I2&gt;Model!$C$9,1,0)</f>
        <v>0</v>
      </c>
    </row>
    <row r="3" customFormat="false" ht="15" hidden="false" customHeight="false" outlineLevel="0" collapsed="false">
      <c r="A3" s="5" t="n">
        <v>2</v>
      </c>
      <c r="B3" s="5" t="n">
        <v>21.4</v>
      </c>
      <c r="C3" s="5" t="n">
        <v>3.91</v>
      </c>
      <c r="D3" s="5" t="n">
        <v>304</v>
      </c>
      <c r="E3" s="5" t="n">
        <v>3</v>
      </c>
      <c r="F3" s="5" t="n">
        <v>26</v>
      </c>
      <c r="G3" s="5" t="n">
        <v>8</v>
      </c>
      <c r="H3" s="5" t="s">
        <v>36</v>
      </c>
      <c r="I3" s="5" t="n">
        <v>647</v>
      </c>
      <c r="J3" s="2" t="n">
        <f aca="false">IF(H3="Yes",1,0)</f>
        <v>0</v>
      </c>
      <c r="K3" s="2" t="n">
        <f aca="false">IF(I3&gt;Model!$C$9,1,0)</f>
        <v>1</v>
      </c>
    </row>
    <row r="4" customFormat="false" ht="15" hidden="false" customHeight="false" outlineLevel="0" collapsed="false">
      <c r="A4" s="5" t="n">
        <v>3</v>
      </c>
      <c r="B4" s="5" t="n">
        <v>57.4</v>
      </c>
      <c r="C4" s="5" t="n">
        <v>4.17</v>
      </c>
      <c r="D4" s="5" t="n">
        <v>329</v>
      </c>
      <c r="E4" s="5" t="n">
        <v>1</v>
      </c>
      <c r="F4" s="5" t="n">
        <v>27</v>
      </c>
      <c r="G4" s="5" t="n">
        <v>8</v>
      </c>
      <c r="H4" s="5" t="s">
        <v>36</v>
      </c>
      <c r="I4" s="5" t="n">
        <v>652</v>
      </c>
      <c r="J4" s="2" t="n">
        <f aca="false">IF(H4="Yes",1,0)</f>
        <v>0</v>
      </c>
      <c r="K4" s="2" t="n">
        <f aca="false">IF(I4&gt;Model!$C$9,1,0)</f>
        <v>1</v>
      </c>
    </row>
    <row r="5" customFormat="false" ht="15" hidden="false" customHeight="false" outlineLevel="0" collapsed="false">
      <c r="A5" s="5" t="n">
        <v>4</v>
      </c>
      <c r="B5" s="5" t="n">
        <v>63.7</v>
      </c>
      <c r="C5" s="5" t="n">
        <v>5.24</v>
      </c>
      <c r="D5" s="5" t="n">
        <v>386</v>
      </c>
      <c r="E5" s="5" t="n">
        <v>6</v>
      </c>
      <c r="F5" s="5" t="n">
        <v>39</v>
      </c>
      <c r="G5" s="5" t="n">
        <v>15</v>
      </c>
      <c r="H5" s="5" t="s">
        <v>36</v>
      </c>
      <c r="I5" s="5" t="n">
        <v>734</v>
      </c>
      <c r="J5" s="2" t="n">
        <f aca="false">IF(H5="Yes",1,0)</f>
        <v>0</v>
      </c>
      <c r="K5" s="2" t="n">
        <f aca="false">IF(I5&gt;Model!$C$9,1,0)</f>
        <v>1</v>
      </c>
    </row>
    <row r="6" customFormat="false" ht="15" hidden="false" customHeight="false" outlineLevel="0" collapsed="false">
      <c r="A6" s="5" t="n">
        <v>5</v>
      </c>
      <c r="B6" s="5" t="n">
        <v>13</v>
      </c>
      <c r="C6" s="5" t="n">
        <v>0.9</v>
      </c>
      <c r="D6" s="5" t="n">
        <v>107</v>
      </c>
      <c r="E6" s="5" t="n">
        <v>5</v>
      </c>
      <c r="F6" s="5" t="n">
        <v>59</v>
      </c>
      <c r="G6" s="5" t="n">
        <v>10</v>
      </c>
      <c r="H6" s="5" t="s">
        <v>36</v>
      </c>
      <c r="I6" s="5" t="n">
        <v>0</v>
      </c>
      <c r="J6" s="2" t="n">
        <f aca="false">IF(H6="Yes",1,0)</f>
        <v>0</v>
      </c>
      <c r="K6" s="2" t="n">
        <f aca="false">IF(I6&gt;Model!$C$9,1,0)</f>
        <v>0</v>
      </c>
    </row>
    <row r="7" customFormat="false" ht="15" hidden="false" customHeight="false" outlineLevel="0" collapsed="false">
      <c r="A7" s="5" t="n">
        <v>6</v>
      </c>
      <c r="B7" s="5" t="n">
        <v>18.6</v>
      </c>
      <c r="C7" s="5" t="n">
        <v>1.86</v>
      </c>
      <c r="D7" s="5" t="n">
        <v>161</v>
      </c>
      <c r="E7" s="5" t="n">
        <v>1</v>
      </c>
      <c r="F7" s="5" t="n">
        <v>28</v>
      </c>
      <c r="G7" s="5" t="n">
        <v>11</v>
      </c>
      <c r="H7" s="5" t="s">
        <v>36</v>
      </c>
      <c r="I7" s="5" t="n">
        <v>432</v>
      </c>
      <c r="J7" s="2" t="n">
        <f aca="false">IF(H7="Yes",1,0)</f>
        <v>0</v>
      </c>
      <c r="K7" s="2" t="n">
        <f aca="false">IF(I7&gt;Model!$C$9,1,0)</f>
        <v>0</v>
      </c>
    </row>
    <row r="8" customFormat="false" ht="15" hidden="false" customHeight="false" outlineLevel="0" collapsed="false">
      <c r="A8" s="5" t="n">
        <v>7</v>
      </c>
      <c r="B8" s="5" t="n">
        <v>40.8</v>
      </c>
      <c r="C8" s="5" t="n">
        <v>2.05</v>
      </c>
      <c r="D8" s="5" t="n">
        <v>176</v>
      </c>
      <c r="E8" s="5" t="n">
        <v>2</v>
      </c>
      <c r="F8" s="5" t="n">
        <v>85</v>
      </c>
      <c r="G8" s="5" t="n">
        <v>19</v>
      </c>
      <c r="H8" s="5" t="s">
        <v>36</v>
      </c>
      <c r="I8" s="5" t="n">
        <v>408</v>
      </c>
      <c r="J8" s="2" t="n">
        <f aca="false">IF(H8="Yes",1,0)</f>
        <v>0</v>
      </c>
      <c r="K8" s="2" t="n">
        <f aca="false">IF(I8&gt;Model!$C$9,1,0)</f>
        <v>0</v>
      </c>
    </row>
    <row r="9" customFormat="false" ht="15" hidden="false" customHeight="false" outlineLevel="0" collapsed="false">
      <c r="A9" s="5" t="n">
        <v>8</v>
      </c>
      <c r="B9" s="5" t="n">
        <v>31.9</v>
      </c>
      <c r="C9" s="5" t="n">
        <v>1.07</v>
      </c>
      <c r="D9" s="5" t="n">
        <v>122</v>
      </c>
      <c r="E9" s="5" t="n">
        <v>4</v>
      </c>
      <c r="F9" s="5" t="n">
        <v>52</v>
      </c>
      <c r="G9" s="5" t="n">
        <v>19</v>
      </c>
      <c r="H9" s="5" t="s">
        <v>36</v>
      </c>
      <c r="I9" s="5" t="n">
        <v>0</v>
      </c>
      <c r="J9" s="2" t="n">
        <f aca="false">IF(H9="Yes",1,0)</f>
        <v>0</v>
      </c>
      <c r="K9" s="2" t="n">
        <f aca="false">IF(I9&gt;Model!$C$9,1,0)</f>
        <v>0</v>
      </c>
    </row>
    <row r="10" customFormat="false" ht="15" hidden="false" customHeight="false" outlineLevel="0" collapsed="false">
      <c r="A10" s="5" t="n">
        <v>9</v>
      </c>
      <c r="B10" s="5" t="n">
        <v>37.7</v>
      </c>
      <c r="C10" s="5" t="n">
        <v>1.83</v>
      </c>
      <c r="D10" s="5" t="n">
        <v>139</v>
      </c>
      <c r="E10" s="5" t="n">
        <v>4</v>
      </c>
      <c r="F10" s="5" t="n">
        <v>40</v>
      </c>
      <c r="G10" s="5" t="n">
        <v>18</v>
      </c>
      <c r="H10" s="5" t="s">
        <v>36</v>
      </c>
      <c r="I10" s="5" t="n">
        <v>215</v>
      </c>
      <c r="J10" s="2" t="n">
        <f aca="false">IF(H10="Yes",1,0)</f>
        <v>0</v>
      </c>
      <c r="K10" s="2" t="n">
        <f aca="false">IF(I10&gt;Model!$C$9,1,0)</f>
        <v>0</v>
      </c>
    </row>
    <row r="11" customFormat="false" ht="15" hidden="false" customHeight="false" outlineLevel="0" collapsed="false">
      <c r="A11" s="5" t="n">
        <v>10</v>
      </c>
      <c r="B11" s="5" t="n">
        <v>23.8</v>
      </c>
      <c r="C11" s="5" t="n">
        <v>1.77</v>
      </c>
      <c r="D11" s="5" t="n">
        <v>143</v>
      </c>
      <c r="E11" s="5" t="n">
        <v>6</v>
      </c>
      <c r="F11" s="5" t="n">
        <v>55</v>
      </c>
      <c r="G11" s="5" t="n">
        <v>11</v>
      </c>
      <c r="H11" s="5" t="s">
        <v>36</v>
      </c>
      <c r="I11" s="5" t="n">
        <v>372</v>
      </c>
      <c r="J11" s="2" t="n">
        <f aca="false">IF(H11="Yes",1,0)</f>
        <v>0</v>
      </c>
      <c r="K11" s="2" t="n">
        <f aca="false">IF(I11&gt;Model!$C$9,1,0)</f>
        <v>0</v>
      </c>
    </row>
    <row r="12" customFormat="false" ht="15" hidden="false" customHeight="false" outlineLevel="0" collapsed="false">
      <c r="A12" s="5" t="n">
        <v>11</v>
      </c>
      <c r="B12" s="5" t="n">
        <v>61.6</v>
      </c>
      <c r="C12" s="5" t="n">
        <v>5.48</v>
      </c>
      <c r="D12" s="5" t="n">
        <v>389</v>
      </c>
      <c r="E12" s="5" t="n">
        <v>2</v>
      </c>
      <c r="F12" s="5" t="n">
        <v>72</v>
      </c>
      <c r="G12" s="5" t="n">
        <v>16</v>
      </c>
      <c r="H12" s="5" t="s">
        <v>36</v>
      </c>
      <c r="I12" s="5" t="n">
        <v>1061</v>
      </c>
      <c r="J12" s="2" t="n">
        <f aca="false">IF(H12="Yes",1,0)</f>
        <v>0</v>
      </c>
      <c r="K12" s="2" t="n">
        <f aca="false">IF(I12&gt;Model!$C$9,1,0)</f>
        <v>1</v>
      </c>
    </row>
    <row r="13" customFormat="false" ht="15" hidden="false" customHeight="false" outlineLevel="0" collapsed="false">
      <c r="A13" s="5" t="n">
        <v>12</v>
      </c>
      <c r="B13" s="5" t="n">
        <v>58.3</v>
      </c>
      <c r="C13" s="5" t="n">
        <v>2.38</v>
      </c>
      <c r="D13" s="5" t="n">
        <v>171</v>
      </c>
      <c r="E13" s="5" t="n">
        <v>7</v>
      </c>
      <c r="F13" s="5" t="n">
        <v>43</v>
      </c>
      <c r="G13" s="5" t="n">
        <v>15</v>
      </c>
      <c r="H13" s="5" t="s">
        <v>36</v>
      </c>
      <c r="I13" s="5" t="n">
        <v>115</v>
      </c>
      <c r="J13" s="2" t="n">
        <f aca="false">IF(H13="Yes",1,0)</f>
        <v>0</v>
      </c>
      <c r="K13" s="2" t="n">
        <f aca="false">IF(I13&gt;Model!$C$9,1,0)</f>
        <v>0</v>
      </c>
    </row>
    <row r="14" customFormat="false" ht="15" hidden="false" customHeight="false" outlineLevel="0" collapsed="false">
      <c r="A14" s="5" t="n">
        <v>13</v>
      </c>
      <c r="B14" s="5" t="n">
        <v>39.4</v>
      </c>
      <c r="C14" s="5" t="n">
        <v>3.11</v>
      </c>
      <c r="D14" s="5" t="n">
        <v>240</v>
      </c>
      <c r="E14" s="5" t="n">
        <v>4</v>
      </c>
      <c r="F14" s="5" t="n">
        <v>26</v>
      </c>
      <c r="G14" s="5" t="n">
        <v>10</v>
      </c>
      <c r="H14" s="5" t="s">
        <v>36</v>
      </c>
      <c r="I14" s="5" t="n">
        <v>450</v>
      </c>
      <c r="J14" s="2" t="n">
        <f aca="false">IF(H14="Yes",1,0)</f>
        <v>0</v>
      </c>
      <c r="K14" s="2" t="n">
        <f aca="false">IF(I14&gt;Model!$C$9,1,0)</f>
        <v>0</v>
      </c>
    </row>
    <row r="15" customFormat="false" ht="15" hidden="false" customHeight="false" outlineLevel="0" collapsed="false">
      <c r="A15" s="5" t="n">
        <v>14</v>
      </c>
      <c r="B15" s="5" t="n">
        <v>70.6</v>
      </c>
      <c r="C15" s="5" t="n">
        <v>4.15</v>
      </c>
      <c r="D15" s="5" t="n">
        <v>327</v>
      </c>
      <c r="E15" s="5" t="n">
        <v>6</v>
      </c>
      <c r="F15" s="5" t="n">
        <v>27</v>
      </c>
      <c r="G15" s="5" t="n">
        <v>15</v>
      </c>
      <c r="H15" s="5" t="s">
        <v>36</v>
      </c>
      <c r="I15" s="5" t="n">
        <v>476</v>
      </c>
      <c r="J15" s="2" t="n">
        <f aca="false">IF(H15="Yes",1,0)</f>
        <v>0</v>
      </c>
      <c r="K15" s="2" t="n">
        <f aca="false">IF(I15&gt;Model!$C$9,1,0)</f>
        <v>0</v>
      </c>
    </row>
    <row r="16" customFormat="false" ht="15" hidden="false" customHeight="false" outlineLevel="0" collapsed="false">
      <c r="A16" s="5" t="n">
        <v>15</v>
      </c>
      <c r="B16" s="5" t="n">
        <v>49.1</v>
      </c>
      <c r="C16" s="5" t="n">
        <v>3.17</v>
      </c>
      <c r="D16" s="5" t="n">
        <v>249</v>
      </c>
      <c r="E16" s="5" t="n">
        <v>2</v>
      </c>
      <c r="F16" s="5" t="n">
        <v>76</v>
      </c>
      <c r="G16" s="5" t="n">
        <v>14</v>
      </c>
      <c r="H16" s="5" t="s">
        <v>37</v>
      </c>
      <c r="I16" s="5" t="n">
        <v>372</v>
      </c>
      <c r="J16" s="2" t="n">
        <f aca="false">IF(H16="Yes",1,0)</f>
        <v>1</v>
      </c>
      <c r="K16" s="2" t="n">
        <f aca="false">IF(I16&gt;Model!$C$9,1,0)</f>
        <v>0</v>
      </c>
    </row>
    <row r="17" customFormat="false" ht="15" hidden="false" customHeight="false" outlineLevel="0" collapsed="false">
      <c r="A17" s="5" t="n">
        <v>16</v>
      </c>
      <c r="B17" s="5" t="n">
        <v>23.7</v>
      </c>
      <c r="C17" s="5" t="n">
        <v>3.51</v>
      </c>
      <c r="D17" s="5" t="n">
        <v>278</v>
      </c>
      <c r="E17" s="5" t="n">
        <v>1</v>
      </c>
      <c r="F17" s="5" t="n">
        <v>30</v>
      </c>
      <c r="G17" s="5" t="n">
        <v>13</v>
      </c>
      <c r="H17" s="5" t="s">
        <v>36</v>
      </c>
      <c r="I17" s="5" t="n">
        <v>702</v>
      </c>
      <c r="J17" s="2" t="n">
        <f aca="false">IF(H17="Yes",1,0)</f>
        <v>0</v>
      </c>
      <c r="K17" s="2" t="n">
        <f aca="false">IF(I17&gt;Model!$C$9,1,0)</f>
        <v>1</v>
      </c>
    </row>
    <row r="18" customFormat="false" ht="15" hidden="false" customHeight="false" outlineLevel="0" collapsed="false">
      <c r="A18" s="5" t="n">
        <v>17</v>
      </c>
      <c r="B18" s="5" t="n">
        <v>46.5</v>
      </c>
      <c r="C18" s="5" t="n">
        <v>4.16</v>
      </c>
      <c r="D18" s="5" t="n">
        <v>332</v>
      </c>
      <c r="E18" s="5" t="n">
        <v>1</v>
      </c>
      <c r="F18" s="5" t="n">
        <v>63</v>
      </c>
      <c r="G18" s="5" t="n">
        <v>17</v>
      </c>
      <c r="H18" s="5" t="s">
        <v>36</v>
      </c>
      <c r="I18" s="5" t="n">
        <v>172</v>
      </c>
      <c r="J18" s="2" t="n">
        <f aca="false">IF(H18="Yes",1,0)</f>
        <v>0</v>
      </c>
      <c r="K18" s="2" t="n">
        <f aca="false">IF(I18&gt;Model!$C$9,1,0)</f>
        <v>0</v>
      </c>
    </row>
    <row r="19" customFormat="false" ht="15" hidden="false" customHeight="false" outlineLevel="0" collapsed="false">
      <c r="A19" s="5" t="n">
        <v>18</v>
      </c>
      <c r="B19" s="5" t="n">
        <v>22.4</v>
      </c>
      <c r="C19" s="5" t="n">
        <v>3.87</v>
      </c>
      <c r="D19" s="5" t="n">
        <v>315</v>
      </c>
      <c r="E19" s="5" t="n">
        <v>3</v>
      </c>
      <c r="F19" s="5" t="n">
        <v>47</v>
      </c>
      <c r="G19" s="5" t="n">
        <v>16</v>
      </c>
      <c r="H19" s="5" t="s">
        <v>36</v>
      </c>
      <c r="I19" s="5" t="n">
        <v>420</v>
      </c>
      <c r="J19" s="2" t="n">
        <f aca="false">IF(H19="Yes",1,0)</f>
        <v>0</v>
      </c>
      <c r="K19" s="2" t="n">
        <f aca="false">IF(I19&gt;Model!$C$9,1,0)</f>
        <v>0</v>
      </c>
    </row>
    <row r="20" customFormat="false" ht="15" hidden="false" customHeight="false" outlineLevel="0" collapsed="false">
      <c r="A20" s="5" t="n">
        <v>19</v>
      </c>
      <c r="B20" s="5" t="n">
        <v>61.6</v>
      </c>
      <c r="C20" s="5" t="n">
        <v>4.09</v>
      </c>
      <c r="D20" s="5" t="n">
        <v>313</v>
      </c>
      <c r="E20" s="5" t="n">
        <v>7</v>
      </c>
      <c r="F20" s="5" t="n">
        <v>72</v>
      </c>
      <c r="G20" s="5" t="n">
        <v>14</v>
      </c>
      <c r="H20" s="5" t="s">
        <v>36</v>
      </c>
      <c r="I20" s="5" t="n">
        <v>731</v>
      </c>
      <c r="J20" s="2" t="n">
        <f aca="false">IF(H20="Yes",1,0)</f>
        <v>0</v>
      </c>
      <c r="K20" s="2" t="n">
        <f aca="false">IF(I20&gt;Model!$C$9,1,0)</f>
        <v>1</v>
      </c>
    </row>
    <row r="21" customFormat="false" ht="15" hidden="false" customHeight="false" outlineLevel="0" collapsed="false">
      <c r="A21" s="5" t="n">
        <v>20</v>
      </c>
      <c r="B21" s="5" t="n">
        <v>37</v>
      </c>
      <c r="C21" s="5" t="n">
        <v>2.03</v>
      </c>
      <c r="D21" s="5" t="n">
        <v>192</v>
      </c>
      <c r="E21" s="5" t="n">
        <v>1</v>
      </c>
      <c r="F21" s="5" t="n">
        <v>27</v>
      </c>
      <c r="G21" s="5" t="n">
        <v>17</v>
      </c>
      <c r="H21" s="5" t="s">
        <v>36</v>
      </c>
      <c r="I21" s="5" t="n">
        <v>239</v>
      </c>
      <c r="J21" s="2" t="n">
        <f aca="false">IF(H21="Yes",1,0)</f>
        <v>0</v>
      </c>
      <c r="K21" s="2" t="n">
        <f aca="false">IF(I21&gt;Model!$C$9,1,0)</f>
        <v>0</v>
      </c>
    </row>
    <row r="22" customFormat="false" ht="15" hidden="false" customHeight="false" outlineLevel="0" collapsed="false">
      <c r="A22" s="5" t="n">
        <v>21</v>
      </c>
      <c r="B22" s="5" t="n">
        <v>34.3</v>
      </c>
      <c r="C22" s="5" t="n">
        <v>2.5</v>
      </c>
      <c r="D22" s="5" t="n">
        <v>209</v>
      </c>
      <c r="E22" s="5" t="n">
        <v>3</v>
      </c>
      <c r="F22" s="5" t="n">
        <v>79</v>
      </c>
      <c r="G22" s="5" t="n">
        <v>17</v>
      </c>
      <c r="H22" s="5" t="s">
        <v>36</v>
      </c>
      <c r="I22" s="5" t="n">
        <v>554</v>
      </c>
      <c r="J22" s="2" t="n">
        <f aca="false">IF(H22="Yes",1,0)</f>
        <v>0</v>
      </c>
      <c r="K22" s="2" t="n">
        <f aca="false">IF(I22&gt;Model!$C$9,1,0)</f>
        <v>1</v>
      </c>
    </row>
    <row r="23" customFormat="false" ht="15" hidden="false" customHeight="false" outlineLevel="0" collapsed="false">
      <c r="A23" s="5" t="n">
        <v>22</v>
      </c>
      <c r="B23" s="5" t="n">
        <v>26.1</v>
      </c>
      <c r="C23" s="5" t="n">
        <v>2.65</v>
      </c>
      <c r="D23" s="5" t="n">
        <v>208</v>
      </c>
      <c r="E23" s="5" t="n">
        <v>1</v>
      </c>
      <c r="F23" s="5" t="n">
        <v>67</v>
      </c>
      <c r="G23" s="5" t="n">
        <v>15</v>
      </c>
      <c r="H23" s="5" t="s">
        <v>36</v>
      </c>
      <c r="I23" s="5" t="n">
        <v>199</v>
      </c>
      <c r="J23" s="2" t="n">
        <f aca="false">IF(H23="Yes",1,0)</f>
        <v>0</v>
      </c>
      <c r="K23" s="2" t="n">
        <f aca="false">IF(I23&gt;Model!$C$9,1,0)</f>
        <v>0</v>
      </c>
    </row>
    <row r="24" customFormat="false" ht="15" hidden="false" customHeight="false" outlineLevel="0" collapsed="false">
      <c r="A24" s="5" t="n">
        <v>23</v>
      </c>
      <c r="B24" s="5" t="n">
        <v>74.4</v>
      </c>
      <c r="C24" s="5" t="n">
        <v>5.22</v>
      </c>
      <c r="D24" s="5" t="n">
        <v>383</v>
      </c>
      <c r="E24" s="5" t="n">
        <v>7</v>
      </c>
      <c r="F24" s="5" t="n">
        <v>51</v>
      </c>
      <c r="G24" s="5" t="n">
        <v>11</v>
      </c>
      <c r="H24" s="5" t="s">
        <v>36</v>
      </c>
      <c r="I24" s="5" t="n">
        <v>302</v>
      </c>
      <c r="J24" s="2" t="n">
        <f aca="false">IF(H24="Yes",1,0)</f>
        <v>0</v>
      </c>
      <c r="K24" s="2" t="n">
        <f aca="false">IF(I24&gt;Model!$C$9,1,0)</f>
        <v>0</v>
      </c>
    </row>
    <row r="25" customFormat="false" ht="15" hidden="false" customHeight="false" outlineLevel="0" collapsed="false">
      <c r="A25" s="5" t="n">
        <v>24</v>
      </c>
      <c r="B25" s="5" t="n">
        <v>34.9</v>
      </c>
      <c r="C25" s="5" t="n">
        <v>1.41</v>
      </c>
      <c r="D25" s="5" t="n">
        <v>117</v>
      </c>
      <c r="E25" s="5" t="n">
        <v>5</v>
      </c>
      <c r="F25" s="5" t="n">
        <v>36</v>
      </c>
      <c r="G25" s="5" t="n">
        <v>17</v>
      </c>
      <c r="H25" s="5" t="s">
        <v>36</v>
      </c>
      <c r="I25" s="5" t="n">
        <v>0</v>
      </c>
      <c r="J25" s="2" t="n">
        <f aca="false">IF(H25="Yes",1,0)</f>
        <v>0</v>
      </c>
      <c r="K25" s="2" t="n">
        <f aca="false">IF(I25&gt;Model!$C$9,1,0)</f>
        <v>0</v>
      </c>
    </row>
    <row r="26" customFormat="false" ht="15" hidden="false" customHeight="false" outlineLevel="0" collapsed="false">
      <c r="A26" s="5" t="n">
        <v>25</v>
      </c>
      <c r="B26" s="5" t="n">
        <v>30</v>
      </c>
      <c r="C26" s="5" t="n">
        <v>2.67</v>
      </c>
      <c r="D26" s="5" t="n">
        <v>208</v>
      </c>
      <c r="E26" s="5" t="n">
        <v>6</v>
      </c>
      <c r="F26" s="5" t="n">
        <v>84</v>
      </c>
      <c r="G26" s="5" t="n">
        <v>17</v>
      </c>
      <c r="H26" s="5" t="s">
        <v>36</v>
      </c>
      <c r="I26" s="5" t="n">
        <v>272</v>
      </c>
      <c r="J26" s="2" t="n">
        <f aca="false">IF(H26="Yes",1,0)</f>
        <v>0</v>
      </c>
      <c r="K26" s="2" t="n">
        <f aca="false">IF(I26&gt;Model!$C$9,1,0)</f>
        <v>0</v>
      </c>
    </row>
    <row r="27" customFormat="false" ht="15" hidden="false" customHeight="false" outlineLevel="0" collapsed="false">
      <c r="A27" s="5" t="n">
        <v>26</v>
      </c>
      <c r="B27" s="5" t="n">
        <v>31.3</v>
      </c>
      <c r="C27" s="5" t="n">
        <v>2.92</v>
      </c>
      <c r="D27" s="5" t="n">
        <v>231</v>
      </c>
      <c r="E27" s="5" t="n">
        <v>5</v>
      </c>
      <c r="F27" s="5" t="n">
        <v>42</v>
      </c>
      <c r="G27" s="5" t="n">
        <v>20</v>
      </c>
      <c r="H27" s="5" t="s">
        <v>36</v>
      </c>
      <c r="I27" s="5" t="n">
        <v>324</v>
      </c>
      <c r="J27" s="2" t="n">
        <f aca="false">IF(H27="Yes",1,0)</f>
        <v>0</v>
      </c>
      <c r="K27" s="2" t="n">
        <f aca="false">IF(I27&gt;Model!$C$9,1,0)</f>
        <v>0</v>
      </c>
    </row>
    <row r="28" customFormat="false" ht="15" hidden="false" customHeight="false" outlineLevel="0" collapsed="false">
      <c r="A28" s="5" t="n">
        <v>27</v>
      </c>
      <c r="B28" s="5" t="n">
        <v>50.9</v>
      </c>
      <c r="C28" s="5" t="n">
        <v>6.97</v>
      </c>
      <c r="D28" s="5" t="n">
        <v>517</v>
      </c>
      <c r="E28" s="5" t="n">
        <v>5</v>
      </c>
      <c r="F28" s="5" t="n">
        <v>54</v>
      </c>
      <c r="G28" s="5" t="n">
        <v>9</v>
      </c>
      <c r="H28" s="5" t="s">
        <v>36</v>
      </c>
      <c r="I28" s="5" t="n">
        <v>1545</v>
      </c>
      <c r="J28" s="2" t="n">
        <f aca="false">IF(H28="Yes",1,0)</f>
        <v>0</v>
      </c>
      <c r="K28" s="2" t="n">
        <f aca="false">IF(I28&gt;Model!$C$9,1,0)</f>
        <v>1</v>
      </c>
    </row>
    <row r="29" customFormat="false" ht="15" hidden="false" customHeight="false" outlineLevel="0" collapsed="false">
      <c r="A29" s="5" t="n">
        <v>28</v>
      </c>
      <c r="B29" s="5" t="n">
        <v>46.5</v>
      </c>
      <c r="C29" s="5" t="n">
        <v>5.9</v>
      </c>
      <c r="D29" s="5" t="n">
        <v>456</v>
      </c>
      <c r="E29" s="5" t="n">
        <v>6</v>
      </c>
      <c r="F29" s="5" t="n">
        <v>48</v>
      </c>
      <c r="G29" s="5" t="n">
        <v>13</v>
      </c>
      <c r="H29" s="5" t="s">
        <v>36</v>
      </c>
      <c r="I29" s="5" t="n">
        <v>900</v>
      </c>
      <c r="J29" s="2" t="n">
        <f aca="false">IF(H29="Yes",1,0)</f>
        <v>0</v>
      </c>
      <c r="K29" s="2" t="n">
        <f aca="false">IF(I29&gt;Model!$C$9,1,0)</f>
        <v>1</v>
      </c>
    </row>
    <row r="30" customFormat="false" ht="15" hidden="false" customHeight="false" outlineLevel="0" collapsed="false">
      <c r="A30" s="5" t="n">
        <v>29</v>
      </c>
      <c r="B30" s="5" t="n">
        <v>47.7</v>
      </c>
      <c r="C30" s="5" t="n">
        <v>2.41</v>
      </c>
      <c r="D30" s="5" t="n">
        <v>185</v>
      </c>
      <c r="E30" s="5" t="n">
        <v>1</v>
      </c>
      <c r="F30" s="5" t="n">
        <v>38</v>
      </c>
      <c r="G30" s="5" t="n">
        <v>20</v>
      </c>
      <c r="H30" s="5" t="s">
        <v>36</v>
      </c>
      <c r="I30" s="5" t="n">
        <v>134</v>
      </c>
      <c r="J30" s="2" t="n">
        <f aca="false">IF(H30="Yes",1,0)</f>
        <v>0</v>
      </c>
      <c r="K30" s="2" t="n">
        <f aca="false">IF(I30&gt;Model!$C$9,1,0)</f>
        <v>0</v>
      </c>
    </row>
    <row r="31" customFormat="false" ht="15" hidden="false" customHeight="false" outlineLevel="0" collapsed="false">
      <c r="A31" s="5" t="n">
        <v>30</v>
      </c>
      <c r="B31" s="5" t="n">
        <v>48.2</v>
      </c>
      <c r="C31" s="5" t="n">
        <v>3.18</v>
      </c>
      <c r="D31" s="5" t="n">
        <v>258</v>
      </c>
      <c r="E31" s="5" t="n">
        <v>7</v>
      </c>
      <c r="F31" s="5" t="n">
        <v>49</v>
      </c>
      <c r="G31" s="5" t="n">
        <v>14</v>
      </c>
      <c r="H31" s="5" t="s">
        <v>36</v>
      </c>
      <c r="I31" s="5" t="n">
        <v>0</v>
      </c>
      <c r="J31" s="2" t="n">
        <f aca="false">IF(H31="Yes",1,0)</f>
        <v>0</v>
      </c>
      <c r="K31" s="2" t="n">
        <f aca="false">IF(I31&gt;Model!$C$9,1,0)</f>
        <v>0</v>
      </c>
    </row>
    <row r="32" customFormat="false" ht="15" hidden="false" customHeight="false" outlineLevel="0" collapsed="false">
      <c r="A32" s="5" t="n">
        <v>31</v>
      </c>
      <c r="B32" s="5" t="n">
        <v>123.4</v>
      </c>
      <c r="C32" s="5" t="n">
        <v>5.78</v>
      </c>
      <c r="D32" s="5" t="n">
        <v>415</v>
      </c>
      <c r="E32" s="5" t="n">
        <v>6</v>
      </c>
      <c r="F32" s="5" t="n">
        <v>33</v>
      </c>
      <c r="G32" s="5" t="n">
        <v>20</v>
      </c>
      <c r="H32" s="5" t="s">
        <v>36</v>
      </c>
      <c r="I32" s="5" t="n">
        <v>502</v>
      </c>
      <c r="J32" s="2" t="n">
        <f aca="false">IF(H32="Yes",1,0)</f>
        <v>0</v>
      </c>
      <c r="K32" s="2" t="n">
        <f aca="false">IF(I32&gt;Model!$C$9,1,0)</f>
        <v>1</v>
      </c>
    </row>
    <row r="33" customFormat="false" ht="15" hidden="false" customHeight="false" outlineLevel="0" collapsed="false">
      <c r="A33" s="5" t="n">
        <v>32</v>
      </c>
      <c r="B33" s="5" t="n">
        <v>30.4</v>
      </c>
      <c r="C33" s="5" t="n">
        <v>1.8</v>
      </c>
      <c r="D33" s="5" t="n">
        <v>166</v>
      </c>
      <c r="E33" s="5" t="n">
        <v>6</v>
      </c>
      <c r="F33" s="5" t="n">
        <v>24</v>
      </c>
      <c r="G33" s="5" t="n">
        <v>8</v>
      </c>
      <c r="H33" s="5" t="s">
        <v>36</v>
      </c>
      <c r="I33" s="5" t="n">
        <v>9</v>
      </c>
      <c r="J33" s="2" t="n">
        <f aca="false">IF(H33="Yes",1,0)</f>
        <v>0</v>
      </c>
      <c r="K33" s="2" t="n">
        <f aca="false">IF(I33&gt;Model!$C$9,1,0)</f>
        <v>0</v>
      </c>
    </row>
    <row r="34" customFormat="false" ht="15" hidden="false" customHeight="false" outlineLevel="0" collapsed="false">
      <c r="A34" s="5" t="n">
        <v>33</v>
      </c>
      <c r="B34" s="5" t="n">
        <v>28.7</v>
      </c>
      <c r="C34" s="5" t="n">
        <v>2.89</v>
      </c>
      <c r="D34" s="5" t="n">
        <v>232</v>
      </c>
      <c r="E34" s="5" t="n">
        <v>3</v>
      </c>
      <c r="F34" s="5" t="n">
        <v>41</v>
      </c>
      <c r="G34" s="5" t="n">
        <v>8</v>
      </c>
      <c r="H34" s="5" t="s">
        <v>36</v>
      </c>
      <c r="I34" s="5" t="n">
        <v>120</v>
      </c>
      <c r="J34" s="2" t="n">
        <f aca="false">IF(H34="Yes",1,0)</f>
        <v>0</v>
      </c>
      <c r="K34" s="2" t="n">
        <f aca="false">IF(I34&gt;Model!$C$9,1,0)</f>
        <v>0</v>
      </c>
    </row>
    <row r="35" customFormat="false" ht="15" hidden="false" customHeight="false" outlineLevel="0" collapsed="false">
      <c r="A35" s="5" t="n">
        <v>34</v>
      </c>
      <c r="B35" s="5" t="n">
        <v>24.3</v>
      </c>
      <c r="C35" s="5" t="n">
        <v>3.8</v>
      </c>
      <c r="D35" s="5" t="n">
        <v>273</v>
      </c>
      <c r="E35" s="5" t="n">
        <v>6</v>
      </c>
      <c r="F35" s="5" t="n">
        <v>30</v>
      </c>
      <c r="G35" s="5" t="n">
        <v>18</v>
      </c>
      <c r="H35" s="5" t="s">
        <v>36</v>
      </c>
      <c r="I35" s="5" t="n">
        <v>532</v>
      </c>
      <c r="J35" s="2" t="n">
        <f aca="false">IF(H35="Yes",1,0)</f>
        <v>0</v>
      </c>
      <c r="K35" s="2" t="n">
        <f aca="false">IF(I35&gt;Model!$C$9,1,0)</f>
        <v>1</v>
      </c>
    </row>
    <row r="36" customFormat="false" ht="15" hidden="false" customHeight="false" outlineLevel="0" collapsed="false">
      <c r="A36" s="5" t="n">
        <v>35</v>
      </c>
      <c r="B36" s="5" t="n">
        <v>53.3</v>
      </c>
      <c r="C36" s="5" t="n">
        <v>2.88</v>
      </c>
      <c r="D36" s="5" t="n">
        <v>244</v>
      </c>
      <c r="E36" s="5" t="n">
        <v>3</v>
      </c>
      <c r="F36" s="5" t="n">
        <v>49</v>
      </c>
      <c r="G36" s="5" t="n">
        <v>12</v>
      </c>
      <c r="H36" s="5" t="s">
        <v>36</v>
      </c>
      <c r="I36" s="5" t="n">
        <v>80</v>
      </c>
      <c r="J36" s="2" t="n">
        <f aca="false">IF(H36="Yes",1,0)</f>
        <v>0</v>
      </c>
      <c r="K36" s="2" t="n">
        <f aca="false">IF(I36&gt;Model!$C$9,1,0)</f>
        <v>0</v>
      </c>
    </row>
    <row r="37" customFormat="false" ht="15" hidden="false" customHeight="false" outlineLevel="0" collapsed="false">
      <c r="A37" s="5" t="n">
        <v>36</v>
      </c>
      <c r="B37" s="5" t="n">
        <v>70.7</v>
      </c>
      <c r="C37" s="5" t="n">
        <v>3.94</v>
      </c>
      <c r="D37" s="5" t="n">
        <v>297</v>
      </c>
      <c r="E37" s="5" t="n">
        <v>1</v>
      </c>
      <c r="F37" s="5" t="n">
        <v>77</v>
      </c>
      <c r="G37" s="5" t="n">
        <v>14</v>
      </c>
      <c r="H37" s="5" t="s">
        <v>36</v>
      </c>
      <c r="I37" s="5" t="n">
        <v>213</v>
      </c>
      <c r="J37" s="2" t="n">
        <f aca="false">IF(H37="Yes",1,0)</f>
        <v>0</v>
      </c>
      <c r="K37" s="2" t="n">
        <f aca="false">IF(I37&gt;Model!$C$9,1,0)</f>
        <v>0</v>
      </c>
    </row>
    <row r="38" customFormat="false" ht="15" hidden="false" customHeight="false" outlineLevel="0" collapsed="false">
      <c r="A38" s="5" t="n">
        <v>37</v>
      </c>
      <c r="B38" s="5" t="n">
        <v>35.7</v>
      </c>
      <c r="C38" s="5" t="n">
        <v>0.9</v>
      </c>
      <c r="D38" s="5" t="n">
        <v>94</v>
      </c>
      <c r="E38" s="5" t="n">
        <v>7</v>
      </c>
      <c r="F38" s="5" t="n">
        <v>34</v>
      </c>
      <c r="G38" s="5" t="n">
        <v>13</v>
      </c>
      <c r="H38" s="5" t="s">
        <v>36</v>
      </c>
      <c r="I38" s="5" t="n">
        <v>186</v>
      </c>
      <c r="J38" s="2" t="n">
        <f aca="false">IF(H38="Yes",1,0)</f>
        <v>0</v>
      </c>
      <c r="K38" s="2" t="n">
        <f aca="false">IF(I38&gt;Model!$C$9,1,0)</f>
        <v>0</v>
      </c>
    </row>
    <row r="39" customFormat="false" ht="15" hidden="false" customHeight="false" outlineLevel="0" collapsed="false">
      <c r="A39" s="5" t="n">
        <v>38</v>
      </c>
      <c r="B39" s="5" t="n">
        <v>23.9</v>
      </c>
      <c r="C39" s="5" t="n">
        <v>2</v>
      </c>
      <c r="D39" s="5" t="n">
        <v>161</v>
      </c>
      <c r="E39" s="5" t="n">
        <v>2</v>
      </c>
      <c r="F39" s="5" t="n">
        <v>24</v>
      </c>
      <c r="G39" s="5" t="n">
        <v>13</v>
      </c>
      <c r="H39" s="5" t="s">
        <v>36</v>
      </c>
      <c r="I39" s="5" t="n">
        <v>85</v>
      </c>
      <c r="J39" s="2" t="n">
        <f aca="false">IF(H39="Yes",1,0)</f>
        <v>0</v>
      </c>
      <c r="K39" s="2" t="n">
        <f aca="false">IF(I39&gt;Model!$C$9,1,0)</f>
        <v>0</v>
      </c>
    </row>
    <row r="40" customFormat="false" ht="15" hidden="false" customHeight="false" outlineLevel="0" collapsed="false">
      <c r="A40" s="5" t="n">
        <v>39</v>
      </c>
      <c r="B40" s="5" t="n">
        <v>24.1</v>
      </c>
      <c r="C40" s="5" t="n">
        <v>0.9</v>
      </c>
      <c r="D40" s="5" t="n">
        <v>92</v>
      </c>
      <c r="E40" s="5" t="n">
        <v>1</v>
      </c>
      <c r="F40" s="5" t="n">
        <v>30</v>
      </c>
      <c r="G40" s="5" t="n">
        <v>20</v>
      </c>
      <c r="H40" s="5" t="s">
        <v>36</v>
      </c>
      <c r="I40" s="5" t="n">
        <v>0</v>
      </c>
      <c r="J40" s="2" t="n">
        <f aca="false">IF(H40="Yes",1,0)</f>
        <v>0</v>
      </c>
      <c r="K40" s="2" t="n">
        <f aca="false">IF(I40&gt;Model!$C$9,1,0)</f>
        <v>0</v>
      </c>
    </row>
    <row r="41" customFormat="false" ht="15" hidden="false" customHeight="false" outlineLevel="0" collapsed="false">
      <c r="A41" s="5" t="n">
        <v>40</v>
      </c>
      <c r="B41" s="5" t="n">
        <v>54.3</v>
      </c>
      <c r="C41" s="5" t="n">
        <v>3.2</v>
      </c>
      <c r="D41" s="5" t="n">
        <v>260</v>
      </c>
      <c r="E41" s="5" t="n">
        <v>5</v>
      </c>
      <c r="F41" s="5" t="n">
        <v>55</v>
      </c>
      <c r="G41" s="5" t="n">
        <v>9</v>
      </c>
      <c r="H41" s="5" t="s">
        <v>36</v>
      </c>
      <c r="I41" s="5" t="n">
        <v>0</v>
      </c>
      <c r="J41" s="2" t="n">
        <f aca="false">IF(H41="Yes",1,0)</f>
        <v>0</v>
      </c>
      <c r="K41" s="2" t="n">
        <f aca="false">IF(I41&gt;Model!$C$9,1,0)</f>
        <v>0</v>
      </c>
    </row>
    <row r="42" customFormat="false" ht="15" hidden="false" customHeight="false" outlineLevel="0" collapsed="false">
      <c r="A42" s="5" t="n">
        <v>41</v>
      </c>
      <c r="B42" s="5" t="n">
        <v>57.2</v>
      </c>
      <c r="C42" s="5" t="n">
        <v>2.91</v>
      </c>
      <c r="D42" s="5" t="n">
        <v>233</v>
      </c>
      <c r="E42" s="5" t="n">
        <v>2</v>
      </c>
      <c r="F42" s="5" t="n">
        <v>41</v>
      </c>
      <c r="G42" s="5" t="n">
        <v>18</v>
      </c>
      <c r="H42" s="5" t="s">
        <v>36</v>
      </c>
      <c r="I42" s="5" t="n">
        <v>0</v>
      </c>
      <c r="J42" s="2" t="n">
        <f aca="false">IF(H42="Yes",1,0)</f>
        <v>0</v>
      </c>
      <c r="K42" s="2" t="n">
        <f aca="false">IF(I42&gt;Model!$C$9,1,0)</f>
        <v>0</v>
      </c>
    </row>
    <row r="43" customFormat="false" ht="15" hidden="false" customHeight="false" outlineLevel="0" collapsed="false">
      <c r="A43" s="5" t="n">
        <v>42</v>
      </c>
      <c r="B43" s="5" t="n">
        <v>51.2</v>
      </c>
      <c r="C43" s="5" t="n">
        <v>3.59</v>
      </c>
      <c r="D43" s="5" t="n">
        <v>284</v>
      </c>
      <c r="E43" s="5" t="n">
        <v>7</v>
      </c>
      <c r="F43" s="5" t="n">
        <v>54</v>
      </c>
      <c r="G43" s="5" t="n">
        <v>19</v>
      </c>
      <c r="H43" s="5" t="s">
        <v>36</v>
      </c>
      <c r="I43" s="5" t="n">
        <v>267</v>
      </c>
      <c r="J43" s="2" t="n">
        <f aca="false">IF(H43="Yes",1,0)</f>
        <v>0</v>
      </c>
      <c r="K43" s="2" t="n">
        <f aca="false">IF(I43&gt;Model!$C$9,1,0)</f>
        <v>0</v>
      </c>
    </row>
    <row r="44" customFormat="false" ht="15" hidden="false" customHeight="false" outlineLevel="0" collapsed="false">
      <c r="A44" s="5" t="n">
        <v>43</v>
      </c>
      <c r="B44" s="5" t="n">
        <v>26.4</v>
      </c>
      <c r="C44" s="5" t="n">
        <v>0.9</v>
      </c>
      <c r="D44" s="5" t="n">
        <v>105</v>
      </c>
      <c r="E44" s="5" t="n">
        <v>4</v>
      </c>
      <c r="F44" s="5" t="n">
        <v>25</v>
      </c>
      <c r="G44" s="5" t="n">
        <v>16</v>
      </c>
      <c r="H44" s="5" t="s">
        <v>36</v>
      </c>
      <c r="I44" s="5" t="n">
        <v>0</v>
      </c>
      <c r="J44" s="2" t="n">
        <f aca="false">IF(H44="Yes",1,0)</f>
        <v>0</v>
      </c>
      <c r="K44" s="2" t="n">
        <f aca="false">IF(I44&gt;Model!$C$9,1,0)</f>
        <v>0</v>
      </c>
    </row>
    <row r="45" customFormat="false" ht="15" hidden="false" customHeight="false" outlineLevel="0" collapsed="false">
      <c r="A45" s="5" t="n">
        <v>44</v>
      </c>
      <c r="B45" s="5" t="n">
        <v>43.2</v>
      </c>
      <c r="C45" s="5" t="n">
        <v>1.37</v>
      </c>
      <c r="D45" s="5" t="n">
        <v>148</v>
      </c>
      <c r="E45" s="5" t="n">
        <v>1</v>
      </c>
      <c r="F45" s="5" t="n">
        <v>44</v>
      </c>
      <c r="G45" s="5" t="n">
        <v>13</v>
      </c>
      <c r="H45" s="5" t="s">
        <v>36</v>
      </c>
      <c r="I45" s="5" t="n">
        <v>155</v>
      </c>
      <c r="J45" s="2" t="n">
        <f aca="false">IF(H45="Yes",1,0)</f>
        <v>0</v>
      </c>
      <c r="K45" s="2" t="n">
        <f aca="false">IF(I45&gt;Model!$C$9,1,0)</f>
        <v>0</v>
      </c>
    </row>
    <row r="46" customFormat="false" ht="15" hidden="false" customHeight="false" outlineLevel="0" collapsed="false">
      <c r="A46" s="5" t="n">
        <v>45</v>
      </c>
      <c r="B46" s="5" t="n">
        <v>40.5</v>
      </c>
      <c r="C46" s="5" t="n">
        <v>5.9</v>
      </c>
      <c r="D46" s="5" t="n">
        <v>431</v>
      </c>
      <c r="E46" s="5" t="n">
        <v>7</v>
      </c>
      <c r="F46" s="5" t="n">
        <v>49</v>
      </c>
      <c r="G46" s="5" t="n">
        <v>10</v>
      </c>
      <c r="H46" s="5" t="s">
        <v>36</v>
      </c>
      <c r="I46" s="5" t="n">
        <v>996</v>
      </c>
      <c r="J46" s="2" t="n">
        <f aca="false">IF(H46="Yes",1,0)</f>
        <v>0</v>
      </c>
      <c r="K46" s="2" t="n">
        <f aca="false">IF(I46&gt;Model!$C$9,1,0)</f>
        <v>1</v>
      </c>
    </row>
    <row r="47" customFormat="false" ht="15" hidden="false" customHeight="false" outlineLevel="0" collapsed="false">
      <c r="A47" s="5" t="n">
        <v>46</v>
      </c>
      <c r="B47" s="5" t="n">
        <v>42.9</v>
      </c>
      <c r="C47" s="5" t="n">
        <v>1.59</v>
      </c>
      <c r="D47" s="5" t="n">
        <v>129</v>
      </c>
      <c r="E47" s="5" t="n">
        <v>4</v>
      </c>
      <c r="F47" s="5" t="n">
        <v>50</v>
      </c>
      <c r="G47" s="5" t="n">
        <v>16</v>
      </c>
      <c r="H47" s="5" t="s">
        <v>36</v>
      </c>
      <c r="I47" s="5" t="n">
        <v>193</v>
      </c>
      <c r="J47" s="2" t="n">
        <f aca="false">IF(H47="Yes",1,0)</f>
        <v>0</v>
      </c>
      <c r="K47" s="2" t="n">
        <f aca="false">IF(I47&gt;Model!$C$9,1,0)</f>
        <v>0</v>
      </c>
    </row>
    <row r="48" customFormat="false" ht="15" hidden="false" customHeight="false" outlineLevel="0" collapsed="false">
      <c r="A48" s="5" t="n">
        <v>47</v>
      </c>
      <c r="B48" s="5" t="n">
        <v>61.4</v>
      </c>
      <c r="C48" s="5" t="n">
        <v>2.85</v>
      </c>
      <c r="D48" s="5" t="n">
        <v>244</v>
      </c>
      <c r="E48" s="5" t="n">
        <v>2</v>
      </c>
      <c r="F48" s="5" t="n">
        <v>58</v>
      </c>
      <c r="G48" s="5" t="n">
        <v>14</v>
      </c>
      <c r="H48" s="5" t="s">
        <v>37</v>
      </c>
      <c r="I48" s="5" t="n">
        <v>495</v>
      </c>
      <c r="J48" s="2" t="n">
        <f aca="false">IF(H48="Yes",1,0)</f>
        <v>1</v>
      </c>
      <c r="K48" s="2" t="n">
        <f aca="false">IF(I48&gt;Model!$C$9,1,0)</f>
        <v>0</v>
      </c>
    </row>
    <row r="49" customFormat="false" ht="15" hidden="false" customHeight="false" outlineLevel="0" collapsed="false">
      <c r="A49" s="5" t="n">
        <v>48</v>
      </c>
      <c r="B49" s="5" t="n">
        <v>43</v>
      </c>
      <c r="C49" s="5" t="n">
        <v>5.65</v>
      </c>
      <c r="D49" s="5" t="n">
        <v>415</v>
      </c>
      <c r="E49" s="5" t="n">
        <v>5</v>
      </c>
      <c r="F49" s="5" t="n">
        <v>72</v>
      </c>
      <c r="G49" s="5" t="n">
        <v>9</v>
      </c>
      <c r="H49" s="5" t="s">
        <v>37</v>
      </c>
      <c r="I49" s="5" t="n">
        <v>1383</v>
      </c>
      <c r="J49" s="2" t="n">
        <f aca="false">IF(H49="Yes",1,0)</f>
        <v>1</v>
      </c>
      <c r="K49" s="2" t="n">
        <f aca="false">IF(I49&gt;Model!$C$9,1,0)</f>
        <v>1</v>
      </c>
    </row>
    <row r="50" customFormat="false" ht="15" hidden="false" customHeight="false" outlineLevel="0" collapsed="false">
      <c r="A50" s="5" t="n">
        <v>49</v>
      </c>
      <c r="B50" s="5" t="n">
        <v>55.2</v>
      </c>
      <c r="C50" s="5" t="n">
        <v>7.71</v>
      </c>
      <c r="D50" s="5" t="n">
        <v>570</v>
      </c>
      <c r="E50" s="5" t="n">
        <v>4</v>
      </c>
      <c r="F50" s="5" t="n">
        <v>52</v>
      </c>
      <c r="G50" s="5" t="n">
        <v>12</v>
      </c>
      <c r="H50" s="5" t="s">
        <v>36</v>
      </c>
      <c r="I50" s="5" t="n">
        <v>1395</v>
      </c>
      <c r="J50" s="2" t="n">
        <f aca="false">IF(H50="Yes",1,0)</f>
        <v>0</v>
      </c>
      <c r="K50" s="2" t="n">
        <f aca="false">IF(I50&gt;Model!$C$9,1,0)</f>
        <v>1</v>
      </c>
    </row>
    <row r="51" customFormat="false" ht="15" hidden="false" customHeight="false" outlineLevel="0" collapsed="false">
      <c r="A51" s="5" t="n">
        <v>50</v>
      </c>
      <c r="B51" s="5" t="n">
        <v>39.4</v>
      </c>
      <c r="C51" s="5" t="n">
        <v>1.54</v>
      </c>
      <c r="D51" s="5" t="n">
        <v>148</v>
      </c>
      <c r="E51" s="5" t="n">
        <v>1</v>
      </c>
      <c r="F51" s="5" t="n">
        <v>76</v>
      </c>
      <c r="G51" s="5" t="n">
        <v>20</v>
      </c>
      <c r="H51" s="5" t="s">
        <v>36</v>
      </c>
      <c r="I51" s="5" t="n">
        <v>0</v>
      </c>
      <c r="J51" s="2" t="n">
        <f aca="false">IF(H51="Yes",1,0)</f>
        <v>0</v>
      </c>
      <c r="K51" s="2" t="n">
        <f aca="false">IF(I51&gt;Model!$C$9,1,0)</f>
        <v>0</v>
      </c>
    </row>
    <row r="52" customFormat="false" ht="15" hidden="false" customHeight="false" outlineLevel="0" collapsed="false">
      <c r="A52" s="5" t="n">
        <v>51</v>
      </c>
      <c r="B52" s="5" t="n">
        <v>44.5</v>
      </c>
      <c r="C52" s="5" t="n">
        <v>2.87</v>
      </c>
      <c r="D52" s="5" t="n">
        <v>231</v>
      </c>
      <c r="E52" s="5" t="n">
        <v>6</v>
      </c>
      <c r="F52" s="5" t="n">
        <v>56</v>
      </c>
      <c r="G52" s="5" t="n">
        <v>11</v>
      </c>
      <c r="H52" s="5" t="s">
        <v>36</v>
      </c>
      <c r="I52" s="5" t="n">
        <v>638</v>
      </c>
      <c r="J52" s="2" t="n">
        <f aca="false">IF(H52="Yes",1,0)</f>
        <v>0</v>
      </c>
      <c r="K52" s="2" t="n">
        <f aca="false">IF(I52&gt;Model!$C$9,1,0)</f>
        <v>1</v>
      </c>
    </row>
    <row r="53" customFormat="false" ht="15" hidden="false" customHeight="false" outlineLevel="0" collapsed="false">
      <c r="A53" s="5" t="n">
        <v>52</v>
      </c>
      <c r="B53" s="5" t="n">
        <v>53.8</v>
      </c>
      <c r="C53" s="5" t="n">
        <v>4.3</v>
      </c>
      <c r="D53" s="5" t="n">
        <v>332</v>
      </c>
      <c r="E53" s="5" t="n">
        <v>3</v>
      </c>
      <c r="F53" s="5" t="n">
        <v>40</v>
      </c>
      <c r="G53" s="5" t="n">
        <v>10</v>
      </c>
      <c r="H53" s="5" t="s">
        <v>36</v>
      </c>
      <c r="I53" s="5" t="n">
        <v>0</v>
      </c>
      <c r="J53" s="2" t="n">
        <f aca="false">IF(H53="Yes",1,0)</f>
        <v>0</v>
      </c>
      <c r="K53" s="2" t="n">
        <f aca="false">IF(I53&gt;Model!$C$9,1,0)</f>
        <v>0</v>
      </c>
    </row>
    <row r="54" customFormat="false" ht="15" hidden="false" customHeight="false" outlineLevel="0" collapsed="false">
      <c r="A54" s="5" t="n">
        <v>53</v>
      </c>
      <c r="B54" s="5" t="n">
        <v>17.1</v>
      </c>
      <c r="C54" s="5" t="n">
        <v>4.09</v>
      </c>
      <c r="D54" s="5" t="n">
        <v>337</v>
      </c>
      <c r="E54" s="5" t="n">
        <v>5</v>
      </c>
      <c r="F54" s="5" t="n">
        <v>38</v>
      </c>
      <c r="G54" s="5" t="n">
        <v>16</v>
      </c>
      <c r="H54" s="5" t="s">
        <v>36</v>
      </c>
      <c r="I54" s="5" t="n">
        <v>206</v>
      </c>
      <c r="J54" s="2" t="n">
        <f aca="false">IF(H54="Yes",1,0)</f>
        <v>0</v>
      </c>
      <c r="K54" s="2" t="n">
        <f aca="false">IF(I54&gt;Model!$C$9,1,0)</f>
        <v>0</v>
      </c>
    </row>
    <row r="55" customFormat="false" ht="15" hidden="false" customHeight="false" outlineLevel="0" collapsed="false">
      <c r="A55" s="5" t="n">
        <v>54</v>
      </c>
      <c r="B55" s="5" t="n">
        <v>31.9</v>
      </c>
      <c r="C55" s="5" t="n">
        <v>1.37</v>
      </c>
      <c r="D55" s="5" t="n">
        <v>157</v>
      </c>
      <c r="E55" s="5" t="n">
        <v>7</v>
      </c>
      <c r="F55" s="5" t="n">
        <v>43</v>
      </c>
      <c r="G55" s="5" t="n">
        <v>10</v>
      </c>
      <c r="H55" s="5" t="s">
        <v>36</v>
      </c>
      <c r="I55" s="5" t="n">
        <v>0</v>
      </c>
      <c r="J55" s="2" t="n">
        <f aca="false">IF(H55="Yes",1,0)</f>
        <v>0</v>
      </c>
      <c r="K55" s="2" t="n">
        <f aca="false">IF(I55&gt;Model!$C$9,1,0)</f>
        <v>0</v>
      </c>
    </row>
    <row r="56" customFormat="false" ht="15" hidden="false" customHeight="false" outlineLevel="0" collapsed="false">
      <c r="A56" s="5" t="n">
        <v>55</v>
      </c>
      <c r="B56" s="5" t="n">
        <v>29.3</v>
      </c>
      <c r="C56" s="5" t="n">
        <v>2.19</v>
      </c>
      <c r="D56" s="5" t="n">
        <v>188</v>
      </c>
      <c r="E56" s="5" t="n">
        <v>5</v>
      </c>
      <c r="F56" s="5" t="n">
        <v>61</v>
      </c>
      <c r="G56" s="5" t="n">
        <v>19</v>
      </c>
      <c r="H56" s="5" t="s">
        <v>36</v>
      </c>
      <c r="I56" s="5" t="n">
        <v>125</v>
      </c>
      <c r="J56" s="2" t="n">
        <f aca="false">IF(H56="Yes",1,0)</f>
        <v>0</v>
      </c>
      <c r="K56" s="2" t="n">
        <f aca="false">IF(I56&gt;Model!$C$9,1,0)</f>
        <v>0</v>
      </c>
    </row>
    <row r="57" customFormat="false" ht="15" hidden="false" customHeight="false" outlineLevel="0" collapsed="false">
      <c r="A57" s="5" t="n">
        <v>56</v>
      </c>
      <c r="B57" s="5" t="n">
        <v>26.7</v>
      </c>
      <c r="C57" s="5" t="n">
        <v>3.38</v>
      </c>
      <c r="D57" s="5" t="n">
        <v>268</v>
      </c>
      <c r="E57" s="5" t="n">
        <v>5</v>
      </c>
      <c r="F57" s="5" t="n">
        <v>39</v>
      </c>
      <c r="G57" s="5" t="n">
        <v>19</v>
      </c>
      <c r="H57" s="5" t="s">
        <v>36</v>
      </c>
      <c r="I57" s="5" t="n">
        <v>642</v>
      </c>
      <c r="J57" s="2" t="n">
        <f aca="false">IF(H57="Yes",1,0)</f>
        <v>0</v>
      </c>
      <c r="K57" s="2" t="n">
        <f aca="false">IF(I57&gt;Model!$C$9,1,0)</f>
        <v>1</v>
      </c>
    </row>
    <row r="58" customFormat="false" ht="15" hidden="false" customHeight="false" outlineLevel="0" collapsed="false">
      <c r="A58" s="5" t="n">
        <v>57</v>
      </c>
      <c r="B58" s="5" t="n">
        <v>32.7</v>
      </c>
      <c r="C58" s="5" t="n">
        <v>3.26</v>
      </c>
      <c r="D58" s="5" t="n">
        <v>271</v>
      </c>
      <c r="E58" s="5" t="n">
        <v>2</v>
      </c>
      <c r="F58" s="5" t="n">
        <v>80</v>
      </c>
      <c r="G58" s="5" t="n">
        <v>20</v>
      </c>
      <c r="H58" s="5" t="s">
        <v>36</v>
      </c>
      <c r="I58" s="5" t="n">
        <v>508</v>
      </c>
      <c r="J58" s="2" t="n">
        <f aca="false">IF(H58="Yes",1,0)</f>
        <v>0</v>
      </c>
      <c r="K58" s="2" t="n">
        <f aca="false">IF(I58&gt;Model!$C$9,1,0)</f>
        <v>1</v>
      </c>
    </row>
    <row r="59" customFormat="false" ht="15" hidden="false" customHeight="false" outlineLevel="0" collapsed="false">
      <c r="A59" s="5" t="n">
        <v>58</v>
      </c>
      <c r="B59" s="5" t="n">
        <v>86.5</v>
      </c>
      <c r="C59" s="5" t="n">
        <v>5.17</v>
      </c>
      <c r="D59" s="5" t="n">
        <v>376</v>
      </c>
      <c r="E59" s="5" t="n">
        <v>2</v>
      </c>
      <c r="F59" s="5" t="n">
        <v>53</v>
      </c>
      <c r="G59" s="5" t="n">
        <v>19</v>
      </c>
      <c r="H59" s="5" t="s">
        <v>36</v>
      </c>
      <c r="I59" s="5" t="n">
        <v>397</v>
      </c>
      <c r="J59" s="2" t="n">
        <f aca="false">IF(H59="Yes",1,0)</f>
        <v>0</v>
      </c>
      <c r="K59" s="2" t="n">
        <f aca="false">IF(I59&gt;Model!$C$9,1,0)</f>
        <v>0</v>
      </c>
    </row>
    <row r="60" customFormat="false" ht="15" hidden="false" customHeight="false" outlineLevel="0" collapsed="false">
      <c r="A60" s="5" t="n">
        <v>59</v>
      </c>
      <c r="B60" s="5" t="n">
        <v>23.6</v>
      </c>
      <c r="C60" s="5" t="n">
        <v>2.02</v>
      </c>
      <c r="D60" s="5" t="n">
        <v>179</v>
      </c>
      <c r="E60" s="5" t="n">
        <v>3</v>
      </c>
      <c r="F60" s="5" t="n">
        <v>77</v>
      </c>
      <c r="G60" s="5" t="n">
        <v>11</v>
      </c>
      <c r="H60" s="5" t="s">
        <v>36</v>
      </c>
      <c r="I60" s="5" t="n">
        <v>383</v>
      </c>
      <c r="J60" s="2" t="n">
        <f aca="false">IF(H60="Yes",1,0)</f>
        <v>0</v>
      </c>
      <c r="K60" s="2" t="n">
        <f aca="false">IF(I60&gt;Model!$C$9,1,0)</f>
        <v>0</v>
      </c>
    </row>
    <row r="61" customFormat="false" ht="15" hidden="false" customHeight="false" outlineLevel="0" collapsed="false">
      <c r="A61" s="5" t="n">
        <v>60</v>
      </c>
      <c r="B61" s="5" t="n">
        <v>64.7</v>
      </c>
      <c r="C61" s="5" t="n">
        <v>2.67</v>
      </c>
      <c r="D61" s="5" t="n">
        <v>219</v>
      </c>
      <c r="E61" s="5" t="n">
        <v>6</v>
      </c>
      <c r="F61" s="5" t="n">
        <v>66</v>
      </c>
      <c r="G61" s="5" t="n">
        <v>10</v>
      </c>
      <c r="H61" s="5" t="s">
        <v>36</v>
      </c>
      <c r="I61" s="5" t="n">
        <v>254</v>
      </c>
      <c r="J61" s="2" t="n">
        <f aca="false">IF(H61="Yes",1,0)</f>
        <v>0</v>
      </c>
      <c r="K61" s="2" t="n">
        <f aca="false">IF(I61&gt;Model!$C$9,1,0)</f>
        <v>0</v>
      </c>
    </row>
    <row r="62" customFormat="false" ht="15" hidden="false" customHeight="false" outlineLevel="0" collapsed="false">
      <c r="A62" s="5" t="n">
        <v>61</v>
      </c>
      <c r="B62" s="5" t="n">
        <v>15.1</v>
      </c>
      <c r="C62" s="5" t="n">
        <v>1.42</v>
      </c>
      <c r="D62" s="5" t="n">
        <v>139</v>
      </c>
      <c r="E62" s="5" t="n">
        <v>4</v>
      </c>
      <c r="F62" s="5" t="n">
        <v>44</v>
      </c>
      <c r="G62" s="5" t="n">
        <v>12</v>
      </c>
      <c r="H62" s="5" t="s">
        <v>36</v>
      </c>
      <c r="I62" s="5" t="n">
        <v>68</v>
      </c>
      <c r="J62" s="2" t="n">
        <f aca="false">IF(H62="Yes",1,0)</f>
        <v>0</v>
      </c>
      <c r="K62" s="2" t="n">
        <f aca="false">IF(I62&gt;Model!$C$9,1,0)</f>
        <v>0</v>
      </c>
    </row>
    <row r="63" customFormat="false" ht="15" hidden="false" customHeight="false" outlineLevel="0" collapsed="false">
      <c r="A63" s="5" t="n">
        <v>62</v>
      </c>
      <c r="B63" s="5" t="n">
        <v>31.6</v>
      </c>
      <c r="C63" s="5" t="n">
        <v>2.29</v>
      </c>
      <c r="D63" s="5" t="n">
        <v>183</v>
      </c>
      <c r="E63" s="5" t="n">
        <v>3</v>
      </c>
      <c r="F63" s="5" t="n">
        <v>38</v>
      </c>
      <c r="G63" s="5" t="n">
        <v>14</v>
      </c>
      <c r="H63" s="5" t="s">
        <v>36</v>
      </c>
      <c r="I63" s="5" t="n">
        <v>382</v>
      </c>
      <c r="J63" s="2" t="n">
        <f aca="false">IF(H63="Yes",1,0)</f>
        <v>0</v>
      </c>
      <c r="K63" s="2" t="n">
        <f aca="false">IF(I63&gt;Model!$C$9,1,0)</f>
        <v>0</v>
      </c>
    </row>
    <row r="64" customFormat="false" ht="15" hidden="false" customHeight="false" outlineLevel="0" collapsed="false">
      <c r="A64" s="5" t="n">
        <v>63</v>
      </c>
      <c r="B64" s="5" t="n">
        <v>41.6</v>
      </c>
      <c r="C64" s="5" t="n">
        <v>3.49</v>
      </c>
      <c r="D64" s="5" t="n">
        <v>255</v>
      </c>
      <c r="E64" s="5" t="n">
        <v>6</v>
      </c>
      <c r="F64" s="5" t="n">
        <v>70</v>
      </c>
      <c r="G64" s="5" t="n">
        <v>19</v>
      </c>
      <c r="H64" s="5" t="s">
        <v>37</v>
      </c>
      <c r="I64" s="5" t="n">
        <v>871</v>
      </c>
      <c r="J64" s="2" t="n">
        <f aca="false">IF(H64="Yes",1,0)</f>
        <v>1</v>
      </c>
      <c r="K64" s="2" t="n">
        <f aca="false">IF(I64&gt;Model!$C$9,1,0)</f>
        <v>1</v>
      </c>
    </row>
    <row r="65" customFormat="false" ht="15" hidden="false" customHeight="false" outlineLevel="0" collapsed="false">
      <c r="A65" s="5" t="n">
        <v>64</v>
      </c>
      <c r="B65" s="5" t="n">
        <v>52.5</v>
      </c>
      <c r="C65" s="5" t="n">
        <v>3.07</v>
      </c>
      <c r="D65" s="5" t="n">
        <v>221</v>
      </c>
      <c r="E65" s="5" t="n">
        <v>6</v>
      </c>
      <c r="F65" s="5" t="n">
        <v>44</v>
      </c>
      <c r="G65" s="5" t="n">
        <v>17</v>
      </c>
      <c r="H65" s="5" t="s">
        <v>36</v>
      </c>
      <c r="I65" s="5" t="n">
        <v>39</v>
      </c>
      <c r="J65" s="2" t="n">
        <f aca="false">IF(H65="Yes",1,0)</f>
        <v>0</v>
      </c>
      <c r="K65" s="2" t="n">
        <f aca="false">IF(I65&gt;Model!$C$9,1,0)</f>
        <v>0</v>
      </c>
    </row>
    <row r="66" customFormat="false" ht="15" hidden="false" customHeight="false" outlineLevel="0" collapsed="false">
      <c r="A66" s="5" t="n">
        <v>65</v>
      </c>
      <c r="B66" s="5" t="n">
        <v>56.2</v>
      </c>
      <c r="C66" s="5" t="n">
        <v>4.6</v>
      </c>
      <c r="D66" s="5" t="n">
        <v>335</v>
      </c>
      <c r="E66" s="5" t="n">
        <v>7</v>
      </c>
      <c r="F66" s="5" t="n">
        <v>39</v>
      </c>
      <c r="G66" s="5" t="n">
        <v>16</v>
      </c>
      <c r="H66" s="5" t="s">
        <v>36</v>
      </c>
      <c r="I66" s="5" t="n">
        <v>752</v>
      </c>
      <c r="J66" s="2" t="n">
        <f aca="false">IF(H66="Yes",1,0)</f>
        <v>0</v>
      </c>
      <c r="K66" s="2" t="n">
        <f aca="false">IF(I66&gt;Model!$C$9,1,0)</f>
        <v>1</v>
      </c>
    </row>
    <row r="67" customFormat="false" ht="15" hidden="false" customHeight="false" outlineLevel="0" collapsed="false">
      <c r="A67" s="5" t="n">
        <v>66</v>
      </c>
      <c r="B67" s="5" t="n">
        <v>58.8</v>
      </c>
      <c r="C67" s="5" t="n">
        <v>5.45</v>
      </c>
      <c r="D67" s="5" t="n">
        <v>400</v>
      </c>
      <c r="E67" s="5" t="n">
        <v>3</v>
      </c>
      <c r="F67" s="5" t="n">
        <v>81</v>
      </c>
      <c r="G67" s="5" t="n">
        <v>19</v>
      </c>
      <c r="H67" s="5" t="s">
        <v>36</v>
      </c>
      <c r="I67" s="5" t="n">
        <v>809</v>
      </c>
      <c r="J67" s="2" t="n">
        <f aca="false">IF(H67="Yes",1,0)</f>
        <v>0</v>
      </c>
      <c r="K67" s="2" t="n">
        <f aca="false">IF(I67&gt;Model!$C$9,1,0)</f>
        <v>1</v>
      </c>
    </row>
    <row r="68" customFormat="false" ht="15" hidden="false" customHeight="false" outlineLevel="0" collapsed="false">
      <c r="A68" s="5" t="n">
        <v>67</v>
      </c>
      <c r="B68" s="5" t="n">
        <v>31.4</v>
      </c>
      <c r="C68" s="5" t="n">
        <v>2.83</v>
      </c>
      <c r="D68" s="5" t="n">
        <v>226</v>
      </c>
      <c r="E68" s="5" t="n">
        <v>5</v>
      </c>
      <c r="F68" s="5" t="n">
        <v>53</v>
      </c>
      <c r="G68" s="5" t="n">
        <v>16</v>
      </c>
      <c r="H68" s="5" t="s">
        <v>36</v>
      </c>
      <c r="I68" s="5" t="n">
        <v>279</v>
      </c>
      <c r="J68" s="2" t="n">
        <f aca="false">IF(H68="Yes",1,0)</f>
        <v>0</v>
      </c>
      <c r="K68" s="2" t="n">
        <f aca="false">IF(I68&gt;Model!$C$9,1,0)</f>
        <v>0</v>
      </c>
    </row>
    <row r="69" customFormat="false" ht="15" hidden="false" customHeight="false" outlineLevel="0" collapsed="false">
      <c r="A69" s="5" t="n">
        <v>68</v>
      </c>
      <c r="B69" s="5" t="n">
        <v>29.5</v>
      </c>
      <c r="C69" s="5" t="n">
        <v>2.98</v>
      </c>
      <c r="D69" s="5" t="n">
        <v>263</v>
      </c>
      <c r="E69" s="5" t="n">
        <v>5</v>
      </c>
      <c r="F69" s="5" t="n">
        <v>27</v>
      </c>
      <c r="G69" s="5" t="n">
        <v>12</v>
      </c>
      <c r="H69" s="5" t="s">
        <v>36</v>
      </c>
      <c r="I69" s="5" t="n">
        <v>716</v>
      </c>
      <c r="J69" s="2" t="n">
        <f aca="false">IF(H69="Yes",1,0)</f>
        <v>0</v>
      </c>
      <c r="K69" s="2" t="n">
        <f aca="false">IF(I69&gt;Model!$C$9,1,0)</f>
        <v>1</v>
      </c>
    </row>
    <row r="70" customFormat="false" ht="15" hidden="false" customHeight="false" outlineLevel="0" collapsed="false">
      <c r="A70" s="5" t="n">
        <v>69</v>
      </c>
      <c r="B70" s="5" t="n">
        <v>60.9</v>
      </c>
      <c r="C70" s="5" t="n">
        <v>4.32</v>
      </c>
      <c r="D70" s="5" t="n">
        <v>343</v>
      </c>
      <c r="E70" s="5" t="n">
        <v>4</v>
      </c>
      <c r="F70" s="5" t="n">
        <v>54</v>
      </c>
      <c r="G70" s="5" t="n">
        <v>13</v>
      </c>
      <c r="H70" s="5" t="s">
        <v>36</v>
      </c>
      <c r="I70" s="5" t="n">
        <v>0</v>
      </c>
      <c r="J70" s="2" t="n">
        <f aca="false">IF(H70="Yes",1,0)</f>
        <v>0</v>
      </c>
      <c r="K70" s="2" t="n">
        <f aca="false">IF(I70&gt;Model!$C$9,1,0)</f>
        <v>0</v>
      </c>
    </row>
    <row r="71" customFormat="false" ht="15" hidden="false" customHeight="false" outlineLevel="0" collapsed="false">
      <c r="A71" s="5" t="n">
        <v>70</v>
      </c>
      <c r="B71" s="5" t="n">
        <v>34.2</v>
      </c>
      <c r="C71" s="5" t="n">
        <v>2.78</v>
      </c>
      <c r="D71" s="5" t="n">
        <v>215</v>
      </c>
      <c r="E71" s="5" t="n">
        <v>3</v>
      </c>
      <c r="F71" s="5" t="n">
        <v>52</v>
      </c>
      <c r="G71" s="5" t="n">
        <v>14</v>
      </c>
      <c r="H71" s="5" t="s">
        <v>36</v>
      </c>
      <c r="I71" s="5" t="n">
        <v>0</v>
      </c>
      <c r="J71" s="2" t="n">
        <f aca="false">IF(H71="Yes",1,0)</f>
        <v>0</v>
      </c>
      <c r="K71" s="2" t="n">
        <f aca="false">IF(I71&gt;Model!$C$9,1,0)</f>
        <v>0</v>
      </c>
    </row>
    <row r="72" customFormat="false" ht="15" hidden="false" customHeight="false" outlineLevel="0" collapsed="false">
      <c r="A72" s="5" t="n">
        <v>71</v>
      </c>
      <c r="B72" s="5" t="n">
        <v>18.8</v>
      </c>
      <c r="C72" s="5" t="n">
        <v>1</v>
      </c>
      <c r="D72" s="5" t="n">
        <v>111</v>
      </c>
      <c r="E72" s="5" t="n">
        <v>1</v>
      </c>
      <c r="F72" s="5" t="n">
        <v>77</v>
      </c>
      <c r="G72" s="5" t="n">
        <v>9</v>
      </c>
      <c r="H72" s="5" t="s">
        <v>36</v>
      </c>
      <c r="I72" s="5" t="n">
        <v>0</v>
      </c>
      <c r="J72" s="2" t="n">
        <f aca="false">IF(H72="Yes",1,0)</f>
        <v>0</v>
      </c>
      <c r="K72" s="2" t="n">
        <f aca="false">IF(I72&gt;Model!$C$9,1,0)</f>
        <v>0</v>
      </c>
    </row>
    <row r="73" customFormat="false" ht="15" hidden="false" customHeight="false" outlineLevel="0" collapsed="false">
      <c r="A73" s="5" t="n">
        <v>72</v>
      </c>
      <c r="B73" s="5" t="n">
        <v>20.4</v>
      </c>
      <c r="C73" s="5" t="n">
        <v>2.43</v>
      </c>
      <c r="D73" s="5" t="n">
        <v>198</v>
      </c>
      <c r="E73" s="5" t="n">
        <v>2</v>
      </c>
      <c r="F73" s="5" t="n">
        <v>68</v>
      </c>
      <c r="G73" s="5" t="n">
        <v>17</v>
      </c>
      <c r="H73" s="5" t="s">
        <v>36</v>
      </c>
      <c r="I73" s="5" t="n">
        <v>159</v>
      </c>
      <c r="J73" s="2" t="n">
        <f aca="false">IF(H73="Yes",1,0)</f>
        <v>0</v>
      </c>
      <c r="K73" s="2" t="n">
        <f aca="false">IF(I73&gt;Model!$C$9,1,0)</f>
        <v>0</v>
      </c>
    </row>
    <row r="74" customFormat="false" ht="15" hidden="false" customHeight="false" outlineLevel="0" collapsed="false">
      <c r="A74" s="5" t="n">
        <v>73</v>
      </c>
      <c r="B74" s="5" t="n">
        <v>22.9</v>
      </c>
      <c r="C74" s="5" t="n">
        <v>2.03</v>
      </c>
      <c r="D74" s="5" t="n">
        <v>173</v>
      </c>
      <c r="E74" s="5" t="n">
        <v>4</v>
      </c>
      <c r="F74" s="5" t="n">
        <v>35</v>
      </c>
      <c r="G74" s="5" t="n">
        <v>16</v>
      </c>
      <c r="H74" s="5" t="s">
        <v>37</v>
      </c>
      <c r="I74" s="5" t="n">
        <v>480</v>
      </c>
      <c r="J74" s="2" t="n">
        <f aca="false">IF(H74="Yes",1,0)</f>
        <v>1</v>
      </c>
      <c r="K74" s="2" t="n">
        <f aca="false">IF(I74&gt;Model!$C$9,1,0)</f>
        <v>0</v>
      </c>
    </row>
    <row r="75" customFormat="false" ht="15" hidden="false" customHeight="false" outlineLevel="0" collapsed="false">
      <c r="A75" s="5" t="n">
        <v>74</v>
      </c>
      <c r="B75" s="5" t="n">
        <v>50</v>
      </c>
      <c r="C75" s="5" t="n">
        <v>6.37</v>
      </c>
      <c r="D75" s="5" t="n">
        <v>469</v>
      </c>
      <c r="E75" s="5" t="n">
        <v>7</v>
      </c>
      <c r="F75" s="5" t="n">
        <v>33</v>
      </c>
      <c r="G75" s="5" t="n">
        <v>17</v>
      </c>
      <c r="H75" s="5" t="s">
        <v>36</v>
      </c>
      <c r="I75" s="5" t="n">
        <v>703</v>
      </c>
      <c r="J75" s="2" t="n">
        <f aca="false">IF(H75="Yes",1,0)</f>
        <v>0</v>
      </c>
      <c r="K75" s="2" t="n">
        <f aca="false">IF(I75&gt;Model!$C$9,1,0)</f>
        <v>1</v>
      </c>
    </row>
    <row r="76" customFormat="false" ht="15" hidden="false" customHeight="false" outlineLevel="0" collapsed="false">
      <c r="A76" s="5" t="n">
        <v>75</v>
      </c>
      <c r="B76" s="5" t="n">
        <v>41.1</v>
      </c>
      <c r="C76" s="5" t="n">
        <v>5.21</v>
      </c>
      <c r="D76" s="5" t="n">
        <v>397</v>
      </c>
      <c r="E76" s="5" t="n">
        <v>7</v>
      </c>
      <c r="F76" s="5" t="n">
        <v>61</v>
      </c>
      <c r="G76" s="5" t="n">
        <v>14</v>
      </c>
      <c r="H76" s="5" t="s">
        <v>36</v>
      </c>
      <c r="I76" s="5" t="n">
        <v>592</v>
      </c>
      <c r="J76" s="2" t="n">
        <f aca="false">IF(H76="Yes",1,0)</f>
        <v>0</v>
      </c>
      <c r="K76" s="2" t="n">
        <f aca="false">IF(I76&gt;Model!$C$9,1,0)</f>
        <v>1</v>
      </c>
    </row>
    <row r="77" customFormat="false" ht="15" hidden="false" customHeight="false" outlineLevel="0" collapsed="false">
      <c r="A77" s="5" t="n">
        <v>76</v>
      </c>
      <c r="B77" s="5" t="n">
        <v>55.6</v>
      </c>
      <c r="C77" s="5" t="n">
        <v>4.46</v>
      </c>
      <c r="D77" s="5" t="n">
        <v>335</v>
      </c>
      <c r="E77" s="5" t="n">
        <v>2</v>
      </c>
      <c r="F77" s="5" t="n">
        <v>26</v>
      </c>
      <c r="G77" s="5" t="n">
        <v>18</v>
      </c>
      <c r="H77" s="5" t="s">
        <v>37</v>
      </c>
      <c r="I77" s="5" t="n">
        <v>733</v>
      </c>
      <c r="J77" s="2" t="n">
        <f aca="false">IF(H77="Yes",1,0)</f>
        <v>1</v>
      </c>
      <c r="K77" s="2" t="n">
        <f aca="false">IF(I77&gt;Model!$C$9,1,0)</f>
        <v>1</v>
      </c>
    </row>
    <row r="78" customFormat="false" ht="15" hidden="false" customHeight="false" outlineLevel="0" collapsed="false">
      <c r="A78" s="5" t="n">
        <v>77</v>
      </c>
      <c r="B78" s="5" t="n">
        <v>30</v>
      </c>
      <c r="C78" s="5" t="n">
        <v>1.56</v>
      </c>
      <c r="D78" s="5" t="n">
        <v>157</v>
      </c>
      <c r="E78" s="5" t="n">
        <v>5</v>
      </c>
      <c r="F78" s="5" t="n">
        <v>43</v>
      </c>
      <c r="G78" s="5" t="n">
        <v>20</v>
      </c>
      <c r="H78" s="5" t="s">
        <v>36</v>
      </c>
      <c r="I78" s="5" t="n">
        <v>585</v>
      </c>
      <c r="J78" s="2" t="n">
        <f aca="false">IF(H78="Yes",1,0)</f>
        <v>0</v>
      </c>
      <c r="K78" s="2" t="n">
        <f aca="false">IF(I78&gt;Model!$C$9,1,0)</f>
        <v>1</v>
      </c>
    </row>
    <row r="79" customFormat="false" ht="15" hidden="false" customHeight="false" outlineLevel="0" collapsed="false">
      <c r="A79" s="5" t="n">
        <v>78</v>
      </c>
      <c r="B79" s="5" t="n">
        <v>41.5</v>
      </c>
      <c r="C79" s="5" t="n">
        <v>1.74</v>
      </c>
      <c r="D79" s="5" t="n">
        <v>143</v>
      </c>
      <c r="E79" s="5" t="n">
        <v>1</v>
      </c>
      <c r="F79" s="5" t="n">
        <v>32</v>
      </c>
      <c r="G79" s="5" t="n">
        <v>15</v>
      </c>
      <c r="H79" s="5" t="s">
        <v>36</v>
      </c>
      <c r="I79" s="5" t="n">
        <v>377</v>
      </c>
      <c r="J79" s="2" t="n">
        <f aca="false">IF(H79="Yes",1,0)</f>
        <v>0</v>
      </c>
      <c r="K79" s="2" t="n">
        <f aca="false">IF(I79&gt;Model!$C$9,1,0)</f>
        <v>0</v>
      </c>
    </row>
    <row r="80" customFormat="false" ht="15" hidden="false" customHeight="false" outlineLevel="0" collapsed="false">
      <c r="A80" s="5" t="n">
        <v>79</v>
      </c>
      <c r="B80" s="5" t="n">
        <v>53.6</v>
      </c>
      <c r="C80" s="5" t="n">
        <v>5.4</v>
      </c>
      <c r="D80" s="5" t="n">
        <v>402</v>
      </c>
      <c r="E80" s="5" t="n">
        <v>5</v>
      </c>
      <c r="F80" s="5" t="n">
        <v>25</v>
      </c>
      <c r="G80" s="5" t="n">
        <v>13</v>
      </c>
      <c r="H80" s="5" t="s">
        <v>36</v>
      </c>
      <c r="I80" s="5" t="n">
        <v>699</v>
      </c>
      <c r="J80" s="2" t="n">
        <f aca="false">IF(H80="Yes",1,0)</f>
        <v>0</v>
      </c>
      <c r="K80" s="2" t="n">
        <f aca="false">IF(I80&gt;Model!$C$9,1,0)</f>
        <v>1</v>
      </c>
    </row>
    <row r="81" customFormat="false" ht="15" hidden="false" customHeight="false" outlineLevel="0" collapsed="false">
      <c r="A81" s="5" t="n">
        <v>80</v>
      </c>
      <c r="B81" s="5" t="n">
        <v>32.1</v>
      </c>
      <c r="C81" s="5" t="n">
        <v>3.01</v>
      </c>
      <c r="D81" s="5" t="n">
        <v>273</v>
      </c>
      <c r="E81" s="5" t="n">
        <v>3</v>
      </c>
      <c r="F81" s="5" t="n">
        <v>80</v>
      </c>
      <c r="G81" s="5" t="n">
        <v>9</v>
      </c>
      <c r="H81" s="5" t="s">
        <v>36</v>
      </c>
      <c r="I81" s="5" t="n">
        <v>227</v>
      </c>
      <c r="J81" s="2" t="n">
        <f aca="false">IF(H81="Yes",1,0)</f>
        <v>0</v>
      </c>
      <c r="K81" s="2" t="n">
        <f aca="false">IF(I81&gt;Model!$C$9,1,0)</f>
        <v>0</v>
      </c>
    </row>
    <row r="82" customFormat="false" ht="15" hidden="false" customHeight="false" outlineLevel="0" collapsed="false">
      <c r="A82" s="5" t="n">
        <v>81</v>
      </c>
      <c r="B82" s="5" t="n">
        <v>48.9</v>
      </c>
      <c r="C82" s="5" t="n">
        <v>4.21</v>
      </c>
      <c r="D82" s="5" t="n">
        <v>325</v>
      </c>
      <c r="E82" s="5" t="n">
        <v>4</v>
      </c>
      <c r="F82" s="5" t="n">
        <v>29</v>
      </c>
      <c r="G82" s="5" t="n">
        <v>18</v>
      </c>
      <c r="H82" s="5" t="s">
        <v>36</v>
      </c>
      <c r="I82" s="5" t="n">
        <v>221</v>
      </c>
      <c r="J82" s="2" t="n">
        <f aca="false">IF(H82="Yes",1,0)</f>
        <v>0</v>
      </c>
      <c r="K82" s="2" t="n">
        <f aca="false">IF(I82&gt;Model!$C$9,1,0)</f>
        <v>0</v>
      </c>
    </row>
    <row r="83" customFormat="false" ht="15" hidden="false" customHeight="false" outlineLevel="0" collapsed="false">
      <c r="A83" s="5" t="n">
        <v>82</v>
      </c>
      <c r="B83" s="5" t="n">
        <v>26.4</v>
      </c>
      <c r="C83" s="5" t="n">
        <v>0.9</v>
      </c>
      <c r="D83" s="5" t="n">
        <v>117</v>
      </c>
      <c r="E83" s="5" t="n">
        <v>6</v>
      </c>
      <c r="F83" s="5" t="n">
        <v>24</v>
      </c>
      <c r="G83" s="5" t="n">
        <v>19</v>
      </c>
      <c r="H83" s="5" t="s">
        <v>36</v>
      </c>
      <c r="I83" s="5" t="n">
        <v>0</v>
      </c>
      <c r="J83" s="2" t="n">
        <f aca="false">IF(H83="Yes",1,0)</f>
        <v>0</v>
      </c>
      <c r="K83" s="2" t="n">
        <f aca="false">IF(I83&gt;Model!$C$9,1,0)</f>
        <v>0</v>
      </c>
    </row>
    <row r="84" customFormat="false" ht="15" hidden="false" customHeight="false" outlineLevel="0" collapsed="false">
      <c r="A84" s="5" t="n">
        <v>83</v>
      </c>
      <c r="B84" s="5" t="n">
        <v>31.1</v>
      </c>
      <c r="C84" s="5" t="n">
        <v>3.82</v>
      </c>
      <c r="D84" s="5" t="n">
        <v>297</v>
      </c>
      <c r="E84" s="5" t="n">
        <v>3</v>
      </c>
      <c r="F84" s="5" t="n">
        <v>81</v>
      </c>
      <c r="G84" s="5" t="n">
        <v>17</v>
      </c>
      <c r="H84" s="5" t="s">
        <v>36</v>
      </c>
      <c r="I84" s="5" t="n">
        <v>518</v>
      </c>
      <c r="J84" s="2" t="n">
        <f aca="false">IF(H84="Yes",1,0)</f>
        <v>0</v>
      </c>
      <c r="K84" s="2" t="n">
        <f aca="false">IF(I84&gt;Model!$C$9,1,0)</f>
        <v>1</v>
      </c>
    </row>
    <row r="85" customFormat="false" ht="15" hidden="false" customHeight="false" outlineLevel="0" collapsed="false">
      <c r="A85" s="5" t="n">
        <v>84</v>
      </c>
      <c r="B85" s="5" t="n">
        <v>30.8</v>
      </c>
      <c r="C85" s="5" t="n">
        <v>3.18</v>
      </c>
      <c r="D85" s="5" t="n">
        <v>260</v>
      </c>
      <c r="E85" s="5" t="n">
        <v>6</v>
      </c>
      <c r="F85" s="5" t="n">
        <v>35</v>
      </c>
      <c r="G85" s="5" t="n">
        <v>19</v>
      </c>
      <c r="H85" s="5" t="s">
        <v>36</v>
      </c>
      <c r="I85" s="5" t="n">
        <v>118</v>
      </c>
      <c r="J85" s="2" t="n">
        <f aca="false">IF(H85="Yes",1,0)</f>
        <v>0</v>
      </c>
      <c r="K85" s="2" t="n">
        <f aca="false">IF(I85&gt;Model!$C$9,1,0)</f>
        <v>0</v>
      </c>
    </row>
    <row r="86" customFormat="false" ht="15" hidden="false" customHeight="false" outlineLevel="0" collapsed="false">
      <c r="A86" s="5" t="n">
        <v>85</v>
      </c>
      <c r="B86" s="5" t="n">
        <v>19.7</v>
      </c>
      <c r="C86" s="5" t="n">
        <v>0.9</v>
      </c>
      <c r="D86" s="5" t="n">
        <v>100</v>
      </c>
      <c r="E86" s="5" t="n">
        <v>4</v>
      </c>
      <c r="F86" s="5" t="n">
        <v>74</v>
      </c>
      <c r="G86" s="5" t="n">
        <v>19</v>
      </c>
      <c r="H86" s="5" t="s">
        <v>36</v>
      </c>
      <c r="I86" s="5" t="n">
        <v>0</v>
      </c>
      <c r="J86" s="2" t="n">
        <f aca="false">IF(H86="Yes",1,0)</f>
        <v>0</v>
      </c>
      <c r="K86" s="2" t="n">
        <f aca="false">IF(I86&gt;Model!$C$9,1,0)</f>
        <v>0</v>
      </c>
    </row>
    <row r="87" customFormat="false" ht="15" hidden="false" customHeight="false" outlineLevel="0" collapsed="false">
      <c r="A87" s="5" t="n">
        <v>86</v>
      </c>
      <c r="B87" s="5" t="n">
        <v>49.7</v>
      </c>
      <c r="C87" s="5" t="n">
        <v>3.02</v>
      </c>
      <c r="D87" s="5" t="n">
        <v>240</v>
      </c>
      <c r="E87" s="5" t="n">
        <v>7</v>
      </c>
      <c r="F87" s="5" t="n">
        <v>25</v>
      </c>
      <c r="G87" s="5" t="n">
        <v>18</v>
      </c>
      <c r="H87" s="5" t="s">
        <v>36</v>
      </c>
      <c r="I87" s="5" t="n">
        <v>0</v>
      </c>
      <c r="J87" s="2" t="n">
        <f aca="false">IF(H87="Yes",1,0)</f>
        <v>0</v>
      </c>
      <c r="K87" s="2" t="n">
        <f aca="false">IF(I87&gt;Model!$C$9,1,0)</f>
        <v>0</v>
      </c>
    </row>
    <row r="88" customFormat="false" ht="15" hidden="false" customHeight="false" outlineLevel="0" collapsed="false">
      <c r="A88" s="5" t="n">
        <v>87</v>
      </c>
      <c r="B88" s="5" t="n">
        <v>29.4</v>
      </c>
      <c r="C88" s="5" t="n">
        <v>2.86</v>
      </c>
      <c r="D88" s="5" t="n">
        <v>222</v>
      </c>
      <c r="E88" s="5" t="n">
        <v>5</v>
      </c>
      <c r="F88" s="5" t="n">
        <v>33</v>
      </c>
      <c r="G88" s="5" t="n">
        <v>14</v>
      </c>
      <c r="H88" s="5" t="s">
        <v>36</v>
      </c>
      <c r="I88" s="5" t="n">
        <v>104</v>
      </c>
      <c r="J88" s="2" t="n">
        <f aca="false">IF(H88="Yes",1,0)</f>
        <v>0</v>
      </c>
      <c r="K88" s="2" t="n">
        <f aca="false">IF(I88&gt;Model!$C$9,1,0)</f>
        <v>0</v>
      </c>
    </row>
    <row r="89" customFormat="false" ht="15" hidden="false" customHeight="false" outlineLevel="0" collapsed="false">
      <c r="A89" s="5" t="n">
        <v>88</v>
      </c>
      <c r="B89" s="5" t="n">
        <v>38.3</v>
      </c>
      <c r="C89" s="5" t="n">
        <v>3.07</v>
      </c>
      <c r="D89" s="5" t="n">
        <v>251</v>
      </c>
      <c r="E89" s="5" t="n">
        <v>3</v>
      </c>
      <c r="F89" s="5" t="n">
        <v>30</v>
      </c>
      <c r="G89" s="5" t="n">
        <v>9</v>
      </c>
      <c r="H89" s="5" t="s">
        <v>36</v>
      </c>
      <c r="I89" s="5" t="n">
        <v>330</v>
      </c>
      <c r="J89" s="2" t="n">
        <f aca="false">IF(H89="Yes",1,0)</f>
        <v>0</v>
      </c>
      <c r="K89" s="2" t="n">
        <f aca="false">IF(I89&gt;Model!$C$9,1,0)</f>
        <v>0</v>
      </c>
    </row>
    <row r="90" customFormat="false" ht="15" hidden="false" customHeight="false" outlineLevel="0" collapsed="false">
      <c r="A90" s="5" t="n">
        <v>89</v>
      </c>
      <c r="B90" s="5" t="n">
        <v>49.5</v>
      </c>
      <c r="C90" s="5" t="n">
        <v>3.24</v>
      </c>
      <c r="D90" s="5" t="n">
        <v>247</v>
      </c>
      <c r="E90" s="5" t="n">
        <v>6</v>
      </c>
      <c r="F90" s="5" t="n">
        <v>67</v>
      </c>
      <c r="G90" s="5" t="n">
        <v>8</v>
      </c>
      <c r="H90" s="5" t="s">
        <v>36</v>
      </c>
      <c r="I90" s="5" t="n">
        <v>349</v>
      </c>
      <c r="J90" s="2" t="n">
        <f aca="false">IF(H90="Yes",1,0)</f>
        <v>0</v>
      </c>
      <c r="K90" s="2" t="n">
        <f aca="false">IF(I90&gt;Model!$C$9,1,0)</f>
        <v>0</v>
      </c>
    </row>
    <row r="91" customFormat="false" ht="15" hidden="false" customHeight="false" outlineLevel="0" collapsed="false">
      <c r="A91" s="5" t="n">
        <v>90</v>
      </c>
      <c r="B91" s="5" t="n">
        <v>48.6</v>
      </c>
      <c r="C91" s="5" t="n">
        <v>3.44</v>
      </c>
      <c r="D91" s="5" t="n">
        <v>278</v>
      </c>
      <c r="E91" s="5" t="n">
        <v>3</v>
      </c>
      <c r="F91" s="5" t="n">
        <v>62</v>
      </c>
      <c r="G91" s="5" t="n">
        <v>10</v>
      </c>
      <c r="H91" s="5" t="s">
        <v>36</v>
      </c>
      <c r="I91" s="5" t="n">
        <v>423</v>
      </c>
      <c r="J91" s="2" t="n">
        <f aca="false">IF(H91="Yes",1,0)</f>
        <v>0</v>
      </c>
      <c r="K91" s="2" t="n">
        <f aca="false">IF(I91&gt;Model!$C$9,1,0)</f>
        <v>0</v>
      </c>
    </row>
    <row r="92" customFormat="false" ht="15" hidden="false" customHeight="false" outlineLevel="0" collapsed="false">
      <c r="A92" s="5" t="n">
        <v>91</v>
      </c>
      <c r="B92" s="5" t="n">
        <v>54.8</v>
      </c>
      <c r="C92" s="5" t="n">
        <v>3.59</v>
      </c>
      <c r="D92" s="5" t="n">
        <v>294</v>
      </c>
      <c r="E92" s="5" t="n">
        <v>4</v>
      </c>
      <c r="F92" s="5" t="n">
        <v>53</v>
      </c>
      <c r="G92" s="5" t="n">
        <v>13</v>
      </c>
      <c r="H92" s="5" t="s">
        <v>36</v>
      </c>
      <c r="I92" s="5" t="n">
        <v>0</v>
      </c>
      <c r="J92" s="2" t="n">
        <f aca="false">IF(H92="Yes",1,0)</f>
        <v>0</v>
      </c>
      <c r="K92" s="2" t="n">
        <f aca="false">IF(I92&gt;Model!$C$9,1,0)</f>
        <v>0</v>
      </c>
    </row>
    <row r="93" customFormat="false" ht="15" hidden="false" customHeight="false" outlineLevel="0" collapsed="false">
      <c r="A93" s="5" t="n">
        <v>92</v>
      </c>
      <c r="B93" s="5" t="n">
        <v>36</v>
      </c>
      <c r="C93" s="5" t="n">
        <v>3.08</v>
      </c>
      <c r="D93" s="5" t="n">
        <v>251</v>
      </c>
      <c r="E93" s="5" t="n">
        <v>1</v>
      </c>
      <c r="F93" s="5" t="n">
        <v>38</v>
      </c>
      <c r="G93" s="5" t="n">
        <v>17</v>
      </c>
      <c r="H93" s="5" t="s">
        <v>36</v>
      </c>
      <c r="I93" s="5" t="n">
        <v>534</v>
      </c>
      <c r="J93" s="2" t="n">
        <f aca="false">IF(H93="Yes",1,0)</f>
        <v>0</v>
      </c>
      <c r="K93" s="2" t="n">
        <f aca="false">IF(I93&gt;Model!$C$9,1,0)</f>
        <v>1</v>
      </c>
    </row>
    <row r="94" customFormat="false" ht="15" hidden="false" customHeight="false" outlineLevel="0" collapsed="false">
      <c r="A94" s="5" t="n">
        <v>93</v>
      </c>
      <c r="B94" s="5" t="n">
        <v>30.1</v>
      </c>
      <c r="C94" s="5" t="n">
        <v>4.47</v>
      </c>
      <c r="D94" s="5" t="n">
        <v>336</v>
      </c>
      <c r="E94" s="5" t="n">
        <v>1</v>
      </c>
      <c r="F94" s="5" t="n">
        <v>29</v>
      </c>
      <c r="G94" s="5" t="n">
        <v>13</v>
      </c>
      <c r="H94" s="5" t="s">
        <v>36</v>
      </c>
      <c r="I94" s="5" t="n">
        <v>523</v>
      </c>
      <c r="J94" s="2" t="n">
        <f aca="false">IF(H94="Yes",1,0)</f>
        <v>0</v>
      </c>
      <c r="K94" s="2" t="n">
        <f aca="false">IF(I94&gt;Model!$C$9,1,0)</f>
        <v>1</v>
      </c>
    </row>
    <row r="95" customFormat="false" ht="15" hidden="false" customHeight="false" outlineLevel="0" collapsed="false">
      <c r="A95" s="5" t="n">
        <v>94</v>
      </c>
      <c r="B95" s="5" t="n">
        <v>36.4</v>
      </c>
      <c r="C95" s="5" t="n">
        <v>0.9</v>
      </c>
      <c r="D95" s="5" t="n">
        <v>106</v>
      </c>
      <c r="E95" s="5" t="n">
        <v>5</v>
      </c>
      <c r="F95" s="5" t="n">
        <v>59</v>
      </c>
      <c r="G95" s="5" t="n">
        <v>8</v>
      </c>
      <c r="H95" s="5" t="s">
        <v>37</v>
      </c>
      <c r="I95" s="5" t="n">
        <v>305</v>
      </c>
      <c r="J95" s="2" t="n">
        <f aca="false">IF(H95="Yes",1,0)</f>
        <v>1</v>
      </c>
      <c r="K95" s="2" t="n">
        <f aca="false">IF(I95&gt;Model!$C$9,1,0)</f>
        <v>0</v>
      </c>
    </row>
    <row r="96" customFormat="false" ht="15" hidden="false" customHeight="false" outlineLevel="0" collapsed="false">
      <c r="A96" s="5" t="n">
        <v>95</v>
      </c>
      <c r="B96" s="5" t="n">
        <v>15</v>
      </c>
      <c r="C96" s="5" t="n">
        <v>1.42</v>
      </c>
      <c r="D96" s="5" t="n">
        <v>131</v>
      </c>
      <c r="E96" s="5" t="n">
        <v>2</v>
      </c>
      <c r="F96" s="5" t="n">
        <v>38</v>
      </c>
      <c r="G96" s="5" t="n">
        <v>10</v>
      </c>
      <c r="H96" s="5" t="s">
        <v>36</v>
      </c>
      <c r="I96" s="5" t="n">
        <v>18</v>
      </c>
      <c r="J96" s="2" t="n">
        <f aca="false">IF(H96="Yes",1,0)</f>
        <v>0</v>
      </c>
      <c r="K96" s="2" t="n">
        <f aca="false">IF(I96&gt;Model!$C$9,1,0)</f>
        <v>0</v>
      </c>
    </row>
    <row r="97" customFormat="false" ht="15" hidden="false" customHeight="false" outlineLevel="0" collapsed="false">
      <c r="A97" s="5" t="n">
        <v>96</v>
      </c>
      <c r="B97" s="5" t="n">
        <v>17.1</v>
      </c>
      <c r="C97" s="5" t="n">
        <v>2.07</v>
      </c>
      <c r="D97" s="5" t="n">
        <v>190</v>
      </c>
      <c r="E97" s="5" t="n">
        <v>7</v>
      </c>
      <c r="F97" s="5" t="n">
        <v>60</v>
      </c>
      <c r="G97" s="5" t="n">
        <v>20</v>
      </c>
      <c r="H97" s="5" t="s">
        <v>36</v>
      </c>
      <c r="I97" s="5" t="n">
        <v>0</v>
      </c>
      <c r="J97" s="2" t="n">
        <f aca="false">IF(H97="Yes",1,0)</f>
        <v>0</v>
      </c>
      <c r="K97" s="2" t="n">
        <f aca="false">IF(I97&gt;Model!$C$9,1,0)</f>
        <v>0</v>
      </c>
    </row>
    <row r="98" customFormat="false" ht="15" hidden="false" customHeight="false" outlineLevel="0" collapsed="false">
      <c r="A98" s="5" t="n">
        <v>97</v>
      </c>
      <c r="B98" s="5" t="n">
        <v>18.4</v>
      </c>
      <c r="C98" s="5" t="n">
        <v>2.3</v>
      </c>
      <c r="D98" s="5" t="n">
        <v>172</v>
      </c>
      <c r="E98" s="5" t="n">
        <v>6</v>
      </c>
      <c r="F98" s="5" t="n">
        <v>66</v>
      </c>
      <c r="G98" s="5" t="n">
        <v>20</v>
      </c>
      <c r="H98" s="5" t="s">
        <v>36</v>
      </c>
      <c r="I98" s="5" t="n">
        <v>151</v>
      </c>
      <c r="J98" s="2" t="n">
        <f aca="false">IF(H98="Yes",1,0)</f>
        <v>0</v>
      </c>
      <c r="K98" s="2" t="n">
        <f aca="false">IF(I98&gt;Model!$C$9,1,0)</f>
        <v>0</v>
      </c>
    </row>
    <row r="99" customFormat="false" ht="15" hidden="false" customHeight="false" outlineLevel="0" collapsed="false">
      <c r="A99" s="5" t="n">
        <v>98</v>
      </c>
      <c r="B99" s="5" t="n">
        <v>22</v>
      </c>
      <c r="C99" s="5" t="n">
        <v>1.63</v>
      </c>
      <c r="D99" s="5" t="n">
        <v>145</v>
      </c>
      <c r="E99" s="5" t="n">
        <v>5</v>
      </c>
      <c r="F99" s="5" t="n">
        <v>76</v>
      </c>
      <c r="G99" s="5" t="n">
        <v>12</v>
      </c>
      <c r="H99" s="5" t="s">
        <v>36</v>
      </c>
      <c r="I99" s="5" t="n">
        <v>120</v>
      </c>
      <c r="J99" s="2" t="n">
        <f aca="false">IF(H99="Yes",1,0)</f>
        <v>0</v>
      </c>
      <c r="K99" s="2" t="n">
        <f aca="false">IF(I99&gt;Model!$C$9,1,0)</f>
        <v>0</v>
      </c>
    </row>
    <row r="100" customFormat="false" ht="15" hidden="false" customHeight="false" outlineLevel="0" collapsed="false">
      <c r="A100" s="5" t="n">
        <v>99</v>
      </c>
      <c r="B100" s="5" t="n">
        <v>47.3</v>
      </c>
      <c r="C100" s="5" t="n">
        <v>1.22</v>
      </c>
      <c r="D100" s="5" t="n">
        <v>98</v>
      </c>
      <c r="E100" s="5" t="n">
        <v>6</v>
      </c>
      <c r="F100" s="5" t="n">
        <v>54</v>
      </c>
      <c r="G100" s="5" t="n">
        <v>18</v>
      </c>
      <c r="H100" s="5" t="s">
        <v>36</v>
      </c>
      <c r="I100" s="5" t="n">
        <v>0</v>
      </c>
      <c r="J100" s="2" t="n">
        <f aca="false">IF(H100="Yes",1,0)</f>
        <v>0</v>
      </c>
      <c r="K100" s="2" t="n">
        <f aca="false">IF(I100&gt;Model!$C$9,1,0)</f>
        <v>0</v>
      </c>
    </row>
    <row r="101" customFormat="false" ht="15" hidden="false" customHeight="false" outlineLevel="0" collapsed="false">
      <c r="A101" s="5" t="n">
        <v>100</v>
      </c>
      <c r="B101" s="5" t="n">
        <v>23.1</v>
      </c>
      <c r="C101" s="5" t="n">
        <v>2.6</v>
      </c>
      <c r="D101" s="5" t="n">
        <v>196</v>
      </c>
      <c r="E101" s="5" t="n">
        <v>5</v>
      </c>
      <c r="F101" s="5" t="n">
        <v>24</v>
      </c>
      <c r="G101" s="5" t="n">
        <v>17</v>
      </c>
      <c r="H101" s="5" t="s">
        <v>36</v>
      </c>
      <c r="I101" s="5" t="n">
        <v>242</v>
      </c>
      <c r="J101" s="2" t="n">
        <f aca="false">IF(H101="Yes",1,0)</f>
        <v>0</v>
      </c>
      <c r="K101" s="2" t="n">
        <f aca="false">IF(I101&gt;Model!$C$9,1,0)</f>
        <v>0</v>
      </c>
    </row>
    <row r="102" customFormat="false" ht="15" hidden="false" customHeight="false" outlineLevel="0" collapsed="false">
      <c r="A102" s="5" t="n">
        <v>101</v>
      </c>
      <c r="B102" s="5" t="n">
        <v>30.9</v>
      </c>
      <c r="C102" s="5" t="n">
        <v>4.85</v>
      </c>
      <c r="D102" s="5" t="n">
        <v>381</v>
      </c>
      <c r="E102" s="5" t="n">
        <v>1</v>
      </c>
      <c r="F102" s="5" t="n">
        <v>41</v>
      </c>
      <c r="G102" s="5" t="n">
        <v>20</v>
      </c>
      <c r="H102" s="5" t="s">
        <v>36</v>
      </c>
      <c r="I102" s="5" t="n">
        <v>1226</v>
      </c>
      <c r="J102" s="2" t="n">
        <f aca="false">IF(H102="Yes",1,0)</f>
        <v>0</v>
      </c>
      <c r="K102" s="2" t="n">
        <f aca="false">IF(I102&gt;Model!$C$9,1,0)</f>
        <v>1</v>
      </c>
    </row>
    <row r="103" customFormat="false" ht="15" hidden="false" customHeight="false" outlineLevel="0" collapsed="false">
      <c r="A103" s="5" t="n">
        <v>102</v>
      </c>
      <c r="B103" s="5" t="n">
        <v>77.6</v>
      </c>
      <c r="C103" s="5" t="n">
        <v>3.17</v>
      </c>
      <c r="D103" s="5" t="n">
        <v>263</v>
      </c>
      <c r="E103" s="5" t="n">
        <v>3</v>
      </c>
      <c r="F103" s="5" t="n">
        <v>76</v>
      </c>
      <c r="G103" s="5" t="n">
        <v>19</v>
      </c>
      <c r="H103" s="5" t="s">
        <v>36</v>
      </c>
      <c r="I103" s="5" t="n">
        <v>286</v>
      </c>
      <c r="J103" s="2" t="n">
        <f aca="false">IF(H103="Yes",1,0)</f>
        <v>0</v>
      </c>
      <c r="K103" s="2" t="n">
        <f aca="false">IF(I103&gt;Model!$C$9,1,0)</f>
        <v>0</v>
      </c>
    </row>
    <row r="104" customFormat="false" ht="15" hidden="false" customHeight="false" outlineLevel="0" collapsed="false">
      <c r="A104" s="5" t="n">
        <v>103</v>
      </c>
      <c r="B104" s="5" t="n">
        <v>31.2</v>
      </c>
      <c r="C104" s="5" t="n">
        <v>3.74</v>
      </c>
      <c r="D104" s="5" t="n">
        <v>282</v>
      </c>
      <c r="E104" s="5" t="n">
        <v>4</v>
      </c>
      <c r="F104" s="5" t="n">
        <v>57</v>
      </c>
      <c r="G104" s="5" t="n">
        <v>16</v>
      </c>
      <c r="H104" s="5" t="s">
        <v>36</v>
      </c>
      <c r="I104" s="5" t="n">
        <v>459</v>
      </c>
      <c r="J104" s="2" t="n">
        <f aca="false">IF(H104="Yes",1,0)</f>
        <v>0</v>
      </c>
      <c r="K104" s="2" t="n">
        <f aca="false">IF(I104&gt;Model!$C$9,1,0)</f>
        <v>0</v>
      </c>
    </row>
    <row r="105" customFormat="false" ht="15" hidden="false" customHeight="false" outlineLevel="0" collapsed="false">
      <c r="A105" s="5" t="n">
        <v>104</v>
      </c>
      <c r="B105" s="5" t="n">
        <v>57</v>
      </c>
      <c r="C105" s="5" t="n">
        <v>3.61</v>
      </c>
      <c r="D105" s="5" t="n">
        <v>264</v>
      </c>
      <c r="E105" s="5" t="n">
        <v>7</v>
      </c>
      <c r="F105" s="5" t="n">
        <v>62</v>
      </c>
      <c r="G105" s="5" t="n">
        <v>13</v>
      </c>
      <c r="H105" s="5" t="s">
        <v>36</v>
      </c>
      <c r="I105" s="5" t="n">
        <v>492</v>
      </c>
      <c r="J105" s="2" t="n">
        <f aca="false">IF(H105="Yes",1,0)</f>
        <v>0</v>
      </c>
      <c r="K105" s="2" t="n">
        <f aca="false">IF(I105&gt;Model!$C$9,1,0)</f>
        <v>0</v>
      </c>
    </row>
    <row r="106" customFormat="false" ht="15" hidden="false" customHeight="false" outlineLevel="0" collapsed="false">
      <c r="A106" s="5" t="n">
        <v>105</v>
      </c>
      <c r="B106" s="5" t="n">
        <v>22.7</v>
      </c>
      <c r="C106" s="5" t="n">
        <v>2.07</v>
      </c>
      <c r="D106" s="5" t="n">
        <v>143</v>
      </c>
      <c r="E106" s="5" t="n">
        <v>2</v>
      </c>
      <c r="F106" s="5" t="n">
        <v>52</v>
      </c>
      <c r="G106" s="5" t="n">
        <v>16</v>
      </c>
      <c r="H106" s="5" t="s">
        <v>36</v>
      </c>
      <c r="I106" s="5" t="n">
        <v>641</v>
      </c>
      <c r="J106" s="2" t="n">
        <f aca="false">IF(H106="Yes",1,0)</f>
        <v>0</v>
      </c>
      <c r="K106" s="2" t="n">
        <f aca="false">IF(I106&gt;Model!$C$9,1,0)</f>
        <v>1</v>
      </c>
    </row>
    <row r="107" customFormat="false" ht="15" hidden="false" customHeight="false" outlineLevel="0" collapsed="false">
      <c r="A107" s="5" t="n">
        <v>106</v>
      </c>
      <c r="B107" s="5" t="n">
        <v>33.9</v>
      </c>
      <c r="C107" s="5" t="n">
        <v>1.4</v>
      </c>
      <c r="D107" s="5" t="n">
        <v>127</v>
      </c>
      <c r="E107" s="5" t="n">
        <v>4</v>
      </c>
      <c r="F107" s="5" t="n">
        <v>34</v>
      </c>
      <c r="G107" s="5" t="n">
        <v>12</v>
      </c>
      <c r="H107" s="5" t="s">
        <v>36</v>
      </c>
      <c r="I107" s="5" t="n">
        <v>383</v>
      </c>
      <c r="J107" s="2" t="n">
        <f aca="false">IF(H107="Yes",1,0)</f>
        <v>0</v>
      </c>
      <c r="K107" s="2" t="n">
        <f aca="false">IF(I107&gt;Model!$C$9,1,0)</f>
        <v>0</v>
      </c>
    </row>
    <row r="108" customFormat="false" ht="15" hidden="false" customHeight="false" outlineLevel="0" collapsed="false">
      <c r="A108" s="5" t="n">
        <v>107</v>
      </c>
      <c r="B108" s="5" t="n">
        <v>22.5</v>
      </c>
      <c r="C108" s="5" t="n">
        <v>1.7</v>
      </c>
      <c r="D108" s="5" t="n">
        <v>183</v>
      </c>
      <c r="E108" s="5" t="n">
        <v>3</v>
      </c>
      <c r="F108" s="5" t="n">
        <v>79</v>
      </c>
      <c r="G108" s="5" t="n">
        <v>12</v>
      </c>
      <c r="H108" s="5" t="s">
        <v>36</v>
      </c>
      <c r="I108" s="5" t="n">
        <v>0</v>
      </c>
      <c r="J108" s="2" t="n">
        <f aca="false">IF(H108="Yes",1,0)</f>
        <v>0</v>
      </c>
      <c r="K108" s="2" t="n">
        <f aca="false">IF(I108&gt;Model!$C$9,1,0)</f>
        <v>0</v>
      </c>
    </row>
    <row r="109" customFormat="false" ht="15" hidden="false" customHeight="false" outlineLevel="0" collapsed="false">
      <c r="A109" s="5" t="n">
        <v>108</v>
      </c>
      <c r="B109" s="5" t="n">
        <v>31.5</v>
      </c>
      <c r="C109" s="5" t="n">
        <v>4.32</v>
      </c>
      <c r="D109" s="5" t="n">
        <v>335</v>
      </c>
      <c r="E109" s="5" t="n">
        <v>1</v>
      </c>
      <c r="F109" s="5" t="n">
        <v>71</v>
      </c>
      <c r="G109" s="5" t="n">
        <v>15</v>
      </c>
      <c r="H109" s="5" t="s">
        <v>36</v>
      </c>
      <c r="I109" s="5" t="n">
        <v>439</v>
      </c>
      <c r="J109" s="2" t="n">
        <f aca="false">IF(H109="Yes",1,0)</f>
        <v>0</v>
      </c>
      <c r="K109" s="2" t="n">
        <f aca="false">IF(I109&gt;Model!$C$9,1,0)</f>
        <v>0</v>
      </c>
    </row>
    <row r="110" customFormat="false" ht="15" hidden="false" customHeight="false" outlineLevel="0" collapsed="false">
      <c r="A110" s="5" t="n">
        <v>109</v>
      </c>
      <c r="B110" s="5" t="n">
        <v>60.3</v>
      </c>
      <c r="C110" s="5" t="n">
        <v>4.97</v>
      </c>
      <c r="D110" s="5" t="n">
        <v>366</v>
      </c>
      <c r="E110" s="5" t="n">
        <v>1</v>
      </c>
      <c r="F110" s="5" t="n">
        <v>85</v>
      </c>
      <c r="G110" s="5" t="n">
        <v>15</v>
      </c>
      <c r="H110" s="5" t="s">
        <v>36</v>
      </c>
      <c r="I110" s="5" t="n">
        <v>1026</v>
      </c>
      <c r="J110" s="2" t="n">
        <f aca="false">IF(H110="Yes",1,0)</f>
        <v>0</v>
      </c>
      <c r="K110" s="2" t="n">
        <f aca="false">IF(I110&gt;Model!$C$9,1,0)</f>
        <v>1</v>
      </c>
    </row>
    <row r="111" customFormat="false" ht="15" hidden="false" customHeight="false" outlineLevel="0" collapsed="false">
      <c r="A111" s="5" t="n">
        <v>110</v>
      </c>
      <c r="B111" s="5" t="n">
        <v>14.7</v>
      </c>
      <c r="C111" s="5" t="n">
        <v>3.96</v>
      </c>
      <c r="D111" s="5" t="n">
        <v>311</v>
      </c>
      <c r="E111" s="5" t="n">
        <v>3</v>
      </c>
      <c r="F111" s="5" t="n">
        <v>77</v>
      </c>
      <c r="G111" s="5" t="n">
        <v>15</v>
      </c>
      <c r="H111" s="5" t="s">
        <v>36</v>
      </c>
      <c r="I111" s="5" t="n">
        <v>434</v>
      </c>
      <c r="J111" s="2" t="n">
        <f aca="false">IF(H111="Yes",1,0)</f>
        <v>0</v>
      </c>
      <c r="K111" s="2" t="n">
        <f aca="false">IF(I111&gt;Model!$C$9,1,0)</f>
        <v>0</v>
      </c>
    </row>
    <row r="112" customFormat="false" ht="15" hidden="false" customHeight="false" outlineLevel="0" collapsed="false">
      <c r="A112" s="5" t="n">
        <v>111</v>
      </c>
      <c r="B112" s="5" t="n">
        <v>48.3</v>
      </c>
      <c r="C112" s="5" t="n">
        <v>5.09</v>
      </c>
      <c r="D112" s="5" t="n">
        <v>362</v>
      </c>
      <c r="E112" s="5" t="n">
        <v>1</v>
      </c>
      <c r="F112" s="5" t="n">
        <v>42</v>
      </c>
      <c r="G112" s="5" t="n">
        <v>13</v>
      </c>
      <c r="H112" s="5" t="s">
        <v>36</v>
      </c>
      <c r="I112" s="5" t="n">
        <v>418</v>
      </c>
      <c r="J112" s="2" t="n">
        <f aca="false">IF(H112="Yes",1,0)</f>
        <v>0</v>
      </c>
      <c r="K112" s="2" t="n">
        <f aca="false">IF(I112&gt;Model!$C$9,1,0)</f>
        <v>0</v>
      </c>
    </row>
    <row r="113" customFormat="false" ht="15" hidden="false" customHeight="false" outlineLevel="0" collapsed="false">
      <c r="A113" s="5" t="n">
        <v>112</v>
      </c>
      <c r="B113" s="5" t="n">
        <v>43.3</v>
      </c>
      <c r="C113" s="5" t="n">
        <v>3.85</v>
      </c>
      <c r="D113" s="5" t="n">
        <v>294</v>
      </c>
      <c r="E113" s="5" t="n">
        <v>1</v>
      </c>
      <c r="F113" s="5" t="n">
        <v>39</v>
      </c>
      <c r="G113" s="5" t="n">
        <v>13</v>
      </c>
      <c r="H113" s="5" t="s">
        <v>36</v>
      </c>
      <c r="I113" s="5" t="n">
        <v>338</v>
      </c>
      <c r="J113" s="2" t="n">
        <f aca="false">IF(H113="Yes",1,0)</f>
        <v>0</v>
      </c>
      <c r="K113" s="2" t="n">
        <f aca="false">IF(I113&gt;Model!$C$9,1,0)</f>
        <v>0</v>
      </c>
    </row>
    <row r="114" customFormat="false" ht="15" hidden="false" customHeight="false" outlineLevel="0" collapsed="false">
      <c r="A114" s="5" t="n">
        <v>113</v>
      </c>
      <c r="B114" s="5" t="n">
        <v>27.4</v>
      </c>
      <c r="C114" s="5" t="n">
        <v>4.67</v>
      </c>
      <c r="D114" s="5" t="n">
        <v>354</v>
      </c>
      <c r="E114" s="5" t="n">
        <v>3</v>
      </c>
      <c r="F114" s="5" t="n">
        <v>39</v>
      </c>
      <c r="G114" s="5" t="n">
        <v>8</v>
      </c>
      <c r="H114" s="5" t="s">
        <v>36</v>
      </c>
      <c r="I114" s="5" t="n">
        <v>915</v>
      </c>
      <c r="J114" s="2" t="n">
        <f aca="false">IF(H114="Yes",1,0)</f>
        <v>0</v>
      </c>
      <c r="K114" s="2" t="n">
        <f aca="false">IF(I114&gt;Model!$C$9,1,0)</f>
        <v>1</v>
      </c>
    </row>
    <row r="115" customFormat="false" ht="15" hidden="false" customHeight="false" outlineLevel="0" collapsed="false">
      <c r="A115" s="5" t="n">
        <v>114</v>
      </c>
      <c r="B115" s="5" t="n">
        <v>17.2</v>
      </c>
      <c r="C115" s="5" t="n">
        <v>2.42</v>
      </c>
      <c r="D115" s="5" t="n">
        <v>201</v>
      </c>
      <c r="E115" s="5" t="n">
        <v>2</v>
      </c>
      <c r="F115" s="5" t="n">
        <v>80</v>
      </c>
      <c r="G115" s="5" t="n">
        <v>15</v>
      </c>
      <c r="H115" s="5" t="s">
        <v>36</v>
      </c>
      <c r="I115" s="5" t="n">
        <v>248</v>
      </c>
      <c r="J115" s="2" t="n">
        <f aca="false">IF(H115="Yes",1,0)</f>
        <v>0</v>
      </c>
      <c r="K115" s="2" t="n">
        <f aca="false">IF(I115&gt;Model!$C$9,1,0)</f>
        <v>0</v>
      </c>
    </row>
    <row r="116" customFormat="false" ht="15" hidden="false" customHeight="false" outlineLevel="0" collapsed="false">
      <c r="A116" s="5" t="n">
        <v>115</v>
      </c>
      <c r="B116" s="5" t="n">
        <v>39.5</v>
      </c>
      <c r="C116" s="5" t="n">
        <v>4.15</v>
      </c>
      <c r="D116" s="5" t="n">
        <v>328</v>
      </c>
      <c r="E116" s="5" t="n">
        <v>4</v>
      </c>
      <c r="F116" s="5" t="n">
        <v>58</v>
      </c>
      <c r="G116" s="5" t="n">
        <v>15</v>
      </c>
      <c r="H116" s="5" t="s">
        <v>36</v>
      </c>
      <c r="I116" s="5" t="n">
        <v>405</v>
      </c>
      <c r="J116" s="2" t="n">
        <f aca="false">IF(H116="Yes",1,0)</f>
        <v>0</v>
      </c>
      <c r="K116" s="2" t="n">
        <f aca="false">IF(I116&gt;Model!$C$9,1,0)</f>
        <v>0</v>
      </c>
    </row>
    <row r="117" customFormat="false" ht="15" hidden="false" customHeight="false" outlineLevel="0" collapsed="false">
      <c r="A117" s="5" t="n">
        <v>116</v>
      </c>
      <c r="B117" s="5" t="n">
        <v>28.4</v>
      </c>
      <c r="C117" s="5" t="n">
        <v>2.08</v>
      </c>
      <c r="D117" s="5" t="n">
        <v>183</v>
      </c>
      <c r="E117" s="5" t="n">
        <v>1</v>
      </c>
      <c r="F117" s="5" t="n">
        <v>52</v>
      </c>
      <c r="G117" s="5" t="n">
        <v>20</v>
      </c>
      <c r="H117" s="5" t="s">
        <v>37</v>
      </c>
      <c r="I117" s="5" t="n">
        <v>343</v>
      </c>
      <c r="J117" s="2" t="n">
        <f aca="false">IF(H117="Yes",1,0)</f>
        <v>1</v>
      </c>
      <c r="K117" s="2" t="n">
        <f aca="false">IF(I117&gt;Model!$C$9,1,0)</f>
        <v>0</v>
      </c>
    </row>
    <row r="118" customFormat="false" ht="15" hidden="false" customHeight="false" outlineLevel="0" collapsed="false">
      <c r="A118" s="5" t="n">
        <v>117</v>
      </c>
      <c r="B118" s="5" t="n">
        <v>43.2</v>
      </c>
      <c r="C118" s="5" t="n">
        <v>3.36</v>
      </c>
      <c r="D118" s="5" t="n">
        <v>273</v>
      </c>
      <c r="E118" s="5" t="n">
        <v>3</v>
      </c>
      <c r="F118" s="5" t="n">
        <v>84</v>
      </c>
      <c r="G118" s="5" t="n">
        <v>14</v>
      </c>
      <c r="H118" s="5" t="s">
        <v>36</v>
      </c>
      <c r="I118" s="5" t="n">
        <v>148</v>
      </c>
      <c r="J118" s="2" t="n">
        <f aca="false">IF(H118="Yes",1,0)</f>
        <v>0</v>
      </c>
      <c r="K118" s="2" t="n">
        <f aca="false">IF(I118&gt;Model!$C$9,1,0)</f>
        <v>0</v>
      </c>
    </row>
    <row r="119" customFormat="false" ht="15" hidden="false" customHeight="false" outlineLevel="0" collapsed="false">
      <c r="A119" s="5" t="n">
        <v>118</v>
      </c>
      <c r="B119" s="5" t="n">
        <v>38.5</v>
      </c>
      <c r="C119" s="5" t="n">
        <v>2.11</v>
      </c>
      <c r="D119" s="5" t="n">
        <v>173</v>
      </c>
      <c r="E119" s="5" t="n">
        <v>4</v>
      </c>
      <c r="F119" s="5" t="n">
        <v>61</v>
      </c>
      <c r="G119" s="5" t="n">
        <v>14</v>
      </c>
      <c r="H119" s="5" t="s">
        <v>36</v>
      </c>
      <c r="I119" s="5" t="n">
        <v>0</v>
      </c>
      <c r="J119" s="2" t="n">
        <f aca="false">IF(H119="Yes",1,0)</f>
        <v>0</v>
      </c>
      <c r="K119" s="2" t="n">
        <f aca="false">IF(I119&gt;Model!$C$9,1,0)</f>
        <v>0</v>
      </c>
    </row>
    <row r="120" customFormat="false" ht="15" hidden="false" customHeight="false" outlineLevel="0" collapsed="false">
      <c r="A120" s="5" t="n">
        <v>119</v>
      </c>
      <c r="B120" s="5" t="n">
        <v>91.7</v>
      </c>
      <c r="C120" s="5" t="n">
        <v>7.23</v>
      </c>
      <c r="D120" s="5" t="n">
        <v>535</v>
      </c>
      <c r="E120" s="5" t="n">
        <v>7</v>
      </c>
      <c r="F120" s="5" t="n">
        <v>80</v>
      </c>
      <c r="G120" s="5" t="n">
        <v>8</v>
      </c>
      <c r="H120" s="5" t="s">
        <v>36</v>
      </c>
      <c r="I120" s="5" t="n">
        <v>1608</v>
      </c>
      <c r="J120" s="2" t="n">
        <f aca="false">IF(H120="Yes",1,0)</f>
        <v>0</v>
      </c>
      <c r="K120" s="2" t="n">
        <f aca="false">IF(I120&gt;Model!$C$9,1,0)</f>
        <v>1</v>
      </c>
    </row>
    <row r="121" customFormat="false" ht="15" hidden="false" customHeight="false" outlineLevel="0" collapsed="false">
      <c r="A121" s="5" t="n">
        <v>120</v>
      </c>
      <c r="B121" s="5" t="n">
        <v>33.3</v>
      </c>
      <c r="C121" s="5" t="n">
        <v>1.2</v>
      </c>
      <c r="D121" s="5" t="n">
        <v>140</v>
      </c>
      <c r="E121" s="5" t="n">
        <v>5</v>
      </c>
      <c r="F121" s="5" t="n">
        <v>85</v>
      </c>
      <c r="G121" s="5" t="n">
        <v>10</v>
      </c>
      <c r="H121" s="5" t="s">
        <v>37</v>
      </c>
      <c r="I121" s="5" t="n">
        <v>322</v>
      </c>
      <c r="J121" s="2" t="n">
        <f aca="false">IF(H121="Yes",1,0)</f>
        <v>1</v>
      </c>
      <c r="K121" s="2" t="n">
        <f aca="false">IF(I121&gt;Model!$C$9,1,0)</f>
        <v>0</v>
      </c>
    </row>
    <row r="122" customFormat="false" ht="15" hidden="false" customHeight="false" outlineLevel="0" collapsed="false">
      <c r="A122" s="5" t="n">
        <v>121</v>
      </c>
      <c r="B122" s="5" t="n">
        <v>21.6</v>
      </c>
      <c r="C122" s="5" t="n">
        <v>3.11</v>
      </c>
      <c r="D122" s="5" t="n">
        <v>237</v>
      </c>
      <c r="E122" s="5" t="n">
        <v>7</v>
      </c>
      <c r="F122" s="5" t="n">
        <v>28</v>
      </c>
      <c r="G122" s="5" t="n">
        <v>12</v>
      </c>
      <c r="H122" s="5" t="s">
        <v>36</v>
      </c>
      <c r="I122" s="5" t="n">
        <v>658</v>
      </c>
      <c r="J122" s="2" t="n">
        <f aca="false">IF(H122="Yes",1,0)</f>
        <v>0</v>
      </c>
      <c r="K122" s="2" t="n">
        <f aca="false">IF(I122&gt;Model!$C$9,1,0)</f>
        <v>1</v>
      </c>
    </row>
    <row r="123" customFormat="false" ht="15" hidden="false" customHeight="false" outlineLevel="0" collapsed="false">
      <c r="A123" s="5" t="n">
        <v>122</v>
      </c>
      <c r="B123" s="5" t="n">
        <v>41.9</v>
      </c>
      <c r="C123" s="5" t="n">
        <v>2.96</v>
      </c>
      <c r="D123" s="5" t="n">
        <v>228</v>
      </c>
      <c r="E123" s="5" t="n">
        <v>3</v>
      </c>
      <c r="F123" s="5" t="n">
        <v>46</v>
      </c>
      <c r="G123" s="5" t="n">
        <v>12</v>
      </c>
      <c r="H123" s="5" t="s">
        <v>36</v>
      </c>
      <c r="I123" s="5" t="n">
        <v>108</v>
      </c>
      <c r="J123" s="2" t="n">
        <f aca="false">IF(H123="Yes",1,0)</f>
        <v>0</v>
      </c>
      <c r="K123" s="2" t="n">
        <f aca="false">IF(I123&gt;Model!$C$9,1,0)</f>
        <v>0</v>
      </c>
    </row>
    <row r="124" customFormat="false" ht="15" hidden="false" customHeight="false" outlineLevel="0" collapsed="false">
      <c r="A124" s="5" t="n">
        <v>123</v>
      </c>
      <c r="B124" s="5" t="n">
        <v>42.9</v>
      </c>
      <c r="C124" s="5" t="n">
        <v>4.78</v>
      </c>
      <c r="D124" s="5" t="n">
        <v>376</v>
      </c>
      <c r="E124" s="5" t="n">
        <v>4</v>
      </c>
      <c r="F124" s="5" t="n">
        <v>69</v>
      </c>
      <c r="G124" s="5" t="n">
        <v>12</v>
      </c>
      <c r="H124" s="5" t="s">
        <v>36</v>
      </c>
      <c r="I124" s="5" t="n">
        <v>671</v>
      </c>
      <c r="J124" s="2" t="n">
        <f aca="false">IF(H124="Yes",1,0)</f>
        <v>0</v>
      </c>
      <c r="K124" s="2" t="n">
        <f aca="false">IF(I124&gt;Model!$C$9,1,0)</f>
        <v>1</v>
      </c>
    </row>
    <row r="125" customFormat="false" ht="15" hidden="false" customHeight="false" outlineLevel="0" collapsed="false">
      <c r="A125" s="5" t="n">
        <v>124</v>
      </c>
      <c r="B125" s="5" t="n">
        <v>80.2</v>
      </c>
      <c r="C125" s="5" t="n">
        <v>6.29</v>
      </c>
      <c r="D125" s="5" t="n">
        <v>459</v>
      </c>
      <c r="E125" s="5" t="n">
        <v>3</v>
      </c>
      <c r="F125" s="5" t="n">
        <v>74</v>
      </c>
      <c r="G125" s="5" t="n">
        <v>13</v>
      </c>
      <c r="H125" s="5" t="s">
        <v>36</v>
      </c>
      <c r="I125" s="5" t="n">
        <v>661</v>
      </c>
      <c r="J125" s="2" t="n">
        <f aca="false">IF(H125="Yes",1,0)</f>
        <v>0</v>
      </c>
      <c r="K125" s="2" t="n">
        <f aca="false">IF(I125&gt;Model!$C$9,1,0)</f>
        <v>1</v>
      </c>
    </row>
    <row r="126" customFormat="false" ht="15" hidden="false" customHeight="false" outlineLevel="0" collapsed="false">
      <c r="A126" s="5" t="n">
        <v>125</v>
      </c>
      <c r="B126" s="5" t="n">
        <v>60.2</v>
      </c>
      <c r="C126" s="5" t="n">
        <v>6.58</v>
      </c>
      <c r="D126" s="5" t="n">
        <v>498</v>
      </c>
      <c r="E126" s="5" t="n">
        <v>7</v>
      </c>
      <c r="F126" s="5" t="n">
        <v>33</v>
      </c>
      <c r="G126" s="5" t="n">
        <v>17</v>
      </c>
      <c r="H126" s="5" t="s">
        <v>36</v>
      </c>
      <c r="I126" s="5" t="n">
        <v>386</v>
      </c>
      <c r="J126" s="2" t="n">
        <f aca="false">IF(H126="Yes",1,0)</f>
        <v>0</v>
      </c>
      <c r="K126" s="2" t="n">
        <f aca="false">IF(I126&gt;Model!$C$9,1,0)</f>
        <v>0</v>
      </c>
    </row>
    <row r="127" customFormat="false" ht="15" hidden="false" customHeight="false" outlineLevel="0" collapsed="false">
      <c r="A127" s="5" t="n">
        <v>126</v>
      </c>
      <c r="B127" s="5" t="n">
        <v>46.2</v>
      </c>
      <c r="C127" s="5" t="n">
        <v>4.39</v>
      </c>
      <c r="D127" s="5" t="n">
        <v>329</v>
      </c>
      <c r="E127" s="5" t="n">
        <v>7</v>
      </c>
      <c r="F127" s="5" t="n">
        <v>43</v>
      </c>
      <c r="G127" s="5" t="n">
        <v>9</v>
      </c>
      <c r="H127" s="5" t="s">
        <v>36</v>
      </c>
      <c r="I127" s="5" t="n">
        <v>231</v>
      </c>
      <c r="J127" s="2" t="n">
        <f aca="false">IF(H127="Yes",1,0)</f>
        <v>0</v>
      </c>
      <c r="K127" s="2" t="n">
        <f aca="false">IF(I127&gt;Model!$C$9,1,0)</f>
        <v>0</v>
      </c>
    </row>
    <row r="128" customFormat="false" ht="15" hidden="false" customHeight="false" outlineLevel="0" collapsed="false">
      <c r="A128" s="5" t="n">
        <v>127</v>
      </c>
      <c r="B128" s="5" t="n">
        <v>85</v>
      </c>
      <c r="C128" s="5" t="n">
        <v>3.53</v>
      </c>
      <c r="D128" s="5" t="n">
        <v>294</v>
      </c>
      <c r="E128" s="5" t="n">
        <v>7</v>
      </c>
      <c r="F128" s="5" t="n">
        <v>57</v>
      </c>
      <c r="G128" s="5" t="n">
        <v>12</v>
      </c>
      <c r="H128" s="5" t="s">
        <v>36</v>
      </c>
      <c r="I128" s="5" t="n">
        <v>0</v>
      </c>
      <c r="J128" s="2" t="n">
        <f aca="false">IF(H128="Yes",1,0)</f>
        <v>0</v>
      </c>
      <c r="K128" s="2" t="n">
        <f aca="false">IF(I128&gt;Model!$C$9,1,0)</f>
        <v>0</v>
      </c>
    </row>
    <row r="129" customFormat="false" ht="15" hidden="false" customHeight="false" outlineLevel="0" collapsed="false">
      <c r="A129" s="5" t="n">
        <v>128</v>
      </c>
      <c r="B129" s="5" t="n">
        <v>19.8</v>
      </c>
      <c r="C129" s="5" t="n">
        <v>1.9</v>
      </c>
      <c r="D129" s="5" t="n">
        <v>169</v>
      </c>
      <c r="E129" s="5" t="n">
        <v>6</v>
      </c>
      <c r="F129" s="5" t="n">
        <v>73</v>
      </c>
      <c r="G129" s="5" t="n">
        <v>10</v>
      </c>
      <c r="H129" s="5" t="s">
        <v>36</v>
      </c>
      <c r="I129" s="5" t="n">
        <v>0</v>
      </c>
      <c r="J129" s="2" t="n">
        <f aca="false">IF(H129="Yes",1,0)</f>
        <v>0</v>
      </c>
      <c r="K129" s="2" t="n">
        <f aca="false">IF(I129&gt;Model!$C$9,1,0)</f>
        <v>0</v>
      </c>
    </row>
    <row r="130" customFormat="false" ht="15" hidden="false" customHeight="false" outlineLevel="0" collapsed="false">
      <c r="A130" s="5" t="n">
        <v>129</v>
      </c>
      <c r="B130" s="5" t="n">
        <v>26.7</v>
      </c>
      <c r="C130" s="5" t="n">
        <v>0.9</v>
      </c>
      <c r="D130" s="5" t="n">
        <v>103</v>
      </c>
      <c r="E130" s="5" t="n">
        <v>4</v>
      </c>
      <c r="F130" s="5" t="n">
        <v>31</v>
      </c>
      <c r="G130" s="5" t="n">
        <v>12</v>
      </c>
      <c r="H130" s="5" t="s">
        <v>36</v>
      </c>
      <c r="I130" s="5" t="n">
        <v>0</v>
      </c>
      <c r="J130" s="2" t="n">
        <f aca="false">IF(H130="Yes",1,0)</f>
        <v>0</v>
      </c>
      <c r="K130" s="2" t="n">
        <f aca="false">IF(I130&gt;Model!$C$9,1,0)</f>
        <v>0</v>
      </c>
    </row>
    <row r="131" customFormat="false" ht="15" hidden="false" customHeight="false" outlineLevel="0" collapsed="false">
      <c r="A131" s="5" t="n">
        <v>130</v>
      </c>
      <c r="B131" s="5" t="n">
        <v>22.8</v>
      </c>
      <c r="C131" s="5" t="n">
        <v>1.48</v>
      </c>
      <c r="D131" s="5" t="n">
        <v>158</v>
      </c>
      <c r="E131" s="5" t="n">
        <v>4</v>
      </c>
      <c r="F131" s="5" t="n">
        <v>61</v>
      </c>
      <c r="G131" s="5" t="n">
        <v>16</v>
      </c>
      <c r="H131" s="5" t="s">
        <v>36</v>
      </c>
      <c r="I131" s="5" t="n">
        <v>323</v>
      </c>
      <c r="J131" s="2" t="n">
        <f aca="false">IF(H131="Yes",1,0)</f>
        <v>0</v>
      </c>
      <c r="K131" s="2" t="n">
        <f aca="false">IF(I131&gt;Model!$C$9,1,0)</f>
        <v>0</v>
      </c>
    </row>
    <row r="132" customFormat="false" ht="15" hidden="false" customHeight="false" outlineLevel="0" collapsed="false">
      <c r="A132" s="5" t="n">
        <v>131</v>
      </c>
      <c r="B132" s="5" t="n">
        <v>30.7</v>
      </c>
      <c r="C132" s="5" t="n">
        <v>4.55</v>
      </c>
      <c r="D132" s="5" t="n">
        <v>341</v>
      </c>
      <c r="E132" s="5" t="n">
        <v>7</v>
      </c>
      <c r="F132" s="5" t="n">
        <v>42</v>
      </c>
      <c r="G132" s="5" t="n">
        <v>8</v>
      </c>
      <c r="H132" s="5" t="s">
        <v>36</v>
      </c>
      <c r="I132" s="5" t="n">
        <v>737</v>
      </c>
      <c r="J132" s="2" t="n">
        <f aca="false">IF(H132="Yes",1,0)</f>
        <v>0</v>
      </c>
      <c r="K132" s="2" t="n">
        <f aca="false">IF(I132&gt;Model!$C$9,1,0)</f>
        <v>1</v>
      </c>
    </row>
    <row r="133" customFormat="false" ht="15" hidden="false" customHeight="false" outlineLevel="0" collapsed="false">
      <c r="A133" s="5" t="n">
        <v>132</v>
      </c>
      <c r="B133" s="5" t="n">
        <v>17.8</v>
      </c>
      <c r="C133" s="5" t="n">
        <v>2.71</v>
      </c>
      <c r="D133" s="5" t="n">
        <v>210</v>
      </c>
      <c r="E133" s="5" t="n">
        <v>2</v>
      </c>
      <c r="F133" s="5" t="n">
        <v>37</v>
      </c>
      <c r="G133" s="5" t="n">
        <v>12</v>
      </c>
      <c r="H133" s="5" t="s">
        <v>36</v>
      </c>
      <c r="I133" s="5" t="n">
        <v>684</v>
      </c>
      <c r="J133" s="2" t="n">
        <f aca="false">IF(H133="Yes",1,0)</f>
        <v>0</v>
      </c>
      <c r="K133" s="2" t="n">
        <f aca="false">IF(I133&gt;Model!$C$9,1,0)</f>
        <v>1</v>
      </c>
    </row>
    <row r="134" customFormat="false" ht="15" hidden="false" customHeight="false" outlineLevel="0" collapsed="false">
      <c r="A134" s="5" t="n">
        <v>133</v>
      </c>
      <c r="B134" s="5" t="n">
        <v>53.9</v>
      </c>
      <c r="C134" s="5" t="n">
        <v>2.96</v>
      </c>
      <c r="D134" s="5" t="n">
        <v>233</v>
      </c>
      <c r="E134" s="5" t="n">
        <v>3</v>
      </c>
      <c r="F134" s="5" t="n">
        <v>55</v>
      </c>
      <c r="G134" s="5" t="n">
        <v>8</v>
      </c>
      <c r="H134" s="5" t="s">
        <v>36</v>
      </c>
      <c r="I134" s="5" t="n">
        <v>252</v>
      </c>
      <c r="J134" s="2" t="n">
        <f aca="false">IF(H134="Yes",1,0)</f>
        <v>0</v>
      </c>
      <c r="K134" s="2" t="n">
        <f aca="false">IF(I134&gt;Model!$C$9,1,0)</f>
        <v>0</v>
      </c>
    </row>
    <row r="135" customFormat="false" ht="15" hidden="false" customHeight="false" outlineLevel="0" collapsed="false">
      <c r="A135" s="5" t="n">
        <v>134</v>
      </c>
      <c r="B135" s="5" t="n">
        <v>33.6</v>
      </c>
      <c r="C135" s="5" t="n">
        <v>1.43</v>
      </c>
      <c r="D135" s="5" t="n">
        <v>141</v>
      </c>
      <c r="E135" s="5" t="n">
        <v>7</v>
      </c>
      <c r="F135" s="5" t="n">
        <v>49</v>
      </c>
      <c r="G135" s="5" t="n">
        <v>20</v>
      </c>
      <c r="H135" s="5" t="s">
        <v>36</v>
      </c>
      <c r="I135" s="5" t="n">
        <v>88</v>
      </c>
      <c r="J135" s="2" t="n">
        <f aca="false">IF(H135="Yes",1,0)</f>
        <v>0</v>
      </c>
      <c r="K135" s="2" t="n">
        <f aca="false">IF(I135&gt;Model!$C$9,1,0)</f>
        <v>0</v>
      </c>
    </row>
    <row r="136" customFormat="false" ht="15" hidden="false" customHeight="false" outlineLevel="0" collapsed="false">
      <c r="A136" s="5" t="n">
        <v>135</v>
      </c>
      <c r="B136" s="5" t="n">
        <v>16.9</v>
      </c>
      <c r="C136" s="5" t="n">
        <v>1.87</v>
      </c>
      <c r="D136" s="5" t="n">
        <v>147</v>
      </c>
      <c r="E136" s="5" t="n">
        <v>3</v>
      </c>
      <c r="F136" s="5" t="n">
        <v>63</v>
      </c>
      <c r="G136" s="5" t="n">
        <v>17</v>
      </c>
      <c r="H136" s="5" t="s">
        <v>36</v>
      </c>
      <c r="I136" s="5" t="n">
        <v>0</v>
      </c>
      <c r="J136" s="2" t="n">
        <f aca="false">IF(H136="Yes",1,0)</f>
        <v>0</v>
      </c>
      <c r="K136" s="2" t="n">
        <f aca="false">IF(I136&gt;Model!$C$9,1,0)</f>
        <v>0</v>
      </c>
    </row>
    <row r="137" customFormat="false" ht="15" hidden="false" customHeight="false" outlineLevel="0" collapsed="false">
      <c r="A137" s="5" t="n">
        <v>136</v>
      </c>
      <c r="B137" s="5" t="n">
        <v>21.7</v>
      </c>
      <c r="C137" s="5" t="n">
        <v>0.9</v>
      </c>
      <c r="D137" s="5" t="n">
        <v>108</v>
      </c>
      <c r="E137" s="5" t="n">
        <v>2</v>
      </c>
      <c r="F137" s="5" t="n">
        <v>43</v>
      </c>
      <c r="G137" s="5" t="n">
        <v>11</v>
      </c>
      <c r="H137" s="5" t="s">
        <v>36</v>
      </c>
      <c r="I137" s="5" t="n">
        <v>0</v>
      </c>
      <c r="J137" s="2" t="n">
        <f aca="false">IF(H137="Yes",1,0)</f>
        <v>0</v>
      </c>
      <c r="K137" s="2" t="n">
        <f aca="false">IF(I137&gt;Model!$C$9,1,0)</f>
        <v>0</v>
      </c>
    </row>
    <row r="138" customFormat="false" ht="15" hidden="false" customHeight="false" outlineLevel="0" collapsed="false">
      <c r="A138" s="5" t="n">
        <v>137</v>
      </c>
      <c r="B138" s="5" t="n">
        <v>45.2</v>
      </c>
      <c r="C138" s="5" t="n">
        <v>2.51</v>
      </c>
      <c r="D138" s="5" t="n">
        <v>202</v>
      </c>
      <c r="E138" s="5" t="n">
        <v>4</v>
      </c>
      <c r="F138" s="5" t="n">
        <v>75</v>
      </c>
      <c r="G138" s="5" t="n">
        <v>10</v>
      </c>
      <c r="H138" s="5" t="s">
        <v>36</v>
      </c>
      <c r="I138" s="5" t="n">
        <v>278</v>
      </c>
      <c r="J138" s="2" t="n">
        <f aca="false">IF(H138="Yes",1,0)</f>
        <v>0</v>
      </c>
      <c r="K138" s="2" t="n">
        <f aca="false">IF(I138&gt;Model!$C$9,1,0)</f>
        <v>0</v>
      </c>
    </row>
    <row r="139" customFormat="false" ht="15" hidden="false" customHeight="false" outlineLevel="0" collapsed="false">
      <c r="A139" s="5" t="n">
        <v>138</v>
      </c>
      <c r="B139" s="5" t="n">
        <v>60.3</v>
      </c>
      <c r="C139" s="5" t="n">
        <v>4.62</v>
      </c>
      <c r="D139" s="5" t="n">
        <v>363</v>
      </c>
      <c r="E139" s="5" t="n">
        <v>3</v>
      </c>
      <c r="F139" s="5" t="n">
        <v>28</v>
      </c>
      <c r="G139" s="5" t="n">
        <v>9</v>
      </c>
      <c r="H139" s="5" t="s">
        <v>36</v>
      </c>
      <c r="I139" s="5" t="n">
        <v>395</v>
      </c>
      <c r="J139" s="2" t="n">
        <f aca="false">IF(H139="Yes",1,0)</f>
        <v>0</v>
      </c>
      <c r="K139" s="2" t="n">
        <f aca="false">IF(I139&gt;Model!$C$9,1,0)</f>
        <v>0</v>
      </c>
    </row>
    <row r="140" customFormat="false" ht="15" hidden="false" customHeight="false" outlineLevel="0" collapsed="false">
      <c r="A140" s="5" t="n">
        <v>139</v>
      </c>
      <c r="B140" s="5" t="n">
        <v>114</v>
      </c>
      <c r="C140" s="5" t="n">
        <v>8.67</v>
      </c>
      <c r="D140" s="5" t="n">
        <v>592</v>
      </c>
      <c r="E140" s="5" t="n">
        <v>7</v>
      </c>
      <c r="F140" s="5" t="n">
        <v>77</v>
      </c>
      <c r="G140" s="5" t="n">
        <v>14</v>
      </c>
      <c r="H140" s="5" t="s">
        <v>36</v>
      </c>
      <c r="I140" s="5" t="n">
        <v>1381</v>
      </c>
      <c r="J140" s="2" t="n">
        <f aca="false">IF(H140="Yes",1,0)</f>
        <v>0</v>
      </c>
      <c r="K140" s="2" t="n">
        <f aca="false">IF(I140&gt;Model!$C$9,1,0)</f>
        <v>1</v>
      </c>
    </row>
    <row r="141" customFormat="false" ht="15" hidden="false" customHeight="false" outlineLevel="0" collapsed="false">
      <c r="A141" s="5" t="n">
        <v>140</v>
      </c>
      <c r="B141" s="5" t="n">
        <v>188.7</v>
      </c>
      <c r="C141" s="5" t="n">
        <v>12.07</v>
      </c>
      <c r="D141" s="5" t="n">
        <v>839</v>
      </c>
      <c r="E141" s="5" t="n">
        <v>7</v>
      </c>
      <c r="F141" s="5" t="n">
        <v>25</v>
      </c>
      <c r="G141" s="5" t="n">
        <v>17</v>
      </c>
      <c r="H141" s="5" t="s">
        <v>36</v>
      </c>
      <c r="I141" s="5" t="n">
        <v>1741</v>
      </c>
      <c r="J141" s="2" t="n">
        <f aca="false">IF(H141="Yes",1,0)</f>
        <v>0</v>
      </c>
      <c r="K141" s="2" t="n">
        <f aca="false">IF(I141&gt;Model!$C$9,1,0)</f>
        <v>1</v>
      </c>
    </row>
    <row r="142" customFormat="false" ht="15" hidden="false" customHeight="false" outlineLevel="0" collapsed="false">
      <c r="A142" s="5" t="n">
        <v>141</v>
      </c>
      <c r="B142" s="5" t="n">
        <v>47.7</v>
      </c>
      <c r="C142" s="5" t="n">
        <v>0.9</v>
      </c>
      <c r="D142" s="5" t="n">
        <v>80</v>
      </c>
      <c r="E142" s="5" t="n">
        <v>3</v>
      </c>
      <c r="F142" s="5" t="n">
        <v>69</v>
      </c>
      <c r="G142" s="5" t="n">
        <v>15</v>
      </c>
      <c r="H142" s="5" t="s">
        <v>36</v>
      </c>
      <c r="I142" s="5" t="n">
        <v>0</v>
      </c>
      <c r="J142" s="2" t="n">
        <f aca="false">IF(H142="Yes",1,0)</f>
        <v>0</v>
      </c>
      <c r="K142" s="2" t="n">
        <f aca="false">IF(I142&gt;Model!$C$9,1,0)</f>
        <v>0</v>
      </c>
    </row>
    <row r="143" customFormat="false" ht="15" hidden="false" customHeight="false" outlineLevel="0" collapsed="false">
      <c r="A143" s="5" t="n">
        <v>142</v>
      </c>
      <c r="B143" s="5" t="n">
        <v>22.1</v>
      </c>
      <c r="C143" s="5" t="n">
        <v>2.51</v>
      </c>
      <c r="D143" s="5" t="n">
        <v>198</v>
      </c>
      <c r="E143" s="5" t="n">
        <v>4</v>
      </c>
      <c r="F143" s="5" t="n">
        <v>45</v>
      </c>
      <c r="G143" s="5" t="n">
        <v>19</v>
      </c>
      <c r="H143" s="5" t="s">
        <v>36</v>
      </c>
      <c r="I143" s="5" t="n">
        <v>0</v>
      </c>
      <c r="J143" s="2" t="n">
        <f aca="false">IF(H143="Yes",1,0)</f>
        <v>0</v>
      </c>
      <c r="K143" s="2" t="n">
        <f aca="false">IF(I143&gt;Model!$C$9,1,0)</f>
        <v>0</v>
      </c>
    </row>
    <row r="144" customFormat="false" ht="15" hidden="false" customHeight="false" outlineLevel="0" collapsed="false">
      <c r="A144" s="5" t="n">
        <v>143</v>
      </c>
      <c r="B144" s="5" t="n">
        <v>11.8</v>
      </c>
      <c r="C144" s="5" t="n">
        <v>1.64</v>
      </c>
      <c r="D144" s="5" t="n">
        <v>153</v>
      </c>
      <c r="E144" s="5" t="n">
        <v>7</v>
      </c>
      <c r="F144" s="5" t="n">
        <v>47</v>
      </c>
      <c r="G144" s="5" t="n">
        <v>12</v>
      </c>
      <c r="H144" s="5" t="s">
        <v>36</v>
      </c>
      <c r="I144" s="5" t="n">
        <v>0</v>
      </c>
      <c r="J144" s="2" t="n">
        <f aca="false">IF(H144="Yes",1,0)</f>
        <v>0</v>
      </c>
      <c r="K144" s="2" t="n">
        <f aca="false">IF(I144&gt;Model!$C$9,1,0)</f>
        <v>0</v>
      </c>
    </row>
    <row r="145" customFormat="false" ht="15" hidden="false" customHeight="false" outlineLevel="0" collapsed="false">
      <c r="A145" s="5" t="n">
        <v>144</v>
      </c>
      <c r="B145" s="5" t="n">
        <v>44</v>
      </c>
      <c r="C145" s="5" t="n">
        <v>3.86</v>
      </c>
      <c r="D145" s="5" t="n">
        <v>296</v>
      </c>
      <c r="E145" s="5" t="n">
        <v>6</v>
      </c>
      <c r="F145" s="5" t="n">
        <v>25</v>
      </c>
      <c r="G145" s="5" t="n">
        <v>11</v>
      </c>
      <c r="H145" s="5" t="s">
        <v>37</v>
      </c>
      <c r="I145" s="5" t="n">
        <v>905</v>
      </c>
      <c r="J145" s="2" t="n">
        <f aca="false">IF(H145="Yes",1,0)</f>
        <v>1</v>
      </c>
      <c r="K145" s="2" t="n">
        <f aca="false">IF(I145&gt;Model!$C$9,1,0)</f>
        <v>1</v>
      </c>
    </row>
    <row r="146" customFormat="false" ht="15" hidden="false" customHeight="false" outlineLevel="0" collapsed="false">
      <c r="A146" s="5" t="n">
        <v>145</v>
      </c>
      <c r="B146" s="5" t="n">
        <v>24.3</v>
      </c>
      <c r="C146" s="5" t="n">
        <v>4.34</v>
      </c>
      <c r="D146" s="5" t="n">
        <v>328</v>
      </c>
      <c r="E146" s="5" t="n">
        <v>2</v>
      </c>
      <c r="F146" s="5" t="n">
        <v>67</v>
      </c>
      <c r="G146" s="5" t="n">
        <v>14</v>
      </c>
      <c r="H146" s="5" t="s">
        <v>36</v>
      </c>
      <c r="I146" s="5" t="n">
        <v>825</v>
      </c>
      <c r="J146" s="2" t="n">
        <f aca="false">IF(H146="Yes",1,0)</f>
        <v>0</v>
      </c>
      <c r="K146" s="2" t="n">
        <f aca="false">IF(I146&gt;Model!$C$9,1,0)</f>
        <v>1</v>
      </c>
    </row>
    <row r="147" customFormat="false" ht="15" hidden="false" customHeight="false" outlineLevel="0" collapsed="false">
      <c r="A147" s="5" t="n">
        <v>146</v>
      </c>
      <c r="B147" s="5" t="n">
        <v>30.2</v>
      </c>
      <c r="C147" s="5" t="n">
        <v>0.9</v>
      </c>
      <c r="D147" s="5" t="n">
        <v>98</v>
      </c>
      <c r="E147" s="5" t="n">
        <v>5</v>
      </c>
      <c r="F147" s="5" t="n">
        <v>34</v>
      </c>
      <c r="G147" s="5" t="n">
        <v>10</v>
      </c>
      <c r="H147" s="5" t="s">
        <v>36</v>
      </c>
      <c r="I147" s="5" t="n">
        <v>0</v>
      </c>
      <c r="J147" s="2" t="n">
        <f aca="false">IF(H147="Yes",1,0)</f>
        <v>0</v>
      </c>
      <c r="K147" s="2" t="n">
        <f aca="false">IF(I147&gt;Model!$C$9,1,0)</f>
        <v>0</v>
      </c>
    </row>
    <row r="148" customFormat="false" ht="15" hidden="false" customHeight="false" outlineLevel="0" collapsed="false">
      <c r="A148" s="5" t="n">
        <v>147</v>
      </c>
      <c r="B148" s="5" t="n">
        <v>27.1</v>
      </c>
      <c r="C148" s="5" t="n">
        <v>1.62</v>
      </c>
      <c r="D148" s="5" t="n">
        <v>151</v>
      </c>
      <c r="E148" s="5" t="n">
        <v>5</v>
      </c>
      <c r="F148" s="5" t="n">
        <v>64</v>
      </c>
      <c r="G148" s="5" t="n">
        <v>20</v>
      </c>
      <c r="H148" s="5" t="s">
        <v>36</v>
      </c>
      <c r="I148" s="5" t="n">
        <v>0</v>
      </c>
      <c r="J148" s="2" t="n">
        <f aca="false">IF(H148="Yes",1,0)</f>
        <v>0</v>
      </c>
      <c r="K148" s="2" t="n">
        <f aca="false">IF(I148&gt;Model!$C$9,1,0)</f>
        <v>0</v>
      </c>
    </row>
    <row r="149" customFormat="false" ht="15" hidden="false" customHeight="false" outlineLevel="0" collapsed="false">
      <c r="A149" s="5" t="n">
        <v>148</v>
      </c>
      <c r="B149" s="5" t="n">
        <v>35.2</v>
      </c>
      <c r="C149" s="5" t="n">
        <v>3.6</v>
      </c>
      <c r="D149" s="5" t="n">
        <v>269</v>
      </c>
      <c r="E149" s="5" t="n">
        <v>5</v>
      </c>
      <c r="F149" s="5" t="n">
        <v>68</v>
      </c>
      <c r="G149" s="5" t="n">
        <v>10</v>
      </c>
      <c r="H149" s="5" t="s">
        <v>36</v>
      </c>
      <c r="I149" s="5" t="n">
        <v>606</v>
      </c>
      <c r="J149" s="2" t="n">
        <f aca="false">IF(H149="Yes",1,0)</f>
        <v>0</v>
      </c>
      <c r="K149" s="2" t="n">
        <f aca="false">IF(I149&gt;Model!$C$9,1,0)</f>
        <v>1</v>
      </c>
    </row>
    <row r="150" customFormat="false" ht="15" hidden="false" customHeight="false" outlineLevel="0" collapsed="false">
      <c r="A150" s="5" t="n">
        <v>149</v>
      </c>
      <c r="B150" s="5" t="n">
        <v>68.3</v>
      </c>
      <c r="C150" s="5" t="n">
        <v>2.6</v>
      </c>
      <c r="D150" s="5" t="n">
        <v>223</v>
      </c>
      <c r="E150" s="5" t="n">
        <v>1</v>
      </c>
      <c r="F150" s="5" t="n">
        <v>76</v>
      </c>
      <c r="G150" s="5" t="n">
        <v>14</v>
      </c>
      <c r="H150" s="5" t="s">
        <v>36</v>
      </c>
      <c r="I150" s="5" t="n">
        <v>100</v>
      </c>
      <c r="J150" s="2" t="n">
        <f aca="false">IF(H150="Yes",1,0)</f>
        <v>0</v>
      </c>
      <c r="K150" s="2" t="n">
        <f aca="false">IF(I150&gt;Model!$C$9,1,0)</f>
        <v>0</v>
      </c>
    </row>
    <row r="151" customFormat="false" ht="15" hidden="false" customHeight="false" outlineLevel="0" collapsed="false">
      <c r="A151" s="5" t="n">
        <v>150</v>
      </c>
      <c r="B151" s="5" t="n">
        <v>41.4</v>
      </c>
      <c r="C151" s="5" t="n">
        <v>5.1</v>
      </c>
      <c r="D151" s="5" t="n">
        <v>390</v>
      </c>
      <c r="E151" s="5" t="n">
        <v>3</v>
      </c>
      <c r="F151" s="5" t="n">
        <v>67</v>
      </c>
      <c r="G151" s="5" t="n">
        <v>14</v>
      </c>
      <c r="H151" s="5" t="s">
        <v>36</v>
      </c>
      <c r="I151" s="5" t="n">
        <v>1220</v>
      </c>
      <c r="J151" s="2" t="n">
        <f aca="false">IF(H151="Yes",1,0)</f>
        <v>0</v>
      </c>
      <c r="K151" s="2" t="n">
        <f aca="false">IF(I151&gt;Model!$C$9,1,0)</f>
        <v>1</v>
      </c>
    </row>
    <row r="152" customFormat="false" ht="15" hidden="false" customHeight="false" outlineLevel="0" collapsed="false">
      <c r="A152" s="5" t="n">
        <v>151</v>
      </c>
      <c r="B152" s="5" t="n">
        <v>34.8</v>
      </c>
      <c r="C152" s="5" t="n">
        <v>3.29</v>
      </c>
      <c r="D152" s="5" t="n">
        <v>265</v>
      </c>
      <c r="E152" s="5" t="n">
        <v>6</v>
      </c>
      <c r="F152" s="5" t="n">
        <v>42</v>
      </c>
      <c r="G152" s="5" t="n">
        <v>8</v>
      </c>
      <c r="H152" s="5" t="s">
        <v>36</v>
      </c>
      <c r="I152" s="5" t="n">
        <v>709</v>
      </c>
      <c r="J152" s="2" t="n">
        <f aca="false">IF(H152="Yes",1,0)</f>
        <v>0</v>
      </c>
      <c r="K152" s="2" t="n">
        <f aca="false">IF(I152&gt;Model!$C$9,1,0)</f>
        <v>1</v>
      </c>
    </row>
    <row r="153" customFormat="false" ht="15" hidden="false" customHeight="false" outlineLevel="0" collapsed="false">
      <c r="A153" s="5" t="n">
        <v>152</v>
      </c>
      <c r="B153" s="5" t="n">
        <v>21.5</v>
      </c>
      <c r="C153" s="5" t="n">
        <v>3.18</v>
      </c>
      <c r="D153" s="5" t="n">
        <v>260</v>
      </c>
      <c r="E153" s="5" t="n">
        <v>2</v>
      </c>
      <c r="F153" s="5" t="n">
        <v>69</v>
      </c>
      <c r="G153" s="5" t="n">
        <v>14</v>
      </c>
      <c r="H153" s="5" t="s">
        <v>36</v>
      </c>
      <c r="I153" s="5" t="n">
        <v>187</v>
      </c>
      <c r="J153" s="2" t="n">
        <f aca="false">IF(H153="Yes",1,0)</f>
        <v>0</v>
      </c>
      <c r="K153" s="2" t="n">
        <f aca="false">IF(I153&gt;Model!$C$9,1,0)</f>
        <v>0</v>
      </c>
    </row>
    <row r="154" customFormat="false" ht="15" hidden="false" customHeight="false" outlineLevel="0" collapsed="false">
      <c r="A154" s="5" t="n">
        <v>153</v>
      </c>
      <c r="B154" s="5" t="n">
        <v>15.1</v>
      </c>
      <c r="C154" s="5" t="n">
        <v>0.99</v>
      </c>
      <c r="D154" s="5" t="n">
        <v>110</v>
      </c>
      <c r="E154" s="5" t="n">
        <v>3</v>
      </c>
      <c r="F154" s="5" t="n">
        <v>75</v>
      </c>
      <c r="G154" s="5" t="n">
        <v>13</v>
      </c>
      <c r="H154" s="5" t="s">
        <v>36</v>
      </c>
      <c r="I154" s="5" t="n">
        <v>342</v>
      </c>
      <c r="J154" s="2" t="n">
        <f aca="false">IF(H154="Yes",1,0)</f>
        <v>0</v>
      </c>
      <c r="K154" s="2" t="n">
        <f aca="false">IF(I154&gt;Model!$C$9,1,0)</f>
        <v>0</v>
      </c>
    </row>
    <row r="155" customFormat="false" ht="15" hidden="false" customHeight="false" outlineLevel="0" collapsed="false">
      <c r="A155" s="5" t="n">
        <v>154</v>
      </c>
      <c r="B155" s="5" t="n">
        <v>29.1</v>
      </c>
      <c r="C155" s="5" t="n">
        <v>3.56</v>
      </c>
      <c r="D155" s="5" t="n">
        <v>303</v>
      </c>
      <c r="E155" s="5" t="n">
        <v>3</v>
      </c>
      <c r="F155" s="5" t="n">
        <v>43</v>
      </c>
      <c r="G155" s="5" t="n">
        <v>11</v>
      </c>
      <c r="H155" s="5" t="s">
        <v>36</v>
      </c>
      <c r="I155" s="5" t="n">
        <v>355</v>
      </c>
      <c r="J155" s="2" t="n">
        <f aca="false">IF(H155="Yes",1,0)</f>
        <v>0</v>
      </c>
      <c r="K155" s="2" t="n">
        <f aca="false">IF(I155&gt;Model!$C$9,1,0)</f>
        <v>0</v>
      </c>
    </row>
    <row r="156" customFormat="false" ht="15" hidden="false" customHeight="false" outlineLevel="0" collapsed="false">
      <c r="A156" s="5" t="n">
        <v>155</v>
      </c>
      <c r="B156" s="5" t="n">
        <v>36.9</v>
      </c>
      <c r="C156" s="5" t="n">
        <v>4.32</v>
      </c>
      <c r="D156" s="5" t="n">
        <v>328</v>
      </c>
      <c r="E156" s="5" t="n">
        <v>2</v>
      </c>
      <c r="F156" s="5" t="n">
        <v>31</v>
      </c>
      <c r="G156" s="5" t="n">
        <v>9</v>
      </c>
      <c r="H156" s="5" t="s">
        <v>36</v>
      </c>
      <c r="I156" s="5" t="n">
        <v>911</v>
      </c>
      <c r="J156" s="2" t="n">
        <f aca="false">IF(H156="Yes",1,0)</f>
        <v>0</v>
      </c>
      <c r="K156" s="2" t="n">
        <f aca="false">IF(I156&gt;Model!$C$9,1,0)</f>
        <v>1</v>
      </c>
    </row>
    <row r="157" customFormat="false" ht="15" hidden="false" customHeight="false" outlineLevel="0" collapsed="false">
      <c r="A157" s="5" t="n">
        <v>156</v>
      </c>
      <c r="B157" s="5" t="n">
        <v>100.5</v>
      </c>
      <c r="C157" s="5" t="n">
        <v>6.73</v>
      </c>
      <c r="D157" s="5" t="n">
        <v>487</v>
      </c>
      <c r="E157" s="5" t="n">
        <v>2</v>
      </c>
      <c r="F157" s="5" t="n">
        <v>79</v>
      </c>
      <c r="G157" s="5" t="n">
        <v>8</v>
      </c>
      <c r="H157" s="5" t="s">
        <v>36</v>
      </c>
      <c r="I157" s="5" t="n">
        <v>831</v>
      </c>
      <c r="J157" s="2" t="n">
        <f aca="false">IF(H157="Yes",1,0)</f>
        <v>0</v>
      </c>
      <c r="K157" s="2" t="n">
        <f aca="false">IF(I157&gt;Model!$C$9,1,0)</f>
        <v>1</v>
      </c>
    </row>
    <row r="158" customFormat="false" ht="15" hidden="false" customHeight="false" outlineLevel="0" collapsed="false">
      <c r="A158" s="5" t="n">
        <v>157</v>
      </c>
      <c r="B158" s="5" t="n">
        <v>40.8</v>
      </c>
      <c r="C158" s="5" t="n">
        <v>3.45</v>
      </c>
      <c r="D158" s="5" t="n">
        <v>262</v>
      </c>
      <c r="E158" s="5" t="n">
        <v>3</v>
      </c>
      <c r="F158" s="5" t="n">
        <v>33</v>
      </c>
      <c r="G158" s="5" t="n">
        <v>8</v>
      </c>
      <c r="H158" s="5" t="s">
        <v>36</v>
      </c>
      <c r="I158" s="5" t="n">
        <v>268</v>
      </c>
      <c r="J158" s="2" t="n">
        <f aca="false">IF(H158="Yes",1,0)</f>
        <v>0</v>
      </c>
      <c r="K158" s="2" t="n">
        <f aca="false">IF(I158&gt;Model!$C$9,1,0)</f>
        <v>0</v>
      </c>
    </row>
    <row r="159" customFormat="false" ht="15" hidden="false" customHeight="false" outlineLevel="0" collapsed="false">
      <c r="A159" s="5" t="n">
        <v>158</v>
      </c>
      <c r="B159" s="5" t="n">
        <v>65.2</v>
      </c>
      <c r="C159" s="5" t="n">
        <v>4.84</v>
      </c>
      <c r="D159" s="5" t="n">
        <v>352</v>
      </c>
      <c r="E159" s="5" t="n">
        <v>7</v>
      </c>
      <c r="F159" s="5" t="n">
        <v>60</v>
      </c>
      <c r="G159" s="5" t="n">
        <v>14</v>
      </c>
      <c r="H159" s="5" t="s">
        <v>36</v>
      </c>
      <c r="I159" s="5" t="n">
        <v>98</v>
      </c>
      <c r="J159" s="2" t="n">
        <f aca="false">IF(H159="Yes",1,0)</f>
        <v>0</v>
      </c>
      <c r="K159" s="2" t="n">
        <f aca="false">IF(I159&gt;Model!$C$9,1,0)</f>
        <v>0</v>
      </c>
    </row>
    <row r="160" customFormat="false" ht="15" hidden="false" customHeight="false" outlineLevel="0" collapsed="false">
      <c r="A160" s="5" t="n">
        <v>159</v>
      </c>
      <c r="B160" s="5" t="n">
        <v>28.9</v>
      </c>
      <c r="C160" s="5" t="n">
        <v>1.37</v>
      </c>
      <c r="D160" s="5" t="n">
        <v>117</v>
      </c>
      <c r="E160" s="5" t="n">
        <v>1</v>
      </c>
      <c r="F160" s="5" t="n">
        <v>38</v>
      </c>
      <c r="G160" s="5" t="n">
        <v>9</v>
      </c>
      <c r="H160" s="5" t="s">
        <v>36</v>
      </c>
      <c r="I160" s="5" t="n">
        <v>0</v>
      </c>
      <c r="J160" s="2" t="n">
        <f aca="false">IF(H160="Yes",1,0)</f>
        <v>0</v>
      </c>
      <c r="K160" s="2" t="n">
        <f aca="false">IF(I160&gt;Model!$C$9,1,0)</f>
        <v>0</v>
      </c>
    </row>
    <row r="161" customFormat="false" ht="15" hidden="false" customHeight="false" outlineLevel="0" collapsed="false">
      <c r="A161" s="5" t="n">
        <v>160</v>
      </c>
      <c r="B161" s="5" t="n">
        <v>19.8</v>
      </c>
      <c r="C161" s="5" t="n">
        <v>1.8</v>
      </c>
      <c r="D161" s="5" t="n">
        <v>150</v>
      </c>
      <c r="E161" s="5" t="n">
        <v>2</v>
      </c>
      <c r="F161" s="5" t="n">
        <v>31</v>
      </c>
      <c r="G161" s="5" t="n">
        <v>20</v>
      </c>
      <c r="H161" s="5" t="s">
        <v>36</v>
      </c>
      <c r="I161" s="5" t="n">
        <v>0</v>
      </c>
      <c r="J161" s="2" t="n">
        <f aca="false">IF(H161="Yes",1,0)</f>
        <v>0</v>
      </c>
      <c r="K161" s="2" t="n">
        <f aca="false">IF(I161&gt;Model!$C$9,1,0)</f>
        <v>0</v>
      </c>
    </row>
    <row r="162" customFormat="false" ht="15" hidden="false" customHeight="false" outlineLevel="0" collapsed="false">
      <c r="A162" s="5" t="n">
        <v>161</v>
      </c>
      <c r="B162" s="5" t="n">
        <v>22.3</v>
      </c>
      <c r="C162" s="5" t="n">
        <v>1.93</v>
      </c>
      <c r="D162" s="5" t="n">
        <v>168</v>
      </c>
      <c r="E162" s="5" t="n">
        <v>1</v>
      </c>
      <c r="F162" s="5" t="n">
        <v>72</v>
      </c>
      <c r="G162" s="5" t="n">
        <v>11</v>
      </c>
      <c r="H162" s="5" t="s">
        <v>36</v>
      </c>
      <c r="I162" s="5" t="n">
        <v>355</v>
      </c>
      <c r="J162" s="2" t="n">
        <f aca="false">IF(H162="Yes",1,0)</f>
        <v>0</v>
      </c>
      <c r="K162" s="2" t="n">
        <f aca="false">IF(I162&gt;Model!$C$9,1,0)</f>
        <v>0</v>
      </c>
    </row>
    <row r="163" customFormat="false" ht="15" hidden="false" customHeight="false" outlineLevel="0" collapsed="false">
      <c r="A163" s="5" t="n">
        <v>162</v>
      </c>
      <c r="B163" s="5" t="n">
        <v>25.5</v>
      </c>
      <c r="C163" s="5" t="n">
        <v>2.8</v>
      </c>
      <c r="D163" s="5" t="n">
        <v>232</v>
      </c>
      <c r="E163" s="5" t="n">
        <v>4</v>
      </c>
      <c r="F163" s="5" t="n">
        <v>32</v>
      </c>
      <c r="G163" s="5" t="n">
        <v>16</v>
      </c>
      <c r="H163" s="5" t="s">
        <v>36</v>
      </c>
      <c r="I163" s="5" t="n">
        <v>709</v>
      </c>
      <c r="J163" s="2" t="n">
        <f aca="false">IF(H163="Yes",1,0)</f>
        <v>0</v>
      </c>
      <c r="K163" s="2" t="n">
        <f aca="false">IF(I163&gt;Model!$C$9,1,0)</f>
        <v>1</v>
      </c>
    </row>
    <row r="164" customFormat="false" ht="15" hidden="false" customHeight="false" outlineLevel="0" collapsed="false">
      <c r="A164" s="5" t="n">
        <v>163</v>
      </c>
      <c r="B164" s="5" t="n">
        <v>122.5</v>
      </c>
      <c r="C164" s="5" t="n">
        <v>8.94</v>
      </c>
      <c r="D164" s="5" t="n">
        <v>640</v>
      </c>
      <c r="E164" s="5" t="n">
        <v>2</v>
      </c>
      <c r="F164" s="5" t="n">
        <v>65</v>
      </c>
      <c r="G164" s="5" t="n">
        <v>16</v>
      </c>
      <c r="H164" s="5" t="s">
        <v>36</v>
      </c>
      <c r="I164" s="5" t="n">
        <v>1038</v>
      </c>
      <c r="J164" s="2" t="n">
        <f aca="false">IF(H164="Yes",1,0)</f>
        <v>0</v>
      </c>
      <c r="K164" s="2" t="n">
        <f aca="false">IF(I164&gt;Model!$C$9,1,0)</f>
        <v>1</v>
      </c>
    </row>
    <row r="165" customFormat="false" ht="15" hidden="false" customHeight="false" outlineLevel="0" collapsed="false">
      <c r="A165" s="5" t="n">
        <v>164</v>
      </c>
      <c r="B165" s="5" t="n">
        <v>24.2</v>
      </c>
      <c r="C165" s="5" t="n">
        <v>0.9</v>
      </c>
      <c r="D165" s="5" t="n">
        <v>91</v>
      </c>
      <c r="E165" s="5" t="n">
        <v>6</v>
      </c>
      <c r="F165" s="5" t="n">
        <v>66</v>
      </c>
      <c r="G165" s="5" t="n">
        <v>14</v>
      </c>
      <c r="H165" s="5" t="s">
        <v>36</v>
      </c>
      <c r="I165" s="5" t="n">
        <v>0</v>
      </c>
      <c r="J165" s="2" t="n">
        <f aca="false">IF(H165="Yes",1,0)</f>
        <v>0</v>
      </c>
      <c r="K165" s="2" t="n">
        <f aca="false">IF(I165&gt;Model!$C$9,1,0)</f>
        <v>0</v>
      </c>
    </row>
    <row r="166" customFormat="false" ht="15" hidden="false" customHeight="false" outlineLevel="0" collapsed="false">
      <c r="A166" s="5" t="n">
        <v>165</v>
      </c>
      <c r="B166" s="5" t="n">
        <v>60.3</v>
      </c>
      <c r="C166" s="5" t="n">
        <v>4.05</v>
      </c>
      <c r="D166" s="5" t="n">
        <v>322</v>
      </c>
      <c r="E166" s="5" t="n">
        <v>5</v>
      </c>
      <c r="F166" s="5" t="n">
        <v>27</v>
      </c>
      <c r="G166" s="5" t="n">
        <v>19</v>
      </c>
      <c r="H166" s="5" t="s">
        <v>36</v>
      </c>
      <c r="I166" s="5" t="n">
        <v>203</v>
      </c>
      <c r="J166" s="2" t="n">
        <f aca="false">IF(H166="Yes",1,0)</f>
        <v>0</v>
      </c>
      <c r="K166" s="2" t="n">
        <f aca="false">IF(I166&gt;Model!$C$9,1,0)</f>
        <v>0</v>
      </c>
    </row>
    <row r="167" customFormat="false" ht="15" hidden="false" customHeight="false" outlineLevel="0" collapsed="false">
      <c r="A167" s="5" t="n">
        <v>166</v>
      </c>
      <c r="B167" s="5" t="n">
        <v>23.1</v>
      </c>
      <c r="C167" s="5" t="n">
        <v>4.1</v>
      </c>
      <c r="D167" s="5" t="n">
        <v>324</v>
      </c>
      <c r="E167" s="5" t="n">
        <v>6</v>
      </c>
      <c r="F167" s="5" t="n">
        <v>34</v>
      </c>
      <c r="G167" s="5" t="n">
        <v>9</v>
      </c>
      <c r="H167" s="5" t="s">
        <v>36</v>
      </c>
      <c r="I167" s="5" t="n">
        <v>520</v>
      </c>
      <c r="J167" s="2" t="n">
        <f aca="false">IF(H167="Yes",1,0)</f>
        <v>0</v>
      </c>
      <c r="K167" s="2" t="n">
        <f aca="false">IF(I167&gt;Model!$C$9,1,0)</f>
        <v>1</v>
      </c>
    </row>
    <row r="168" customFormat="false" ht="15" hidden="false" customHeight="false" outlineLevel="0" collapsed="false">
      <c r="A168" s="5" t="n">
        <v>167</v>
      </c>
      <c r="B168" s="5" t="n">
        <v>63.4</v>
      </c>
      <c r="C168" s="5" t="n">
        <v>3.42</v>
      </c>
      <c r="D168" s="5" t="n">
        <v>267</v>
      </c>
      <c r="E168" s="5" t="n">
        <v>5</v>
      </c>
      <c r="F168" s="5" t="n">
        <v>73</v>
      </c>
      <c r="G168" s="5" t="n">
        <v>11</v>
      </c>
      <c r="H168" s="5" t="s">
        <v>36</v>
      </c>
      <c r="I168" s="5" t="n">
        <v>399</v>
      </c>
      <c r="J168" s="2" t="n">
        <f aca="false">IF(H168="Yes",1,0)</f>
        <v>0</v>
      </c>
      <c r="K168" s="2" t="n">
        <f aca="false">IF(I168&gt;Model!$C$9,1,0)</f>
        <v>0</v>
      </c>
    </row>
    <row r="169" customFormat="false" ht="15" hidden="false" customHeight="false" outlineLevel="0" collapsed="false">
      <c r="A169" s="5" t="n">
        <v>168</v>
      </c>
      <c r="B169" s="5" t="n">
        <v>47</v>
      </c>
      <c r="C169" s="5" t="n">
        <v>2.42</v>
      </c>
      <c r="D169" s="5" t="n">
        <v>194</v>
      </c>
      <c r="E169" s="5" t="n">
        <v>4</v>
      </c>
      <c r="F169" s="5" t="n">
        <v>55</v>
      </c>
      <c r="G169" s="5" t="n">
        <v>11</v>
      </c>
      <c r="H169" s="5" t="s">
        <v>36</v>
      </c>
      <c r="I169" s="5" t="n">
        <v>41</v>
      </c>
      <c r="J169" s="2" t="n">
        <f aca="false">IF(H169="Yes",1,0)</f>
        <v>0</v>
      </c>
      <c r="K169" s="2" t="n">
        <f aca="false">IF(I169&gt;Model!$C$9,1,0)</f>
        <v>0</v>
      </c>
    </row>
    <row r="170" customFormat="false" ht="15" hidden="false" customHeight="false" outlineLevel="0" collapsed="false">
      <c r="A170" s="5" t="n">
        <v>169</v>
      </c>
      <c r="B170" s="5" t="n">
        <v>34.9</v>
      </c>
      <c r="C170" s="5" t="n">
        <v>3.08</v>
      </c>
      <c r="D170" s="5" t="n">
        <v>253</v>
      </c>
      <c r="E170" s="5" t="n">
        <v>7</v>
      </c>
      <c r="F170" s="5" t="n">
        <v>31</v>
      </c>
      <c r="G170" s="5" t="n">
        <v>9</v>
      </c>
      <c r="H170" s="5" t="s">
        <v>36</v>
      </c>
      <c r="I170" s="5" t="n">
        <v>772</v>
      </c>
      <c r="J170" s="2" t="n">
        <f aca="false">IF(H170="Yes",1,0)</f>
        <v>0</v>
      </c>
      <c r="K170" s="2" t="n">
        <f aca="false">IF(I170&gt;Model!$C$9,1,0)</f>
        <v>1</v>
      </c>
    </row>
    <row r="171" customFormat="false" ht="15" hidden="false" customHeight="false" outlineLevel="0" collapsed="false">
      <c r="A171" s="5" t="n">
        <v>170</v>
      </c>
      <c r="B171" s="5" t="n">
        <v>37.2</v>
      </c>
      <c r="C171" s="5" t="n">
        <v>4.04</v>
      </c>
      <c r="D171" s="5" t="n">
        <v>313</v>
      </c>
      <c r="E171" s="5" t="n">
        <v>4</v>
      </c>
      <c r="F171" s="5" t="n">
        <v>85</v>
      </c>
      <c r="G171" s="5" t="n">
        <v>11</v>
      </c>
      <c r="H171" s="5" t="s">
        <v>36</v>
      </c>
      <c r="I171" s="5" t="n">
        <v>436</v>
      </c>
      <c r="J171" s="2" t="n">
        <f aca="false">IF(H171="Yes",1,0)</f>
        <v>0</v>
      </c>
      <c r="K171" s="2" t="n">
        <f aca="false">IF(I171&gt;Model!$C$9,1,0)</f>
        <v>0</v>
      </c>
    </row>
    <row r="172" customFormat="false" ht="15" hidden="false" customHeight="false" outlineLevel="0" collapsed="false">
      <c r="A172" s="5" t="n">
        <v>171</v>
      </c>
      <c r="B172" s="5" t="n">
        <v>26.5</v>
      </c>
      <c r="C172" s="5" t="n">
        <v>2.37</v>
      </c>
      <c r="D172" s="5" t="n">
        <v>181</v>
      </c>
      <c r="E172" s="5" t="n">
        <v>7</v>
      </c>
      <c r="F172" s="5" t="n">
        <v>40</v>
      </c>
      <c r="G172" s="5" t="n">
        <v>12</v>
      </c>
      <c r="H172" s="5" t="s">
        <v>36</v>
      </c>
      <c r="I172" s="5" t="n">
        <v>451</v>
      </c>
      <c r="J172" s="2" t="n">
        <f aca="false">IF(H172="Yes",1,0)</f>
        <v>0</v>
      </c>
      <c r="K172" s="2" t="n">
        <f aca="false">IF(I172&gt;Model!$C$9,1,0)</f>
        <v>0</v>
      </c>
    </row>
    <row r="173" customFormat="false" ht="15" hidden="false" customHeight="false" outlineLevel="0" collapsed="false">
      <c r="A173" s="5" t="n">
        <v>172</v>
      </c>
      <c r="B173" s="5" t="n">
        <v>48.6</v>
      </c>
      <c r="C173" s="5" t="n">
        <v>5.3</v>
      </c>
      <c r="D173" s="5" t="n">
        <v>394</v>
      </c>
      <c r="E173" s="5" t="n">
        <v>7</v>
      </c>
      <c r="F173" s="5" t="n">
        <v>24</v>
      </c>
      <c r="G173" s="5" t="n">
        <v>17</v>
      </c>
      <c r="H173" s="5" t="s">
        <v>36</v>
      </c>
      <c r="I173" s="5" t="n">
        <v>842</v>
      </c>
      <c r="J173" s="2" t="n">
        <f aca="false">IF(H173="Yes",1,0)</f>
        <v>0</v>
      </c>
      <c r="K173" s="2" t="n">
        <f aca="false">IF(I173&gt;Model!$C$9,1,0)</f>
        <v>1</v>
      </c>
    </row>
    <row r="174" customFormat="false" ht="15" hidden="false" customHeight="false" outlineLevel="0" collapsed="false">
      <c r="A174" s="5" t="n">
        <v>173</v>
      </c>
      <c r="B174" s="5" t="n">
        <v>29.6</v>
      </c>
      <c r="C174" s="5" t="n">
        <v>3.64</v>
      </c>
      <c r="D174" s="5" t="n">
        <v>287</v>
      </c>
      <c r="E174" s="5" t="n">
        <v>5</v>
      </c>
      <c r="F174" s="5" t="n">
        <v>81</v>
      </c>
      <c r="G174" s="5" t="n">
        <v>11</v>
      </c>
      <c r="H174" s="5" t="s">
        <v>36</v>
      </c>
      <c r="I174" s="5" t="n">
        <v>718</v>
      </c>
      <c r="J174" s="2" t="n">
        <f aca="false">IF(H174="Yes",1,0)</f>
        <v>0</v>
      </c>
      <c r="K174" s="2" t="n">
        <f aca="false">IF(I174&gt;Model!$C$9,1,0)</f>
        <v>1</v>
      </c>
    </row>
    <row r="175" customFormat="false" ht="15" hidden="false" customHeight="false" outlineLevel="0" collapsed="false">
      <c r="A175" s="5" t="n">
        <v>174</v>
      </c>
      <c r="B175" s="5" t="n">
        <v>19.4</v>
      </c>
      <c r="C175" s="5" t="n">
        <v>3.06</v>
      </c>
      <c r="D175" s="5" t="n">
        <v>234</v>
      </c>
      <c r="E175" s="5" t="n">
        <v>5</v>
      </c>
      <c r="F175" s="5" t="n">
        <v>25</v>
      </c>
      <c r="G175" s="5" t="n">
        <v>19</v>
      </c>
      <c r="H175" s="5" t="s">
        <v>36</v>
      </c>
      <c r="I175" s="5" t="n">
        <v>314</v>
      </c>
      <c r="J175" s="2" t="n">
        <f aca="false">IF(H175="Yes",1,0)</f>
        <v>0</v>
      </c>
      <c r="K175" s="2" t="n">
        <f aca="false">IF(I175&gt;Model!$C$9,1,0)</f>
        <v>0</v>
      </c>
    </row>
    <row r="176" customFormat="false" ht="15" hidden="false" customHeight="false" outlineLevel="0" collapsed="false">
      <c r="A176" s="5" t="n">
        <v>175</v>
      </c>
      <c r="B176" s="5" t="n">
        <v>18.8</v>
      </c>
      <c r="C176" s="5" t="n">
        <v>2.65</v>
      </c>
      <c r="D176" s="5" t="n">
        <v>220</v>
      </c>
      <c r="E176" s="5" t="n">
        <v>2</v>
      </c>
      <c r="F176" s="5" t="n">
        <v>58</v>
      </c>
      <c r="G176" s="5" t="n">
        <v>18</v>
      </c>
      <c r="H176" s="5" t="s">
        <v>36</v>
      </c>
      <c r="I176" s="5" t="n">
        <v>312</v>
      </c>
      <c r="J176" s="2" t="n">
        <f aca="false">IF(H176="Yes",1,0)</f>
        <v>0</v>
      </c>
      <c r="K176" s="2" t="n">
        <f aca="false">IF(I176&gt;Model!$C$9,1,0)</f>
        <v>0</v>
      </c>
    </row>
    <row r="177" customFormat="false" ht="15" hidden="false" customHeight="false" outlineLevel="0" collapsed="false">
      <c r="A177" s="5" t="n">
        <v>176</v>
      </c>
      <c r="B177" s="5" t="n">
        <v>41.8</v>
      </c>
      <c r="C177" s="5" t="n">
        <v>6.22</v>
      </c>
      <c r="D177" s="5" t="n">
        <v>439</v>
      </c>
      <c r="E177" s="5" t="n">
        <v>6</v>
      </c>
      <c r="F177" s="5" t="n">
        <v>85</v>
      </c>
      <c r="G177" s="5" t="n">
        <v>19</v>
      </c>
      <c r="H177" s="5" t="s">
        <v>37</v>
      </c>
      <c r="I177" s="5" t="n">
        <v>1506</v>
      </c>
      <c r="J177" s="2" t="n">
        <f aca="false">IF(H177="Yes",1,0)</f>
        <v>1</v>
      </c>
      <c r="K177" s="2" t="n">
        <f aca="false">IF(I177&gt;Model!$C$9,1,0)</f>
        <v>1</v>
      </c>
    </row>
    <row r="178" customFormat="false" ht="15" hidden="false" customHeight="false" outlineLevel="0" collapsed="false">
      <c r="A178" s="5" t="n">
        <v>177</v>
      </c>
      <c r="B178" s="5" t="n">
        <v>90.6</v>
      </c>
      <c r="C178" s="5" t="n">
        <v>5.62</v>
      </c>
      <c r="D178" s="5" t="n">
        <v>433</v>
      </c>
      <c r="E178" s="5" t="n">
        <v>5</v>
      </c>
      <c r="F178" s="5" t="n">
        <v>59</v>
      </c>
      <c r="G178" s="5" t="n">
        <v>9</v>
      </c>
      <c r="H178" s="5" t="s">
        <v>36</v>
      </c>
      <c r="I178" s="5" t="n">
        <v>371</v>
      </c>
      <c r="J178" s="2" t="n">
        <f aca="false">IF(H178="Yes",1,0)</f>
        <v>0</v>
      </c>
      <c r="K178" s="2" t="n">
        <f aca="false">IF(I178&gt;Model!$C$9,1,0)</f>
        <v>0</v>
      </c>
    </row>
    <row r="179" customFormat="false" ht="15" hidden="false" customHeight="false" outlineLevel="0" collapsed="false">
      <c r="A179" s="5" t="n">
        <v>178</v>
      </c>
      <c r="B179" s="5" t="n">
        <v>41.5</v>
      </c>
      <c r="C179" s="5" t="n">
        <v>0.9</v>
      </c>
      <c r="D179" s="5" t="n">
        <v>115</v>
      </c>
      <c r="E179" s="5" t="n">
        <v>7</v>
      </c>
      <c r="F179" s="5" t="n">
        <v>60</v>
      </c>
      <c r="G179" s="5" t="n">
        <v>20</v>
      </c>
      <c r="H179" s="5" t="s">
        <v>36</v>
      </c>
      <c r="I179" s="5" t="n">
        <v>0</v>
      </c>
      <c r="J179" s="2" t="n">
        <f aca="false">IF(H179="Yes",1,0)</f>
        <v>0</v>
      </c>
      <c r="K179" s="2" t="n">
        <f aca="false">IF(I179&gt;Model!$C$9,1,0)</f>
        <v>0</v>
      </c>
    </row>
    <row r="180" customFormat="false" ht="15" hidden="false" customHeight="false" outlineLevel="0" collapsed="false">
      <c r="A180" s="5" t="n">
        <v>179</v>
      </c>
      <c r="B180" s="5" t="n">
        <v>35.6</v>
      </c>
      <c r="C180" s="5" t="n">
        <v>4.94</v>
      </c>
      <c r="D180" s="5" t="n">
        <v>368</v>
      </c>
      <c r="E180" s="5" t="n">
        <v>2</v>
      </c>
      <c r="F180" s="5" t="n">
        <v>48</v>
      </c>
      <c r="G180" s="5" t="n">
        <v>15</v>
      </c>
      <c r="H180" s="5" t="s">
        <v>36</v>
      </c>
      <c r="I180" s="5" t="n">
        <v>986</v>
      </c>
      <c r="J180" s="2" t="n">
        <f aca="false">IF(H180="Yes",1,0)</f>
        <v>0</v>
      </c>
      <c r="K180" s="2" t="n">
        <f aca="false">IF(I180&gt;Model!$C$9,1,0)</f>
        <v>1</v>
      </c>
    </row>
    <row r="181" customFormat="false" ht="15" hidden="false" customHeight="false" outlineLevel="0" collapsed="false">
      <c r="A181" s="5" t="n">
        <v>180</v>
      </c>
      <c r="B181" s="5" t="n">
        <v>44.5</v>
      </c>
      <c r="C181" s="5" t="n">
        <v>2.75</v>
      </c>
      <c r="D181" s="5" t="n">
        <v>229</v>
      </c>
      <c r="E181" s="5" t="n">
        <v>6</v>
      </c>
      <c r="F181" s="5" t="n">
        <v>31</v>
      </c>
      <c r="G181" s="5" t="n">
        <v>20</v>
      </c>
      <c r="H181" s="5" t="s">
        <v>36</v>
      </c>
      <c r="I181" s="5" t="n">
        <v>313</v>
      </c>
      <c r="J181" s="2" t="n">
        <f aca="false">IF(H181="Yes",1,0)</f>
        <v>0</v>
      </c>
      <c r="K181" s="2" t="n">
        <f aca="false">IF(I181&gt;Model!$C$9,1,0)</f>
        <v>0</v>
      </c>
    </row>
    <row r="182" customFormat="false" ht="15" hidden="false" customHeight="false" outlineLevel="0" collapsed="false">
      <c r="A182" s="5" t="n">
        <v>181</v>
      </c>
      <c r="B182" s="5" t="n">
        <v>77.9</v>
      </c>
      <c r="C182" s="5" t="n">
        <v>5.32</v>
      </c>
      <c r="D182" s="5" t="n">
        <v>368</v>
      </c>
      <c r="E182" s="5" t="n">
        <v>4</v>
      </c>
      <c r="F182" s="5" t="n">
        <v>59</v>
      </c>
      <c r="G182" s="5" t="n">
        <v>12</v>
      </c>
      <c r="H182" s="5" t="s">
        <v>36</v>
      </c>
      <c r="I182" s="5" t="n">
        <v>1002</v>
      </c>
      <c r="J182" s="2" t="n">
        <f aca="false">IF(H182="Yes",1,0)</f>
        <v>0</v>
      </c>
      <c r="K182" s="2" t="n">
        <f aca="false">IF(I182&gt;Model!$C$9,1,0)</f>
        <v>1</v>
      </c>
    </row>
    <row r="183" customFormat="false" ht="15" hidden="false" customHeight="false" outlineLevel="0" collapsed="false">
      <c r="A183" s="5" t="n">
        <v>182</v>
      </c>
      <c r="B183" s="5" t="n">
        <v>42.9</v>
      </c>
      <c r="C183" s="5" t="n">
        <v>4.96</v>
      </c>
      <c r="D183" s="5" t="n">
        <v>358</v>
      </c>
      <c r="E183" s="5" t="n">
        <v>2</v>
      </c>
      <c r="F183" s="5" t="n">
        <v>79</v>
      </c>
      <c r="G183" s="5" t="n">
        <v>20</v>
      </c>
      <c r="H183" s="5" t="s">
        <v>37</v>
      </c>
      <c r="I183" s="5" t="n">
        <v>1564</v>
      </c>
      <c r="J183" s="2" t="n">
        <f aca="false">IF(H183="Yes",1,0)</f>
        <v>1</v>
      </c>
      <c r="K183" s="2" t="n">
        <f aca="false">IF(I183&gt;Model!$C$9,1,0)</f>
        <v>1</v>
      </c>
    </row>
    <row r="184" customFormat="false" ht="15" hidden="false" customHeight="false" outlineLevel="0" collapsed="false">
      <c r="A184" s="5" t="n">
        <v>183</v>
      </c>
      <c r="B184" s="5" t="n">
        <v>30.3</v>
      </c>
      <c r="C184" s="5" t="n">
        <v>0.9</v>
      </c>
      <c r="D184" s="5" t="n">
        <v>97</v>
      </c>
      <c r="E184" s="5" t="n">
        <v>2</v>
      </c>
      <c r="F184" s="5" t="n">
        <v>29</v>
      </c>
      <c r="G184" s="5" t="n">
        <v>15</v>
      </c>
      <c r="H184" s="5" t="s">
        <v>36</v>
      </c>
      <c r="I184" s="5" t="n">
        <v>0</v>
      </c>
      <c r="J184" s="2" t="n">
        <f aca="false">IF(H184="Yes",1,0)</f>
        <v>0</v>
      </c>
      <c r="K184" s="2" t="n">
        <f aca="false">IF(I184&gt;Model!$C$9,1,0)</f>
        <v>0</v>
      </c>
    </row>
    <row r="185" customFormat="false" ht="15" hidden="false" customHeight="false" outlineLevel="0" collapsed="false">
      <c r="A185" s="5" t="n">
        <v>184</v>
      </c>
      <c r="B185" s="5" t="n">
        <v>69.8</v>
      </c>
      <c r="C185" s="5" t="n">
        <v>3.11</v>
      </c>
      <c r="D185" s="5" t="n">
        <v>236</v>
      </c>
      <c r="E185" s="5" t="n">
        <v>4</v>
      </c>
      <c r="F185" s="5" t="n">
        <v>78</v>
      </c>
      <c r="G185" s="5" t="n">
        <v>8</v>
      </c>
      <c r="H185" s="5" t="s">
        <v>36</v>
      </c>
      <c r="I185" s="5" t="n">
        <v>163</v>
      </c>
      <c r="J185" s="2" t="n">
        <f aca="false">IF(H185="Yes",1,0)</f>
        <v>0</v>
      </c>
      <c r="K185" s="2" t="n">
        <f aca="false">IF(I185&gt;Model!$C$9,1,0)</f>
        <v>0</v>
      </c>
    </row>
    <row r="186" customFormat="false" ht="15" hidden="false" customHeight="false" outlineLevel="0" collapsed="false">
      <c r="A186" s="5" t="n">
        <v>185</v>
      </c>
      <c r="B186" s="5" t="n">
        <v>48.1</v>
      </c>
      <c r="C186" s="5" t="n">
        <v>1.46</v>
      </c>
      <c r="D186" s="5" t="n">
        <v>146</v>
      </c>
      <c r="E186" s="5" t="n">
        <v>3</v>
      </c>
      <c r="F186" s="5" t="n">
        <v>49</v>
      </c>
      <c r="G186" s="5" t="n">
        <v>13</v>
      </c>
      <c r="H186" s="5" t="s">
        <v>36</v>
      </c>
      <c r="I186" s="5" t="n">
        <v>0</v>
      </c>
      <c r="J186" s="2" t="n">
        <f aca="false">IF(H186="Yes",1,0)</f>
        <v>0</v>
      </c>
      <c r="K186" s="2" t="n">
        <f aca="false">IF(I186&gt;Model!$C$9,1,0)</f>
        <v>0</v>
      </c>
    </row>
    <row r="187" customFormat="false" ht="15" hidden="false" customHeight="false" outlineLevel="0" collapsed="false">
      <c r="A187" s="5" t="n">
        <v>186</v>
      </c>
      <c r="B187" s="5" t="n">
        <v>88.4</v>
      </c>
      <c r="C187" s="5" t="n">
        <v>4.73</v>
      </c>
      <c r="D187" s="5" t="n">
        <v>381</v>
      </c>
      <c r="E187" s="5" t="n">
        <v>1</v>
      </c>
      <c r="F187" s="5" t="n">
        <v>57</v>
      </c>
      <c r="G187" s="5" t="n">
        <v>9</v>
      </c>
      <c r="H187" s="5" t="s">
        <v>36</v>
      </c>
      <c r="I187" s="5" t="n">
        <v>370</v>
      </c>
      <c r="J187" s="2" t="n">
        <f aca="false">IF(H187="Yes",1,0)</f>
        <v>0</v>
      </c>
      <c r="K187" s="2" t="n">
        <f aca="false">IF(I187&gt;Model!$C$9,1,0)</f>
        <v>0</v>
      </c>
    </row>
    <row r="188" customFormat="false" ht="15" hidden="false" customHeight="false" outlineLevel="0" collapsed="false">
      <c r="A188" s="5" t="n">
        <v>187</v>
      </c>
      <c r="B188" s="5" t="n">
        <v>42</v>
      </c>
      <c r="C188" s="5" t="n">
        <v>3.78</v>
      </c>
      <c r="D188" s="5" t="n">
        <v>279</v>
      </c>
      <c r="E188" s="5" t="n">
        <v>3</v>
      </c>
      <c r="F188" s="5" t="n">
        <v>34</v>
      </c>
      <c r="G188" s="5" t="n">
        <v>20</v>
      </c>
      <c r="H188" s="5" t="s">
        <v>36</v>
      </c>
      <c r="I188" s="5" t="n">
        <v>300</v>
      </c>
      <c r="J188" s="2" t="n">
        <f aca="false">IF(H188="Yes",1,0)</f>
        <v>0</v>
      </c>
      <c r="K188" s="2" t="n">
        <f aca="false">IF(I188&gt;Model!$C$9,1,0)</f>
        <v>0</v>
      </c>
    </row>
    <row r="189" customFormat="false" ht="15" hidden="false" customHeight="false" outlineLevel="0" collapsed="false">
      <c r="A189" s="5" t="n">
        <v>188</v>
      </c>
      <c r="B189" s="5" t="n">
        <v>19.4</v>
      </c>
      <c r="C189" s="5" t="n">
        <v>2.65</v>
      </c>
      <c r="D189" s="5" t="n">
        <v>208</v>
      </c>
      <c r="E189" s="5" t="n">
        <v>5</v>
      </c>
      <c r="F189" s="5" t="n">
        <v>62</v>
      </c>
      <c r="G189" s="5" t="n">
        <v>11</v>
      </c>
      <c r="H189" s="5" t="s">
        <v>36</v>
      </c>
      <c r="I189" s="5" t="n">
        <v>741</v>
      </c>
      <c r="J189" s="2" t="n">
        <f aca="false">IF(H189="Yes",1,0)</f>
        <v>0</v>
      </c>
      <c r="K189" s="2" t="n">
        <f aca="false">IF(I189&gt;Model!$C$9,1,0)</f>
        <v>1</v>
      </c>
    </row>
    <row r="190" customFormat="false" ht="15" hidden="false" customHeight="false" outlineLevel="0" collapsed="false">
      <c r="A190" s="5" t="n">
        <v>189</v>
      </c>
      <c r="B190" s="5" t="n">
        <v>17.9</v>
      </c>
      <c r="C190" s="5" t="n">
        <v>2.24</v>
      </c>
      <c r="D190" s="5" t="n">
        <v>193</v>
      </c>
      <c r="E190" s="5" t="n">
        <v>3</v>
      </c>
      <c r="F190" s="5" t="n">
        <v>35</v>
      </c>
      <c r="G190" s="5" t="n">
        <v>10</v>
      </c>
      <c r="H190" s="5" t="s">
        <v>36</v>
      </c>
      <c r="I190" s="5" t="n">
        <v>315</v>
      </c>
      <c r="J190" s="2" t="n">
        <f aca="false">IF(H190="Yes",1,0)</f>
        <v>0</v>
      </c>
      <c r="K190" s="2" t="n">
        <f aca="false">IF(I190&gt;Model!$C$9,1,0)</f>
        <v>0</v>
      </c>
    </row>
    <row r="191" customFormat="false" ht="15" hidden="false" customHeight="false" outlineLevel="0" collapsed="false">
      <c r="A191" s="5" t="n">
        <v>190</v>
      </c>
      <c r="B191" s="5" t="n">
        <v>94.2</v>
      </c>
      <c r="C191" s="5" t="n">
        <v>4.24</v>
      </c>
      <c r="D191" s="5" t="n">
        <v>343</v>
      </c>
      <c r="E191" s="5" t="n">
        <v>7</v>
      </c>
      <c r="F191" s="5" t="n">
        <v>40</v>
      </c>
      <c r="G191" s="5" t="n">
        <v>15</v>
      </c>
      <c r="H191" s="5" t="s">
        <v>36</v>
      </c>
      <c r="I191" s="5" t="n">
        <v>132</v>
      </c>
      <c r="J191" s="2" t="n">
        <f aca="false">IF(H191="Yes",1,0)</f>
        <v>0</v>
      </c>
      <c r="K191" s="2" t="n">
        <f aca="false">IF(I191&gt;Model!$C$9,1,0)</f>
        <v>0</v>
      </c>
    </row>
    <row r="192" customFormat="false" ht="15" hidden="false" customHeight="false" outlineLevel="0" collapsed="false">
      <c r="A192" s="5" t="n">
        <v>191</v>
      </c>
      <c r="B192" s="5" t="n">
        <v>98.1</v>
      </c>
      <c r="C192" s="5" t="n">
        <v>3.29</v>
      </c>
      <c r="D192" s="5" t="n">
        <v>246</v>
      </c>
      <c r="E192" s="5" t="n">
        <v>6</v>
      </c>
      <c r="F192" s="5" t="n">
        <v>68</v>
      </c>
      <c r="G192" s="5" t="n">
        <v>13</v>
      </c>
      <c r="H192" s="5" t="s">
        <v>37</v>
      </c>
      <c r="I192" s="5" t="n">
        <v>633</v>
      </c>
      <c r="J192" s="2" t="n">
        <f aca="false">IF(H192="Yes",1,0)</f>
        <v>1</v>
      </c>
      <c r="K192" s="2" t="n">
        <f aca="false">IF(I192&gt;Model!$C$9,1,0)</f>
        <v>1</v>
      </c>
    </row>
    <row r="193" customFormat="false" ht="15" hidden="false" customHeight="false" outlineLevel="0" collapsed="false">
      <c r="A193" s="5" t="n">
        <v>192</v>
      </c>
      <c r="B193" s="5" t="n">
        <v>34.4</v>
      </c>
      <c r="C193" s="5" t="n">
        <v>2.86</v>
      </c>
      <c r="D193" s="5" t="n">
        <v>235</v>
      </c>
      <c r="E193" s="5" t="n">
        <v>4</v>
      </c>
      <c r="F193" s="5" t="n">
        <v>27</v>
      </c>
      <c r="G193" s="5" t="n">
        <v>9</v>
      </c>
      <c r="H193" s="5" t="s">
        <v>36</v>
      </c>
      <c r="I193" s="5" t="n">
        <v>0</v>
      </c>
      <c r="J193" s="2" t="n">
        <f aca="false">IF(H193="Yes",1,0)</f>
        <v>0</v>
      </c>
      <c r="K193" s="2" t="n">
        <f aca="false">IF(I193&gt;Model!$C$9,1,0)</f>
        <v>0</v>
      </c>
    </row>
    <row r="194" customFormat="false" ht="15" hidden="false" customHeight="false" outlineLevel="0" collapsed="false">
      <c r="A194" s="5" t="n">
        <v>193</v>
      </c>
      <c r="B194" s="5" t="n">
        <v>30.8</v>
      </c>
      <c r="C194" s="5" t="n">
        <v>1.98</v>
      </c>
      <c r="D194" s="5" t="n">
        <v>195</v>
      </c>
      <c r="E194" s="5" t="n">
        <v>7</v>
      </c>
      <c r="F194" s="5" t="n">
        <v>51</v>
      </c>
      <c r="G194" s="5" t="n">
        <v>18</v>
      </c>
      <c r="H194" s="5" t="s">
        <v>36</v>
      </c>
      <c r="I194" s="5" t="n">
        <v>0</v>
      </c>
      <c r="J194" s="2" t="n">
        <f aca="false">IF(H194="Yes",1,0)</f>
        <v>0</v>
      </c>
      <c r="K194" s="2" t="n">
        <f aca="false">IF(I194&gt;Model!$C$9,1,0)</f>
        <v>0</v>
      </c>
    </row>
    <row r="195" customFormat="false" ht="15" hidden="false" customHeight="false" outlineLevel="0" collapsed="false">
      <c r="A195" s="5" t="n">
        <v>194</v>
      </c>
      <c r="B195" s="5" t="n">
        <v>84.9</v>
      </c>
      <c r="C195" s="5" t="n">
        <v>6.17</v>
      </c>
      <c r="D195" s="5" t="n">
        <v>434</v>
      </c>
      <c r="E195" s="5" t="n">
        <v>4</v>
      </c>
      <c r="F195" s="5" t="n">
        <v>60</v>
      </c>
      <c r="G195" s="5" t="n">
        <v>18</v>
      </c>
      <c r="H195" s="5" t="s">
        <v>36</v>
      </c>
      <c r="I195" s="5" t="n">
        <v>986</v>
      </c>
      <c r="J195" s="2" t="n">
        <f aca="false">IF(H195="Yes",1,0)</f>
        <v>0</v>
      </c>
      <c r="K195" s="2" t="n">
        <f aca="false">IF(I195&gt;Model!$C$9,1,0)</f>
        <v>1</v>
      </c>
    </row>
    <row r="196" customFormat="false" ht="15" hidden="false" customHeight="false" outlineLevel="0" collapsed="false">
      <c r="A196" s="5" t="n">
        <v>195</v>
      </c>
      <c r="B196" s="5" t="n">
        <v>20.7</v>
      </c>
      <c r="C196" s="5" t="n">
        <v>2.95</v>
      </c>
      <c r="D196" s="5" t="n">
        <v>222</v>
      </c>
      <c r="E196" s="5" t="n">
        <v>1</v>
      </c>
      <c r="F196" s="5" t="n">
        <v>32</v>
      </c>
      <c r="G196" s="5" t="n">
        <v>17</v>
      </c>
      <c r="H196" s="5" t="s">
        <v>36</v>
      </c>
      <c r="I196" s="5" t="n">
        <v>407</v>
      </c>
      <c r="J196" s="2" t="n">
        <f aca="false">IF(H196="Yes",1,0)</f>
        <v>0</v>
      </c>
      <c r="K196" s="2" t="n">
        <f aca="false">IF(I196&gt;Model!$C$9,1,0)</f>
        <v>0</v>
      </c>
    </row>
    <row r="197" customFormat="false" ht="15" hidden="false" customHeight="false" outlineLevel="0" collapsed="false">
      <c r="A197" s="5" t="n">
        <v>196</v>
      </c>
      <c r="B197" s="5" t="n">
        <v>23.2</v>
      </c>
      <c r="C197" s="5" t="n">
        <v>2.36</v>
      </c>
      <c r="D197" s="5" t="n">
        <v>193</v>
      </c>
      <c r="E197" s="5" t="n">
        <v>1</v>
      </c>
      <c r="F197" s="5" t="n">
        <v>42</v>
      </c>
      <c r="G197" s="5" t="n">
        <v>16</v>
      </c>
      <c r="H197" s="5" t="s">
        <v>36</v>
      </c>
      <c r="I197" s="5" t="n">
        <v>278</v>
      </c>
      <c r="J197" s="2" t="n">
        <f aca="false">IF(H197="Yes",1,0)</f>
        <v>0</v>
      </c>
      <c r="K197" s="2" t="n">
        <f aca="false">IF(I197&gt;Model!$C$9,1,0)</f>
        <v>0</v>
      </c>
    </row>
    <row r="198" customFormat="false" ht="15" hidden="false" customHeight="false" outlineLevel="0" collapsed="false">
      <c r="A198" s="5" t="n">
        <v>197</v>
      </c>
      <c r="B198" s="5" t="n">
        <v>54.1</v>
      </c>
      <c r="C198" s="5" t="n">
        <v>4.86</v>
      </c>
      <c r="D198" s="5" t="n">
        <v>359</v>
      </c>
      <c r="E198" s="5" t="n">
        <v>7</v>
      </c>
      <c r="F198" s="5" t="n">
        <v>45</v>
      </c>
      <c r="G198" s="5" t="n">
        <v>13</v>
      </c>
      <c r="H198" s="5" t="s">
        <v>37</v>
      </c>
      <c r="I198" s="5" t="n">
        <v>732</v>
      </c>
      <c r="J198" s="2" t="n">
        <f aca="false">IF(H198="Yes",1,0)</f>
        <v>1</v>
      </c>
      <c r="K198" s="2" t="n">
        <f aca="false">IF(I198&gt;Model!$C$9,1,0)</f>
        <v>1</v>
      </c>
    </row>
    <row r="199" customFormat="false" ht="15" hidden="false" customHeight="false" outlineLevel="0" collapsed="false">
      <c r="A199" s="5" t="n">
        <v>198</v>
      </c>
      <c r="B199" s="5" t="n">
        <v>30.6</v>
      </c>
      <c r="C199" s="5" t="n">
        <v>2.88</v>
      </c>
      <c r="D199" s="5" t="n">
        <v>243</v>
      </c>
      <c r="E199" s="5" t="n">
        <v>7</v>
      </c>
      <c r="F199" s="5" t="n">
        <v>65</v>
      </c>
      <c r="G199" s="5" t="n">
        <v>15</v>
      </c>
      <c r="H199" s="5" t="s">
        <v>36</v>
      </c>
      <c r="I199" s="5" t="n">
        <v>292</v>
      </c>
      <c r="J199" s="2" t="n">
        <f aca="false">IF(H199="Yes",1,0)</f>
        <v>0</v>
      </c>
      <c r="K199" s="2" t="n">
        <f aca="false">IF(I199&gt;Model!$C$9,1,0)</f>
        <v>0</v>
      </c>
    </row>
    <row r="200" customFormat="false" ht="15" hidden="false" customHeight="false" outlineLevel="0" collapsed="false">
      <c r="A200" s="5" t="n">
        <v>199</v>
      </c>
      <c r="B200" s="5" t="n">
        <v>37.9</v>
      </c>
      <c r="C200" s="5" t="n">
        <v>3.67</v>
      </c>
      <c r="D200" s="5" t="n">
        <v>289</v>
      </c>
      <c r="E200" s="5" t="n">
        <v>6</v>
      </c>
      <c r="F200" s="5" t="n">
        <v>84</v>
      </c>
      <c r="G200" s="5" t="n">
        <v>14</v>
      </c>
      <c r="H200" s="5" t="s">
        <v>36</v>
      </c>
      <c r="I200" s="5" t="n">
        <v>978</v>
      </c>
      <c r="J200" s="2" t="n">
        <f aca="false">IF(H200="Yes",1,0)</f>
        <v>0</v>
      </c>
      <c r="K200" s="2" t="n">
        <f aca="false">IF(I200&gt;Model!$C$9,1,0)</f>
        <v>1</v>
      </c>
    </row>
    <row r="201" customFormat="false" ht="15" hidden="false" customHeight="false" outlineLevel="0" collapsed="false">
      <c r="A201" s="5" t="n">
        <v>200</v>
      </c>
      <c r="B201" s="5" t="n">
        <v>34.7</v>
      </c>
      <c r="C201" s="5" t="n">
        <v>1.89</v>
      </c>
      <c r="D201" s="5" t="n">
        <v>145</v>
      </c>
      <c r="E201" s="5" t="n">
        <v>1</v>
      </c>
      <c r="F201" s="5" t="n">
        <v>75</v>
      </c>
      <c r="G201" s="5" t="n">
        <v>10</v>
      </c>
      <c r="H201" s="5" t="s">
        <v>36</v>
      </c>
      <c r="I201" s="5" t="n">
        <v>214</v>
      </c>
      <c r="J201" s="2" t="n">
        <f aca="false">IF(H201="Yes",1,0)</f>
        <v>0</v>
      </c>
      <c r="K201" s="2" t="n">
        <f aca="false">IF(I201&gt;Model!$C$9,1,0)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8" min="6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4" t="s">
        <v>39</v>
      </c>
      <c r="B3" s="4" t="s">
        <v>40</v>
      </c>
      <c r="C3" s="4" t="s">
        <v>41</v>
      </c>
    </row>
    <row r="4" customFormat="false" ht="15" hidden="false" customHeight="false" outlineLevel="0" collapsed="false">
      <c r="A4" s="3" t="s">
        <v>42</v>
      </c>
      <c r="B4" s="2" t="s">
        <v>43</v>
      </c>
      <c r="C4" s="6" t="n">
        <v>0</v>
      </c>
      <c r="D4" s="7" t="s">
        <v>44</v>
      </c>
    </row>
    <row r="5" customFormat="false" ht="15" hidden="false" customHeight="false" outlineLevel="0" collapsed="false">
      <c r="A5" s="3" t="s">
        <v>45</v>
      </c>
      <c r="B5" s="2" t="s">
        <v>26</v>
      </c>
      <c r="C5" s="6" t="n">
        <v>0</v>
      </c>
    </row>
    <row r="6" customFormat="false" ht="15" hidden="false" customHeight="false" outlineLevel="0" collapsed="false">
      <c r="A6" s="3" t="s">
        <v>46</v>
      </c>
      <c r="B6" s="2" t="s">
        <v>27</v>
      </c>
      <c r="C6" s="6" t="n">
        <v>0</v>
      </c>
    </row>
    <row r="7" customFormat="false" ht="15" hidden="false" customHeight="false" outlineLevel="0" collapsed="false">
      <c r="A7" s="3" t="s">
        <v>47</v>
      </c>
      <c r="B7" s="2" t="s">
        <v>34</v>
      </c>
      <c r="C7" s="6" t="n">
        <v>0</v>
      </c>
    </row>
    <row r="9" customFormat="false" ht="15" hidden="false" customHeight="false" outlineLevel="0" collapsed="false">
      <c r="A9" s="2" t="s">
        <v>48</v>
      </c>
      <c r="C9" s="8" t="n">
        <v>500</v>
      </c>
    </row>
    <row r="10" customFormat="false" ht="15" hidden="false" customHeight="false" outlineLevel="0" collapsed="false">
      <c r="A10" s="2" t="s">
        <v>49</v>
      </c>
      <c r="C10" s="8" t="n">
        <v>0.5</v>
      </c>
    </row>
    <row r="12" customFormat="false" ht="15" hidden="false" customHeight="false" outlineLevel="0" collapsed="false">
      <c r="A12" s="3" t="s">
        <v>50</v>
      </c>
      <c r="C12" s="9" t="n">
        <f aca="false">SUM(H17:H216)</f>
        <v>-138.629436111989</v>
      </c>
    </row>
    <row r="13" customFormat="false" ht="15" hidden="false" customHeight="false" outlineLevel="0" collapsed="false">
      <c r="A13" s="2" t="s">
        <v>51</v>
      </c>
      <c r="C13" s="2" t="n">
        <f aca="false">COUNT(E17:E216)</f>
        <v>200</v>
      </c>
    </row>
    <row r="14" customFormat="false" ht="15" hidden="false" customHeight="false" outlineLevel="0" collapsed="false">
      <c r="A14" s="2" t="s">
        <v>52</v>
      </c>
      <c r="C14" s="10" t="n">
        <f aca="false">-2*C12</f>
        <v>277.258872223978</v>
      </c>
    </row>
    <row r="16" customFormat="false" ht="31.5" hidden="false" customHeight="true" outlineLevel="0" collapsed="false">
      <c r="A16" s="4" t="s">
        <v>25</v>
      </c>
      <c r="B16" s="4" t="s">
        <v>26</v>
      </c>
      <c r="C16" s="4" t="s">
        <v>27</v>
      </c>
      <c r="D16" s="4" t="s">
        <v>34</v>
      </c>
      <c r="E16" s="4" t="s">
        <v>53</v>
      </c>
      <c r="F16" s="4" t="s">
        <v>54</v>
      </c>
      <c r="G16" s="4" t="s">
        <v>55</v>
      </c>
      <c r="H16" s="4" t="s">
        <v>56</v>
      </c>
      <c r="I16" s="4" t="s">
        <v>57</v>
      </c>
    </row>
    <row r="17" customFormat="false" ht="15" hidden="false" customHeight="false" outlineLevel="0" collapsed="false">
      <c r="A17" s="11" t="n">
        <f aca="false">Data!A2</f>
        <v>1</v>
      </c>
      <c r="B17" s="11" t="n">
        <f aca="false">Data!B2</f>
        <v>44.9</v>
      </c>
      <c r="C17" s="11" t="n">
        <f aca="false">Data!C2</f>
        <v>3.81</v>
      </c>
      <c r="D17" s="11" t="n">
        <f aca="false">Data!J2</f>
        <v>0</v>
      </c>
      <c r="E17" s="11" t="n">
        <f aca="false">Data!K2</f>
        <v>0</v>
      </c>
      <c r="F17" s="10" t="n">
        <f aca="false">$C$4+$C$5*B17+$C$6*C17+$C$7*D17</f>
        <v>0</v>
      </c>
      <c r="G17" s="10" t="n">
        <f aca="false">1/(1+EXP(-F17))</f>
        <v>0.5</v>
      </c>
      <c r="H17" s="10" t="n">
        <f aca="false">E17*LN(MAX(G17,1E-015))+(1-E17)*LN(MAX(1-G17,1E-015))</f>
        <v>-0.693147180559945</v>
      </c>
      <c r="I17" s="2" t="n">
        <f aca="false">IF(G17&gt;=$C$10,1,0)</f>
        <v>1</v>
      </c>
    </row>
    <row r="18" customFormat="false" ht="15" hidden="false" customHeight="false" outlineLevel="0" collapsed="false">
      <c r="A18" s="11" t="n">
        <f aca="false">Data!A3</f>
        <v>2</v>
      </c>
      <c r="B18" s="11" t="n">
        <f aca="false">Data!B3</f>
        <v>21.4</v>
      </c>
      <c r="C18" s="11" t="n">
        <f aca="false">Data!C3</f>
        <v>3.91</v>
      </c>
      <c r="D18" s="11" t="n">
        <f aca="false">Data!J3</f>
        <v>0</v>
      </c>
      <c r="E18" s="11" t="n">
        <f aca="false">Data!K3</f>
        <v>1</v>
      </c>
      <c r="F18" s="10" t="n">
        <f aca="false">$C$4+$C$5*B18+$C$6*C18+$C$7*D18</f>
        <v>0</v>
      </c>
      <c r="G18" s="10" t="n">
        <f aca="false">1/(1+EXP(-F18))</f>
        <v>0.5</v>
      </c>
      <c r="H18" s="10" t="n">
        <f aca="false">E18*LN(MAX(G18,1E-015))+(1-E18)*LN(MAX(1-G18,1E-015))</f>
        <v>-0.693147180559945</v>
      </c>
      <c r="I18" s="2" t="n">
        <f aca="false">IF(G18&gt;=$C$10,1,0)</f>
        <v>1</v>
      </c>
    </row>
    <row r="19" customFormat="false" ht="15" hidden="false" customHeight="false" outlineLevel="0" collapsed="false">
      <c r="A19" s="11" t="n">
        <f aca="false">Data!A4</f>
        <v>3</v>
      </c>
      <c r="B19" s="11" t="n">
        <f aca="false">Data!B4</f>
        <v>57.4</v>
      </c>
      <c r="C19" s="11" t="n">
        <f aca="false">Data!C4</f>
        <v>4.17</v>
      </c>
      <c r="D19" s="11" t="n">
        <f aca="false">Data!J4</f>
        <v>0</v>
      </c>
      <c r="E19" s="11" t="n">
        <f aca="false">Data!K4</f>
        <v>1</v>
      </c>
      <c r="F19" s="10" t="n">
        <f aca="false">$C$4+$C$5*B19+$C$6*C19+$C$7*D19</f>
        <v>0</v>
      </c>
      <c r="G19" s="10" t="n">
        <f aca="false">1/(1+EXP(-F19))</f>
        <v>0.5</v>
      </c>
      <c r="H19" s="10" t="n">
        <f aca="false">E19*LN(MAX(G19,1E-015))+(1-E19)*LN(MAX(1-G19,1E-015))</f>
        <v>-0.693147180559945</v>
      </c>
      <c r="I19" s="2" t="n">
        <f aca="false">IF(G19&gt;=$C$10,1,0)</f>
        <v>1</v>
      </c>
    </row>
    <row r="20" customFormat="false" ht="15" hidden="false" customHeight="false" outlineLevel="0" collapsed="false">
      <c r="A20" s="11" t="n">
        <f aca="false">Data!A5</f>
        <v>4</v>
      </c>
      <c r="B20" s="11" t="n">
        <f aca="false">Data!B5</f>
        <v>63.7</v>
      </c>
      <c r="C20" s="11" t="n">
        <f aca="false">Data!C5</f>
        <v>5.24</v>
      </c>
      <c r="D20" s="11" t="n">
        <f aca="false">Data!J5</f>
        <v>0</v>
      </c>
      <c r="E20" s="11" t="n">
        <f aca="false">Data!K5</f>
        <v>1</v>
      </c>
      <c r="F20" s="10" t="n">
        <f aca="false">$C$4+$C$5*B20+$C$6*C20+$C$7*D20</f>
        <v>0</v>
      </c>
      <c r="G20" s="10" t="n">
        <f aca="false">1/(1+EXP(-F20))</f>
        <v>0.5</v>
      </c>
      <c r="H20" s="10" t="n">
        <f aca="false">E20*LN(MAX(G20,1E-015))+(1-E20)*LN(MAX(1-G20,1E-015))</f>
        <v>-0.693147180559945</v>
      </c>
      <c r="I20" s="2" t="n">
        <f aca="false">IF(G20&gt;=$C$10,1,0)</f>
        <v>1</v>
      </c>
    </row>
    <row r="21" customFormat="false" ht="15" hidden="false" customHeight="false" outlineLevel="0" collapsed="false">
      <c r="A21" s="11" t="n">
        <f aca="false">Data!A6</f>
        <v>5</v>
      </c>
      <c r="B21" s="11" t="n">
        <f aca="false">Data!B6</f>
        <v>13</v>
      </c>
      <c r="C21" s="11" t="n">
        <f aca="false">Data!C6</f>
        <v>0.9</v>
      </c>
      <c r="D21" s="11" t="n">
        <f aca="false">Data!J6</f>
        <v>0</v>
      </c>
      <c r="E21" s="11" t="n">
        <f aca="false">Data!K6</f>
        <v>0</v>
      </c>
      <c r="F21" s="10" t="n">
        <f aca="false">$C$4+$C$5*B21+$C$6*C21+$C$7*D21</f>
        <v>0</v>
      </c>
      <c r="G21" s="10" t="n">
        <f aca="false">1/(1+EXP(-F21))</f>
        <v>0.5</v>
      </c>
      <c r="H21" s="10" t="n">
        <f aca="false">E21*LN(MAX(G21,1E-015))+(1-E21)*LN(MAX(1-G21,1E-015))</f>
        <v>-0.693147180559945</v>
      </c>
      <c r="I21" s="2" t="n">
        <f aca="false">IF(G21&gt;=$C$10,1,0)</f>
        <v>1</v>
      </c>
    </row>
    <row r="22" customFormat="false" ht="15" hidden="false" customHeight="false" outlineLevel="0" collapsed="false">
      <c r="A22" s="11" t="n">
        <f aca="false">Data!A7</f>
        <v>6</v>
      </c>
      <c r="B22" s="11" t="n">
        <f aca="false">Data!B7</f>
        <v>18.6</v>
      </c>
      <c r="C22" s="11" t="n">
        <f aca="false">Data!C7</f>
        <v>1.86</v>
      </c>
      <c r="D22" s="11" t="n">
        <f aca="false">Data!J7</f>
        <v>0</v>
      </c>
      <c r="E22" s="11" t="n">
        <f aca="false">Data!K7</f>
        <v>0</v>
      </c>
      <c r="F22" s="10" t="n">
        <f aca="false">$C$4+$C$5*B22+$C$6*C22+$C$7*D22</f>
        <v>0</v>
      </c>
      <c r="G22" s="10" t="n">
        <f aca="false">1/(1+EXP(-F22))</f>
        <v>0.5</v>
      </c>
      <c r="H22" s="10" t="n">
        <f aca="false">E22*LN(MAX(G22,1E-015))+(1-E22)*LN(MAX(1-G22,1E-015))</f>
        <v>-0.693147180559945</v>
      </c>
      <c r="I22" s="2" t="n">
        <f aca="false">IF(G22&gt;=$C$10,1,0)</f>
        <v>1</v>
      </c>
    </row>
    <row r="23" customFormat="false" ht="15" hidden="false" customHeight="false" outlineLevel="0" collapsed="false">
      <c r="A23" s="11" t="n">
        <f aca="false">Data!A8</f>
        <v>7</v>
      </c>
      <c r="B23" s="11" t="n">
        <f aca="false">Data!B8</f>
        <v>40.8</v>
      </c>
      <c r="C23" s="11" t="n">
        <f aca="false">Data!C8</f>
        <v>2.05</v>
      </c>
      <c r="D23" s="11" t="n">
        <f aca="false">Data!J8</f>
        <v>0</v>
      </c>
      <c r="E23" s="11" t="n">
        <f aca="false">Data!K8</f>
        <v>0</v>
      </c>
      <c r="F23" s="10" t="n">
        <f aca="false">$C$4+$C$5*B23+$C$6*C23+$C$7*D23</f>
        <v>0</v>
      </c>
      <c r="G23" s="10" t="n">
        <f aca="false">1/(1+EXP(-F23))</f>
        <v>0.5</v>
      </c>
      <c r="H23" s="10" t="n">
        <f aca="false">E23*LN(MAX(G23,1E-015))+(1-E23)*LN(MAX(1-G23,1E-015))</f>
        <v>-0.693147180559945</v>
      </c>
      <c r="I23" s="2" t="n">
        <f aca="false">IF(G23&gt;=$C$10,1,0)</f>
        <v>1</v>
      </c>
    </row>
    <row r="24" customFormat="false" ht="15" hidden="false" customHeight="false" outlineLevel="0" collapsed="false">
      <c r="A24" s="11" t="n">
        <f aca="false">Data!A9</f>
        <v>8</v>
      </c>
      <c r="B24" s="11" t="n">
        <f aca="false">Data!B9</f>
        <v>31.9</v>
      </c>
      <c r="C24" s="11" t="n">
        <f aca="false">Data!C9</f>
        <v>1.07</v>
      </c>
      <c r="D24" s="11" t="n">
        <f aca="false">Data!J9</f>
        <v>0</v>
      </c>
      <c r="E24" s="11" t="n">
        <f aca="false">Data!K9</f>
        <v>0</v>
      </c>
      <c r="F24" s="10" t="n">
        <f aca="false">$C$4+$C$5*B24+$C$6*C24+$C$7*D24</f>
        <v>0</v>
      </c>
      <c r="G24" s="10" t="n">
        <f aca="false">1/(1+EXP(-F24))</f>
        <v>0.5</v>
      </c>
      <c r="H24" s="10" t="n">
        <f aca="false">E24*LN(MAX(G24,1E-015))+(1-E24)*LN(MAX(1-G24,1E-015))</f>
        <v>-0.693147180559945</v>
      </c>
      <c r="I24" s="2" t="n">
        <f aca="false">IF(G24&gt;=$C$10,1,0)</f>
        <v>1</v>
      </c>
    </row>
    <row r="25" customFormat="false" ht="15" hidden="false" customHeight="false" outlineLevel="0" collapsed="false">
      <c r="A25" s="11" t="n">
        <f aca="false">Data!A10</f>
        <v>9</v>
      </c>
      <c r="B25" s="11" t="n">
        <f aca="false">Data!B10</f>
        <v>37.7</v>
      </c>
      <c r="C25" s="11" t="n">
        <f aca="false">Data!C10</f>
        <v>1.83</v>
      </c>
      <c r="D25" s="11" t="n">
        <f aca="false">Data!J10</f>
        <v>0</v>
      </c>
      <c r="E25" s="11" t="n">
        <f aca="false">Data!K10</f>
        <v>0</v>
      </c>
      <c r="F25" s="10" t="n">
        <f aca="false">$C$4+$C$5*B25+$C$6*C25+$C$7*D25</f>
        <v>0</v>
      </c>
      <c r="G25" s="10" t="n">
        <f aca="false">1/(1+EXP(-F25))</f>
        <v>0.5</v>
      </c>
      <c r="H25" s="10" t="n">
        <f aca="false">E25*LN(MAX(G25,1E-015))+(1-E25)*LN(MAX(1-G25,1E-015))</f>
        <v>-0.693147180559945</v>
      </c>
      <c r="I25" s="2" t="n">
        <f aca="false">IF(G25&gt;=$C$10,1,0)</f>
        <v>1</v>
      </c>
    </row>
    <row r="26" customFormat="false" ht="15" hidden="false" customHeight="false" outlineLevel="0" collapsed="false">
      <c r="A26" s="11" t="n">
        <f aca="false">Data!A11</f>
        <v>10</v>
      </c>
      <c r="B26" s="11" t="n">
        <f aca="false">Data!B11</f>
        <v>23.8</v>
      </c>
      <c r="C26" s="11" t="n">
        <f aca="false">Data!C11</f>
        <v>1.77</v>
      </c>
      <c r="D26" s="11" t="n">
        <f aca="false">Data!J11</f>
        <v>0</v>
      </c>
      <c r="E26" s="11" t="n">
        <f aca="false">Data!K11</f>
        <v>0</v>
      </c>
      <c r="F26" s="10" t="n">
        <f aca="false">$C$4+$C$5*B26+$C$6*C26+$C$7*D26</f>
        <v>0</v>
      </c>
      <c r="G26" s="10" t="n">
        <f aca="false">1/(1+EXP(-F26))</f>
        <v>0.5</v>
      </c>
      <c r="H26" s="10" t="n">
        <f aca="false">E26*LN(MAX(G26,1E-015))+(1-E26)*LN(MAX(1-G26,1E-015))</f>
        <v>-0.693147180559945</v>
      </c>
      <c r="I26" s="2" t="n">
        <f aca="false">IF(G26&gt;=$C$10,1,0)</f>
        <v>1</v>
      </c>
    </row>
    <row r="27" customFormat="false" ht="15" hidden="false" customHeight="false" outlineLevel="0" collapsed="false">
      <c r="A27" s="11" t="n">
        <f aca="false">Data!A12</f>
        <v>11</v>
      </c>
      <c r="B27" s="11" t="n">
        <f aca="false">Data!B12</f>
        <v>61.6</v>
      </c>
      <c r="C27" s="11" t="n">
        <f aca="false">Data!C12</f>
        <v>5.48</v>
      </c>
      <c r="D27" s="11" t="n">
        <f aca="false">Data!J12</f>
        <v>0</v>
      </c>
      <c r="E27" s="11" t="n">
        <f aca="false">Data!K12</f>
        <v>1</v>
      </c>
      <c r="F27" s="10" t="n">
        <f aca="false">$C$4+$C$5*B27+$C$6*C27+$C$7*D27</f>
        <v>0</v>
      </c>
      <c r="G27" s="10" t="n">
        <f aca="false">1/(1+EXP(-F27))</f>
        <v>0.5</v>
      </c>
      <c r="H27" s="10" t="n">
        <f aca="false">E27*LN(MAX(G27,1E-015))+(1-E27)*LN(MAX(1-G27,1E-015))</f>
        <v>-0.693147180559945</v>
      </c>
      <c r="I27" s="2" t="n">
        <f aca="false">IF(G27&gt;=$C$10,1,0)</f>
        <v>1</v>
      </c>
    </row>
    <row r="28" customFormat="false" ht="15" hidden="false" customHeight="false" outlineLevel="0" collapsed="false">
      <c r="A28" s="11" t="n">
        <f aca="false">Data!A13</f>
        <v>12</v>
      </c>
      <c r="B28" s="11" t="n">
        <f aca="false">Data!B13</f>
        <v>58.3</v>
      </c>
      <c r="C28" s="11" t="n">
        <f aca="false">Data!C13</f>
        <v>2.38</v>
      </c>
      <c r="D28" s="11" t="n">
        <f aca="false">Data!J13</f>
        <v>0</v>
      </c>
      <c r="E28" s="11" t="n">
        <f aca="false">Data!K13</f>
        <v>0</v>
      </c>
      <c r="F28" s="10" t="n">
        <f aca="false">$C$4+$C$5*B28+$C$6*C28+$C$7*D28</f>
        <v>0</v>
      </c>
      <c r="G28" s="10" t="n">
        <f aca="false">1/(1+EXP(-F28))</f>
        <v>0.5</v>
      </c>
      <c r="H28" s="10" t="n">
        <f aca="false">E28*LN(MAX(G28,1E-015))+(1-E28)*LN(MAX(1-G28,1E-015))</f>
        <v>-0.693147180559945</v>
      </c>
      <c r="I28" s="2" t="n">
        <f aca="false">IF(G28&gt;=$C$10,1,0)</f>
        <v>1</v>
      </c>
    </row>
    <row r="29" customFormat="false" ht="15" hidden="false" customHeight="false" outlineLevel="0" collapsed="false">
      <c r="A29" s="11" t="n">
        <f aca="false">Data!A14</f>
        <v>13</v>
      </c>
      <c r="B29" s="11" t="n">
        <f aca="false">Data!B14</f>
        <v>39.4</v>
      </c>
      <c r="C29" s="11" t="n">
        <f aca="false">Data!C14</f>
        <v>3.11</v>
      </c>
      <c r="D29" s="11" t="n">
        <f aca="false">Data!J14</f>
        <v>0</v>
      </c>
      <c r="E29" s="11" t="n">
        <f aca="false">Data!K14</f>
        <v>0</v>
      </c>
      <c r="F29" s="10" t="n">
        <f aca="false">$C$4+$C$5*B29+$C$6*C29+$C$7*D29</f>
        <v>0</v>
      </c>
      <c r="G29" s="10" t="n">
        <f aca="false">1/(1+EXP(-F29))</f>
        <v>0.5</v>
      </c>
      <c r="H29" s="10" t="n">
        <f aca="false">E29*LN(MAX(G29,1E-015))+(1-E29)*LN(MAX(1-G29,1E-015))</f>
        <v>-0.693147180559945</v>
      </c>
      <c r="I29" s="2" t="n">
        <f aca="false">IF(G29&gt;=$C$10,1,0)</f>
        <v>1</v>
      </c>
    </row>
    <row r="30" customFormat="false" ht="15" hidden="false" customHeight="false" outlineLevel="0" collapsed="false">
      <c r="A30" s="11" t="n">
        <f aca="false">Data!A15</f>
        <v>14</v>
      </c>
      <c r="B30" s="11" t="n">
        <f aca="false">Data!B15</f>
        <v>70.6</v>
      </c>
      <c r="C30" s="11" t="n">
        <f aca="false">Data!C15</f>
        <v>4.15</v>
      </c>
      <c r="D30" s="11" t="n">
        <f aca="false">Data!J15</f>
        <v>0</v>
      </c>
      <c r="E30" s="11" t="n">
        <f aca="false">Data!K15</f>
        <v>0</v>
      </c>
      <c r="F30" s="10" t="n">
        <f aca="false">$C$4+$C$5*B30+$C$6*C30+$C$7*D30</f>
        <v>0</v>
      </c>
      <c r="G30" s="10" t="n">
        <f aca="false">1/(1+EXP(-F30))</f>
        <v>0.5</v>
      </c>
      <c r="H30" s="10" t="n">
        <f aca="false">E30*LN(MAX(G30,1E-015))+(1-E30)*LN(MAX(1-G30,1E-015))</f>
        <v>-0.693147180559945</v>
      </c>
      <c r="I30" s="2" t="n">
        <f aca="false">IF(G30&gt;=$C$10,1,0)</f>
        <v>1</v>
      </c>
    </row>
    <row r="31" customFormat="false" ht="15" hidden="false" customHeight="false" outlineLevel="0" collapsed="false">
      <c r="A31" s="11" t="n">
        <f aca="false">Data!A16</f>
        <v>15</v>
      </c>
      <c r="B31" s="11" t="n">
        <f aca="false">Data!B16</f>
        <v>49.1</v>
      </c>
      <c r="C31" s="11" t="n">
        <f aca="false">Data!C16</f>
        <v>3.17</v>
      </c>
      <c r="D31" s="11" t="n">
        <f aca="false">Data!J16</f>
        <v>1</v>
      </c>
      <c r="E31" s="11" t="n">
        <f aca="false">Data!K16</f>
        <v>0</v>
      </c>
      <c r="F31" s="10" t="n">
        <f aca="false">$C$4+$C$5*B31+$C$6*C31+$C$7*D31</f>
        <v>0</v>
      </c>
      <c r="G31" s="10" t="n">
        <f aca="false">1/(1+EXP(-F31))</f>
        <v>0.5</v>
      </c>
      <c r="H31" s="10" t="n">
        <f aca="false">E31*LN(MAX(G31,1E-015))+(1-E31)*LN(MAX(1-G31,1E-015))</f>
        <v>-0.693147180559945</v>
      </c>
      <c r="I31" s="2" t="n">
        <f aca="false">IF(G31&gt;=$C$10,1,0)</f>
        <v>1</v>
      </c>
    </row>
    <row r="32" customFormat="false" ht="15" hidden="false" customHeight="false" outlineLevel="0" collapsed="false">
      <c r="A32" s="11" t="n">
        <f aca="false">Data!A17</f>
        <v>16</v>
      </c>
      <c r="B32" s="11" t="n">
        <f aca="false">Data!B17</f>
        <v>23.7</v>
      </c>
      <c r="C32" s="11" t="n">
        <f aca="false">Data!C17</f>
        <v>3.51</v>
      </c>
      <c r="D32" s="11" t="n">
        <f aca="false">Data!J17</f>
        <v>0</v>
      </c>
      <c r="E32" s="11" t="n">
        <f aca="false">Data!K17</f>
        <v>1</v>
      </c>
      <c r="F32" s="10" t="n">
        <f aca="false">$C$4+$C$5*B32+$C$6*C32+$C$7*D32</f>
        <v>0</v>
      </c>
      <c r="G32" s="10" t="n">
        <f aca="false">1/(1+EXP(-F32))</f>
        <v>0.5</v>
      </c>
      <c r="H32" s="10" t="n">
        <f aca="false">E32*LN(MAX(G32,1E-015))+(1-E32)*LN(MAX(1-G32,1E-015))</f>
        <v>-0.693147180559945</v>
      </c>
      <c r="I32" s="2" t="n">
        <f aca="false">IF(G32&gt;=$C$10,1,0)</f>
        <v>1</v>
      </c>
    </row>
    <row r="33" customFormat="false" ht="15" hidden="false" customHeight="false" outlineLevel="0" collapsed="false">
      <c r="A33" s="11" t="n">
        <f aca="false">Data!A18</f>
        <v>17</v>
      </c>
      <c r="B33" s="11" t="n">
        <f aca="false">Data!B18</f>
        <v>46.5</v>
      </c>
      <c r="C33" s="11" t="n">
        <f aca="false">Data!C18</f>
        <v>4.16</v>
      </c>
      <c r="D33" s="11" t="n">
        <f aca="false">Data!J18</f>
        <v>0</v>
      </c>
      <c r="E33" s="11" t="n">
        <f aca="false">Data!K18</f>
        <v>0</v>
      </c>
      <c r="F33" s="10" t="n">
        <f aca="false">$C$4+$C$5*B33+$C$6*C33+$C$7*D33</f>
        <v>0</v>
      </c>
      <c r="G33" s="10" t="n">
        <f aca="false">1/(1+EXP(-F33))</f>
        <v>0.5</v>
      </c>
      <c r="H33" s="10" t="n">
        <f aca="false">E33*LN(MAX(G33,1E-015))+(1-E33)*LN(MAX(1-G33,1E-015))</f>
        <v>-0.693147180559945</v>
      </c>
      <c r="I33" s="2" t="n">
        <f aca="false">IF(G33&gt;=$C$10,1,0)</f>
        <v>1</v>
      </c>
    </row>
    <row r="34" customFormat="false" ht="15" hidden="false" customHeight="false" outlineLevel="0" collapsed="false">
      <c r="A34" s="11" t="n">
        <f aca="false">Data!A19</f>
        <v>18</v>
      </c>
      <c r="B34" s="11" t="n">
        <f aca="false">Data!B19</f>
        <v>22.4</v>
      </c>
      <c r="C34" s="11" t="n">
        <f aca="false">Data!C19</f>
        <v>3.87</v>
      </c>
      <c r="D34" s="11" t="n">
        <f aca="false">Data!J19</f>
        <v>0</v>
      </c>
      <c r="E34" s="11" t="n">
        <f aca="false">Data!K19</f>
        <v>0</v>
      </c>
      <c r="F34" s="10" t="n">
        <f aca="false">$C$4+$C$5*B34+$C$6*C34+$C$7*D34</f>
        <v>0</v>
      </c>
      <c r="G34" s="10" t="n">
        <f aca="false">1/(1+EXP(-F34))</f>
        <v>0.5</v>
      </c>
      <c r="H34" s="10" t="n">
        <f aca="false">E34*LN(MAX(G34,1E-015))+(1-E34)*LN(MAX(1-G34,1E-015))</f>
        <v>-0.693147180559945</v>
      </c>
      <c r="I34" s="2" t="n">
        <f aca="false">IF(G34&gt;=$C$10,1,0)</f>
        <v>1</v>
      </c>
    </row>
    <row r="35" customFormat="false" ht="15" hidden="false" customHeight="false" outlineLevel="0" collapsed="false">
      <c r="A35" s="11" t="n">
        <f aca="false">Data!A20</f>
        <v>19</v>
      </c>
      <c r="B35" s="11" t="n">
        <f aca="false">Data!B20</f>
        <v>61.6</v>
      </c>
      <c r="C35" s="11" t="n">
        <f aca="false">Data!C20</f>
        <v>4.09</v>
      </c>
      <c r="D35" s="11" t="n">
        <f aca="false">Data!J20</f>
        <v>0</v>
      </c>
      <c r="E35" s="11" t="n">
        <f aca="false">Data!K20</f>
        <v>1</v>
      </c>
      <c r="F35" s="10" t="n">
        <f aca="false">$C$4+$C$5*B35+$C$6*C35+$C$7*D35</f>
        <v>0</v>
      </c>
      <c r="G35" s="10" t="n">
        <f aca="false">1/(1+EXP(-F35))</f>
        <v>0.5</v>
      </c>
      <c r="H35" s="10" t="n">
        <f aca="false">E35*LN(MAX(G35,1E-015))+(1-E35)*LN(MAX(1-G35,1E-015))</f>
        <v>-0.693147180559945</v>
      </c>
      <c r="I35" s="2" t="n">
        <f aca="false">IF(G35&gt;=$C$10,1,0)</f>
        <v>1</v>
      </c>
    </row>
    <row r="36" customFormat="false" ht="15" hidden="false" customHeight="false" outlineLevel="0" collapsed="false">
      <c r="A36" s="11" t="n">
        <f aca="false">Data!A21</f>
        <v>20</v>
      </c>
      <c r="B36" s="11" t="n">
        <f aca="false">Data!B21</f>
        <v>37</v>
      </c>
      <c r="C36" s="11" t="n">
        <f aca="false">Data!C21</f>
        <v>2.03</v>
      </c>
      <c r="D36" s="11" t="n">
        <f aca="false">Data!J21</f>
        <v>0</v>
      </c>
      <c r="E36" s="11" t="n">
        <f aca="false">Data!K21</f>
        <v>0</v>
      </c>
      <c r="F36" s="10" t="n">
        <f aca="false">$C$4+$C$5*B36+$C$6*C36+$C$7*D36</f>
        <v>0</v>
      </c>
      <c r="G36" s="10" t="n">
        <f aca="false">1/(1+EXP(-F36))</f>
        <v>0.5</v>
      </c>
      <c r="H36" s="10" t="n">
        <f aca="false">E36*LN(MAX(G36,1E-015))+(1-E36)*LN(MAX(1-G36,1E-015))</f>
        <v>-0.693147180559945</v>
      </c>
      <c r="I36" s="2" t="n">
        <f aca="false">IF(G36&gt;=$C$10,1,0)</f>
        <v>1</v>
      </c>
    </row>
    <row r="37" customFormat="false" ht="15" hidden="false" customHeight="false" outlineLevel="0" collapsed="false">
      <c r="A37" s="11" t="n">
        <f aca="false">Data!A22</f>
        <v>21</v>
      </c>
      <c r="B37" s="11" t="n">
        <f aca="false">Data!B22</f>
        <v>34.3</v>
      </c>
      <c r="C37" s="11" t="n">
        <f aca="false">Data!C22</f>
        <v>2.5</v>
      </c>
      <c r="D37" s="11" t="n">
        <f aca="false">Data!J22</f>
        <v>0</v>
      </c>
      <c r="E37" s="11" t="n">
        <f aca="false">Data!K22</f>
        <v>1</v>
      </c>
      <c r="F37" s="10" t="n">
        <f aca="false">$C$4+$C$5*B37+$C$6*C37+$C$7*D37</f>
        <v>0</v>
      </c>
      <c r="G37" s="10" t="n">
        <f aca="false">1/(1+EXP(-F37))</f>
        <v>0.5</v>
      </c>
      <c r="H37" s="10" t="n">
        <f aca="false">E37*LN(MAX(G37,1E-015))+(1-E37)*LN(MAX(1-G37,1E-015))</f>
        <v>-0.693147180559945</v>
      </c>
      <c r="I37" s="2" t="n">
        <f aca="false">IF(G37&gt;=$C$10,1,0)</f>
        <v>1</v>
      </c>
    </row>
    <row r="38" customFormat="false" ht="15" hidden="false" customHeight="false" outlineLevel="0" collapsed="false">
      <c r="A38" s="11" t="n">
        <f aca="false">Data!A23</f>
        <v>22</v>
      </c>
      <c r="B38" s="11" t="n">
        <f aca="false">Data!B23</f>
        <v>26.1</v>
      </c>
      <c r="C38" s="11" t="n">
        <f aca="false">Data!C23</f>
        <v>2.65</v>
      </c>
      <c r="D38" s="11" t="n">
        <f aca="false">Data!J23</f>
        <v>0</v>
      </c>
      <c r="E38" s="11" t="n">
        <f aca="false">Data!K23</f>
        <v>0</v>
      </c>
      <c r="F38" s="10" t="n">
        <f aca="false">$C$4+$C$5*B38+$C$6*C38+$C$7*D38</f>
        <v>0</v>
      </c>
      <c r="G38" s="10" t="n">
        <f aca="false">1/(1+EXP(-F38))</f>
        <v>0.5</v>
      </c>
      <c r="H38" s="10" t="n">
        <f aca="false">E38*LN(MAX(G38,1E-015))+(1-E38)*LN(MAX(1-G38,1E-015))</f>
        <v>-0.693147180559945</v>
      </c>
      <c r="I38" s="2" t="n">
        <f aca="false">IF(G38&gt;=$C$10,1,0)</f>
        <v>1</v>
      </c>
    </row>
    <row r="39" customFormat="false" ht="15" hidden="false" customHeight="false" outlineLevel="0" collapsed="false">
      <c r="A39" s="11" t="n">
        <f aca="false">Data!A24</f>
        <v>23</v>
      </c>
      <c r="B39" s="11" t="n">
        <f aca="false">Data!B24</f>
        <v>74.4</v>
      </c>
      <c r="C39" s="11" t="n">
        <f aca="false">Data!C24</f>
        <v>5.22</v>
      </c>
      <c r="D39" s="11" t="n">
        <f aca="false">Data!J24</f>
        <v>0</v>
      </c>
      <c r="E39" s="11" t="n">
        <f aca="false">Data!K24</f>
        <v>0</v>
      </c>
      <c r="F39" s="10" t="n">
        <f aca="false">$C$4+$C$5*B39+$C$6*C39+$C$7*D39</f>
        <v>0</v>
      </c>
      <c r="G39" s="10" t="n">
        <f aca="false">1/(1+EXP(-F39))</f>
        <v>0.5</v>
      </c>
      <c r="H39" s="10" t="n">
        <f aca="false">E39*LN(MAX(G39,1E-015))+(1-E39)*LN(MAX(1-G39,1E-015))</f>
        <v>-0.693147180559945</v>
      </c>
      <c r="I39" s="2" t="n">
        <f aca="false">IF(G39&gt;=$C$10,1,0)</f>
        <v>1</v>
      </c>
    </row>
    <row r="40" customFormat="false" ht="15" hidden="false" customHeight="false" outlineLevel="0" collapsed="false">
      <c r="A40" s="11" t="n">
        <f aca="false">Data!A25</f>
        <v>24</v>
      </c>
      <c r="B40" s="11" t="n">
        <f aca="false">Data!B25</f>
        <v>34.9</v>
      </c>
      <c r="C40" s="11" t="n">
        <f aca="false">Data!C25</f>
        <v>1.41</v>
      </c>
      <c r="D40" s="11" t="n">
        <f aca="false">Data!J25</f>
        <v>0</v>
      </c>
      <c r="E40" s="11" t="n">
        <f aca="false">Data!K25</f>
        <v>0</v>
      </c>
      <c r="F40" s="10" t="n">
        <f aca="false">$C$4+$C$5*B40+$C$6*C40+$C$7*D40</f>
        <v>0</v>
      </c>
      <c r="G40" s="10" t="n">
        <f aca="false">1/(1+EXP(-F40))</f>
        <v>0.5</v>
      </c>
      <c r="H40" s="10" t="n">
        <f aca="false">E40*LN(MAX(G40,1E-015))+(1-E40)*LN(MAX(1-G40,1E-015))</f>
        <v>-0.693147180559945</v>
      </c>
      <c r="I40" s="2" t="n">
        <f aca="false">IF(G40&gt;=$C$10,1,0)</f>
        <v>1</v>
      </c>
    </row>
    <row r="41" customFormat="false" ht="15" hidden="false" customHeight="false" outlineLevel="0" collapsed="false">
      <c r="A41" s="11" t="n">
        <f aca="false">Data!A26</f>
        <v>25</v>
      </c>
      <c r="B41" s="11" t="n">
        <f aca="false">Data!B26</f>
        <v>30</v>
      </c>
      <c r="C41" s="11" t="n">
        <f aca="false">Data!C26</f>
        <v>2.67</v>
      </c>
      <c r="D41" s="11" t="n">
        <f aca="false">Data!J26</f>
        <v>0</v>
      </c>
      <c r="E41" s="11" t="n">
        <f aca="false">Data!K26</f>
        <v>0</v>
      </c>
      <c r="F41" s="10" t="n">
        <f aca="false">$C$4+$C$5*B41+$C$6*C41+$C$7*D41</f>
        <v>0</v>
      </c>
      <c r="G41" s="10" t="n">
        <f aca="false">1/(1+EXP(-F41))</f>
        <v>0.5</v>
      </c>
      <c r="H41" s="10" t="n">
        <f aca="false">E41*LN(MAX(G41,1E-015))+(1-E41)*LN(MAX(1-G41,1E-015))</f>
        <v>-0.693147180559945</v>
      </c>
      <c r="I41" s="2" t="n">
        <f aca="false">IF(G41&gt;=$C$10,1,0)</f>
        <v>1</v>
      </c>
    </row>
    <row r="42" customFormat="false" ht="15" hidden="false" customHeight="false" outlineLevel="0" collapsed="false">
      <c r="A42" s="11" t="n">
        <f aca="false">Data!A27</f>
        <v>26</v>
      </c>
      <c r="B42" s="11" t="n">
        <f aca="false">Data!B27</f>
        <v>31.3</v>
      </c>
      <c r="C42" s="11" t="n">
        <f aca="false">Data!C27</f>
        <v>2.92</v>
      </c>
      <c r="D42" s="11" t="n">
        <f aca="false">Data!J27</f>
        <v>0</v>
      </c>
      <c r="E42" s="11" t="n">
        <f aca="false">Data!K27</f>
        <v>0</v>
      </c>
      <c r="F42" s="10" t="n">
        <f aca="false">$C$4+$C$5*B42+$C$6*C42+$C$7*D42</f>
        <v>0</v>
      </c>
      <c r="G42" s="10" t="n">
        <f aca="false">1/(1+EXP(-F42))</f>
        <v>0.5</v>
      </c>
      <c r="H42" s="10" t="n">
        <f aca="false">E42*LN(MAX(G42,1E-015))+(1-E42)*LN(MAX(1-G42,1E-015))</f>
        <v>-0.693147180559945</v>
      </c>
      <c r="I42" s="2" t="n">
        <f aca="false">IF(G42&gt;=$C$10,1,0)</f>
        <v>1</v>
      </c>
    </row>
    <row r="43" customFormat="false" ht="15" hidden="false" customHeight="false" outlineLevel="0" collapsed="false">
      <c r="A43" s="11" t="n">
        <f aca="false">Data!A28</f>
        <v>27</v>
      </c>
      <c r="B43" s="11" t="n">
        <f aca="false">Data!B28</f>
        <v>50.9</v>
      </c>
      <c r="C43" s="11" t="n">
        <f aca="false">Data!C28</f>
        <v>6.97</v>
      </c>
      <c r="D43" s="11" t="n">
        <f aca="false">Data!J28</f>
        <v>0</v>
      </c>
      <c r="E43" s="11" t="n">
        <f aca="false">Data!K28</f>
        <v>1</v>
      </c>
      <c r="F43" s="10" t="n">
        <f aca="false">$C$4+$C$5*B43+$C$6*C43+$C$7*D43</f>
        <v>0</v>
      </c>
      <c r="G43" s="10" t="n">
        <f aca="false">1/(1+EXP(-F43))</f>
        <v>0.5</v>
      </c>
      <c r="H43" s="10" t="n">
        <f aca="false">E43*LN(MAX(G43,1E-015))+(1-E43)*LN(MAX(1-G43,1E-015))</f>
        <v>-0.693147180559945</v>
      </c>
      <c r="I43" s="2" t="n">
        <f aca="false">IF(G43&gt;=$C$10,1,0)</f>
        <v>1</v>
      </c>
    </row>
    <row r="44" customFormat="false" ht="15" hidden="false" customHeight="false" outlineLevel="0" collapsed="false">
      <c r="A44" s="11" t="n">
        <f aca="false">Data!A29</f>
        <v>28</v>
      </c>
      <c r="B44" s="11" t="n">
        <f aca="false">Data!B29</f>
        <v>46.5</v>
      </c>
      <c r="C44" s="11" t="n">
        <f aca="false">Data!C29</f>
        <v>5.9</v>
      </c>
      <c r="D44" s="11" t="n">
        <f aca="false">Data!J29</f>
        <v>0</v>
      </c>
      <c r="E44" s="11" t="n">
        <f aca="false">Data!K29</f>
        <v>1</v>
      </c>
      <c r="F44" s="10" t="n">
        <f aca="false">$C$4+$C$5*B44+$C$6*C44+$C$7*D44</f>
        <v>0</v>
      </c>
      <c r="G44" s="10" t="n">
        <f aca="false">1/(1+EXP(-F44))</f>
        <v>0.5</v>
      </c>
      <c r="H44" s="10" t="n">
        <f aca="false">E44*LN(MAX(G44,1E-015))+(1-E44)*LN(MAX(1-G44,1E-015))</f>
        <v>-0.693147180559945</v>
      </c>
      <c r="I44" s="2" t="n">
        <f aca="false">IF(G44&gt;=$C$10,1,0)</f>
        <v>1</v>
      </c>
    </row>
    <row r="45" customFormat="false" ht="15" hidden="false" customHeight="false" outlineLevel="0" collapsed="false">
      <c r="A45" s="11" t="n">
        <f aca="false">Data!A30</f>
        <v>29</v>
      </c>
      <c r="B45" s="11" t="n">
        <f aca="false">Data!B30</f>
        <v>47.7</v>
      </c>
      <c r="C45" s="11" t="n">
        <f aca="false">Data!C30</f>
        <v>2.41</v>
      </c>
      <c r="D45" s="11" t="n">
        <f aca="false">Data!J30</f>
        <v>0</v>
      </c>
      <c r="E45" s="11" t="n">
        <f aca="false">Data!K30</f>
        <v>0</v>
      </c>
      <c r="F45" s="10" t="n">
        <f aca="false">$C$4+$C$5*B45+$C$6*C45+$C$7*D45</f>
        <v>0</v>
      </c>
      <c r="G45" s="10" t="n">
        <f aca="false">1/(1+EXP(-F45))</f>
        <v>0.5</v>
      </c>
      <c r="H45" s="10" t="n">
        <f aca="false">E45*LN(MAX(G45,1E-015))+(1-E45)*LN(MAX(1-G45,1E-015))</f>
        <v>-0.693147180559945</v>
      </c>
      <c r="I45" s="2" t="n">
        <f aca="false">IF(G45&gt;=$C$10,1,0)</f>
        <v>1</v>
      </c>
    </row>
    <row r="46" customFormat="false" ht="15" hidden="false" customHeight="false" outlineLevel="0" collapsed="false">
      <c r="A46" s="11" t="n">
        <f aca="false">Data!A31</f>
        <v>30</v>
      </c>
      <c r="B46" s="11" t="n">
        <f aca="false">Data!B31</f>
        <v>48.2</v>
      </c>
      <c r="C46" s="11" t="n">
        <f aca="false">Data!C31</f>
        <v>3.18</v>
      </c>
      <c r="D46" s="11" t="n">
        <f aca="false">Data!J31</f>
        <v>0</v>
      </c>
      <c r="E46" s="11" t="n">
        <f aca="false">Data!K31</f>
        <v>0</v>
      </c>
      <c r="F46" s="10" t="n">
        <f aca="false">$C$4+$C$5*B46+$C$6*C46+$C$7*D46</f>
        <v>0</v>
      </c>
      <c r="G46" s="10" t="n">
        <f aca="false">1/(1+EXP(-F46))</f>
        <v>0.5</v>
      </c>
      <c r="H46" s="10" t="n">
        <f aca="false">E46*LN(MAX(G46,1E-015))+(1-E46)*LN(MAX(1-G46,1E-015))</f>
        <v>-0.693147180559945</v>
      </c>
      <c r="I46" s="2" t="n">
        <f aca="false">IF(G46&gt;=$C$10,1,0)</f>
        <v>1</v>
      </c>
    </row>
    <row r="47" customFormat="false" ht="15" hidden="false" customHeight="false" outlineLevel="0" collapsed="false">
      <c r="A47" s="11" t="n">
        <f aca="false">Data!A32</f>
        <v>31</v>
      </c>
      <c r="B47" s="11" t="n">
        <f aca="false">Data!B32</f>
        <v>123.4</v>
      </c>
      <c r="C47" s="11" t="n">
        <f aca="false">Data!C32</f>
        <v>5.78</v>
      </c>
      <c r="D47" s="11" t="n">
        <f aca="false">Data!J32</f>
        <v>0</v>
      </c>
      <c r="E47" s="11" t="n">
        <f aca="false">Data!K32</f>
        <v>1</v>
      </c>
      <c r="F47" s="10" t="n">
        <f aca="false">$C$4+$C$5*B47+$C$6*C47+$C$7*D47</f>
        <v>0</v>
      </c>
      <c r="G47" s="10" t="n">
        <f aca="false">1/(1+EXP(-F47))</f>
        <v>0.5</v>
      </c>
      <c r="H47" s="10" t="n">
        <f aca="false">E47*LN(MAX(G47,1E-015))+(1-E47)*LN(MAX(1-G47,1E-015))</f>
        <v>-0.693147180559945</v>
      </c>
      <c r="I47" s="2" t="n">
        <f aca="false">IF(G47&gt;=$C$10,1,0)</f>
        <v>1</v>
      </c>
    </row>
    <row r="48" customFormat="false" ht="15" hidden="false" customHeight="false" outlineLevel="0" collapsed="false">
      <c r="A48" s="11" t="n">
        <f aca="false">Data!A33</f>
        <v>32</v>
      </c>
      <c r="B48" s="11" t="n">
        <f aca="false">Data!B33</f>
        <v>30.4</v>
      </c>
      <c r="C48" s="11" t="n">
        <f aca="false">Data!C33</f>
        <v>1.8</v>
      </c>
      <c r="D48" s="11" t="n">
        <f aca="false">Data!J33</f>
        <v>0</v>
      </c>
      <c r="E48" s="11" t="n">
        <f aca="false">Data!K33</f>
        <v>0</v>
      </c>
      <c r="F48" s="10" t="n">
        <f aca="false">$C$4+$C$5*B48+$C$6*C48+$C$7*D48</f>
        <v>0</v>
      </c>
      <c r="G48" s="10" t="n">
        <f aca="false">1/(1+EXP(-F48))</f>
        <v>0.5</v>
      </c>
      <c r="H48" s="10" t="n">
        <f aca="false">E48*LN(MAX(G48,1E-015))+(1-E48)*LN(MAX(1-G48,1E-015))</f>
        <v>-0.693147180559945</v>
      </c>
      <c r="I48" s="2" t="n">
        <f aca="false">IF(G48&gt;=$C$10,1,0)</f>
        <v>1</v>
      </c>
    </row>
    <row r="49" customFormat="false" ht="15" hidden="false" customHeight="false" outlineLevel="0" collapsed="false">
      <c r="A49" s="11" t="n">
        <f aca="false">Data!A34</f>
        <v>33</v>
      </c>
      <c r="B49" s="11" t="n">
        <f aca="false">Data!B34</f>
        <v>28.7</v>
      </c>
      <c r="C49" s="11" t="n">
        <f aca="false">Data!C34</f>
        <v>2.89</v>
      </c>
      <c r="D49" s="11" t="n">
        <f aca="false">Data!J34</f>
        <v>0</v>
      </c>
      <c r="E49" s="11" t="n">
        <f aca="false">Data!K34</f>
        <v>0</v>
      </c>
      <c r="F49" s="10" t="n">
        <f aca="false">$C$4+$C$5*B49+$C$6*C49+$C$7*D49</f>
        <v>0</v>
      </c>
      <c r="G49" s="10" t="n">
        <f aca="false">1/(1+EXP(-F49))</f>
        <v>0.5</v>
      </c>
      <c r="H49" s="10" t="n">
        <f aca="false">E49*LN(MAX(G49,1E-015))+(1-E49)*LN(MAX(1-G49,1E-015))</f>
        <v>-0.693147180559945</v>
      </c>
      <c r="I49" s="2" t="n">
        <f aca="false">IF(G49&gt;=$C$10,1,0)</f>
        <v>1</v>
      </c>
    </row>
    <row r="50" customFormat="false" ht="15" hidden="false" customHeight="false" outlineLevel="0" collapsed="false">
      <c r="A50" s="11" t="n">
        <f aca="false">Data!A35</f>
        <v>34</v>
      </c>
      <c r="B50" s="11" t="n">
        <f aca="false">Data!B35</f>
        <v>24.3</v>
      </c>
      <c r="C50" s="11" t="n">
        <f aca="false">Data!C35</f>
        <v>3.8</v>
      </c>
      <c r="D50" s="11" t="n">
        <f aca="false">Data!J35</f>
        <v>0</v>
      </c>
      <c r="E50" s="11" t="n">
        <f aca="false">Data!K35</f>
        <v>1</v>
      </c>
      <c r="F50" s="10" t="n">
        <f aca="false">$C$4+$C$5*B50+$C$6*C50+$C$7*D50</f>
        <v>0</v>
      </c>
      <c r="G50" s="10" t="n">
        <f aca="false">1/(1+EXP(-F50))</f>
        <v>0.5</v>
      </c>
      <c r="H50" s="10" t="n">
        <f aca="false">E50*LN(MAX(G50,1E-015))+(1-E50)*LN(MAX(1-G50,1E-015))</f>
        <v>-0.693147180559945</v>
      </c>
      <c r="I50" s="2" t="n">
        <f aca="false">IF(G50&gt;=$C$10,1,0)</f>
        <v>1</v>
      </c>
    </row>
    <row r="51" customFormat="false" ht="15" hidden="false" customHeight="false" outlineLevel="0" collapsed="false">
      <c r="A51" s="11" t="n">
        <f aca="false">Data!A36</f>
        <v>35</v>
      </c>
      <c r="B51" s="11" t="n">
        <f aca="false">Data!B36</f>
        <v>53.3</v>
      </c>
      <c r="C51" s="11" t="n">
        <f aca="false">Data!C36</f>
        <v>2.88</v>
      </c>
      <c r="D51" s="11" t="n">
        <f aca="false">Data!J36</f>
        <v>0</v>
      </c>
      <c r="E51" s="11" t="n">
        <f aca="false">Data!K36</f>
        <v>0</v>
      </c>
      <c r="F51" s="10" t="n">
        <f aca="false">$C$4+$C$5*B51+$C$6*C51+$C$7*D51</f>
        <v>0</v>
      </c>
      <c r="G51" s="10" t="n">
        <f aca="false">1/(1+EXP(-F51))</f>
        <v>0.5</v>
      </c>
      <c r="H51" s="10" t="n">
        <f aca="false">E51*LN(MAX(G51,1E-015))+(1-E51)*LN(MAX(1-G51,1E-015))</f>
        <v>-0.693147180559945</v>
      </c>
      <c r="I51" s="2" t="n">
        <f aca="false">IF(G51&gt;=$C$10,1,0)</f>
        <v>1</v>
      </c>
    </row>
    <row r="52" customFormat="false" ht="15" hidden="false" customHeight="false" outlineLevel="0" collapsed="false">
      <c r="A52" s="11" t="n">
        <f aca="false">Data!A37</f>
        <v>36</v>
      </c>
      <c r="B52" s="11" t="n">
        <f aca="false">Data!B37</f>
        <v>70.7</v>
      </c>
      <c r="C52" s="11" t="n">
        <f aca="false">Data!C37</f>
        <v>3.94</v>
      </c>
      <c r="D52" s="11" t="n">
        <f aca="false">Data!J37</f>
        <v>0</v>
      </c>
      <c r="E52" s="11" t="n">
        <f aca="false">Data!K37</f>
        <v>0</v>
      </c>
      <c r="F52" s="10" t="n">
        <f aca="false">$C$4+$C$5*B52+$C$6*C52+$C$7*D52</f>
        <v>0</v>
      </c>
      <c r="G52" s="10" t="n">
        <f aca="false">1/(1+EXP(-F52))</f>
        <v>0.5</v>
      </c>
      <c r="H52" s="10" t="n">
        <f aca="false">E52*LN(MAX(G52,1E-015))+(1-E52)*LN(MAX(1-G52,1E-015))</f>
        <v>-0.693147180559945</v>
      </c>
      <c r="I52" s="2" t="n">
        <f aca="false">IF(G52&gt;=$C$10,1,0)</f>
        <v>1</v>
      </c>
    </row>
    <row r="53" customFormat="false" ht="15" hidden="false" customHeight="false" outlineLevel="0" collapsed="false">
      <c r="A53" s="11" t="n">
        <f aca="false">Data!A38</f>
        <v>37</v>
      </c>
      <c r="B53" s="11" t="n">
        <f aca="false">Data!B38</f>
        <v>35.7</v>
      </c>
      <c r="C53" s="11" t="n">
        <f aca="false">Data!C38</f>
        <v>0.9</v>
      </c>
      <c r="D53" s="11" t="n">
        <f aca="false">Data!J38</f>
        <v>0</v>
      </c>
      <c r="E53" s="11" t="n">
        <f aca="false">Data!K38</f>
        <v>0</v>
      </c>
      <c r="F53" s="10" t="n">
        <f aca="false">$C$4+$C$5*B53+$C$6*C53+$C$7*D53</f>
        <v>0</v>
      </c>
      <c r="G53" s="10" t="n">
        <f aca="false">1/(1+EXP(-F53))</f>
        <v>0.5</v>
      </c>
      <c r="H53" s="10" t="n">
        <f aca="false">E53*LN(MAX(G53,1E-015))+(1-E53)*LN(MAX(1-G53,1E-015))</f>
        <v>-0.693147180559945</v>
      </c>
      <c r="I53" s="2" t="n">
        <f aca="false">IF(G53&gt;=$C$10,1,0)</f>
        <v>1</v>
      </c>
    </row>
    <row r="54" customFormat="false" ht="15" hidden="false" customHeight="false" outlineLevel="0" collapsed="false">
      <c r="A54" s="11" t="n">
        <f aca="false">Data!A39</f>
        <v>38</v>
      </c>
      <c r="B54" s="11" t="n">
        <f aca="false">Data!B39</f>
        <v>23.9</v>
      </c>
      <c r="C54" s="11" t="n">
        <f aca="false">Data!C39</f>
        <v>2</v>
      </c>
      <c r="D54" s="11" t="n">
        <f aca="false">Data!J39</f>
        <v>0</v>
      </c>
      <c r="E54" s="11" t="n">
        <f aca="false">Data!K39</f>
        <v>0</v>
      </c>
      <c r="F54" s="10" t="n">
        <f aca="false">$C$4+$C$5*B54+$C$6*C54+$C$7*D54</f>
        <v>0</v>
      </c>
      <c r="G54" s="10" t="n">
        <f aca="false">1/(1+EXP(-F54))</f>
        <v>0.5</v>
      </c>
      <c r="H54" s="10" t="n">
        <f aca="false">E54*LN(MAX(G54,1E-015))+(1-E54)*LN(MAX(1-G54,1E-015))</f>
        <v>-0.693147180559945</v>
      </c>
      <c r="I54" s="2" t="n">
        <f aca="false">IF(G54&gt;=$C$10,1,0)</f>
        <v>1</v>
      </c>
    </row>
    <row r="55" customFormat="false" ht="15" hidden="false" customHeight="false" outlineLevel="0" collapsed="false">
      <c r="A55" s="11" t="n">
        <f aca="false">Data!A40</f>
        <v>39</v>
      </c>
      <c r="B55" s="11" t="n">
        <f aca="false">Data!B40</f>
        <v>24.1</v>
      </c>
      <c r="C55" s="11" t="n">
        <f aca="false">Data!C40</f>
        <v>0.9</v>
      </c>
      <c r="D55" s="11" t="n">
        <f aca="false">Data!J40</f>
        <v>0</v>
      </c>
      <c r="E55" s="11" t="n">
        <f aca="false">Data!K40</f>
        <v>0</v>
      </c>
      <c r="F55" s="10" t="n">
        <f aca="false">$C$4+$C$5*B55+$C$6*C55+$C$7*D55</f>
        <v>0</v>
      </c>
      <c r="G55" s="10" t="n">
        <f aca="false">1/(1+EXP(-F55))</f>
        <v>0.5</v>
      </c>
      <c r="H55" s="10" t="n">
        <f aca="false">E55*LN(MAX(G55,1E-015))+(1-E55)*LN(MAX(1-G55,1E-015))</f>
        <v>-0.693147180559945</v>
      </c>
      <c r="I55" s="2" t="n">
        <f aca="false">IF(G55&gt;=$C$10,1,0)</f>
        <v>1</v>
      </c>
    </row>
    <row r="56" customFormat="false" ht="15" hidden="false" customHeight="false" outlineLevel="0" collapsed="false">
      <c r="A56" s="11" t="n">
        <f aca="false">Data!A41</f>
        <v>40</v>
      </c>
      <c r="B56" s="11" t="n">
        <f aca="false">Data!B41</f>
        <v>54.3</v>
      </c>
      <c r="C56" s="11" t="n">
        <f aca="false">Data!C41</f>
        <v>3.2</v>
      </c>
      <c r="D56" s="11" t="n">
        <f aca="false">Data!J41</f>
        <v>0</v>
      </c>
      <c r="E56" s="11" t="n">
        <f aca="false">Data!K41</f>
        <v>0</v>
      </c>
      <c r="F56" s="10" t="n">
        <f aca="false">$C$4+$C$5*B56+$C$6*C56+$C$7*D56</f>
        <v>0</v>
      </c>
      <c r="G56" s="10" t="n">
        <f aca="false">1/(1+EXP(-F56))</f>
        <v>0.5</v>
      </c>
      <c r="H56" s="10" t="n">
        <f aca="false">E56*LN(MAX(G56,1E-015))+(1-E56)*LN(MAX(1-G56,1E-015))</f>
        <v>-0.693147180559945</v>
      </c>
      <c r="I56" s="2" t="n">
        <f aca="false">IF(G56&gt;=$C$10,1,0)</f>
        <v>1</v>
      </c>
    </row>
    <row r="57" customFormat="false" ht="15" hidden="false" customHeight="false" outlineLevel="0" collapsed="false">
      <c r="A57" s="11" t="n">
        <f aca="false">Data!A42</f>
        <v>41</v>
      </c>
      <c r="B57" s="11" t="n">
        <f aca="false">Data!B42</f>
        <v>57.2</v>
      </c>
      <c r="C57" s="11" t="n">
        <f aca="false">Data!C42</f>
        <v>2.91</v>
      </c>
      <c r="D57" s="11" t="n">
        <f aca="false">Data!J42</f>
        <v>0</v>
      </c>
      <c r="E57" s="11" t="n">
        <f aca="false">Data!K42</f>
        <v>0</v>
      </c>
      <c r="F57" s="10" t="n">
        <f aca="false">$C$4+$C$5*B57+$C$6*C57+$C$7*D57</f>
        <v>0</v>
      </c>
      <c r="G57" s="10" t="n">
        <f aca="false">1/(1+EXP(-F57))</f>
        <v>0.5</v>
      </c>
      <c r="H57" s="10" t="n">
        <f aca="false">E57*LN(MAX(G57,1E-015))+(1-E57)*LN(MAX(1-G57,1E-015))</f>
        <v>-0.693147180559945</v>
      </c>
      <c r="I57" s="2" t="n">
        <f aca="false">IF(G57&gt;=$C$10,1,0)</f>
        <v>1</v>
      </c>
    </row>
    <row r="58" customFormat="false" ht="15" hidden="false" customHeight="false" outlineLevel="0" collapsed="false">
      <c r="A58" s="11" t="n">
        <f aca="false">Data!A43</f>
        <v>42</v>
      </c>
      <c r="B58" s="11" t="n">
        <f aca="false">Data!B43</f>
        <v>51.2</v>
      </c>
      <c r="C58" s="11" t="n">
        <f aca="false">Data!C43</f>
        <v>3.59</v>
      </c>
      <c r="D58" s="11" t="n">
        <f aca="false">Data!J43</f>
        <v>0</v>
      </c>
      <c r="E58" s="11" t="n">
        <f aca="false">Data!K43</f>
        <v>0</v>
      </c>
      <c r="F58" s="10" t="n">
        <f aca="false">$C$4+$C$5*B58+$C$6*C58+$C$7*D58</f>
        <v>0</v>
      </c>
      <c r="G58" s="10" t="n">
        <f aca="false">1/(1+EXP(-F58))</f>
        <v>0.5</v>
      </c>
      <c r="H58" s="10" t="n">
        <f aca="false">E58*LN(MAX(G58,1E-015))+(1-E58)*LN(MAX(1-G58,1E-015))</f>
        <v>-0.693147180559945</v>
      </c>
      <c r="I58" s="2" t="n">
        <f aca="false">IF(G58&gt;=$C$10,1,0)</f>
        <v>1</v>
      </c>
    </row>
    <row r="59" customFormat="false" ht="15" hidden="false" customHeight="false" outlineLevel="0" collapsed="false">
      <c r="A59" s="11" t="n">
        <f aca="false">Data!A44</f>
        <v>43</v>
      </c>
      <c r="B59" s="11" t="n">
        <f aca="false">Data!B44</f>
        <v>26.4</v>
      </c>
      <c r="C59" s="11" t="n">
        <f aca="false">Data!C44</f>
        <v>0.9</v>
      </c>
      <c r="D59" s="11" t="n">
        <f aca="false">Data!J44</f>
        <v>0</v>
      </c>
      <c r="E59" s="11" t="n">
        <f aca="false">Data!K44</f>
        <v>0</v>
      </c>
      <c r="F59" s="10" t="n">
        <f aca="false">$C$4+$C$5*B59+$C$6*C59+$C$7*D59</f>
        <v>0</v>
      </c>
      <c r="G59" s="10" t="n">
        <f aca="false">1/(1+EXP(-F59))</f>
        <v>0.5</v>
      </c>
      <c r="H59" s="10" t="n">
        <f aca="false">E59*LN(MAX(G59,1E-015))+(1-E59)*LN(MAX(1-G59,1E-015))</f>
        <v>-0.693147180559945</v>
      </c>
      <c r="I59" s="2" t="n">
        <f aca="false">IF(G59&gt;=$C$10,1,0)</f>
        <v>1</v>
      </c>
    </row>
    <row r="60" customFormat="false" ht="15" hidden="false" customHeight="false" outlineLevel="0" collapsed="false">
      <c r="A60" s="11" t="n">
        <f aca="false">Data!A45</f>
        <v>44</v>
      </c>
      <c r="B60" s="11" t="n">
        <f aca="false">Data!B45</f>
        <v>43.2</v>
      </c>
      <c r="C60" s="11" t="n">
        <f aca="false">Data!C45</f>
        <v>1.37</v>
      </c>
      <c r="D60" s="11" t="n">
        <f aca="false">Data!J45</f>
        <v>0</v>
      </c>
      <c r="E60" s="11" t="n">
        <f aca="false">Data!K45</f>
        <v>0</v>
      </c>
      <c r="F60" s="10" t="n">
        <f aca="false">$C$4+$C$5*B60+$C$6*C60+$C$7*D60</f>
        <v>0</v>
      </c>
      <c r="G60" s="10" t="n">
        <f aca="false">1/(1+EXP(-F60))</f>
        <v>0.5</v>
      </c>
      <c r="H60" s="10" t="n">
        <f aca="false">E60*LN(MAX(G60,1E-015))+(1-E60)*LN(MAX(1-G60,1E-015))</f>
        <v>-0.693147180559945</v>
      </c>
      <c r="I60" s="2" t="n">
        <f aca="false">IF(G60&gt;=$C$10,1,0)</f>
        <v>1</v>
      </c>
    </row>
    <row r="61" customFormat="false" ht="15" hidden="false" customHeight="false" outlineLevel="0" collapsed="false">
      <c r="A61" s="11" t="n">
        <f aca="false">Data!A46</f>
        <v>45</v>
      </c>
      <c r="B61" s="11" t="n">
        <f aca="false">Data!B46</f>
        <v>40.5</v>
      </c>
      <c r="C61" s="11" t="n">
        <f aca="false">Data!C46</f>
        <v>5.9</v>
      </c>
      <c r="D61" s="11" t="n">
        <f aca="false">Data!J46</f>
        <v>0</v>
      </c>
      <c r="E61" s="11" t="n">
        <f aca="false">Data!K46</f>
        <v>1</v>
      </c>
      <c r="F61" s="10" t="n">
        <f aca="false">$C$4+$C$5*B61+$C$6*C61+$C$7*D61</f>
        <v>0</v>
      </c>
      <c r="G61" s="10" t="n">
        <f aca="false">1/(1+EXP(-F61))</f>
        <v>0.5</v>
      </c>
      <c r="H61" s="10" t="n">
        <f aca="false">E61*LN(MAX(G61,1E-015))+(1-E61)*LN(MAX(1-G61,1E-015))</f>
        <v>-0.693147180559945</v>
      </c>
      <c r="I61" s="2" t="n">
        <f aca="false">IF(G61&gt;=$C$10,1,0)</f>
        <v>1</v>
      </c>
    </row>
    <row r="62" customFormat="false" ht="15" hidden="false" customHeight="false" outlineLevel="0" collapsed="false">
      <c r="A62" s="11" t="n">
        <f aca="false">Data!A47</f>
        <v>46</v>
      </c>
      <c r="B62" s="11" t="n">
        <f aca="false">Data!B47</f>
        <v>42.9</v>
      </c>
      <c r="C62" s="11" t="n">
        <f aca="false">Data!C47</f>
        <v>1.59</v>
      </c>
      <c r="D62" s="11" t="n">
        <f aca="false">Data!J47</f>
        <v>0</v>
      </c>
      <c r="E62" s="11" t="n">
        <f aca="false">Data!K47</f>
        <v>0</v>
      </c>
      <c r="F62" s="10" t="n">
        <f aca="false">$C$4+$C$5*B62+$C$6*C62+$C$7*D62</f>
        <v>0</v>
      </c>
      <c r="G62" s="10" t="n">
        <f aca="false">1/(1+EXP(-F62))</f>
        <v>0.5</v>
      </c>
      <c r="H62" s="10" t="n">
        <f aca="false">E62*LN(MAX(G62,1E-015))+(1-E62)*LN(MAX(1-G62,1E-015))</f>
        <v>-0.693147180559945</v>
      </c>
      <c r="I62" s="2" t="n">
        <f aca="false">IF(G62&gt;=$C$10,1,0)</f>
        <v>1</v>
      </c>
    </row>
    <row r="63" customFormat="false" ht="15" hidden="false" customHeight="false" outlineLevel="0" collapsed="false">
      <c r="A63" s="11" t="n">
        <f aca="false">Data!A48</f>
        <v>47</v>
      </c>
      <c r="B63" s="11" t="n">
        <f aca="false">Data!B48</f>
        <v>61.4</v>
      </c>
      <c r="C63" s="11" t="n">
        <f aca="false">Data!C48</f>
        <v>2.85</v>
      </c>
      <c r="D63" s="11" t="n">
        <f aca="false">Data!J48</f>
        <v>1</v>
      </c>
      <c r="E63" s="11" t="n">
        <f aca="false">Data!K48</f>
        <v>0</v>
      </c>
      <c r="F63" s="10" t="n">
        <f aca="false">$C$4+$C$5*B63+$C$6*C63+$C$7*D63</f>
        <v>0</v>
      </c>
      <c r="G63" s="10" t="n">
        <f aca="false">1/(1+EXP(-F63))</f>
        <v>0.5</v>
      </c>
      <c r="H63" s="10" t="n">
        <f aca="false">E63*LN(MAX(G63,1E-015))+(1-E63)*LN(MAX(1-G63,1E-015))</f>
        <v>-0.693147180559945</v>
      </c>
      <c r="I63" s="2" t="n">
        <f aca="false">IF(G63&gt;=$C$10,1,0)</f>
        <v>1</v>
      </c>
    </row>
    <row r="64" customFormat="false" ht="15" hidden="false" customHeight="false" outlineLevel="0" collapsed="false">
      <c r="A64" s="11" t="n">
        <f aca="false">Data!A49</f>
        <v>48</v>
      </c>
      <c r="B64" s="11" t="n">
        <f aca="false">Data!B49</f>
        <v>43</v>
      </c>
      <c r="C64" s="11" t="n">
        <f aca="false">Data!C49</f>
        <v>5.65</v>
      </c>
      <c r="D64" s="11" t="n">
        <f aca="false">Data!J49</f>
        <v>1</v>
      </c>
      <c r="E64" s="11" t="n">
        <f aca="false">Data!K49</f>
        <v>1</v>
      </c>
      <c r="F64" s="10" t="n">
        <f aca="false">$C$4+$C$5*B64+$C$6*C64+$C$7*D64</f>
        <v>0</v>
      </c>
      <c r="G64" s="10" t="n">
        <f aca="false">1/(1+EXP(-F64))</f>
        <v>0.5</v>
      </c>
      <c r="H64" s="10" t="n">
        <f aca="false">E64*LN(MAX(G64,1E-015))+(1-E64)*LN(MAX(1-G64,1E-015))</f>
        <v>-0.693147180559945</v>
      </c>
      <c r="I64" s="2" t="n">
        <f aca="false">IF(G64&gt;=$C$10,1,0)</f>
        <v>1</v>
      </c>
    </row>
    <row r="65" customFormat="false" ht="15" hidden="false" customHeight="false" outlineLevel="0" collapsed="false">
      <c r="A65" s="11" t="n">
        <f aca="false">Data!A50</f>
        <v>49</v>
      </c>
      <c r="B65" s="11" t="n">
        <f aca="false">Data!B50</f>
        <v>55.2</v>
      </c>
      <c r="C65" s="11" t="n">
        <f aca="false">Data!C50</f>
        <v>7.71</v>
      </c>
      <c r="D65" s="11" t="n">
        <f aca="false">Data!J50</f>
        <v>0</v>
      </c>
      <c r="E65" s="11" t="n">
        <f aca="false">Data!K50</f>
        <v>1</v>
      </c>
      <c r="F65" s="10" t="n">
        <f aca="false">$C$4+$C$5*B65+$C$6*C65+$C$7*D65</f>
        <v>0</v>
      </c>
      <c r="G65" s="10" t="n">
        <f aca="false">1/(1+EXP(-F65))</f>
        <v>0.5</v>
      </c>
      <c r="H65" s="10" t="n">
        <f aca="false">E65*LN(MAX(G65,1E-015))+(1-E65)*LN(MAX(1-G65,1E-015))</f>
        <v>-0.693147180559945</v>
      </c>
      <c r="I65" s="2" t="n">
        <f aca="false">IF(G65&gt;=$C$10,1,0)</f>
        <v>1</v>
      </c>
    </row>
    <row r="66" customFormat="false" ht="15" hidden="false" customHeight="false" outlineLevel="0" collapsed="false">
      <c r="A66" s="11" t="n">
        <f aca="false">Data!A51</f>
        <v>50</v>
      </c>
      <c r="B66" s="11" t="n">
        <f aca="false">Data!B51</f>
        <v>39.4</v>
      </c>
      <c r="C66" s="11" t="n">
        <f aca="false">Data!C51</f>
        <v>1.54</v>
      </c>
      <c r="D66" s="11" t="n">
        <f aca="false">Data!J51</f>
        <v>0</v>
      </c>
      <c r="E66" s="11" t="n">
        <f aca="false">Data!K51</f>
        <v>0</v>
      </c>
      <c r="F66" s="10" t="n">
        <f aca="false">$C$4+$C$5*B66+$C$6*C66+$C$7*D66</f>
        <v>0</v>
      </c>
      <c r="G66" s="10" t="n">
        <f aca="false">1/(1+EXP(-F66))</f>
        <v>0.5</v>
      </c>
      <c r="H66" s="10" t="n">
        <f aca="false">E66*LN(MAX(G66,1E-015))+(1-E66)*LN(MAX(1-G66,1E-015))</f>
        <v>-0.693147180559945</v>
      </c>
      <c r="I66" s="2" t="n">
        <f aca="false">IF(G66&gt;=$C$10,1,0)</f>
        <v>1</v>
      </c>
    </row>
    <row r="67" customFormat="false" ht="15" hidden="false" customHeight="false" outlineLevel="0" collapsed="false">
      <c r="A67" s="11" t="n">
        <f aca="false">Data!A52</f>
        <v>51</v>
      </c>
      <c r="B67" s="11" t="n">
        <f aca="false">Data!B52</f>
        <v>44.5</v>
      </c>
      <c r="C67" s="11" t="n">
        <f aca="false">Data!C52</f>
        <v>2.87</v>
      </c>
      <c r="D67" s="11" t="n">
        <f aca="false">Data!J52</f>
        <v>0</v>
      </c>
      <c r="E67" s="11" t="n">
        <f aca="false">Data!K52</f>
        <v>1</v>
      </c>
      <c r="F67" s="10" t="n">
        <f aca="false">$C$4+$C$5*B67+$C$6*C67+$C$7*D67</f>
        <v>0</v>
      </c>
      <c r="G67" s="10" t="n">
        <f aca="false">1/(1+EXP(-F67))</f>
        <v>0.5</v>
      </c>
      <c r="H67" s="10" t="n">
        <f aca="false">E67*LN(MAX(G67,1E-015))+(1-E67)*LN(MAX(1-G67,1E-015))</f>
        <v>-0.693147180559945</v>
      </c>
      <c r="I67" s="2" t="n">
        <f aca="false">IF(G67&gt;=$C$10,1,0)</f>
        <v>1</v>
      </c>
    </row>
    <row r="68" customFormat="false" ht="15" hidden="false" customHeight="false" outlineLevel="0" collapsed="false">
      <c r="A68" s="11" t="n">
        <f aca="false">Data!A53</f>
        <v>52</v>
      </c>
      <c r="B68" s="11" t="n">
        <f aca="false">Data!B53</f>
        <v>53.8</v>
      </c>
      <c r="C68" s="11" t="n">
        <f aca="false">Data!C53</f>
        <v>4.3</v>
      </c>
      <c r="D68" s="11" t="n">
        <f aca="false">Data!J53</f>
        <v>0</v>
      </c>
      <c r="E68" s="11" t="n">
        <f aca="false">Data!K53</f>
        <v>0</v>
      </c>
      <c r="F68" s="10" t="n">
        <f aca="false">$C$4+$C$5*B68+$C$6*C68+$C$7*D68</f>
        <v>0</v>
      </c>
      <c r="G68" s="10" t="n">
        <f aca="false">1/(1+EXP(-F68))</f>
        <v>0.5</v>
      </c>
      <c r="H68" s="10" t="n">
        <f aca="false">E68*LN(MAX(G68,1E-015))+(1-E68)*LN(MAX(1-G68,1E-015))</f>
        <v>-0.693147180559945</v>
      </c>
      <c r="I68" s="2" t="n">
        <f aca="false">IF(G68&gt;=$C$10,1,0)</f>
        <v>1</v>
      </c>
    </row>
    <row r="69" customFormat="false" ht="15" hidden="false" customHeight="false" outlineLevel="0" collapsed="false">
      <c r="A69" s="11" t="n">
        <f aca="false">Data!A54</f>
        <v>53</v>
      </c>
      <c r="B69" s="11" t="n">
        <f aca="false">Data!B54</f>
        <v>17.1</v>
      </c>
      <c r="C69" s="11" t="n">
        <f aca="false">Data!C54</f>
        <v>4.09</v>
      </c>
      <c r="D69" s="11" t="n">
        <f aca="false">Data!J54</f>
        <v>0</v>
      </c>
      <c r="E69" s="11" t="n">
        <f aca="false">Data!K54</f>
        <v>0</v>
      </c>
      <c r="F69" s="10" t="n">
        <f aca="false">$C$4+$C$5*B69+$C$6*C69+$C$7*D69</f>
        <v>0</v>
      </c>
      <c r="G69" s="10" t="n">
        <f aca="false">1/(1+EXP(-F69))</f>
        <v>0.5</v>
      </c>
      <c r="H69" s="10" t="n">
        <f aca="false">E69*LN(MAX(G69,1E-015))+(1-E69)*LN(MAX(1-G69,1E-015))</f>
        <v>-0.693147180559945</v>
      </c>
      <c r="I69" s="2" t="n">
        <f aca="false">IF(G69&gt;=$C$10,1,0)</f>
        <v>1</v>
      </c>
    </row>
    <row r="70" customFormat="false" ht="15" hidden="false" customHeight="false" outlineLevel="0" collapsed="false">
      <c r="A70" s="11" t="n">
        <f aca="false">Data!A55</f>
        <v>54</v>
      </c>
      <c r="B70" s="11" t="n">
        <f aca="false">Data!B55</f>
        <v>31.9</v>
      </c>
      <c r="C70" s="11" t="n">
        <f aca="false">Data!C55</f>
        <v>1.37</v>
      </c>
      <c r="D70" s="11" t="n">
        <f aca="false">Data!J55</f>
        <v>0</v>
      </c>
      <c r="E70" s="11" t="n">
        <f aca="false">Data!K55</f>
        <v>0</v>
      </c>
      <c r="F70" s="10" t="n">
        <f aca="false">$C$4+$C$5*B70+$C$6*C70+$C$7*D70</f>
        <v>0</v>
      </c>
      <c r="G70" s="10" t="n">
        <f aca="false">1/(1+EXP(-F70))</f>
        <v>0.5</v>
      </c>
      <c r="H70" s="10" t="n">
        <f aca="false">E70*LN(MAX(G70,1E-015))+(1-E70)*LN(MAX(1-G70,1E-015))</f>
        <v>-0.693147180559945</v>
      </c>
      <c r="I70" s="2" t="n">
        <f aca="false">IF(G70&gt;=$C$10,1,0)</f>
        <v>1</v>
      </c>
    </row>
    <row r="71" customFormat="false" ht="15" hidden="false" customHeight="false" outlineLevel="0" collapsed="false">
      <c r="A71" s="11" t="n">
        <f aca="false">Data!A56</f>
        <v>55</v>
      </c>
      <c r="B71" s="11" t="n">
        <f aca="false">Data!B56</f>
        <v>29.3</v>
      </c>
      <c r="C71" s="11" t="n">
        <f aca="false">Data!C56</f>
        <v>2.19</v>
      </c>
      <c r="D71" s="11" t="n">
        <f aca="false">Data!J56</f>
        <v>0</v>
      </c>
      <c r="E71" s="11" t="n">
        <f aca="false">Data!K56</f>
        <v>0</v>
      </c>
      <c r="F71" s="10" t="n">
        <f aca="false">$C$4+$C$5*B71+$C$6*C71+$C$7*D71</f>
        <v>0</v>
      </c>
      <c r="G71" s="10" t="n">
        <f aca="false">1/(1+EXP(-F71))</f>
        <v>0.5</v>
      </c>
      <c r="H71" s="10" t="n">
        <f aca="false">E71*LN(MAX(G71,1E-015))+(1-E71)*LN(MAX(1-G71,1E-015))</f>
        <v>-0.693147180559945</v>
      </c>
      <c r="I71" s="2" t="n">
        <f aca="false">IF(G71&gt;=$C$10,1,0)</f>
        <v>1</v>
      </c>
    </row>
    <row r="72" customFormat="false" ht="15" hidden="false" customHeight="false" outlineLevel="0" collapsed="false">
      <c r="A72" s="11" t="n">
        <f aca="false">Data!A57</f>
        <v>56</v>
      </c>
      <c r="B72" s="11" t="n">
        <f aca="false">Data!B57</f>
        <v>26.7</v>
      </c>
      <c r="C72" s="11" t="n">
        <f aca="false">Data!C57</f>
        <v>3.38</v>
      </c>
      <c r="D72" s="11" t="n">
        <f aca="false">Data!J57</f>
        <v>0</v>
      </c>
      <c r="E72" s="11" t="n">
        <f aca="false">Data!K57</f>
        <v>1</v>
      </c>
      <c r="F72" s="10" t="n">
        <f aca="false">$C$4+$C$5*B72+$C$6*C72+$C$7*D72</f>
        <v>0</v>
      </c>
      <c r="G72" s="10" t="n">
        <f aca="false">1/(1+EXP(-F72))</f>
        <v>0.5</v>
      </c>
      <c r="H72" s="10" t="n">
        <f aca="false">E72*LN(MAX(G72,1E-015))+(1-E72)*LN(MAX(1-G72,1E-015))</f>
        <v>-0.693147180559945</v>
      </c>
      <c r="I72" s="2" t="n">
        <f aca="false">IF(G72&gt;=$C$10,1,0)</f>
        <v>1</v>
      </c>
    </row>
    <row r="73" customFormat="false" ht="15" hidden="false" customHeight="false" outlineLevel="0" collapsed="false">
      <c r="A73" s="11" t="n">
        <f aca="false">Data!A58</f>
        <v>57</v>
      </c>
      <c r="B73" s="11" t="n">
        <f aca="false">Data!B58</f>
        <v>32.7</v>
      </c>
      <c r="C73" s="11" t="n">
        <f aca="false">Data!C58</f>
        <v>3.26</v>
      </c>
      <c r="D73" s="11" t="n">
        <f aca="false">Data!J58</f>
        <v>0</v>
      </c>
      <c r="E73" s="11" t="n">
        <f aca="false">Data!K58</f>
        <v>1</v>
      </c>
      <c r="F73" s="10" t="n">
        <f aca="false">$C$4+$C$5*B73+$C$6*C73+$C$7*D73</f>
        <v>0</v>
      </c>
      <c r="G73" s="10" t="n">
        <f aca="false">1/(1+EXP(-F73))</f>
        <v>0.5</v>
      </c>
      <c r="H73" s="10" t="n">
        <f aca="false">E73*LN(MAX(G73,1E-015))+(1-E73)*LN(MAX(1-G73,1E-015))</f>
        <v>-0.693147180559945</v>
      </c>
      <c r="I73" s="2" t="n">
        <f aca="false">IF(G73&gt;=$C$10,1,0)</f>
        <v>1</v>
      </c>
    </row>
    <row r="74" customFormat="false" ht="15" hidden="false" customHeight="false" outlineLevel="0" collapsed="false">
      <c r="A74" s="11" t="n">
        <f aca="false">Data!A59</f>
        <v>58</v>
      </c>
      <c r="B74" s="11" t="n">
        <f aca="false">Data!B59</f>
        <v>86.5</v>
      </c>
      <c r="C74" s="11" t="n">
        <f aca="false">Data!C59</f>
        <v>5.17</v>
      </c>
      <c r="D74" s="11" t="n">
        <f aca="false">Data!J59</f>
        <v>0</v>
      </c>
      <c r="E74" s="11" t="n">
        <f aca="false">Data!K59</f>
        <v>0</v>
      </c>
      <c r="F74" s="10" t="n">
        <f aca="false">$C$4+$C$5*B74+$C$6*C74+$C$7*D74</f>
        <v>0</v>
      </c>
      <c r="G74" s="10" t="n">
        <f aca="false">1/(1+EXP(-F74))</f>
        <v>0.5</v>
      </c>
      <c r="H74" s="10" t="n">
        <f aca="false">E74*LN(MAX(G74,1E-015))+(1-E74)*LN(MAX(1-G74,1E-015))</f>
        <v>-0.693147180559945</v>
      </c>
      <c r="I74" s="2" t="n">
        <f aca="false">IF(G74&gt;=$C$10,1,0)</f>
        <v>1</v>
      </c>
    </row>
    <row r="75" customFormat="false" ht="15" hidden="false" customHeight="false" outlineLevel="0" collapsed="false">
      <c r="A75" s="11" t="n">
        <f aca="false">Data!A60</f>
        <v>59</v>
      </c>
      <c r="B75" s="11" t="n">
        <f aca="false">Data!B60</f>
        <v>23.6</v>
      </c>
      <c r="C75" s="11" t="n">
        <f aca="false">Data!C60</f>
        <v>2.02</v>
      </c>
      <c r="D75" s="11" t="n">
        <f aca="false">Data!J60</f>
        <v>0</v>
      </c>
      <c r="E75" s="11" t="n">
        <f aca="false">Data!K60</f>
        <v>0</v>
      </c>
      <c r="F75" s="10" t="n">
        <f aca="false">$C$4+$C$5*B75+$C$6*C75+$C$7*D75</f>
        <v>0</v>
      </c>
      <c r="G75" s="10" t="n">
        <f aca="false">1/(1+EXP(-F75))</f>
        <v>0.5</v>
      </c>
      <c r="H75" s="10" t="n">
        <f aca="false">E75*LN(MAX(G75,1E-015))+(1-E75)*LN(MAX(1-G75,1E-015))</f>
        <v>-0.693147180559945</v>
      </c>
      <c r="I75" s="2" t="n">
        <f aca="false">IF(G75&gt;=$C$10,1,0)</f>
        <v>1</v>
      </c>
    </row>
    <row r="76" customFormat="false" ht="15" hidden="false" customHeight="false" outlineLevel="0" collapsed="false">
      <c r="A76" s="11" t="n">
        <f aca="false">Data!A61</f>
        <v>60</v>
      </c>
      <c r="B76" s="11" t="n">
        <f aca="false">Data!B61</f>
        <v>64.7</v>
      </c>
      <c r="C76" s="11" t="n">
        <f aca="false">Data!C61</f>
        <v>2.67</v>
      </c>
      <c r="D76" s="11" t="n">
        <f aca="false">Data!J61</f>
        <v>0</v>
      </c>
      <c r="E76" s="11" t="n">
        <f aca="false">Data!K61</f>
        <v>0</v>
      </c>
      <c r="F76" s="10" t="n">
        <f aca="false">$C$4+$C$5*B76+$C$6*C76+$C$7*D76</f>
        <v>0</v>
      </c>
      <c r="G76" s="10" t="n">
        <f aca="false">1/(1+EXP(-F76))</f>
        <v>0.5</v>
      </c>
      <c r="H76" s="10" t="n">
        <f aca="false">E76*LN(MAX(G76,1E-015))+(1-E76)*LN(MAX(1-G76,1E-015))</f>
        <v>-0.693147180559945</v>
      </c>
      <c r="I76" s="2" t="n">
        <f aca="false">IF(G76&gt;=$C$10,1,0)</f>
        <v>1</v>
      </c>
    </row>
    <row r="77" customFormat="false" ht="15" hidden="false" customHeight="false" outlineLevel="0" collapsed="false">
      <c r="A77" s="11" t="n">
        <f aca="false">Data!A62</f>
        <v>61</v>
      </c>
      <c r="B77" s="11" t="n">
        <f aca="false">Data!B62</f>
        <v>15.1</v>
      </c>
      <c r="C77" s="11" t="n">
        <f aca="false">Data!C62</f>
        <v>1.42</v>
      </c>
      <c r="D77" s="11" t="n">
        <f aca="false">Data!J62</f>
        <v>0</v>
      </c>
      <c r="E77" s="11" t="n">
        <f aca="false">Data!K62</f>
        <v>0</v>
      </c>
      <c r="F77" s="10" t="n">
        <f aca="false">$C$4+$C$5*B77+$C$6*C77+$C$7*D77</f>
        <v>0</v>
      </c>
      <c r="G77" s="10" t="n">
        <f aca="false">1/(1+EXP(-F77))</f>
        <v>0.5</v>
      </c>
      <c r="H77" s="10" t="n">
        <f aca="false">E77*LN(MAX(G77,1E-015))+(1-E77)*LN(MAX(1-G77,1E-015))</f>
        <v>-0.693147180559945</v>
      </c>
      <c r="I77" s="2" t="n">
        <f aca="false">IF(G77&gt;=$C$10,1,0)</f>
        <v>1</v>
      </c>
    </row>
    <row r="78" customFormat="false" ht="15" hidden="false" customHeight="false" outlineLevel="0" collapsed="false">
      <c r="A78" s="11" t="n">
        <f aca="false">Data!A63</f>
        <v>62</v>
      </c>
      <c r="B78" s="11" t="n">
        <f aca="false">Data!B63</f>
        <v>31.6</v>
      </c>
      <c r="C78" s="11" t="n">
        <f aca="false">Data!C63</f>
        <v>2.29</v>
      </c>
      <c r="D78" s="11" t="n">
        <f aca="false">Data!J63</f>
        <v>0</v>
      </c>
      <c r="E78" s="11" t="n">
        <f aca="false">Data!K63</f>
        <v>0</v>
      </c>
      <c r="F78" s="10" t="n">
        <f aca="false">$C$4+$C$5*B78+$C$6*C78+$C$7*D78</f>
        <v>0</v>
      </c>
      <c r="G78" s="10" t="n">
        <f aca="false">1/(1+EXP(-F78))</f>
        <v>0.5</v>
      </c>
      <c r="H78" s="10" t="n">
        <f aca="false">E78*LN(MAX(G78,1E-015))+(1-E78)*LN(MAX(1-G78,1E-015))</f>
        <v>-0.693147180559945</v>
      </c>
      <c r="I78" s="2" t="n">
        <f aca="false">IF(G78&gt;=$C$10,1,0)</f>
        <v>1</v>
      </c>
    </row>
    <row r="79" customFormat="false" ht="15" hidden="false" customHeight="false" outlineLevel="0" collapsed="false">
      <c r="A79" s="11" t="n">
        <f aca="false">Data!A64</f>
        <v>63</v>
      </c>
      <c r="B79" s="11" t="n">
        <f aca="false">Data!B64</f>
        <v>41.6</v>
      </c>
      <c r="C79" s="11" t="n">
        <f aca="false">Data!C64</f>
        <v>3.49</v>
      </c>
      <c r="D79" s="11" t="n">
        <f aca="false">Data!J64</f>
        <v>1</v>
      </c>
      <c r="E79" s="11" t="n">
        <f aca="false">Data!K64</f>
        <v>1</v>
      </c>
      <c r="F79" s="10" t="n">
        <f aca="false">$C$4+$C$5*B79+$C$6*C79+$C$7*D79</f>
        <v>0</v>
      </c>
      <c r="G79" s="10" t="n">
        <f aca="false">1/(1+EXP(-F79))</f>
        <v>0.5</v>
      </c>
      <c r="H79" s="10" t="n">
        <f aca="false">E79*LN(MAX(G79,1E-015))+(1-E79)*LN(MAX(1-G79,1E-015))</f>
        <v>-0.693147180559945</v>
      </c>
      <c r="I79" s="2" t="n">
        <f aca="false">IF(G79&gt;=$C$10,1,0)</f>
        <v>1</v>
      </c>
    </row>
    <row r="80" customFormat="false" ht="15" hidden="false" customHeight="false" outlineLevel="0" collapsed="false">
      <c r="A80" s="11" t="n">
        <f aca="false">Data!A65</f>
        <v>64</v>
      </c>
      <c r="B80" s="11" t="n">
        <f aca="false">Data!B65</f>
        <v>52.5</v>
      </c>
      <c r="C80" s="11" t="n">
        <f aca="false">Data!C65</f>
        <v>3.07</v>
      </c>
      <c r="D80" s="11" t="n">
        <f aca="false">Data!J65</f>
        <v>0</v>
      </c>
      <c r="E80" s="11" t="n">
        <f aca="false">Data!K65</f>
        <v>0</v>
      </c>
      <c r="F80" s="10" t="n">
        <f aca="false">$C$4+$C$5*B80+$C$6*C80+$C$7*D80</f>
        <v>0</v>
      </c>
      <c r="G80" s="10" t="n">
        <f aca="false">1/(1+EXP(-F80))</f>
        <v>0.5</v>
      </c>
      <c r="H80" s="10" t="n">
        <f aca="false">E80*LN(MAX(G80,1E-015))+(1-E80)*LN(MAX(1-G80,1E-015))</f>
        <v>-0.693147180559945</v>
      </c>
      <c r="I80" s="2" t="n">
        <f aca="false">IF(G80&gt;=$C$10,1,0)</f>
        <v>1</v>
      </c>
    </row>
    <row r="81" customFormat="false" ht="15" hidden="false" customHeight="false" outlineLevel="0" collapsed="false">
      <c r="A81" s="11" t="n">
        <f aca="false">Data!A66</f>
        <v>65</v>
      </c>
      <c r="B81" s="11" t="n">
        <f aca="false">Data!B66</f>
        <v>56.2</v>
      </c>
      <c r="C81" s="11" t="n">
        <f aca="false">Data!C66</f>
        <v>4.6</v>
      </c>
      <c r="D81" s="11" t="n">
        <f aca="false">Data!J66</f>
        <v>0</v>
      </c>
      <c r="E81" s="11" t="n">
        <f aca="false">Data!K66</f>
        <v>1</v>
      </c>
      <c r="F81" s="10" t="n">
        <f aca="false">$C$4+$C$5*B81+$C$6*C81+$C$7*D81</f>
        <v>0</v>
      </c>
      <c r="G81" s="10" t="n">
        <f aca="false">1/(1+EXP(-F81))</f>
        <v>0.5</v>
      </c>
      <c r="H81" s="10" t="n">
        <f aca="false">E81*LN(MAX(G81,1E-015))+(1-E81)*LN(MAX(1-G81,1E-015))</f>
        <v>-0.693147180559945</v>
      </c>
      <c r="I81" s="2" t="n">
        <f aca="false">IF(G81&gt;=$C$10,1,0)</f>
        <v>1</v>
      </c>
    </row>
    <row r="82" customFormat="false" ht="15" hidden="false" customHeight="false" outlineLevel="0" collapsed="false">
      <c r="A82" s="11" t="n">
        <f aca="false">Data!A67</f>
        <v>66</v>
      </c>
      <c r="B82" s="11" t="n">
        <f aca="false">Data!B67</f>
        <v>58.8</v>
      </c>
      <c r="C82" s="11" t="n">
        <f aca="false">Data!C67</f>
        <v>5.45</v>
      </c>
      <c r="D82" s="11" t="n">
        <f aca="false">Data!J67</f>
        <v>0</v>
      </c>
      <c r="E82" s="11" t="n">
        <f aca="false">Data!K67</f>
        <v>1</v>
      </c>
      <c r="F82" s="10" t="n">
        <f aca="false">$C$4+$C$5*B82+$C$6*C82+$C$7*D82</f>
        <v>0</v>
      </c>
      <c r="G82" s="10" t="n">
        <f aca="false">1/(1+EXP(-F82))</f>
        <v>0.5</v>
      </c>
      <c r="H82" s="10" t="n">
        <f aca="false">E82*LN(MAX(G82,1E-015))+(1-E82)*LN(MAX(1-G82,1E-015))</f>
        <v>-0.693147180559945</v>
      </c>
      <c r="I82" s="2" t="n">
        <f aca="false">IF(G82&gt;=$C$10,1,0)</f>
        <v>1</v>
      </c>
    </row>
    <row r="83" customFormat="false" ht="15" hidden="false" customHeight="false" outlineLevel="0" collapsed="false">
      <c r="A83" s="11" t="n">
        <f aca="false">Data!A68</f>
        <v>67</v>
      </c>
      <c r="B83" s="11" t="n">
        <f aca="false">Data!B68</f>
        <v>31.4</v>
      </c>
      <c r="C83" s="11" t="n">
        <f aca="false">Data!C68</f>
        <v>2.83</v>
      </c>
      <c r="D83" s="11" t="n">
        <f aca="false">Data!J68</f>
        <v>0</v>
      </c>
      <c r="E83" s="11" t="n">
        <f aca="false">Data!K68</f>
        <v>0</v>
      </c>
      <c r="F83" s="10" t="n">
        <f aca="false">$C$4+$C$5*B83+$C$6*C83+$C$7*D83</f>
        <v>0</v>
      </c>
      <c r="G83" s="10" t="n">
        <f aca="false">1/(1+EXP(-F83))</f>
        <v>0.5</v>
      </c>
      <c r="H83" s="10" t="n">
        <f aca="false">E83*LN(MAX(G83,1E-015))+(1-E83)*LN(MAX(1-G83,1E-015))</f>
        <v>-0.693147180559945</v>
      </c>
      <c r="I83" s="2" t="n">
        <f aca="false">IF(G83&gt;=$C$10,1,0)</f>
        <v>1</v>
      </c>
    </row>
    <row r="84" customFormat="false" ht="15" hidden="false" customHeight="false" outlineLevel="0" collapsed="false">
      <c r="A84" s="11" t="n">
        <f aca="false">Data!A69</f>
        <v>68</v>
      </c>
      <c r="B84" s="11" t="n">
        <f aca="false">Data!B69</f>
        <v>29.5</v>
      </c>
      <c r="C84" s="11" t="n">
        <f aca="false">Data!C69</f>
        <v>2.98</v>
      </c>
      <c r="D84" s="11" t="n">
        <f aca="false">Data!J69</f>
        <v>0</v>
      </c>
      <c r="E84" s="11" t="n">
        <f aca="false">Data!K69</f>
        <v>1</v>
      </c>
      <c r="F84" s="10" t="n">
        <f aca="false">$C$4+$C$5*B84+$C$6*C84+$C$7*D84</f>
        <v>0</v>
      </c>
      <c r="G84" s="10" t="n">
        <f aca="false">1/(1+EXP(-F84))</f>
        <v>0.5</v>
      </c>
      <c r="H84" s="10" t="n">
        <f aca="false">E84*LN(MAX(G84,1E-015))+(1-E84)*LN(MAX(1-G84,1E-015))</f>
        <v>-0.693147180559945</v>
      </c>
      <c r="I84" s="2" t="n">
        <f aca="false">IF(G84&gt;=$C$10,1,0)</f>
        <v>1</v>
      </c>
    </row>
    <row r="85" customFormat="false" ht="15" hidden="false" customHeight="false" outlineLevel="0" collapsed="false">
      <c r="A85" s="11" t="n">
        <f aca="false">Data!A70</f>
        <v>69</v>
      </c>
      <c r="B85" s="11" t="n">
        <f aca="false">Data!B70</f>
        <v>60.9</v>
      </c>
      <c r="C85" s="11" t="n">
        <f aca="false">Data!C70</f>
        <v>4.32</v>
      </c>
      <c r="D85" s="11" t="n">
        <f aca="false">Data!J70</f>
        <v>0</v>
      </c>
      <c r="E85" s="11" t="n">
        <f aca="false">Data!K70</f>
        <v>0</v>
      </c>
      <c r="F85" s="10" t="n">
        <f aca="false">$C$4+$C$5*B85+$C$6*C85+$C$7*D85</f>
        <v>0</v>
      </c>
      <c r="G85" s="10" t="n">
        <f aca="false">1/(1+EXP(-F85))</f>
        <v>0.5</v>
      </c>
      <c r="H85" s="10" t="n">
        <f aca="false">E85*LN(MAX(G85,1E-015))+(1-E85)*LN(MAX(1-G85,1E-015))</f>
        <v>-0.693147180559945</v>
      </c>
      <c r="I85" s="2" t="n">
        <f aca="false">IF(G85&gt;=$C$10,1,0)</f>
        <v>1</v>
      </c>
    </row>
    <row r="86" customFormat="false" ht="15" hidden="false" customHeight="false" outlineLevel="0" collapsed="false">
      <c r="A86" s="11" t="n">
        <f aca="false">Data!A71</f>
        <v>70</v>
      </c>
      <c r="B86" s="11" t="n">
        <f aca="false">Data!B71</f>
        <v>34.2</v>
      </c>
      <c r="C86" s="11" t="n">
        <f aca="false">Data!C71</f>
        <v>2.78</v>
      </c>
      <c r="D86" s="11" t="n">
        <f aca="false">Data!J71</f>
        <v>0</v>
      </c>
      <c r="E86" s="11" t="n">
        <f aca="false">Data!K71</f>
        <v>0</v>
      </c>
      <c r="F86" s="10" t="n">
        <f aca="false">$C$4+$C$5*B86+$C$6*C86+$C$7*D86</f>
        <v>0</v>
      </c>
      <c r="G86" s="10" t="n">
        <f aca="false">1/(1+EXP(-F86))</f>
        <v>0.5</v>
      </c>
      <c r="H86" s="10" t="n">
        <f aca="false">E86*LN(MAX(G86,1E-015))+(1-E86)*LN(MAX(1-G86,1E-015))</f>
        <v>-0.693147180559945</v>
      </c>
      <c r="I86" s="2" t="n">
        <f aca="false">IF(G86&gt;=$C$10,1,0)</f>
        <v>1</v>
      </c>
    </row>
    <row r="87" customFormat="false" ht="15" hidden="false" customHeight="false" outlineLevel="0" collapsed="false">
      <c r="A87" s="11" t="n">
        <f aca="false">Data!A72</f>
        <v>71</v>
      </c>
      <c r="B87" s="11" t="n">
        <f aca="false">Data!B72</f>
        <v>18.8</v>
      </c>
      <c r="C87" s="11" t="n">
        <f aca="false">Data!C72</f>
        <v>1</v>
      </c>
      <c r="D87" s="11" t="n">
        <f aca="false">Data!J72</f>
        <v>0</v>
      </c>
      <c r="E87" s="11" t="n">
        <f aca="false">Data!K72</f>
        <v>0</v>
      </c>
      <c r="F87" s="10" t="n">
        <f aca="false">$C$4+$C$5*B87+$C$6*C87+$C$7*D87</f>
        <v>0</v>
      </c>
      <c r="G87" s="10" t="n">
        <f aca="false">1/(1+EXP(-F87))</f>
        <v>0.5</v>
      </c>
      <c r="H87" s="10" t="n">
        <f aca="false">E87*LN(MAX(G87,1E-015))+(1-E87)*LN(MAX(1-G87,1E-015))</f>
        <v>-0.693147180559945</v>
      </c>
      <c r="I87" s="2" t="n">
        <f aca="false">IF(G87&gt;=$C$10,1,0)</f>
        <v>1</v>
      </c>
    </row>
    <row r="88" customFormat="false" ht="15" hidden="false" customHeight="false" outlineLevel="0" collapsed="false">
      <c r="A88" s="11" t="n">
        <f aca="false">Data!A73</f>
        <v>72</v>
      </c>
      <c r="B88" s="11" t="n">
        <f aca="false">Data!B73</f>
        <v>20.4</v>
      </c>
      <c r="C88" s="11" t="n">
        <f aca="false">Data!C73</f>
        <v>2.43</v>
      </c>
      <c r="D88" s="11" t="n">
        <f aca="false">Data!J73</f>
        <v>0</v>
      </c>
      <c r="E88" s="11" t="n">
        <f aca="false">Data!K73</f>
        <v>0</v>
      </c>
      <c r="F88" s="10" t="n">
        <f aca="false">$C$4+$C$5*B88+$C$6*C88+$C$7*D88</f>
        <v>0</v>
      </c>
      <c r="G88" s="10" t="n">
        <f aca="false">1/(1+EXP(-F88))</f>
        <v>0.5</v>
      </c>
      <c r="H88" s="10" t="n">
        <f aca="false">E88*LN(MAX(G88,1E-015))+(1-E88)*LN(MAX(1-G88,1E-015))</f>
        <v>-0.693147180559945</v>
      </c>
      <c r="I88" s="2" t="n">
        <f aca="false">IF(G88&gt;=$C$10,1,0)</f>
        <v>1</v>
      </c>
    </row>
    <row r="89" customFormat="false" ht="15" hidden="false" customHeight="false" outlineLevel="0" collapsed="false">
      <c r="A89" s="11" t="n">
        <f aca="false">Data!A74</f>
        <v>73</v>
      </c>
      <c r="B89" s="11" t="n">
        <f aca="false">Data!B74</f>
        <v>22.9</v>
      </c>
      <c r="C89" s="11" t="n">
        <f aca="false">Data!C74</f>
        <v>2.03</v>
      </c>
      <c r="D89" s="11" t="n">
        <f aca="false">Data!J74</f>
        <v>1</v>
      </c>
      <c r="E89" s="11" t="n">
        <f aca="false">Data!K74</f>
        <v>0</v>
      </c>
      <c r="F89" s="10" t="n">
        <f aca="false">$C$4+$C$5*B89+$C$6*C89+$C$7*D89</f>
        <v>0</v>
      </c>
      <c r="G89" s="10" t="n">
        <f aca="false">1/(1+EXP(-F89))</f>
        <v>0.5</v>
      </c>
      <c r="H89" s="10" t="n">
        <f aca="false">E89*LN(MAX(G89,1E-015))+(1-E89)*LN(MAX(1-G89,1E-015))</f>
        <v>-0.693147180559945</v>
      </c>
      <c r="I89" s="2" t="n">
        <f aca="false">IF(G89&gt;=$C$10,1,0)</f>
        <v>1</v>
      </c>
    </row>
    <row r="90" customFormat="false" ht="15" hidden="false" customHeight="false" outlineLevel="0" collapsed="false">
      <c r="A90" s="11" t="n">
        <f aca="false">Data!A75</f>
        <v>74</v>
      </c>
      <c r="B90" s="11" t="n">
        <f aca="false">Data!B75</f>
        <v>50</v>
      </c>
      <c r="C90" s="11" t="n">
        <f aca="false">Data!C75</f>
        <v>6.37</v>
      </c>
      <c r="D90" s="11" t="n">
        <f aca="false">Data!J75</f>
        <v>0</v>
      </c>
      <c r="E90" s="11" t="n">
        <f aca="false">Data!K75</f>
        <v>1</v>
      </c>
      <c r="F90" s="10" t="n">
        <f aca="false">$C$4+$C$5*B90+$C$6*C90+$C$7*D90</f>
        <v>0</v>
      </c>
      <c r="G90" s="10" t="n">
        <f aca="false">1/(1+EXP(-F90))</f>
        <v>0.5</v>
      </c>
      <c r="H90" s="10" t="n">
        <f aca="false">E90*LN(MAX(G90,1E-015))+(1-E90)*LN(MAX(1-G90,1E-015))</f>
        <v>-0.693147180559945</v>
      </c>
      <c r="I90" s="2" t="n">
        <f aca="false">IF(G90&gt;=$C$10,1,0)</f>
        <v>1</v>
      </c>
    </row>
    <row r="91" customFormat="false" ht="15" hidden="false" customHeight="false" outlineLevel="0" collapsed="false">
      <c r="A91" s="11" t="n">
        <f aca="false">Data!A76</f>
        <v>75</v>
      </c>
      <c r="B91" s="11" t="n">
        <f aca="false">Data!B76</f>
        <v>41.1</v>
      </c>
      <c r="C91" s="11" t="n">
        <f aca="false">Data!C76</f>
        <v>5.21</v>
      </c>
      <c r="D91" s="11" t="n">
        <f aca="false">Data!J76</f>
        <v>0</v>
      </c>
      <c r="E91" s="11" t="n">
        <f aca="false">Data!K76</f>
        <v>1</v>
      </c>
      <c r="F91" s="10" t="n">
        <f aca="false">$C$4+$C$5*B91+$C$6*C91+$C$7*D91</f>
        <v>0</v>
      </c>
      <c r="G91" s="10" t="n">
        <f aca="false">1/(1+EXP(-F91))</f>
        <v>0.5</v>
      </c>
      <c r="H91" s="10" t="n">
        <f aca="false">E91*LN(MAX(G91,1E-015))+(1-E91)*LN(MAX(1-G91,1E-015))</f>
        <v>-0.693147180559945</v>
      </c>
      <c r="I91" s="2" t="n">
        <f aca="false">IF(G91&gt;=$C$10,1,0)</f>
        <v>1</v>
      </c>
    </row>
    <row r="92" customFormat="false" ht="15" hidden="false" customHeight="false" outlineLevel="0" collapsed="false">
      <c r="A92" s="11" t="n">
        <f aca="false">Data!A77</f>
        <v>76</v>
      </c>
      <c r="B92" s="11" t="n">
        <f aca="false">Data!B77</f>
        <v>55.6</v>
      </c>
      <c r="C92" s="11" t="n">
        <f aca="false">Data!C77</f>
        <v>4.46</v>
      </c>
      <c r="D92" s="11" t="n">
        <f aca="false">Data!J77</f>
        <v>1</v>
      </c>
      <c r="E92" s="11" t="n">
        <f aca="false">Data!K77</f>
        <v>1</v>
      </c>
      <c r="F92" s="10" t="n">
        <f aca="false">$C$4+$C$5*B92+$C$6*C92+$C$7*D92</f>
        <v>0</v>
      </c>
      <c r="G92" s="10" t="n">
        <f aca="false">1/(1+EXP(-F92))</f>
        <v>0.5</v>
      </c>
      <c r="H92" s="10" t="n">
        <f aca="false">E92*LN(MAX(G92,1E-015))+(1-E92)*LN(MAX(1-G92,1E-015))</f>
        <v>-0.693147180559945</v>
      </c>
      <c r="I92" s="2" t="n">
        <f aca="false">IF(G92&gt;=$C$10,1,0)</f>
        <v>1</v>
      </c>
    </row>
    <row r="93" customFormat="false" ht="15" hidden="false" customHeight="false" outlineLevel="0" collapsed="false">
      <c r="A93" s="11" t="n">
        <f aca="false">Data!A78</f>
        <v>77</v>
      </c>
      <c r="B93" s="11" t="n">
        <f aca="false">Data!B78</f>
        <v>30</v>
      </c>
      <c r="C93" s="11" t="n">
        <f aca="false">Data!C78</f>
        <v>1.56</v>
      </c>
      <c r="D93" s="11" t="n">
        <f aca="false">Data!J78</f>
        <v>0</v>
      </c>
      <c r="E93" s="11" t="n">
        <f aca="false">Data!K78</f>
        <v>1</v>
      </c>
      <c r="F93" s="10" t="n">
        <f aca="false">$C$4+$C$5*B93+$C$6*C93+$C$7*D93</f>
        <v>0</v>
      </c>
      <c r="G93" s="10" t="n">
        <f aca="false">1/(1+EXP(-F93))</f>
        <v>0.5</v>
      </c>
      <c r="H93" s="10" t="n">
        <f aca="false">E93*LN(MAX(G93,1E-015))+(1-E93)*LN(MAX(1-G93,1E-015))</f>
        <v>-0.693147180559945</v>
      </c>
      <c r="I93" s="2" t="n">
        <f aca="false">IF(G93&gt;=$C$10,1,0)</f>
        <v>1</v>
      </c>
    </row>
    <row r="94" customFormat="false" ht="15" hidden="false" customHeight="false" outlineLevel="0" collapsed="false">
      <c r="A94" s="11" t="n">
        <f aca="false">Data!A79</f>
        <v>78</v>
      </c>
      <c r="B94" s="11" t="n">
        <f aca="false">Data!B79</f>
        <v>41.5</v>
      </c>
      <c r="C94" s="11" t="n">
        <f aca="false">Data!C79</f>
        <v>1.74</v>
      </c>
      <c r="D94" s="11" t="n">
        <f aca="false">Data!J79</f>
        <v>0</v>
      </c>
      <c r="E94" s="11" t="n">
        <f aca="false">Data!K79</f>
        <v>0</v>
      </c>
      <c r="F94" s="10" t="n">
        <f aca="false">$C$4+$C$5*B94+$C$6*C94+$C$7*D94</f>
        <v>0</v>
      </c>
      <c r="G94" s="10" t="n">
        <f aca="false">1/(1+EXP(-F94))</f>
        <v>0.5</v>
      </c>
      <c r="H94" s="10" t="n">
        <f aca="false">E94*LN(MAX(G94,1E-015))+(1-E94)*LN(MAX(1-G94,1E-015))</f>
        <v>-0.693147180559945</v>
      </c>
      <c r="I94" s="2" t="n">
        <f aca="false">IF(G94&gt;=$C$10,1,0)</f>
        <v>1</v>
      </c>
    </row>
    <row r="95" customFormat="false" ht="15" hidden="false" customHeight="false" outlineLevel="0" collapsed="false">
      <c r="A95" s="11" t="n">
        <f aca="false">Data!A80</f>
        <v>79</v>
      </c>
      <c r="B95" s="11" t="n">
        <f aca="false">Data!B80</f>
        <v>53.6</v>
      </c>
      <c r="C95" s="11" t="n">
        <f aca="false">Data!C80</f>
        <v>5.4</v>
      </c>
      <c r="D95" s="11" t="n">
        <f aca="false">Data!J80</f>
        <v>0</v>
      </c>
      <c r="E95" s="11" t="n">
        <f aca="false">Data!K80</f>
        <v>1</v>
      </c>
      <c r="F95" s="10" t="n">
        <f aca="false">$C$4+$C$5*B95+$C$6*C95+$C$7*D95</f>
        <v>0</v>
      </c>
      <c r="G95" s="10" t="n">
        <f aca="false">1/(1+EXP(-F95))</f>
        <v>0.5</v>
      </c>
      <c r="H95" s="10" t="n">
        <f aca="false">E95*LN(MAX(G95,1E-015))+(1-E95)*LN(MAX(1-G95,1E-015))</f>
        <v>-0.693147180559945</v>
      </c>
      <c r="I95" s="2" t="n">
        <f aca="false">IF(G95&gt;=$C$10,1,0)</f>
        <v>1</v>
      </c>
    </row>
    <row r="96" customFormat="false" ht="15" hidden="false" customHeight="false" outlineLevel="0" collapsed="false">
      <c r="A96" s="11" t="n">
        <f aca="false">Data!A81</f>
        <v>80</v>
      </c>
      <c r="B96" s="11" t="n">
        <f aca="false">Data!B81</f>
        <v>32.1</v>
      </c>
      <c r="C96" s="11" t="n">
        <f aca="false">Data!C81</f>
        <v>3.01</v>
      </c>
      <c r="D96" s="11" t="n">
        <f aca="false">Data!J81</f>
        <v>0</v>
      </c>
      <c r="E96" s="11" t="n">
        <f aca="false">Data!K81</f>
        <v>0</v>
      </c>
      <c r="F96" s="10" t="n">
        <f aca="false">$C$4+$C$5*B96+$C$6*C96+$C$7*D96</f>
        <v>0</v>
      </c>
      <c r="G96" s="10" t="n">
        <f aca="false">1/(1+EXP(-F96))</f>
        <v>0.5</v>
      </c>
      <c r="H96" s="10" t="n">
        <f aca="false">E96*LN(MAX(G96,1E-015))+(1-E96)*LN(MAX(1-G96,1E-015))</f>
        <v>-0.693147180559945</v>
      </c>
      <c r="I96" s="2" t="n">
        <f aca="false">IF(G96&gt;=$C$10,1,0)</f>
        <v>1</v>
      </c>
    </row>
    <row r="97" customFormat="false" ht="15" hidden="false" customHeight="false" outlineLevel="0" collapsed="false">
      <c r="A97" s="11" t="n">
        <f aca="false">Data!A82</f>
        <v>81</v>
      </c>
      <c r="B97" s="11" t="n">
        <f aca="false">Data!B82</f>
        <v>48.9</v>
      </c>
      <c r="C97" s="11" t="n">
        <f aca="false">Data!C82</f>
        <v>4.21</v>
      </c>
      <c r="D97" s="11" t="n">
        <f aca="false">Data!J82</f>
        <v>0</v>
      </c>
      <c r="E97" s="11" t="n">
        <f aca="false">Data!K82</f>
        <v>0</v>
      </c>
      <c r="F97" s="10" t="n">
        <f aca="false">$C$4+$C$5*B97+$C$6*C97+$C$7*D97</f>
        <v>0</v>
      </c>
      <c r="G97" s="10" t="n">
        <f aca="false">1/(1+EXP(-F97))</f>
        <v>0.5</v>
      </c>
      <c r="H97" s="10" t="n">
        <f aca="false">E97*LN(MAX(G97,1E-015))+(1-E97)*LN(MAX(1-G97,1E-015))</f>
        <v>-0.693147180559945</v>
      </c>
      <c r="I97" s="2" t="n">
        <f aca="false">IF(G97&gt;=$C$10,1,0)</f>
        <v>1</v>
      </c>
    </row>
    <row r="98" customFormat="false" ht="15" hidden="false" customHeight="false" outlineLevel="0" collapsed="false">
      <c r="A98" s="11" t="n">
        <f aca="false">Data!A83</f>
        <v>82</v>
      </c>
      <c r="B98" s="11" t="n">
        <f aca="false">Data!B83</f>
        <v>26.4</v>
      </c>
      <c r="C98" s="11" t="n">
        <f aca="false">Data!C83</f>
        <v>0.9</v>
      </c>
      <c r="D98" s="11" t="n">
        <f aca="false">Data!J83</f>
        <v>0</v>
      </c>
      <c r="E98" s="11" t="n">
        <f aca="false">Data!K83</f>
        <v>0</v>
      </c>
      <c r="F98" s="10" t="n">
        <f aca="false">$C$4+$C$5*B98+$C$6*C98+$C$7*D98</f>
        <v>0</v>
      </c>
      <c r="G98" s="10" t="n">
        <f aca="false">1/(1+EXP(-F98))</f>
        <v>0.5</v>
      </c>
      <c r="H98" s="10" t="n">
        <f aca="false">E98*LN(MAX(G98,1E-015))+(1-E98)*LN(MAX(1-G98,1E-015))</f>
        <v>-0.693147180559945</v>
      </c>
      <c r="I98" s="2" t="n">
        <f aca="false">IF(G98&gt;=$C$10,1,0)</f>
        <v>1</v>
      </c>
    </row>
    <row r="99" customFormat="false" ht="15" hidden="false" customHeight="false" outlineLevel="0" collapsed="false">
      <c r="A99" s="11" t="n">
        <f aca="false">Data!A84</f>
        <v>83</v>
      </c>
      <c r="B99" s="11" t="n">
        <f aca="false">Data!B84</f>
        <v>31.1</v>
      </c>
      <c r="C99" s="11" t="n">
        <f aca="false">Data!C84</f>
        <v>3.82</v>
      </c>
      <c r="D99" s="11" t="n">
        <f aca="false">Data!J84</f>
        <v>0</v>
      </c>
      <c r="E99" s="11" t="n">
        <f aca="false">Data!K84</f>
        <v>1</v>
      </c>
      <c r="F99" s="10" t="n">
        <f aca="false">$C$4+$C$5*B99+$C$6*C99+$C$7*D99</f>
        <v>0</v>
      </c>
      <c r="G99" s="10" t="n">
        <f aca="false">1/(1+EXP(-F99))</f>
        <v>0.5</v>
      </c>
      <c r="H99" s="10" t="n">
        <f aca="false">E99*LN(MAX(G99,1E-015))+(1-E99)*LN(MAX(1-G99,1E-015))</f>
        <v>-0.693147180559945</v>
      </c>
      <c r="I99" s="2" t="n">
        <f aca="false">IF(G99&gt;=$C$10,1,0)</f>
        <v>1</v>
      </c>
    </row>
    <row r="100" customFormat="false" ht="15" hidden="false" customHeight="false" outlineLevel="0" collapsed="false">
      <c r="A100" s="11" t="n">
        <f aca="false">Data!A85</f>
        <v>84</v>
      </c>
      <c r="B100" s="11" t="n">
        <f aca="false">Data!B85</f>
        <v>30.8</v>
      </c>
      <c r="C100" s="11" t="n">
        <f aca="false">Data!C85</f>
        <v>3.18</v>
      </c>
      <c r="D100" s="11" t="n">
        <f aca="false">Data!J85</f>
        <v>0</v>
      </c>
      <c r="E100" s="11" t="n">
        <f aca="false">Data!K85</f>
        <v>0</v>
      </c>
      <c r="F100" s="10" t="n">
        <f aca="false">$C$4+$C$5*B100+$C$6*C100+$C$7*D100</f>
        <v>0</v>
      </c>
      <c r="G100" s="10" t="n">
        <f aca="false">1/(1+EXP(-F100))</f>
        <v>0.5</v>
      </c>
      <c r="H100" s="10" t="n">
        <f aca="false">E100*LN(MAX(G100,1E-015))+(1-E100)*LN(MAX(1-G100,1E-015))</f>
        <v>-0.693147180559945</v>
      </c>
      <c r="I100" s="2" t="n">
        <f aca="false">IF(G100&gt;=$C$10,1,0)</f>
        <v>1</v>
      </c>
    </row>
    <row r="101" customFormat="false" ht="15" hidden="false" customHeight="false" outlineLevel="0" collapsed="false">
      <c r="A101" s="11" t="n">
        <f aca="false">Data!A86</f>
        <v>85</v>
      </c>
      <c r="B101" s="11" t="n">
        <f aca="false">Data!B86</f>
        <v>19.7</v>
      </c>
      <c r="C101" s="11" t="n">
        <f aca="false">Data!C86</f>
        <v>0.9</v>
      </c>
      <c r="D101" s="11" t="n">
        <f aca="false">Data!J86</f>
        <v>0</v>
      </c>
      <c r="E101" s="11" t="n">
        <f aca="false">Data!K86</f>
        <v>0</v>
      </c>
      <c r="F101" s="10" t="n">
        <f aca="false">$C$4+$C$5*B101+$C$6*C101+$C$7*D101</f>
        <v>0</v>
      </c>
      <c r="G101" s="10" t="n">
        <f aca="false">1/(1+EXP(-F101))</f>
        <v>0.5</v>
      </c>
      <c r="H101" s="10" t="n">
        <f aca="false">E101*LN(MAX(G101,1E-015))+(1-E101)*LN(MAX(1-G101,1E-015))</f>
        <v>-0.693147180559945</v>
      </c>
      <c r="I101" s="2" t="n">
        <f aca="false">IF(G101&gt;=$C$10,1,0)</f>
        <v>1</v>
      </c>
    </row>
    <row r="102" customFormat="false" ht="15" hidden="false" customHeight="false" outlineLevel="0" collapsed="false">
      <c r="A102" s="11" t="n">
        <f aca="false">Data!A87</f>
        <v>86</v>
      </c>
      <c r="B102" s="11" t="n">
        <f aca="false">Data!B87</f>
        <v>49.7</v>
      </c>
      <c r="C102" s="11" t="n">
        <f aca="false">Data!C87</f>
        <v>3.02</v>
      </c>
      <c r="D102" s="11" t="n">
        <f aca="false">Data!J87</f>
        <v>0</v>
      </c>
      <c r="E102" s="11" t="n">
        <f aca="false">Data!K87</f>
        <v>0</v>
      </c>
      <c r="F102" s="10" t="n">
        <f aca="false">$C$4+$C$5*B102+$C$6*C102+$C$7*D102</f>
        <v>0</v>
      </c>
      <c r="G102" s="10" t="n">
        <f aca="false">1/(1+EXP(-F102))</f>
        <v>0.5</v>
      </c>
      <c r="H102" s="10" t="n">
        <f aca="false">E102*LN(MAX(G102,1E-015))+(1-E102)*LN(MAX(1-G102,1E-015))</f>
        <v>-0.693147180559945</v>
      </c>
      <c r="I102" s="2" t="n">
        <f aca="false">IF(G102&gt;=$C$10,1,0)</f>
        <v>1</v>
      </c>
    </row>
    <row r="103" customFormat="false" ht="15" hidden="false" customHeight="false" outlineLevel="0" collapsed="false">
      <c r="A103" s="11" t="n">
        <f aca="false">Data!A88</f>
        <v>87</v>
      </c>
      <c r="B103" s="11" t="n">
        <f aca="false">Data!B88</f>
        <v>29.4</v>
      </c>
      <c r="C103" s="11" t="n">
        <f aca="false">Data!C88</f>
        <v>2.86</v>
      </c>
      <c r="D103" s="11" t="n">
        <f aca="false">Data!J88</f>
        <v>0</v>
      </c>
      <c r="E103" s="11" t="n">
        <f aca="false">Data!K88</f>
        <v>0</v>
      </c>
      <c r="F103" s="10" t="n">
        <f aca="false">$C$4+$C$5*B103+$C$6*C103+$C$7*D103</f>
        <v>0</v>
      </c>
      <c r="G103" s="10" t="n">
        <f aca="false">1/(1+EXP(-F103))</f>
        <v>0.5</v>
      </c>
      <c r="H103" s="10" t="n">
        <f aca="false">E103*LN(MAX(G103,1E-015))+(1-E103)*LN(MAX(1-G103,1E-015))</f>
        <v>-0.693147180559945</v>
      </c>
      <c r="I103" s="2" t="n">
        <f aca="false">IF(G103&gt;=$C$10,1,0)</f>
        <v>1</v>
      </c>
    </row>
    <row r="104" customFormat="false" ht="15" hidden="false" customHeight="false" outlineLevel="0" collapsed="false">
      <c r="A104" s="11" t="n">
        <f aca="false">Data!A89</f>
        <v>88</v>
      </c>
      <c r="B104" s="11" t="n">
        <f aca="false">Data!B89</f>
        <v>38.3</v>
      </c>
      <c r="C104" s="11" t="n">
        <f aca="false">Data!C89</f>
        <v>3.07</v>
      </c>
      <c r="D104" s="11" t="n">
        <f aca="false">Data!J89</f>
        <v>0</v>
      </c>
      <c r="E104" s="11" t="n">
        <f aca="false">Data!K89</f>
        <v>0</v>
      </c>
      <c r="F104" s="10" t="n">
        <f aca="false">$C$4+$C$5*B104+$C$6*C104+$C$7*D104</f>
        <v>0</v>
      </c>
      <c r="G104" s="10" t="n">
        <f aca="false">1/(1+EXP(-F104))</f>
        <v>0.5</v>
      </c>
      <c r="H104" s="10" t="n">
        <f aca="false">E104*LN(MAX(G104,1E-015))+(1-E104)*LN(MAX(1-G104,1E-015))</f>
        <v>-0.693147180559945</v>
      </c>
      <c r="I104" s="2" t="n">
        <f aca="false">IF(G104&gt;=$C$10,1,0)</f>
        <v>1</v>
      </c>
    </row>
    <row r="105" customFormat="false" ht="15" hidden="false" customHeight="false" outlineLevel="0" collapsed="false">
      <c r="A105" s="11" t="n">
        <f aca="false">Data!A90</f>
        <v>89</v>
      </c>
      <c r="B105" s="11" t="n">
        <f aca="false">Data!B90</f>
        <v>49.5</v>
      </c>
      <c r="C105" s="11" t="n">
        <f aca="false">Data!C90</f>
        <v>3.24</v>
      </c>
      <c r="D105" s="11" t="n">
        <f aca="false">Data!J90</f>
        <v>0</v>
      </c>
      <c r="E105" s="11" t="n">
        <f aca="false">Data!K90</f>
        <v>0</v>
      </c>
      <c r="F105" s="10" t="n">
        <f aca="false">$C$4+$C$5*B105+$C$6*C105+$C$7*D105</f>
        <v>0</v>
      </c>
      <c r="G105" s="10" t="n">
        <f aca="false">1/(1+EXP(-F105))</f>
        <v>0.5</v>
      </c>
      <c r="H105" s="10" t="n">
        <f aca="false">E105*LN(MAX(G105,1E-015))+(1-E105)*LN(MAX(1-G105,1E-015))</f>
        <v>-0.693147180559945</v>
      </c>
      <c r="I105" s="2" t="n">
        <f aca="false">IF(G105&gt;=$C$10,1,0)</f>
        <v>1</v>
      </c>
    </row>
    <row r="106" customFormat="false" ht="15" hidden="false" customHeight="false" outlineLevel="0" collapsed="false">
      <c r="A106" s="11" t="n">
        <f aca="false">Data!A91</f>
        <v>90</v>
      </c>
      <c r="B106" s="11" t="n">
        <f aca="false">Data!B91</f>
        <v>48.6</v>
      </c>
      <c r="C106" s="11" t="n">
        <f aca="false">Data!C91</f>
        <v>3.44</v>
      </c>
      <c r="D106" s="11" t="n">
        <f aca="false">Data!J91</f>
        <v>0</v>
      </c>
      <c r="E106" s="11" t="n">
        <f aca="false">Data!K91</f>
        <v>0</v>
      </c>
      <c r="F106" s="10" t="n">
        <f aca="false">$C$4+$C$5*B106+$C$6*C106+$C$7*D106</f>
        <v>0</v>
      </c>
      <c r="G106" s="10" t="n">
        <f aca="false">1/(1+EXP(-F106))</f>
        <v>0.5</v>
      </c>
      <c r="H106" s="10" t="n">
        <f aca="false">E106*LN(MAX(G106,1E-015))+(1-E106)*LN(MAX(1-G106,1E-015))</f>
        <v>-0.693147180559945</v>
      </c>
      <c r="I106" s="2" t="n">
        <f aca="false">IF(G106&gt;=$C$10,1,0)</f>
        <v>1</v>
      </c>
    </row>
    <row r="107" customFormat="false" ht="15" hidden="false" customHeight="false" outlineLevel="0" collapsed="false">
      <c r="A107" s="11" t="n">
        <f aca="false">Data!A92</f>
        <v>91</v>
      </c>
      <c r="B107" s="11" t="n">
        <f aca="false">Data!B92</f>
        <v>54.8</v>
      </c>
      <c r="C107" s="11" t="n">
        <f aca="false">Data!C92</f>
        <v>3.59</v>
      </c>
      <c r="D107" s="11" t="n">
        <f aca="false">Data!J92</f>
        <v>0</v>
      </c>
      <c r="E107" s="11" t="n">
        <f aca="false">Data!K92</f>
        <v>0</v>
      </c>
      <c r="F107" s="10" t="n">
        <f aca="false">$C$4+$C$5*B107+$C$6*C107+$C$7*D107</f>
        <v>0</v>
      </c>
      <c r="G107" s="10" t="n">
        <f aca="false">1/(1+EXP(-F107))</f>
        <v>0.5</v>
      </c>
      <c r="H107" s="10" t="n">
        <f aca="false">E107*LN(MAX(G107,1E-015))+(1-E107)*LN(MAX(1-G107,1E-015))</f>
        <v>-0.693147180559945</v>
      </c>
      <c r="I107" s="2" t="n">
        <f aca="false">IF(G107&gt;=$C$10,1,0)</f>
        <v>1</v>
      </c>
    </row>
    <row r="108" customFormat="false" ht="15" hidden="false" customHeight="false" outlineLevel="0" collapsed="false">
      <c r="A108" s="11" t="n">
        <f aca="false">Data!A93</f>
        <v>92</v>
      </c>
      <c r="B108" s="11" t="n">
        <f aca="false">Data!B93</f>
        <v>36</v>
      </c>
      <c r="C108" s="11" t="n">
        <f aca="false">Data!C93</f>
        <v>3.08</v>
      </c>
      <c r="D108" s="11" t="n">
        <f aca="false">Data!J93</f>
        <v>0</v>
      </c>
      <c r="E108" s="11" t="n">
        <f aca="false">Data!K93</f>
        <v>1</v>
      </c>
      <c r="F108" s="10" t="n">
        <f aca="false">$C$4+$C$5*B108+$C$6*C108+$C$7*D108</f>
        <v>0</v>
      </c>
      <c r="G108" s="10" t="n">
        <f aca="false">1/(1+EXP(-F108))</f>
        <v>0.5</v>
      </c>
      <c r="H108" s="10" t="n">
        <f aca="false">E108*LN(MAX(G108,1E-015))+(1-E108)*LN(MAX(1-G108,1E-015))</f>
        <v>-0.693147180559945</v>
      </c>
      <c r="I108" s="2" t="n">
        <f aca="false">IF(G108&gt;=$C$10,1,0)</f>
        <v>1</v>
      </c>
    </row>
    <row r="109" customFormat="false" ht="15" hidden="false" customHeight="false" outlineLevel="0" collapsed="false">
      <c r="A109" s="11" t="n">
        <f aca="false">Data!A94</f>
        <v>93</v>
      </c>
      <c r="B109" s="11" t="n">
        <f aca="false">Data!B94</f>
        <v>30.1</v>
      </c>
      <c r="C109" s="11" t="n">
        <f aca="false">Data!C94</f>
        <v>4.47</v>
      </c>
      <c r="D109" s="11" t="n">
        <f aca="false">Data!J94</f>
        <v>0</v>
      </c>
      <c r="E109" s="11" t="n">
        <f aca="false">Data!K94</f>
        <v>1</v>
      </c>
      <c r="F109" s="10" t="n">
        <f aca="false">$C$4+$C$5*B109+$C$6*C109+$C$7*D109</f>
        <v>0</v>
      </c>
      <c r="G109" s="10" t="n">
        <f aca="false">1/(1+EXP(-F109))</f>
        <v>0.5</v>
      </c>
      <c r="H109" s="10" t="n">
        <f aca="false">E109*LN(MAX(G109,1E-015))+(1-E109)*LN(MAX(1-G109,1E-015))</f>
        <v>-0.693147180559945</v>
      </c>
      <c r="I109" s="2" t="n">
        <f aca="false">IF(G109&gt;=$C$10,1,0)</f>
        <v>1</v>
      </c>
    </row>
    <row r="110" customFormat="false" ht="15" hidden="false" customHeight="false" outlineLevel="0" collapsed="false">
      <c r="A110" s="11" t="n">
        <f aca="false">Data!A95</f>
        <v>94</v>
      </c>
      <c r="B110" s="11" t="n">
        <f aca="false">Data!B95</f>
        <v>36.4</v>
      </c>
      <c r="C110" s="11" t="n">
        <f aca="false">Data!C95</f>
        <v>0.9</v>
      </c>
      <c r="D110" s="11" t="n">
        <f aca="false">Data!J95</f>
        <v>1</v>
      </c>
      <c r="E110" s="11" t="n">
        <f aca="false">Data!K95</f>
        <v>0</v>
      </c>
      <c r="F110" s="10" t="n">
        <f aca="false">$C$4+$C$5*B110+$C$6*C110+$C$7*D110</f>
        <v>0</v>
      </c>
      <c r="G110" s="10" t="n">
        <f aca="false">1/(1+EXP(-F110))</f>
        <v>0.5</v>
      </c>
      <c r="H110" s="10" t="n">
        <f aca="false">E110*LN(MAX(G110,1E-015))+(1-E110)*LN(MAX(1-G110,1E-015))</f>
        <v>-0.693147180559945</v>
      </c>
      <c r="I110" s="2" t="n">
        <f aca="false">IF(G110&gt;=$C$10,1,0)</f>
        <v>1</v>
      </c>
    </row>
    <row r="111" customFormat="false" ht="15" hidden="false" customHeight="false" outlineLevel="0" collapsed="false">
      <c r="A111" s="11" t="n">
        <f aca="false">Data!A96</f>
        <v>95</v>
      </c>
      <c r="B111" s="11" t="n">
        <f aca="false">Data!B96</f>
        <v>15</v>
      </c>
      <c r="C111" s="11" t="n">
        <f aca="false">Data!C96</f>
        <v>1.42</v>
      </c>
      <c r="D111" s="11" t="n">
        <f aca="false">Data!J96</f>
        <v>0</v>
      </c>
      <c r="E111" s="11" t="n">
        <f aca="false">Data!K96</f>
        <v>0</v>
      </c>
      <c r="F111" s="10" t="n">
        <f aca="false">$C$4+$C$5*B111+$C$6*C111+$C$7*D111</f>
        <v>0</v>
      </c>
      <c r="G111" s="10" t="n">
        <f aca="false">1/(1+EXP(-F111))</f>
        <v>0.5</v>
      </c>
      <c r="H111" s="10" t="n">
        <f aca="false">E111*LN(MAX(G111,1E-015))+(1-E111)*LN(MAX(1-G111,1E-015))</f>
        <v>-0.693147180559945</v>
      </c>
      <c r="I111" s="2" t="n">
        <f aca="false">IF(G111&gt;=$C$10,1,0)</f>
        <v>1</v>
      </c>
    </row>
    <row r="112" customFormat="false" ht="15" hidden="false" customHeight="false" outlineLevel="0" collapsed="false">
      <c r="A112" s="11" t="n">
        <f aca="false">Data!A97</f>
        <v>96</v>
      </c>
      <c r="B112" s="11" t="n">
        <f aca="false">Data!B97</f>
        <v>17.1</v>
      </c>
      <c r="C112" s="11" t="n">
        <f aca="false">Data!C97</f>
        <v>2.07</v>
      </c>
      <c r="D112" s="11" t="n">
        <f aca="false">Data!J97</f>
        <v>0</v>
      </c>
      <c r="E112" s="11" t="n">
        <f aca="false">Data!K97</f>
        <v>0</v>
      </c>
      <c r="F112" s="10" t="n">
        <f aca="false">$C$4+$C$5*B112+$C$6*C112+$C$7*D112</f>
        <v>0</v>
      </c>
      <c r="G112" s="10" t="n">
        <f aca="false">1/(1+EXP(-F112))</f>
        <v>0.5</v>
      </c>
      <c r="H112" s="10" t="n">
        <f aca="false">E112*LN(MAX(G112,1E-015))+(1-E112)*LN(MAX(1-G112,1E-015))</f>
        <v>-0.693147180559945</v>
      </c>
      <c r="I112" s="2" t="n">
        <f aca="false">IF(G112&gt;=$C$10,1,0)</f>
        <v>1</v>
      </c>
    </row>
    <row r="113" customFormat="false" ht="15" hidden="false" customHeight="false" outlineLevel="0" collapsed="false">
      <c r="A113" s="11" t="n">
        <f aca="false">Data!A98</f>
        <v>97</v>
      </c>
      <c r="B113" s="11" t="n">
        <f aca="false">Data!B98</f>
        <v>18.4</v>
      </c>
      <c r="C113" s="11" t="n">
        <f aca="false">Data!C98</f>
        <v>2.3</v>
      </c>
      <c r="D113" s="11" t="n">
        <f aca="false">Data!J98</f>
        <v>0</v>
      </c>
      <c r="E113" s="11" t="n">
        <f aca="false">Data!K98</f>
        <v>0</v>
      </c>
      <c r="F113" s="10" t="n">
        <f aca="false">$C$4+$C$5*B113+$C$6*C113+$C$7*D113</f>
        <v>0</v>
      </c>
      <c r="G113" s="10" t="n">
        <f aca="false">1/(1+EXP(-F113))</f>
        <v>0.5</v>
      </c>
      <c r="H113" s="10" t="n">
        <f aca="false">E113*LN(MAX(G113,1E-015))+(1-E113)*LN(MAX(1-G113,1E-015))</f>
        <v>-0.693147180559945</v>
      </c>
      <c r="I113" s="2" t="n">
        <f aca="false">IF(G113&gt;=$C$10,1,0)</f>
        <v>1</v>
      </c>
    </row>
    <row r="114" customFormat="false" ht="15" hidden="false" customHeight="false" outlineLevel="0" collapsed="false">
      <c r="A114" s="11" t="n">
        <f aca="false">Data!A99</f>
        <v>98</v>
      </c>
      <c r="B114" s="11" t="n">
        <f aca="false">Data!B99</f>
        <v>22</v>
      </c>
      <c r="C114" s="11" t="n">
        <f aca="false">Data!C99</f>
        <v>1.63</v>
      </c>
      <c r="D114" s="11" t="n">
        <f aca="false">Data!J99</f>
        <v>0</v>
      </c>
      <c r="E114" s="11" t="n">
        <f aca="false">Data!K99</f>
        <v>0</v>
      </c>
      <c r="F114" s="10" t="n">
        <f aca="false">$C$4+$C$5*B114+$C$6*C114+$C$7*D114</f>
        <v>0</v>
      </c>
      <c r="G114" s="10" t="n">
        <f aca="false">1/(1+EXP(-F114))</f>
        <v>0.5</v>
      </c>
      <c r="H114" s="10" t="n">
        <f aca="false">E114*LN(MAX(G114,1E-015))+(1-E114)*LN(MAX(1-G114,1E-015))</f>
        <v>-0.693147180559945</v>
      </c>
      <c r="I114" s="2" t="n">
        <f aca="false">IF(G114&gt;=$C$10,1,0)</f>
        <v>1</v>
      </c>
    </row>
    <row r="115" customFormat="false" ht="15" hidden="false" customHeight="false" outlineLevel="0" collapsed="false">
      <c r="A115" s="11" t="n">
        <f aca="false">Data!A100</f>
        <v>99</v>
      </c>
      <c r="B115" s="11" t="n">
        <f aca="false">Data!B100</f>
        <v>47.3</v>
      </c>
      <c r="C115" s="11" t="n">
        <f aca="false">Data!C100</f>
        <v>1.22</v>
      </c>
      <c r="D115" s="11" t="n">
        <f aca="false">Data!J100</f>
        <v>0</v>
      </c>
      <c r="E115" s="11" t="n">
        <f aca="false">Data!K100</f>
        <v>0</v>
      </c>
      <c r="F115" s="10" t="n">
        <f aca="false">$C$4+$C$5*B115+$C$6*C115+$C$7*D115</f>
        <v>0</v>
      </c>
      <c r="G115" s="10" t="n">
        <f aca="false">1/(1+EXP(-F115))</f>
        <v>0.5</v>
      </c>
      <c r="H115" s="10" t="n">
        <f aca="false">E115*LN(MAX(G115,1E-015))+(1-E115)*LN(MAX(1-G115,1E-015))</f>
        <v>-0.693147180559945</v>
      </c>
      <c r="I115" s="2" t="n">
        <f aca="false">IF(G115&gt;=$C$10,1,0)</f>
        <v>1</v>
      </c>
    </row>
    <row r="116" customFormat="false" ht="15" hidden="false" customHeight="false" outlineLevel="0" collapsed="false">
      <c r="A116" s="11" t="n">
        <f aca="false">Data!A101</f>
        <v>100</v>
      </c>
      <c r="B116" s="11" t="n">
        <f aca="false">Data!B101</f>
        <v>23.1</v>
      </c>
      <c r="C116" s="11" t="n">
        <f aca="false">Data!C101</f>
        <v>2.6</v>
      </c>
      <c r="D116" s="11" t="n">
        <f aca="false">Data!J101</f>
        <v>0</v>
      </c>
      <c r="E116" s="11" t="n">
        <f aca="false">Data!K101</f>
        <v>0</v>
      </c>
      <c r="F116" s="10" t="n">
        <f aca="false">$C$4+$C$5*B116+$C$6*C116+$C$7*D116</f>
        <v>0</v>
      </c>
      <c r="G116" s="10" t="n">
        <f aca="false">1/(1+EXP(-F116))</f>
        <v>0.5</v>
      </c>
      <c r="H116" s="10" t="n">
        <f aca="false">E116*LN(MAX(G116,1E-015))+(1-E116)*LN(MAX(1-G116,1E-015))</f>
        <v>-0.693147180559945</v>
      </c>
      <c r="I116" s="2" t="n">
        <f aca="false">IF(G116&gt;=$C$10,1,0)</f>
        <v>1</v>
      </c>
    </row>
    <row r="117" customFormat="false" ht="15" hidden="false" customHeight="false" outlineLevel="0" collapsed="false">
      <c r="A117" s="11" t="n">
        <f aca="false">Data!A102</f>
        <v>101</v>
      </c>
      <c r="B117" s="11" t="n">
        <f aca="false">Data!B102</f>
        <v>30.9</v>
      </c>
      <c r="C117" s="11" t="n">
        <f aca="false">Data!C102</f>
        <v>4.85</v>
      </c>
      <c r="D117" s="11" t="n">
        <f aca="false">Data!J102</f>
        <v>0</v>
      </c>
      <c r="E117" s="11" t="n">
        <f aca="false">Data!K102</f>
        <v>1</v>
      </c>
      <c r="F117" s="10" t="n">
        <f aca="false">$C$4+$C$5*B117+$C$6*C117+$C$7*D117</f>
        <v>0</v>
      </c>
      <c r="G117" s="10" t="n">
        <f aca="false">1/(1+EXP(-F117))</f>
        <v>0.5</v>
      </c>
      <c r="H117" s="10" t="n">
        <f aca="false">E117*LN(MAX(G117,1E-015))+(1-E117)*LN(MAX(1-G117,1E-015))</f>
        <v>-0.693147180559945</v>
      </c>
      <c r="I117" s="2" t="n">
        <f aca="false">IF(G117&gt;=$C$10,1,0)</f>
        <v>1</v>
      </c>
    </row>
    <row r="118" customFormat="false" ht="15" hidden="false" customHeight="false" outlineLevel="0" collapsed="false">
      <c r="A118" s="11" t="n">
        <f aca="false">Data!A103</f>
        <v>102</v>
      </c>
      <c r="B118" s="11" t="n">
        <f aca="false">Data!B103</f>
        <v>77.6</v>
      </c>
      <c r="C118" s="11" t="n">
        <f aca="false">Data!C103</f>
        <v>3.17</v>
      </c>
      <c r="D118" s="11" t="n">
        <f aca="false">Data!J103</f>
        <v>0</v>
      </c>
      <c r="E118" s="11" t="n">
        <f aca="false">Data!K103</f>
        <v>0</v>
      </c>
      <c r="F118" s="10" t="n">
        <f aca="false">$C$4+$C$5*B118+$C$6*C118+$C$7*D118</f>
        <v>0</v>
      </c>
      <c r="G118" s="10" t="n">
        <f aca="false">1/(1+EXP(-F118))</f>
        <v>0.5</v>
      </c>
      <c r="H118" s="10" t="n">
        <f aca="false">E118*LN(MAX(G118,1E-015))+(1-E118)*LN(MAX(1-G118,1E-015))</f>
        <v>-0.693147180559945</v>
      </c>
      <c r="I118" s="2" t="n">
        <f aca="false">IF(G118&gt;=$C$10,1,0)</f>
        <v>1</v>
      </c>
    </row>
    <row r="119" customFormat="false" ht="15" hidden="false" customHeight="false" outlineLevel="0" collapsed="false">
      <c r="A119" s="11" t="n">
        <f aca="false">Data!A104</f>
        <v>103</v>
      </c>
      <c r="B119" s="11" t="n">
        <f aca="false">Data!B104</f>
        <v>31.2</v>
      </c>
      <c r="C119" s="11" t="n">
        <f aca="false">Data!C104</f>
        <v>3.74</v>
      </c>
      <c r="D119" s="11" t="n">
        <f aca="false">Data!J104</f>
        <v>0</v>
      </c>
      <c r="E119" s="11" t="n">
        <f aca="false">Data!K104</f>
        <v>0</v>
      </c>
      <c r="F119" s="10" t="n">
        <f aca="false">$C$4+$C$5*B119+$C$6*C119+$C$7*D119</f>
        <v>0</v>
      </c>
      <c r="G119" s="10" t="n">
        <f aca="false">1/(1+EXP(-F119))</f>
        <v>0.5</v>
      </c>
      <c r="H119" s="10" t="n">
        <f aca="false">E119*LN(MAX(G119,1E-015))+(1-E119)*LN(MAX(1-G119,1E-015))</f>
        <v>-0.693147180559945</v>
      </c>
      <c r="I119" s="2" t="n">
        <f aca="false">IF(G119&gt;=$C$10,1,0)</f>
        <v>1</v>
      </c>
    </row>
    <row r="120" customFormat="false" ht="15" hidden="false" customHeight="false" outlineLevel="0" collapsed="false">
      <c r="A120" s="11" t="n">
        <f aca="false">Data!A105</f>
        <v>104</v>
      </c>
      <c r="B120" s="11" t="n">
        <f aca="false">Data!B105</f>
        <v>57</v>
      </c>
      <c r="C120" s="11" t="n">
        <f aca="false">Data!C105</f>
        <v>3.61</v>
      </c>
      <c r="D120" s="11" t="n">
        <f aca="false">Data!J105</f>
        <v>0</v>
      </c>
      <c r="E120" s="11" t="n">
        <f aca="false">Data!K105</f>
        <v>0</v>
      </c>
      <c r="F120" s="10" t="n">
        <f aca="false">$C$4+$C$5*B120+$C$6*C120+$C$7*D120</f>
        <v>0</v>
      </c>
      <c r="G120" s="10" t="n">
        <f aca="false">1/(1+EXP(-F120))</f>
        <v>0.5</v>
      </c>
      <c r="H120" s="10" t="n">
        <f aca="false">E120*LN(MAX(G120,1E-015))+(1-E120)*LN(MAX(1-G120,1E-015))</f>
        <v>-0.693147180559945</v>
      </c>
      <c r="I120" s="2" t="n">
        <f aca="false">IF(G120&gt;=$C$10,1,0)</f>
        <v>1</v>
      </c>
    </row>
    <row r="121" customFormat="false" ht="15" hidden="false" customHeight="false" outlineLevel="0" collapsed="false">
      <c r="A121" s="11" t="n">
        <f aca="false">Data!A106</f>
        <v>105</v>
      </c>
      <c r="B121" s="11" t="n">
        <f aca="false">Data!B106</f>
        <v>22.7</v>
      </c>
      <c r="C121" s="11" t="n">
        <f aca="false">Data!C106</f>
        <v>2.07</v>
      </c>
      <c r="D121" s="11" t="n">
        <f aca="false">Data!J106</f>
        <v>0</v>
      </c>
      <c r="E121" s="11" t="n">
        <f aca="false">Data!K106</f>
        <v>1</v>
      </c>
      <c r="F121" s="10" t="n">
        <f aca="false">$C$4+$C$5*B121+$C$6*C121+$C$7*D121</f>
        <v>0</v>
      </c>
      <c r="G121" s="10" t="n">
        <f aca="false">1/(1+EXP(-F121))</f>
        <v>0.5</v>
      </c>
      <c r="H121" s="10" t="n">
        <f aca="false">E121*LN(MAX(G121,1E-015))+(1-E121)*LN(MAX(1-G121,1E-015))</f>
        <v>-0.693147180559945</v>
      </c>
      <c r="I121" s="2" t="n">
        <f aca="false">IF(G121&gt;=$C$10,1,0)</f>
        <v>1</v>
      </c>
    </row>
    <row r="122" customFormat="false" ht="15" hidden="false" customHeight="false" outlineLevel="0" collapsed="false">
      <c r="A122" s="11" t="n">
        <f aca="false">Data!A107</f>
        <v>106</v>
      </c>
      <c r="B122" s="11" t="n">
        <f aca="false">Data!B107</f>
        <v>33.9</v>
      </c>
      <c r="C122" s="11" t="n">
        <f aca="false">Data!C107</f>
        <v>1.4</v>
      </c>
      <c r="D122" s="11" t="n">
        <f aca="false">Data!J107</f>
        <v>0</v>
      </c>
      <c r="E122" s="11" t="n">
        <f aca="false">Data!K107</f>
        <v>0</v>
      </c>
      <c r="F122" s="10" t="n">
        <f aca="false">$C$4+$C$5*B122+$C$6*C122+$C$7*D122</f>
        <v>0</v>
      </c>
      <c r="G122" s="10" t="n">
        <f aca="false">1/(1+EXP(-F122))</f>
        <v>0.5</v>
      </c>
      <c r="H122" s="10" t="n">
        <f aca="false">E122*LN(MAX(G122,1E-015))+(1-E122)*LN(MAX(1-G122,1E-015))</f>
        <v>-0.693147180559945</v>
      </c>
      <c r="I122" s="2" t="n">
        <f aca="false">IF(G122&gt;=$C$10,1,0)</f>
        <v>1</v>
      </c>
    </row>
    <row r="123" customFormat="false" ht="15" hidden="false" customHeight="false" outlineLevel="0" collapsed="false">
      <c r="A123" s="11" t="n">
        <f aca="false">Data!A108</f>
        <v>107</v>
      </c>
      <c r="B123" s="11" t="n">
        <f aca="false">Data!B108</f>
        <v>22.5</v>
      </c>
      <c r="C123" s="11" t="n">
        <f aca="false">Data!C108</f>
        <v>1.7</v>
      </c>
      <c r="D123" s="11" t="n">
        <f aca="false">Data!J108</f>
        <v>0</v>
      </c>
      <c r="E123" s="11" t="n">
        <f aca="false">Data!K108</f>
        <v>0</v>
      </c>
      <c r="F123" s="10" t="n">
        <f aca="false">$C$4+$C$5*B123+$C$6*C123+$C$7*D123</f>
        <v>0</v>
      </c>
      <c r="G123" s="10" t="n">
        <f aca="false">1/(1+EXP(-F123))</f>
        <v>0.5</v>
      </c>
      <c r="H123" s="10" t="n">
        <f aca="false">E123*LN(MAX(G123,1E-015))+(1-E123)*LN(MAX(1-G123,1E-015))</f>
        <v>-0.693147180559945</v>
      </c>
      <c r="I123" s="2" t="n">
        <f aca="false">IF(G123&gt;=$C$10,1,0)</f>
        <v>1</v>
      </c>
    </row>
    <row r="124" customFormat="false" ht="15" hidden="false" customHeight="false" outlineLevel="0" collapsed="false">
      <c r="A124" s="11" t="n">
        <f aca="false">Data!A109</f>
        <v>108</v>
      </c>
      <c r="B124" s="11" t="n">
        <f aca="false">Data!B109</f>
        <v>31.5</v>
      </c>
      <c r="C124" s="11" t="n">
        <f aca="false">Data!C109</f>
        <v>4.32</v>
      </c>
      <c r="D124" s="11" t="n">
        <f aca="false">Data!J109</f>
        <v>0</v>
      </c>
      <c r="E124" s="11" t="n">
        <f aca="false">Data!K109</f>
        <v>0</v>
      </c>
      <c r="F124" s="10" t="n">
        <f aca="false">$C$4+$C$5*B124+$C$6*C124+$C$7*D124</f>
        <v>0</v>
      </c>
      <c r="G124" s="10" t="n">
        <f aca="false">1/(1+EXP(-F124))</f>
        <v>0.5</v>
      </c>
      <c r="H124" s="10" t="n">
        <f aca="false">E124*LN(MAX(G124,1E-015))+(1-E124)*LN(MAX(1-G124,1E-015))</f>
        <v>-0.693147180559945</v>
      </c>
      <c r="I124" s="2" t="n">
        <f aca="false">IF(G124&gt;=$C$10,1,0)</f>
        <v>1</v>
      </c>
    </row>
    <row r="125" customFormat="false" ht="15" hidden="false" customHeight="false" outlineLevel="0" collapsed="false">
      <c r="A125" s="11" t="n">
        <f aca="false">Data!A110</f>
        <v>109</v>
      </c>
      <c r="B125" s="11" t="n">
        <f aca="false">Data!B110</f>
        <v>60.3</v>
      </c>
      <c r="C125" s="11" t="n">
        <f aca="false">Data!C110</f>
        <v>4.97</v>
      </c>
      <c r="D125" s="11" t="n">
        <f aca="false">Data!J110</f>
        <v>0</v>
      </c>
      <c r="E125" s="11" t="n">
        <f aca="false">Data!K110</f>
        <v>1</v>
      </c>
      <c r="F125" s="10" t="n">
        <f aca="false">$C$4+$C$5*B125+$C$6*C125+$C$7*D125</f>
        <v>0</v>
      </c>
      <c r="G125" s="10" t="n">
        <f aca="false">1/(1+EXP(-F125))</f>
        <v>0.5</v>
      </c>
      <c r="H125" s="10" t="n">
        <f aca="false">E125*LN(MAX(G125,1E-015))+(1-E125)*LN(MAX(1-G125,1E-015))</f>
        <v>-0.693147180559945</v>
      </c>
      <c r="I125" s="2" t="n">
        <f aca="false">IF(G125&gt;=$C$10,1,0)</f>
        <v>1</v>
      </c>
    </row>
    <row r="126" customFormat="false" ht="15" hidden="false" customHeight="false" outlineLevel="0" collapsed="false">
      <c r="A126" s="11" t="n">
        <f aca="false">Data!A111</f>
        <v>110</v>
      </c>
      <c r="B126" s="11" t="n">
        <f aca="false">Data!B111</f>
        <v>14.7</v>
      </c>
      <c r="C126" s="11" t="n">
        <f aca="false">Data!C111</f>
        <v>3.96</v>
      </c>
      <c r="D126" s="11" t="n">
        <f aca="false">Data!J111</f>
        <v>0</v>
      </c>
      <c r="E126" s="11" t="n">
        <f aca="false">Data!K111</f>
        <v>0</v>
      </c>
      <c r="F126" s="10" t="n">
        <f aca="false">$C$4+$C$5*B126+$C$6*C126+$C$7*D126</f>
        <v>0</v>
      </c>
      <c r="G126" s="10" t="n">
        <f aca="false">1/(1+EXP(-F126))</f>
        <v>0.5</v>
      </c>
      <c r="H126" s="10" t="n">
        <f aca="false">E126*LN(MAX(G126,1E-015))+(1-E126)*LN(MAX(1-G126,1E-015))</f>
        <v>-0.693147180559945</v>
      </c>
      <c r="I126" s="2" t="n">
        <f aca="false">IF(G126&gt;=$C$10,1,0)</f>
        <v>1</v>
      </c>
    </row>
    <row r="127" customFormat="false" ht="15" hidden="false" customHeight="false" outlineLevel="0" collapsed="false">
      <c r="A127" s="11" t="n">
        <f aca="false">Data!A112</f>
        <v>111</v>
      </c>
      <c r="B127" s="11" t="n">
        <f aca="false">Data!B112</f>
        <v>48.3</v>
      </c>
      <c r="C127" s="11" t="n">
        <f aca="false">Data!C112</f>
        <v>5.09</v>
      </c>
      <c r="D127" s="11" t="n">
        <f aca="false">Data!J112</f>
        <v>0</v>
      </c>
      <c r="E127" s="11" t="n">
        <f aca="false">Data!K112</f>
        <v>0</v>
      </c>
      <c r="F127" s="10" t="n">
        <f aca="false">$C$4+$C$5*B127+$C$6*C127+$C$7*D127</f>
        <v>0</v>
      </c>
      <c r="G127" s="10" t="n">
        <f aca="false">1/(1+EXP(-F127))</f>
        <v>0.5</v>
      </c>
      <c r="H127" s="10" t="n">
        <f aca="false">E127*LN(MAX(G127,1E-015))+(1-E127)*LN(MAX(1-G127,1E-015))</f>
        <v>-0.693147180559945</v>
      </c>
      <c r="I127" s="2" t="n">
        <f aca="false">IF(G127&gt;=$C$10,1,0)</f>
        <v>1</v>
      </c>
    </row>
    <row r="128" customFormat="false" ht="15" hidden="false" customHeight="false" outlineLevel="0" collapsed="false">
      <c r="A128" s="11" t="n">
        <f aca="false">Data!A113</f>
        <v>112</v>
      </c>
      <c r="B128" s="11" t="n">
        <f aca="false">Data!B113</f>
        <v>43.3</v>
      </c>
      <c r="C128" s="11" t="n">
        <f aca="false">Data!C113</f>
        <v>3.85</v>
      </c>
      <c r="D128" s="11" t="n">
        <f aca="false">Data!J113</f>
        <v>0</v>
      </c>
      <c r="E128" s="11" t="n">
        <f aca="false">Data!K113</f>
        <v>0</v>
      </c>
      <c r="F128" s="10" t="n">
        <f aca="false">$C$4+$C$5*B128+$C$6*C128+$C$7*D128</f>
        <v>0</v>
      </c>
      <c r="G128" s="10" t="n">
        <f aca="false">1/(1+EXP(-F128))</f>
        <v>0.5</v>
      </c>
      <c r="H128" s="10" t="n">
        <f aca="false">E128*LN(MAX(G128,1E-015))+(1-E128)*LN(MAX(1-G128,1E-015))</f>
        <v>-0.693147180559945</v>
      </c>
      <c r="I128" s="2" t="n">
        <f aca="false">IF(G128&gt;=$C$10,1,0)</f>
        <v>1</v>
      </c>
    </row>
    <row r="129" customFormat="false" ht="15" hidden="false" customHeight="false" outlineLevel="0" collapsed="false">
      <c r="A129" s="11" t="n">
        <f aca="false">Data!A114</f>
        <v>113</v>
      </c>
      <c r="B129" s="11" t="n">
        <f aca="false">Data!B114</f>
        <v>27.4</v>
      </c>
      <c r="C129" s="11" t="n">
        <f aca="false">Data!C114</f>
        <v>4.67</v>
      </c>
      <c r="D129" s="11" t="n">
        <f aca="false">Data!J114</f>
        <v>0</v>
      </c>
      <c r="E129" s="11" t="n">
        <f aca="false">Data!K114</f>
        <v>1</v>
      </c>
      <c r="F129" s="10" t="n">
        <f aca="false">$C$4+$C$5*B129+$C$6*C129+$C$7*D129</f>
        <v>0</v>
      </c>
      <c r="G129" s="10" t="n">
        <f aca="false">1/(1+EXP(-F129))</f>
        <v>0.5</v>
      </c>
      <c r="H129" s="10" t="n">
        <f aca="false">E129*LN(MAX(G129,1E-015))+(1-E129)*LN(MAX(1-G129,1E-015))</f>
        <v>-0.693147180559945</v>
      </c>
      <c r="I129" s="2" t="n">
        <f aca="false">IF(G129&gt;=$C$10,1,0)</f>
        <v>1</v>
      </c>
    </row>
    <row r="130" customFormat="false" ht="15" hidden="false" customHeight="false" outlineLevel="0" collapsed="false">
      <c r="A130" s="11" t="n">
        <f aca="false">Data!A115</f>
        <v>114</v>
      </c>
      <c r="B130" s="11" t="n">
        <f aca="false">Data!B115</f>
        <v>17.2</v>
      </c>
      <c r="C130" s="11" t="n">
        <f aca="false">Data!C115</f>
        <v>2.42</v>
      </c>
      <c r="D130" s="11" t="n">
        <f aca="false">Data!J115</f>
        <v>0</v>
      </c>
      <c r="E130" s="11" t="n">
        <f aca="false">Data!K115</f>
        <v>0</v>
      </c>
      <c r="F130" s="10" t="n">
        <f aca="false">$C$4+$C$5*B130+$C$6*C130+$C$7*D130</f>
        <v>0</v>
      </c>
      <c r="G130" s="10" t="n">
        <f aca="false">1/(1+EXP(-F130))</f>
        <v>0.5</v>
      </c>
      <c r="H130" s="10" t="n">
        <f aca="false">E130*LN(MAX(G130,1E-015))+(1-E130)*LN(MAX(1-G130,1E-015))</f>
        <v>-0.693147180559945</v>
      </c>
      <c r="I130" s="2" t="n">
        <f aca="false">IF(G130&gt;=$C$10,1,0)</f>
        <v>1</v>
      </c>
    </row>
    <row r="131" customFormat="false" ht="15" hidden="false" customHeight="false" outlineLevel="0" collapsed="false">
      <c r="A131" s="11" t="n">
        <f aca="false">Data!A116</f>
        <v>115</v>
      </c>
      <c r="B131" s="11" t="n">
        <f aca="false">Data!B116</f>
        <v>39.5</v>
      </c>
      <c r="C131" s="11" t="n">
        <f aca="false">Data!C116</f>
        <v>4.15</v>
      </c>
      <c r="D131" s="11" t="n">
        <f aca="false">Data!J116</f>
        <v>0</v>
      </c>
      <c r="E131" s="11" t="n">
        <f aca="false">Data!K116</f>
        <v>0</v>
      </c>
      <c r="F131" s="10" t="n">
        <f aca="false">$C$4+$C$5*B131+$C$6*C131+$C$7*D131</f>
        <v>0</v>
      </c>
      <c r="G131" s="10" t="n">
        <f aca="false">1/(1+EXP(-F131))</f>
        <v>0.5</v>
      </c>
      <c r="H131" s="10" t="n">
        <f aca="false">E131*LN(MAX(G131,1E-015))+(1-E131)*LN(MAX(1-G131,1E-015))</f>
        <v>-0.693147180559945</v>
      </c>
      <c r="I131" s="2" t="n">
        <f aca="false">IF(G131&gt;=$C$10,1,0)</f>
        <v>1</v>
      </c>
    </row>
    <row r="132" customFormat="false" ht="15" hidden="false" customHeight="false" outlineLevel="0" collapsed="false">
      <c r="A132" s="11" t="n">
        <f aca="false">Data!A117</f>
        <v>116</v>
      </c>
      <c r="B132" s="11" t="n">
        <f aca="false">Data!B117</f>
        <v>28.4</v>
      </c>
      <c r="C132" s="11" t="n">
        <f aca="false">Data!C117</f>
        <v>2.08</v>
      </c>
      <c r="D132" s="11" t="n">
        <f aca="false">Data!J117</f>
        <v>1</v>
      </c>
      <c r="E132" s="11" t="n">
        <f aca="false">Data!K117</f>
        <v>0</v>
      </c>
      <c r="F132" s="10" t="n">
        <f aca="false">$C$4+$C$5*B132+$C$6*C132+$C$7*D132</f>
        <v>0</v>
      </c>
      <c r="G132" s="10" t="n">
        <f aca="false">1/(1+EXP(-F132))</f>
        <v>0.5</v>
      </c>
      <c r="H132" s="10" t="n">
        <f aca="false">E132*LN(MAX(G132,1E-015))+(1-E132)*LN(MAX(1-G132,1E-015))</f>
        <v>-0.693147180559945</v>
      </c>
      <c r="I132" s="2" t="n">
        <f aca="false">IF(G132&gt;=$C$10,1,0)</f>
        <v>1</v>
      </c>
    </row>
    <row r="133" customFormat="false" ht="15" hidden="false" customHeight="false" outlineLevel="0" collapsed="false">
      <c r="A133" s="11" t="n">
        <f aca="false">Data!A118</f>
        <v>117</v>
      </c>
      <c r="B133" s="11" t="n">
        <f aca="false">Data!B118</f>
        <v>43.2</v>
      </c>
      <c r="C133" s="11" t="n">
        <f aca="false">Data!C118</f>
        <v>3.36</v>
      </c>
      <c r="D133" s="11" t="n">
        <f aca="false">Data!J118</f>
        <v>0</v>
      </c>
      <c r="E133" s="11" t="n">
        <f aca="false">Data!K118</f>
        <v>0</v>
      </c>
      <c r="F133" s="10" t="n">
        <f aca="false">$C$4+$C$5*B133+$C$6*C133+$C$7*D133</f>
        <v>0</v>
      </c>
      <c r="G133" s="10" t="n">
        <f aca="false">1/(1+EXP(-F133))</f>
        <v>0.5</v>
      </c>
      <c r="H133" s="10" t="n">
        <f aca="false">E133*LN(MAX(G133,1E-015))+(1-E133)*LN(MAX(1-G133,1E-015))</f>
        <v>-0.693147180559945</v>
      </c>
      <c r="I133" s="2" t="n">
        <f aca="false">IF(G133&gt;=$C$10,1,0)</f>
        <v>1</v>
      </c>
    </row>
    <row r="134" customFormat="false" ht="15" hidden="false" customHeight="false" outlineLevel="0" collapsed="false">
      <c r="A134" s="11" t="n">
        <f aca="false">Data!A119</f>
        <v>118</v>
      </c>
      <c r="B134" s="11" t="n">
        <f aca="false">Data!B119</f>
        <v>38.5</v>
      </c>
      <c r="C134" s="11" t="n">
        <f aca="false">Data!C119</f>
        <v>2.11</v>
      </c>
      <c r="D134" s="11" t="n">
        <f aca="false">Data!J119</f>
        <v>0</v>
      </c>
      <c r="E134" s="11" t="n">
        <f aca="false">Data!K119</f>
        <v>0</v>
      </c>
      <c r="F134" s="10" t="n">
        <f aca="false">$C$4+$C$5*B134+$C$6*C134+$C$7*D134</f>
        <v>0</v>
      </c>
      <c r="G134" s="10" t="n">
        <f aca="false">1/(1+EXP(-F134))</f>
        <v>0.5</v>
      </c>
      <c r="H134" s="10" t="n">
        <f aca="false">E134*LN(MAX(G134,1E-015))+(1-E134)*LN(MAX(1-G134,1E-015))</f>
        <v>-0.693147180559945</v>
      </c>
      <c r="I134" s="2" t="n">
        <f aca="false">IF(G134&gt;=$C$10,1,0)</f>
        <v>1</v>
      </c>
    </row>
    <row r="135" customFormat="false" ht="15" hidden="false" customHeight="false" outlineLevel="0" collapsed="false">
      <c r="A135" s="11" t="n">
        <f aca="false">Data!A120</f>
        <v>119</v>
      </c>
      <c r="B135" s="11" t="n">
        <f aca="false">Data!B120</f>
        <v>91.7</v>
      </c>
      <c r="C135" s="11" t="n">
        <f aca="false">Data!C120</f>
        <v>7.23</v>
      </c>
      <c r="D135" s="11" t="n">
        <f aca="false">Data!J120</f>
        <v>0</v>
      </c>
      <c r="E135" s="11" t="n">
        <f aca="false">Data!K120</f>
        <v>1</v>
      </c>
      <c r="F135" s="10" t="n">
        <f aca="false">$C$4+$C$5*B135+$C$6*C135+$C$7*D135</f>
        <v>0</v>
      </c>
      <c r="G135" s="10" t="n">
        <f aca="false">1/(1+EXP(-F135))</f>
        <v>0.5</v>
      </c>
      <c r="H135" s="10" t="n">
        <f aca="false">E135*LN(MAX(G135,1E-015))+(1-E135)*LN(MAX(1-G135,1E-015))</f>
        <v>-0.693147180559945</v>
      </c>
      <c r="I135" s="2" t="n">
        <f aca="false">IF(G135&gt;=$C$10,1,0)</f>
        <v>1</v>
      </c>
    </row>
    <row r="136" customFormat="false" ht="15" hidden="false" customHeight="false" outlineLevel="0" collapsed="false">
      <c r="A136" s="11" t="n">
        <f aca="false">Data!A121</f>
        <v>120</v>
      </c>
      <c r="B136" s="11" t="n">
        <f aca="false">Data!B121</f>
        <v>33.3</v>
      </c>
      <c r="C136" s="11" t="n">
        <f aca="false">Data!C121</f>
        <v>1.2</v>
      </c>
      <c r="D136" s="11" t="n">
        <f aca="false">Data!J121</f>
        <v>1</v>
      </c>
      <c r="E136" s="11" t="n">
        <f aca="false">Data!K121</f>
        <v>0</v>
      </c>
      <c r="F136" s="10" t="n">
        <f aca="false">$C$4+$C$5*B136+$C$6*C136+$C$7*D136</f>
        <v>0</v>
      </c>
      <c r="G136" s="10" t="n">
        <f aca="false">1/(1+EXP(-F136))</f>
        <v>0.5</v>
      </c>
      <c r="H136" s="10" t="n">
        <f aca="false">E136*LN(MAX(G136,1E-015))+(1-E136)*LN(MAX(1-G136,1E-015))</f>
        <v>-0.693147180559945</v>
      </c>
      <c r="I136" s="2" t="n">
        <f aca="false">IF(G136&gt;=$C$10,1,0)</f>
        <v>1</v>
      </c>
    </row>
    <row r="137" customFormat="false" ht="15" hidden="false" customHeight="false" outlineLevel="0" collapsed="false">
      <c r="A137" s="11" t="n">
        <f aca="false">Data!A122</f>
        <v>121</v>
      </c>
      <c r="B137" s="11" t="n">
        <f aca="false">Data!B122</f>
        <v>21.6</v>
      </c>
      <c r="C137" s="11" t="n">
        <f aca="false">Data!C122</f>
        <v>3.11</v>
      </c>
      <c r="D137" s="11" t="n">
        <f aca="false">Data!J122</f>
        <v>0</v>
      </c>
      <c r="E137" s="11" t="n">
        <f aca="false">Data!K122</f>
        <v>1</v>
      </c>
      <c r="F137" s="10" t="n">
        <f aca="false">$C$4+$C$5*B137+$C$6*C137+$C$7*D137</f>
        <v>0</v>
      </c>
      <c r="G137" s="10" t="n">
        <f aca="false">1/(1+EXP(-F137))</f>
        <v>0.5</v>
      </c>
      <c r="H137" s="10" t="n">
        <f aca="false">E137*LN(MAX(G137,1E-015))+(1-E137)*LN(MAX(1-G137,1E-015))</f>
        <v>-0.693147180559945</v>
      </c>
      <c r="I137" s="2" t="n">
        <f aca="false">IF(G137&gt;=$C$10,1,0)</f>
        <v>1</v>
      </c>
    </row>
    <row r="138" customFormat="false" ht="15" hidden="false" customHeight="false" outlineLevel="0" collapsed="false">
      <c r="A138" s="11" t="n">
        <f aca="false">Data!A123</f>
        <v>122</v>
      </c>
      <c r="B138" s="11" t="n">
        <f aca="false">Data!B123</f>
        <v>41.9</v>
      </c>
      <c r="C138" s="11" t="n">
        <f aca="false">Data!C123</f>
        <v>2.96</v>
      </c>
      <c r="D138" s="11" t="n">
        <f aca="false">Data!J123</f>
        <v>0</v>
      </c>
      <c r="E138" s="11" t="n">
        <f aca="false">Data!K123</f>
        <v>0</v>
      </c>
      <c r="F138" s="10" t="n">
        <f aca="false">$C$4+$C$5*B138+$C$6*C138+$C$7*D138</f>
        <v>0</v>
      </c>
      <c r="G138" s="10" t="n">
        <f aca="false">1/(1+EXP(-F138))</f>
        <v>0.5</v>
      </c>
      <c r="H138" s="10" t="n">
        <f aca="false">E138*LN(MAX(G138,1E-015))+(1-E138)*LN(MAX(1-G138,1E-015))</f>
        <v>-0.693147180559945</v>
      </c>
      <c r="I138" s="2" t="n">
        <f aca="false">IF(G138&gt;=$C$10,1,0)</f>
        <v>1</v>
      </c>
    </row>
    <row r="139" customFormat="false" ht="15" hidden="false" customHeight="false" outlineLevel="0" collapsed="false">
      <c r="A139" s="11" t="n">
        <f aca="false">Data!A124</f>
        <v>123</v>
      </c>
      <c r="B139" s="11" t="n">
        <f aca="false">Data!B124</f>
        <v>42.9</v>
      </c>
      <c r="C139" s="11" t="n">
        <f aca="false">Data!C124</f>
        <v>4.78</v>
      </c>
      <c r="D139" s="11" t="n">
        <f aca="false">Data!J124</f>
        <v>0</v>
      </c>
      <c r="E139" s="11" t="n">
        <f aca="false">Data!K124</f>
        <v>1</v>
      </c>
      <c r="F139" s="10" t="n">
        <f aca="false">$C$4+$C$5*B139+$C$6*C139+$C$7*D139</f>
        <v>0</v>
      </c>
      <c r="G139" s="10" t="n">
        <f aca="false">1/(1+EXP(-F139))</f>
        <v>0.5</v>
      </c>
      <c r="H139" s="10" t="n">
        <f aca="false">E139*LN(MAX(G139,1E-015))+(1-E139)*LN(MAX(1-G139,1E-015))</f>
        <v>-0.693147180559945</v>
      </c>
      <c r="I139" s="2" t="n">
        <f aca="false">IF(G139&gt;=$C$10,1,0)</f>
        <v>1</v>
      </c>
    </row>
    <row r="140" customFormat="false" ht="15" hidden="false" customHeight="false" outlineLevel="0" collapsed="false">
      <c r="A140" s="11" t="n">
        <f aca="false">Data!A125</f>
        <v>124</v>
      </c>
      <c r="B140" s="11" t="n">
        <f aca="false">Data!B125</f>
        <v>80.2</v>
      </c>
      <c r="C140" s="11" t="n">
        <f aca="false">Data!C125</f>
        <v>6.29</v>
      </c>
      <c r="D140" s="11" t="n">
        <f aca="false">Data!J125</f>
        <v>0</v>
      </c>
      <c r="E140" s="11" t="n">
        <f aca="false">Data!K125</f>
        <v>1</v>
      </c>
      <c r="F140" s="10" t="n">
        <f aca="false">$C$4+$C$5*B140+$C$6*C140+$C$7*D140</f>
        <v>0</v>
      </c>
      <c r="G140" s="10" t="n">
        <f aca="false">1/(1+EXP(-F140))</f>
        <v>0.5</v>
      </c>
      <c r="H140" s="10" t="n">
        <f aca="false">E140*LN(MAX(G140,1E-015))+(1-E140)*LN(MAX(1-G140,1E-015))</f>
        <v>-0.693147180559945</v>
      </c>
      <c r="I140" s="2" t="n">
        <f aca="false">IF(G140&gt;=$C$10,1,0)</f>
        <v>1</v>
      </c>
    </row>
    <row r="141" customFormat="false" ht="15" hidden="false" customHeight="false" outlineLevel="0" collapsed="false">
      <c r="A141" s="11" t="n">
        <f aca="false">Data!A126</f>
        <v>125</v>
      </c>
      <c r="B141" s="11" t="n">
        <f aca="false">Data!B126</f>
        <v>60.2</v>
      </c>
      <c r="C141" s="11" t="n">
        <f aca="false">Data!C126</f>
        <v>6.58</v>
      </c>
      <c r="D141" s="11" t="n">
        <f aca="false">Data!J126</f>
        <v>0</v>
      </c>
      <c r="E141" s="11" t="n">
        <f aca="false">Data!K126</f>
        <v>0</v>
      </c>
      <c r="F141" s="10" t="n">
        <f aca="false">$C$4+$C$5*B141+$C$6*C141+$C$7*D141</f>
        <v>0</v>
      </c>
      <c r="G141" s="10" t="n">
        <f aca="false">1/(1+EXP(-F141))</f>
        <v>0.5</v>
      </c>
      <c r="H141" s="10" t="n">
        <f aca="false">E141*LN(MAX(G141,1E-015))+(1-E141)*LN(MAX(1-G141,1E-015))</f>
        <v>-0.693147180559945</v>
      </c>
      <c r="I141" s="2" t="n">
        <f aca="false">IF(G141&gt;=$C$10,1,0)</f>
        <v>1</v>
      </c>
    </row>
    <row r="142" customFormat="false" ht="15" hidden="false" customHeight="false" outlineLevel="0" collapsed="false">
      <c r="A142" s="11" t="n">
        <f aca="false">Data!A127</f>
        <v>126</v>
      </c>
      <c r="B142" s="11" t="n">
        <f aca="false">Data!B127</f>
        <v>46.2</v>
      </c>
      <c r="C142" s="11" t="n">
        <f aca="false">Data!C127</f>
        <v>4.39</v>
      </c>
      <c r="D142" s="11" t="n">
        <f aca="false">Data!J127</f>
        <v>0</v>
      </c>
      <c r="E142" s="11" t="n">
        <f aca="false">Data!K127</f>
        <v>0</v>
      </c>
      <c r="F142" s="10" t="n">
        <f aca="false">$C$4+$C$5*B142+$C$6*C142+$C$7*D142</f>
        <v>0</v>
      </c>
      <c r="G142" s="10" t="n">
        <f aca="false">1/(1+EXP(-F142))</f>
        <v>0.5</v>
      </c>
      <c r="H142" s="10" t="n">
        <f aca="false">E142*LN(MAX(G142,1E-015))+(1-E142)*LN(MAX(1-G142,1E-015))</f>
        <v>-0.693147180559945</v>
      </c>
      <c r="I142" s="2" t="n">
        <f aca="false">IF(G142&gt;=$C$10,1,0)</f>
        <v>1</v>
      </c>
    </row>
    <row r="143" customFormat="false" ht="15" hidden="false" customHeight="false" outlineLevel="0" collapsed="false">
      <c r="A143" s="11" t="n">
        <f aca="false">Data!A128</f>
        <v>127</v>
      </c>
      <c r="B143" s="11" t="n">
        <f aca="false">Data!B128</f>
        <v>85</v>
      </c>
      <c r="C143" s="11" t="n">
        <f aca="false">Data!C128</f>
        <v>3.53</v>
      </c>
      <c r="D143" s="11" t="n">
        <f aca="false">Data!J128</f>
        <v>0</v>
      </c>
      <c r="E143" s="11" t="n">
        <f aca="false">Data!K128</f>
        <v>0</v>
      </c>
      <c r="F143" s="10" t="n">
        <f aca="false">$C$4+$C$5*B143+$C$6*C143+$C$7*D143</f>
        <v>0</v>
      </c>
      <c r="G143" s="10" t="n">
        <f aca="false">1/(1+EXP(-F143))</f>
        <v>0.5</v>
      </c>
      <c r="H143" s="10" t="n">
        <f aca="false">E143*LN(MAX(G143,1E-015))+(1-E143)*LN(MAX(1-G143,1E-015))</f>
        <v>-0.693147180559945</v>
      </c>
      <c r="I143" s="2" t="n">
        <f aca="false">IF(G143&gt;=$C$10,1,0)</f>
        <v>1</v>
      </c>
    </row>
    <row r="144" customFormat="false" ht="15" hidden="false" customHeight="false" outlineLevel="0" collapsed="false">
      <c r="A144" s="11" t="n">
        <f aca="false">Data!A129</f>
        <v>128</v>
      </c>
      <c r="B144" s="11" t="n">
        <f aca="false">Data!B129</f>
        <v>19.8</v>
      </c>
      <c r="C144" s="11" t="n">
        <f aca="false">Data!C129</f>
        <v>1.9</v>
      </c>
      <c r="D144" s="11" t="n">
        <f aca="false">Data!J129</f>
        <v>0</v>
      </c>
      <c r="E144" s="11" t="n">
        <f aca="false">Data!K129</f>
        <v>0</v>
      </c>
      <c r="F144" s="10" t="n">
        <f aca="false">$C$4+$C$5*B144+$C$6*C144+$C$7*D144</f>
        <v>0</v>
      </c>
      <c r="G144" s="10" t="n">
        <f aca="false">1/(1+EXP(-F144))</f>
        <v>0.5</v>
      </c>
      <c r="H144" s="10" t="n">
        <f aca="false">E144*LN(MAX(G144,1E-015))+(1-E144)*LN(MAX(1-G144,1E-015))</f>
        <v>-0.693147180559945</v>
      </c>
      <c r="I144" s="2" t="n">
        <f aca="false">IF(G144&gt;=$C$10,1,0)</f>
        <v>1</v>
      </c>
    </row>
    <row r="145" customFormat="false" ht="15" hidden="false" customHeight="false" outlineLevel="0" collapsed="false">
      <c r="A145" s="11" t="n">
        <f aca="false">Data!A130</f>
        <v>129</v>
      </c>
      <c r="B145" s="11" t="n">
        <f aca="false">Data!B130</f>
        <v>26.7</v>
      </c>
      <c r="C145" s="11" t="n">
        <f aca="false">Data!C130</f>
        <v>0.9</v>
      </c>
      <c r="D145" s="11" t="n">
        <f aca="false">Data!J130</f>
        <v>0</v>
      </c>
      <c r="E145" s="11" t="n">
        <f aca="false">Data!K130</f>
        <v>0</v>
      </c>
      <c r="F145" s="10" t="n">
        <f aca="false">$C$4+$C$5*B145+$C$6*C145+$C$7*D145</f>
        <v>0</v>
      </c>
      <c r="G145" s="10" t="n">
        <f aca="false">1/(1+EXP(-F145))</f>
        <v>0.5</v>
      </c>
      <c r="H145" s="10" t="n">
        <f aca="false">E145*LN(MAX(G145,1E-015))+(1-E145)*LN(MAX(1-G145,1E-015))</f>
        <v>-0.693147180559945</v>
      </c>
      <c r="I145" s="2" t="n">
        <f aca="false">IF(G145&gt;=$C$10,1,0)</f>
        <v>1</v>
      </c>
    </row>
    <row r="146" customFormat="false" ht="15" hidden="false" customHeight="false" outlineLevel="0" collapsed="false">
      <c r="A146" s="11" t="n">
        <f aca="false">Data!A131</f>
        <v>130</v>
      </c>
      <c r="B146" s="11" t="n">
        <f aca="false">Data!B131</f>
        <v>22.8</v>
      </c>
      <c r="C146" s="11" t="n">
        <f aca="false">Data!C131</f>
        <v>1.48</v>
      </c>
      <c r="D146" s="11" t="n">
        <f aca="false">Data!J131</f>
        <v>0</v>
      </c>
      <c r="E146" s="11" t="n">
        <f aca="false">Data!K131</f>
        <v>0</v>
      </c>
      <c r="F146" s="10" t="n">
        <f aca="false">$C$4+$C$5*B146+$C$6*C146+$C$7*D146</f>
        <v>0</v>
      </c>
      <c r="G146" s="10" t="n">
        <f aca="false">1/(1+EXP(-F146))</f>
        <v>0.5</v>
      </c>
      <c r="H146" s="10" t="n">
        <f aca="false">E146*LN(MAX(G146,1E-015))+(1-E146)*LN(MAX(1-G146,1E-015))</f>
        <v>-0.693147180559945</v>
      </c>
      <c r="I146" s="2" t="n">
        <f aca="false">IF(G146&gt;=$C$10,1,0)</f>
        <v>1</v>
      </c>
    </row>
    <row r="147" customFormat="false" ht="15" hidden="false" customHeight="false" outlineLevel="0" collapsed="false">
      <c r="A147" s="11" t="n">
        <f aca="false">Data!A132</f>
        <v>131</v>
      </c>
      <c r="B147" s="11" t="n">
        <f aca="false">Data!B132</f>
        <v>30.7</v>
      </c>
      <c r="C147" s="11" t="n">
        <f aca="false">Data!C132</f>
        <v>4.55</v>
      </c>
      <c r="D147" s="11" t="n">
        <f aca="false">Data!J132</f>
        <v>0</v>
      </c>
      <c r="E147" s="11" t="n">
        <f aca="false">Data!K132</f>
        <v>1</v>
      </c>
      <c r="F147" s="10" t="n">
        <f aca="false">$C$4+$C$5*B147+$C$6*C147+$C$7*D147</f>
        <v>0</v>
      </c>
      <c r="G147" s="10" t="n">
        <f aca="false">1/(1+EXP(-F147))</f>
        <v>0.5</v>
      </c>
      <c r="H147" s="10" t="n">
        <f aca="false">E147*LN(MAX(G147,1E-015))+(1-E147)*LN(MAX(1-G147,1E-015))</f>
        <v>-0.693147180559945</v>
      </c>
      <c r="I147" s="2" t="n">
        <f aca="false">IF(G147&gt;=$C$10,1,0)</f>
        <v>1</v>
      </c>
    </row>
    <row r="148" customFormat="false" ht="15" hidden="false" customHeight="false" outlineLevel="0" collapsed="false">
      <c r="A148" s="11" t="n">
        <f aca="false">Data!A133</f>
        <v>132</v>
      </c>
      <c r="B148" s="11" t="n">
        <f aca="false">Data!B133</f>
        <v>17.8</v>
      </c>
      <c r="C148" s="11" t="n">
        <f aca="false">Data!C133</f>
        <v>2.71</v>
      </c>
      <c r="D148" s="11" t="n">
        <f aca="false">Data!J133</f>
        <v>0</v>
      </c>
      <c r="E148" s="11" t="n">
        <f aca="false">Data!K133</f>
        <v>1</v>
      </c>
      <c r="F148" s="10" t="n">
        <f aca="false">$C$4+$C$5*B148+$C$6*C148+$C$7*D148</f>
        <v>0</v>
      </c>
      <c r="G148" s="10" t="n">
        <f aca="false">1/(1+EXP(-F148))</f>
        <v>0.5</v>
      </c>
      <c r="H148" s="10" t="n">
        <f aca="false">E148*LN(MAX(G148,1E-015))+(1-E148)*LN(MAX(1-G148,1E-015))</f>
        <v>-0.693147180559945</v>
      </c>
      <c r="I148" s="2" t="n">
        <f aca="false">IF(G148&gt;=$C$10,1,0)</f>
        <v>1</v>
      </c>
    </row>
    <row r="149" customFormat="false" ht="15" hidden="false" customHeight="false" outlineLevel="0" collapsed="false">
      <c r="A149" s="11" t="n">
        <f aca="false">Data!A134</f>
        <v>133</v>
      </c>
      <c r="B149" s="11" t="n">
        <f aca="false">Data!B134</f>
        <v>53.9</v>
      </c>
      <c r="C149" s="11" t="n">
        <f aca="false">Data!C134</f>
        <v>2.96</v>
      </c>
      <c r="D149" s="11" t="n">
        <f aca="false">Data!J134</f>
        <v>0</v>
      </c>
      <c r="E149" s="11" t="n">
        <f aca="false">Data!K134</f>
        <v>0</v>
      </c>
      <c r="F149" s="10" t="n">
        <f aca="false">$C$4+$C$5*B149+$C$6*C149+$C$7*D149</f>
        <v>0</v>
      </c>
      <c r="G149" s="10" t="n">
        <f aca="false">1/(1+EXP(-F149))</f>
        <v>0.5</v>
      </c>
      <c r="H149" s="10" t="n">
        <f aca="false">E149*LN(MAX(G149,1E-015))+(1-E149)*LN(MAX(1-G149,1E-015))</f>
        <v>-0.693147180559945</v>
      </c>
      <c r="I149" s="2" t="n">
        <f aca="false">IF(G149&gt;=$C$10,1,0)</f>
        <v>1</v>
      </c>
    </row>
    <row r="150" customFormat="false" ht="15" hidden="false" customHeight="false" outlineLevel="0" collapsed="false">
      <c r="A150" s="11" t="n">
        <f aca="false">Data!A135</f>
        <v>134</v>
      </c>
      <c r="B150" s="11" t="n">
        <f aca="false">Data!B135</f>
        <v>33.6</v>
      </c>
      <c r="C150" s="11" t="n">
        <f aca="false">Data!C135</f>
        <v>1.43</v>
      </c>
      <c r="D150" s="11" t="n">
        <f aca="false">Data!J135</f>
        <v>0</v>
      </c>
      <c r="E150" s="11" t="n">
        <f aca="false">Data!K135</f>
        <v>0</v>
      </c>
      <c r="F150" s="10" t="n">
        <f aca="false">$C$4+$C$5*B150+$C$6*C150+$C$7*D150</f>
        <v>0</v>
      </c>
      <c r="G150" s="10" t="n">
        <f aca="false">1/(1+EXP(-F150))</f>
        <v>0.5</v>
      </c>
      <c r="H150" s="10" t="n">
        <f aca="false">E150*LN(MAX(G150,1E-015))+(1-E150)*LN(MAX(1-G150,1E-015))</f>
        <v>-0.693147180559945</v>
      </c>
      <c r="I150" s="2" t="n">
        <f aca="false">IF(G150&gt;=$C$10,1,0)</f>
        <v>1</v>
      </c>
    </row>
    <row r="151" customFormat="false" ht="15" hidden="false" customHeight="false" outlineLevel="0" collapsed="false">
      <c r="A151" s="11" t="n">
        <f aca="false">Data!A136</f>
        <v>135</v>
      </c>
      <c r="B151" s="11" t="n">
        <f aca="false">Data!B136</f>
        <v>16.9</v>
      </c>
      <c r="C151" s="11" t="n">
        <f aca="false">Data!C136</f>
        <v>1.87</v>
      </c>
      <c r="D151" s="11" t="n">
        <f aca="false">Data!J136</f>
        <v>0</v>
      </c>
      <c r="E151" s="11" t="n">
        <f aca="false">Data!K136</f>
        <v>0</v>
      </c>
      <c r="F151" s="10" t="n">
        <f aca="false">$C$4+$C$5*B151+$C$6*C151+$C$7*D151</f>
        <v>0</v>
      </c>
      <c r="G151" s="10" t="n">
        <f aca="false">1/(1+EXP(-F151))</f>
        <v>0.5</v>
      </c>
      <c r="H151" s="10" t="n">
        <f aca="false">E151*LN(MAX(G151,1E-015))+(1-E151)*LN(MAX(1-G151,1E-015))</f>
        <v>-0.693147180559945</v>
      </c>
      <c r="I151" s="2" t="n">
        <f aca="false">IF(G151&gt;=$C$10,1,0)</f>
        <v>1</v>
      </c>
    </row>
    <row r="152" customFormat="false" ht="15" hidden="false" customHeight="false" outlineLevel="0" collapsed="false">
      <c r="A152" s="11" t="n">
        <f aca="false">Data!A137</f>
        <v>136</v>
      </c>
      <c r="B152" s="11" t="n">
        <f aca="false">Data!B137</f>
        <v>21.7</v>
      </c>
      <c r="C152" s="11" t="n">
        <f aca="false">Data!C137</f>
        <v>0.9</v>
      </c>
      <c r="D152" s="11" t="n">
        <f aca="false">Data!J137</f>
        <v>0</v>
      </c>
      <c r="E152" s="11" t="n">
        <f aca="false">Data!K137</f>
        <v>0</v>
      </c>
      <c r="F152" s="10" t="n">
        <f aca="false">$C$4+$C$5*B152+$C$6*C152+$C$7*D152</f>
        <v>0</v>
      </c>
      <c r="G152" s="10" t="n">
        <f aca="false">1/(1+EXP(-F152))</f>
        <v>0.5</v>
      </c>
      <c r="H152" s="10" t="n">
        <f aca="false">E152*LN(MAX(G152,1E-015))+(1-E152)*LN(MAX(1-G152,1E-015))</f>
        <v>-0.693147180559945</v>
      </c>
      <c r="I152" s="2" t="n">
        <f aca="false">IF(G152&gt;=$C$10,1,0)</f>
        <v>1</v>
      </c>
    </row>
    <row r="153" customFormat="false" ht="15" hidden="false" customHeight="false" outlineLevel="0" collapsed="false">
      <c r="A153" s="11" t="n">
        <f aca="false">Data!A138</f>
        <v>137</v>
      </c>
      <c r="B153" s="11" t="n">
        <f aca="false">Data!B138</f>
        <v>45.2</v>
      </c>
      <c r="C153" s="11" t="n">
        <f aca="false">Data!C138</f>
        <v>2.51</v>
      </c>
      <c r="D153" s="11" t="n">
        <f aca="false">Data!J138</f>
        <v>0</v>
      </c>
      <c r="E153" s="11" t="n">
        <f aca="false">Data!K138</f>
        <v>0</v>
      </c>
      <c r="F153" s="10" t="n">
        <f aca="false">$C$4+$C$5*B153+$C$6*C153+$C$7*D153</f>
        <v>0</v>
      </c>
      <c r="G153" s="10" t="n">
        <f aca="false">1/(1+EXP(-F153))</f>
        <v>0.5</v>
      </c>
      <c r="H153" s="10" t="n">
        <f aca="false">E153*LN(MAX(G153,1E-015))+(1-E153)*LN(MAX(1-G153,1E-015))</f>
        <v>-0.693147180559945</v>
      </c>
      <c r="I153" s="2" t="n">
        <f aca="false">IF(G153&gt;=$C$10,1,0)</f>
        <v>1</v>
      </c>
    </row>
    <row r="154" customFormat="false" ht="15" hidden="false" customHeight="false" outlineLevel="0" collapsed="false">
      <c r="A154" s="11" t="n">
        <f aca="false">Data!A139</f>
        <v>138</v>
      </c>
      <c r="B154" s="11" t="n">
        <f aca="false">Data!B139</f>
        <v>60.3</v>
      </c>
      <c r="C154" s="11" t="n">
        <f aca="false">Data!C139</f>
        <v>4.62</v>
      </c>
      <c r="D154" s="11" t="n">
        <f aca="false">Data!J139</f>
        <v>0</v>
      </c>
      <c r="E154" s="11" t="n">
        <f aca="false">Data!K139</f>
        <v>0</v>
      </c>
      <c r="F154" s="10" t="n">
        <f aca="false">$C$4+$C$5*B154+$C$6*C154+$C$7*D154</f>
        <v>0</v>
      </c>
      <c r="G154" s="10" t="n">
        <f aca="false">1/(1+EXP(-F154))</f>
        <v>0.5</v>
      </c>
      <c r="H154" s="10" t="n">
        <f aca="false">E154*LN(MAX(G154,1E-015))+(1-E154)*LN(MAX(1-G154,1E-015))</f>
        <v>-0.693147180559945</v>
      </c>
      <c r="I154" s="2" t="n">
        <f aca="false">IF(G154&gt;=$C$10,1,0)</f>
        <v>1</v>
      </c>
    </row>
    <row r="155" customFormat="false" ht="15" hidden="false" customHeight="false" outlineLevel="0" collapsed="false">
      <c r="A155" s="11" t="n">
        <f aca="false">Data!A140</f>
        <v>139</v>
      </c>
      <c r="B155" s="11" t="n">
        <f aca="false">Data!B140</f>
        <v>114</v>
      </c>
      <c r="C155" s="11" t="n">
        <f aca="false">Data!C140</f>
        <v>8.67</v>
      </c>
      <c r="D155" s="11" t="n">
        <f aca="false">Data!J140</f>
        <v>0</v>
      </c>
      <c r="E155" s="11" t="n">
        <f aca="false">Data!K140</f>
        <v>1</v>
      </c>
      <c r="F155" s="10" t="n">
        <f aca="false">$C$4+$C$5*B155+$C$6*C155+$C$7*D155</f>
        <v>0</v>
      </c>
      <c r="G155" s="10" t="n">
        <f aca="false">1/(1+EXP(-F155))</f>
        <v>0.5</v>
      </c>
      <c r="H155" s="10" t="n">
        <f aca="false">E155*LN(MAX(G155,1E-015))+(1-E155)*LN(MAX(1-G155,1E-015))</f>
        <v>-0.693147180559945</v>
      </c>
      <c r="I155" s="2" t="n">
        <f aca="false">IF(G155&gt;=$C$10,1,0)</f>
        <v>1</v>
      </c>
    </row>
    <row r="156" customFormat="false" ht="15" hidden="false" customHeight="false" outlineLevel="0" collapsed="false">
      <c r="A156" s="11" t="n">
        <f aca="false">Data!A141</f>
        <v>140</v>
      </c>
      <c r="B156" s="11" t="n">
        <f aca="false">Data!B141</f>
        <v>188.7</v>
      </c>
      <c r="C156" s="11" t="n">
        <f aca="false">Data!C141</f>
        <v>12.07</v>
      </c>
      <c r="D156" s="11" t="n">
        <f aca="false">Data!J141</f>
        <v>0</v>
      </c>
      <c r="E156" s="11" t="n">
        <f aca="false">Data!K141</f>
        <v>1</v>
      </c>
      <c r="F156" s="10" t="n">
        <f aca="false">$C$4+$C$5*B156+$C$6*C156+$C$7*D156</f>
        <v>0</v>
      </c>
      <c r="G156" s="10" t="n">
        <f aca="false">1/(1+EXP(-F156))</f>
        <v>0.5</v>
      </c>
      <c r="H156" s="10" t="n">
        <f aca="false">E156*LN(MAX(G156,1E-015))+(1-E156)*LN(MAX(1-G156,1E-015))</f>
        <v>-0.693147180559945</v>
      </c>
      <c r="I156" s="2" t="n">
        <f aca="false">IF(G156&gt;=$C$10,1,0)</f>
        <v>1</v>
      </c>
    </row>
    <row r="157" customFormat="false" ht="15" hidden="false" customHeight="false" outlineLevel="0" collapsed="false">
      <c r="A157" s="11" t="n">
        <f aca="false">Data!A142</f>
        <v>141</v>
      </c>
      <c r="B157" s="11" t="n">
        <f aca="false">Data!B142</f>
        <v>47.7</v>
      </c>
      <c r="C157" s="11" t="n">
        <f aca="false">Data!C142</f>
        <v>0.9</v>
      </c>
      <c r="D157" s="11" t="n">
        <f aca="false">Data!J142</f>
        <v>0</v>
      </c>
      <c r="E157" s="11" t="n">
        <f aca="false">Data!K142</f>
        <v>0</v>
      </c>
      <c r="F157" s="10" t="n">
        <f aca="false">$C$4+$C$5*B157+$C$6*C157+$C$7*D157</f>
        <v>0</v>
      </c>
      <c r="G157" s="10" t="n">
        <f aca="false">1/(1+EXP(-F157))</f>
        <v>0.5</v>
      </c>
      <c r="H157" s="10" t="n">
        <f aca="false">E157*LN(MAX(G157,1E-015))+(1-E157)*LN(MAX(1-G157,1E-015))</f>
        <v>-0.693147180559945</v>
      </c>
      <c r="I157" s="2" t="n">
        <f aca="false">IF(G157&gt;=$C$10,1,0)</f>
        <v>1</v>
      </c>
    </row>
    <row r="158" customFormat="false" ht="15" hidden="false" customHeight="false" outlineLevel="0" collapsed="false">
      <c r="A158" s="11" t="n">
        <f aca="false">Data!A143</f>
        <v>142</v>
      </c>
      <c r="B158" s="11" t="n">
        <f aca="false">Data!B143</f>
        <v>22.1</v>
      </c>
      <c r="C158" s="11" t="n">
        <f aca="false">Data!C143</f>
        <v>2.51</v>
      </c>
      <c r="D158" s="11" t="n">
        <f aca="false">Data!J143</f>
        <v>0</v>
      </c>
      <c r="E158" s="11" t="n">
        <f aca="false">Data!K143</f>
        <v>0</v>
      </c>
      <c r="F158" s="10" t="n">
        <f aca="false">$C$4+$C$5*B158+$C$6*C158+$C$7*D158</f>
        <v>0</v>
      </c>
      <c r="G158" s="10" t="n">
        <f aca="false">1/(1+EXP(-F158))</f>
        <v>0.5</v>
      </c>
      <c r="H158" s="10" t="n">
        <f aca="false">E158*LN(MAX(G158,1E-015))+(1-E158)*LN(MAX(1-G158,1E-015))</f>
        <v>-0.693147180559945</v>
      </c>
      <c r="I158" s="2" t="n">
        <f aca="false">IF(G158&gt;=$C$10,1,0)</f>
        <v>1</v>
      </c>
    </row>
    <row r="159" customFormat="false" ht="15" hidden="false" customHeight="false" outlineLevel="0" collapsed="false">
      <c r="A159" s="11" t="n">
        <f aca="false">Data!A144</f>
        <v>143</v>
      </c>
      <c r="B159" s="11" t="n">
        <f aca="false">Data!B144</f>
        <v>11.8</v>
      </c>
      <c r="C159" s="11" t="n">
        <f aca="false">Data!C144</f>
        <v>1.64</v>
      </c>
      <c r="D159" s="11" t="n">
        <f aca="false">Data!J144</f>
        <v>0</v>
      </c>
      <c r="E159" s="11" t="n">
        <f aca="false">Data!K144</f>
        <v>0</v>
      </c>
      <c r="F159" s="10" t="n">
        <f aca="false">$C$4+$C$5*B159+$C$6*C159+$C$7*D159</f>
        <v>0</v>
      </c>
      <c r="G159" s="10" t="n">
        <f aca="false">1/(1+EXP(-F159))</f>
        <v>0.5</v>
      </c>
      <c r="H159" s="10" t="n">
        <f aca="false">E159*LN(MAX(G159,1E-015))+(1-E159)*LN(MAX(1-G159,1E-015))</f>
        <v>-0.693147180559945</v>
      </c>
      <c r="I159" s="2" t="n">
        <f aca="false">IF(G159&gt;=$C$10,1,0)</f>
        <v>1</v>
      </c>
    </row>
    <row r="160" customFormat="false" ht="15" hidden="false" customHeight="false" outlineLevel="0" collapsed="false">
      <c r="A160" s="11" t="n">
        <f aca="false">Data!A145</f>
        <v>144</v>
      </c>
      <c r="B160" s="11" t="n">
        <f aca="false">Data!B145</f>
        <v>44</v>
      </c>
      <c r="C160" s="11" t="n">
        <f aca="false">Data!C145</f>
        <v>3.86</v>
      </c>
      <c r="D160" s="11" t="n">
        <f aca="false">Data!J145</f>
        <v>1</v>
      </c>
      <c r="E160" s="11" t="n">
        <f aca="false">Data!K145</f>
        <v>1</v>
      </c>
      <c r="F160" s="10" t="n">
        <f aca="false">$C$4+$C$5*B160+$C$6*C160+$C$7*D160</f>
        <v>0</v>
      </c>
      <c r="G160" s="10" t="n">
        <f aca="false">1/(1+EXP(-F160))</f>
        <v>0.5</v>
      </c>
      <c r="H160" s="10" t="n">
        <f aca="false">E160*LN(MAX(G160,1E-015))+(1-E160)*LN(MAX(1-G160,1E-015))</f>
        <v>-0.693147180559945</v>
      </c>
      <c r="I160" s="2" t="n">
        <f aca="false">IF(G160&gt;=$C$10,1,0)</f>
        <v>1</v>
      </c>
    </row>
    <row r="161" customFormat="false" ht="15" hidden="false" customHeight="false" outlineLevel="0" collapsed="false">
      <c r="A161" s="11" t="n">
        <f aca="false">Data!A146</f>
        <v>145</v>
      </c>
      <c r="B161" s="11" t="n">
        <f aca="false">Data!B146</f>
        <v>24.3</v>
      </c>
      <c r="C161" s="11" t="n">
        <f aca="false">Data!C146</f>
        <v>4.34</v>
      </c>
      <c r="D161" s="11" t="n">
        <f aca="false">Data!J146</f>
        <v>0</v>
      </c>
      <c r="E161" s="11" t="n">
        <f aca="false">Data!K146</f>
        <v>1</v>
      </c>
      <c r="F161" s="10" t="n">
        <f aca="false">$C$4+$C$5*B161+$C$6*C161+$C$7*D161</f>
        <v>0</v>
      </c>
      <c r="G161" s="10" t="n">
        <f aca="false">1/(1+EXP(-F161))</f>
        <v>0.5</v>
      </c>
      <c r="H161" s="10" t="n">
        <f aca="false">E161*LN(MAX(G161,1E-015))+(1-E161)*LN(MAX(1-G161,1E-015))</f>
        <v>-0.693147180559945</v>
      </c>
      <c r="I161" s="2" t="n">
        <f aca="false">IF(G161&gt;=$C$10,1,0)</f>
        <v>1</v>
      </c>
    </row>
    <row r="162" customFormat="false" ht="15" hidden="false" customHeight="false" outlineLevel="0" collapsed="false">
      <c r="A162" s="11" t="n">
        <f aca="false">Data!A147</f>
        <v>146</v>
      </c>
      <c r="B162" s="11" t="n">
        <f aca="false">Data!B147</f>
        <v>30.2</v>
      </c>
      <c r="C162" s="11" t="n">
        <f aca="false">Data!C147</f>
        <v>0.9</v>
      </c>
      <c r="D162" s="11" t="n">
        <f aca="false">Data!J147</f>
        <v>0</v>
      </c>
      <c r="E162" s="11" t="n">
        <f aca="false">Data!K147</f>
        <v>0</v>
      </c>
      <c r="F162" s="10" t="n">
        <f aca="false">$C$4+$C$5*B162+$C$6*C162+$C$7*D162</f>
        <v>0</v>
      </c>
      <c r="G162" s="10" t="n">
        <f aca="false">1/(1+EXP(-F162))</f>
        <v>0.5</v>
      </c>
      <c r="H162" s="10" t="n">
        <f aca="false">E162*LN(MAX(G162,1E-015))+(1-E162)*LN(MAX(1-G162,1E-015))</f>
        <v>-0.693147180559945</v>
      </c>
      <c r="I162" s="2" t="n">
        <f aca="false">IF(G162&gt;=$C$10,1,0)</f>
        <v>1</v>
      </c>
    </row>
    <row r="163" customFormat="false" ht="15" hidden="false" customHeight="false" outlineLevel="0" collapsed="false">
      <c r="A163" s="11" t="n">
        <f aca="false">Data!A148</f>
        <v>147</v>
      </c>
      <c r="B163" s="11" t="n">
        <f aca="false">Data!B148</f>
        <v>27.1</v>
      </c>
      <c r="C163" s="11" t="n">
        <f aca="false">Data!C148</f>
        <v>1.62</v>
      </c>
      <c r="D163" s="11" t="n">
        <f aca="false">Data!J148</f>
        <v>0</v>
      </c>
      <c r="E163" s="11" t="n">
        <f aca="false">Data!K148</f>
        <v>0</v>
      </c>
      <c r="F163" s="10" t="n">
        <f aca="false">$C$4+$C$5*B163+$C$6*C163+$C$7*D163</f>
        <v>0</v>
      </c>
      <c r="G163" s="10" t="n">
        <f aca="false">1/(1+EXP(-F163))</f>
        <v>0.5</v>
      </c>
      <c r="H163" s="10" t="n">
        <f aca="false">E163*LN(MAX(G163,1E-015))+(1-E163)*LN(MAX(1-G163,1E-015))</f>
        <v>-0.693147180559945</v>
      </c>
      <c r="I163" s="2" t="n">
        <f aca="false">IF(G163&gt;=$C$10,1,0)</f>
        <v>1</v>
      </c>
    </row>
    <row r="164" customFormat="false" ht="15" hidden="false" customHeight="false" outlineLevel="0" collapsed="false">
      <c r="A164" s="11" t="n">
        <f aca="false">Data!A149</f>
        <v>148</v>
      </c>
      <c r="B164" s="11" t="n">
        <f aca="false">Data!B149</f>
        <v>35.2</v>
      </c>
      <c r="C164" s="11" t="n">
        <f aca="false">Data!C149</f>
        <v>3.6</v>
      </c>
      <c r="D164" s="11" t="n">
        <f aca="false">Data!J149</f>
        <v>0</v>
      </c>
      <c r="E164" s="11" t="n">
        <f aca="false">Data!K149</f>
        <v>1</v>
      </c>
      <c r="F164" s="10" t="n">
        <f aca="false">$C$4+$C$5*B164+$C$6*C164+$C$7*D164</f>
        <v>0</v>
      </c>
      <c r="G164" s="10" t="n">
        <f aca="false">1/(1+EXP(-F164))</f>
        <v>0.5</v>
      </c>
      <c r="H164" s="10" t="n">
        <f aca="false">E164*LN(MAX(G164,1E-015))+(1-E164)*LN(MAX(1-G164,1E-015))</f>
        <v>-0.693147180559945</v>
      </c>
      <c r="I164" s="2" t="n">
        <f aca="false">IF(G164&gt;=$C$10,1,0)</f>
        <v>1</v>
      </c>
    </row>
    <row r="165" customFormat="false" ht="15" hidden="false" customHeight="false" outlineLevel="0" collapsed="false">
      <c r="A165" s="11" t="n">
        <f aca="false">Data!A150</f>
        <v>149</v>
      </c>
      <c r="B165" s="11" t="n">
        <f aca="false">Data!B150</f>
        <v>68.3</v>
      </c>
      <c r="C165" s="11" t="n">
        <f aca="false">Data!C150</f>
        <v>2.6</v>
      </c>
      <c r="D165" s="11" t="n">
        <f aca="false">Data!J150</f>
        <v>0</v>
      </c>
      <c r="E165" s="11" t="n">
        <f aca="false">Data!K150</f>
        <v>0</v>
      </c>
      <c r="F165" s="10" t="n">
        <f aca="false">$C$4+$C$5*B165+$C$6*C165+$C$7*D165</f>
        <v>0</v>
      </c>
      <c r="G165" s="10" t="n">
        <f aca="false">1/(1+EXP(-F165))</f>
        <v>0.5</v>
      </c>
      <c r="H165" s="10" t="n">
        <f aca="false">E165*LN(MAX(G165,1E-015))+(1-E165)*LN(MAX(1-G165,1E-015))</f>
        <v>-0.693147180559945</v>
      </c>
      <c r="I165" s="2" t="n">
        <f aca="false">IF(G165&gt;=$C$10,1,0)</f>
        <v>1</v>
      </c>
    </row>
    <row r="166" customFormat="false" ht="15" hidden="false" customHeight="false" outlineLevel="0" collapsed="false">
      <c r="A166" s="11" t="n">
        <f aca="false">Data!A151</f>
        <v>150</v>
      </c>
      <c r="B166" s="11" t="n">
        <f aca="false">Data!B151</f>
        <v>41.4</v>
      </c>
      <c r="C166" s="11" t="n">
        <f aca="false">Data!C151</f>
        <v>5.1</v>
      </c>
      <c r="D166" s="11" t="n">
        <f aca="false">Data!J151</f>
        <v>0</v>
      </c>
      <c r="E166" s="11" t="n">
        <f aca="false">Data!K151</f>
        <v>1</v>
      </c>
      <c r="F166" s="10" t="n">
        <f aca="false">$C$4+$C$5*B166+$C$6*C166+$C$7*D166</f>
        <v>0</v>
      </c>
      <c r="G166" s="10" t="n">
        <f aca="false">1/(1+EXP(-F166))</f>
        <v>0.5</v>
      </c>
      <c r="H166" s="10" t="n">
        <f aca="false">E166*LN(MAX(G166,1E-015))+(1-E166)*LN(MAX(1-G166,1E-015))</f>
        <v>-0.693147180559945</v>
      </c>
      <c r="I166" s="2" t="n">
        <f aca="false">IF(G166&gt;=$C$10,1,0)</f>
        <v>1</v>
      </c>
    </row>
    <row r="167" customFormat="false" ht="15" hidden="false" customHeight="false" outlineLevel="0" collapsed="false">
      <c r="A167" s="11" t="n">
        <f aca="false">Data!A152</f>
        <v>151</v>
      </c>
      <c r="B167" s="11" t="n">
        <f aca="false">Data!B152</f>
        <v>34.8</v>
      </c>
      <c r="C167" s="11" t="n">
        <f aca="false">Data!C152</f>
        <v>3.29</v>
      </c>
      <c r="D167" s="11" t="n">
        <f aca="false">Data!J152</f>
        <v>0</v>
      </c>
      <c r="E167" s="11" t="n">
        <f aca="false">Data!K152</f>
        <v>1</v>
      </c>
      <c r="F167" s="10" t="n">
        <f aca="false">$C$4+$C$5*B167+$C$6*C167+$C$7*D167</f>
        <v>0</v>
      </c>
      <c r="G167" s="10" t="n">
        <f aca="false">1/(1+EXP(-F167))</f>
        <v>0.5</v>
      </c>
      <c r="H167" s="10" t="n">
        <f aca="false">E167*LN(MAX(G167,1E-015))+(1-E167)*LN(MAX(1-G167,1E-015))</f>
        <v>-0.693147180559945</v>
      </c>
      <c r="I167" s="2" t="n">
        <f aca="false">IF(G167&gt;=$C$10,1,0)</f>
        <v>1</v>
      </c>
    </row>
    <row r="168" customFormat="false" ht="15" hidden="false" customHeight="false" outlineLevel="0" collapsed="false">
      <c r="A168" s="11" t="n">
        <f aca="false">Data!A153</f>
        <v>152</v>
      </c>
      <c r="B168" s="11" t="n">
        <f aca="false">Data!B153</f>
        <v>21.5</v>
      </c>
      <c r="C168" s="11" t="n">
        <f aca="false">Data!C153</f>
        <v>3.18</v>
      </c>
      <c r="D168" s="11" t="n">
        <f aca="false">Data!J153</f>
        <v>0</v>
      </c>
      <c r="E168" s="11" t="n">
        <f aca="false">Data!K153</f>
        <v>0</v>
      </c>
      <c r="F168" s="10" t="n">
        <f aca="false">$C$4+$C$5*B168+$C$6*C168+$C$7*D168</f>
        <v>0</v>
      </c>
      <c r="G168" s="10" t="n">
        <f aca="false">1/(1+EXP(-F168))</f>
        <v>0.5</v>
      </c>
      <c r="H168" s="10" t="n">
        <f aca="false">E168*LN(MAX(G168,1E-015))+(1-E168)*LN(MAX(1-G168,1E-015))</f>
        <v>-0.693147180559945</v>
      </c>
      <c r="I168" s="2" t="n">
        <f aca="false">IF(G168&gt;=$C$10,1,0)</f>
        <v>1</v>
      </c>
    </row>
    <row r="169" customFormat="false" ht="15" hidden="false" customHeight="false" outlineLevel="0" collapsed="false">
      <c r="A169" s="11" t="n">
        <f aca="false">Data!A154</f>
        <v>153</v>
      </c>
      <c r="B169" s="11" t="n">
        <f aca="false">Data!B154</f>
        <v>15.1</v>
      </c>
      <c r="C169" s="11" t="n">
        <f aca="false">Data!C154</f>
        <v>0.99</v>
      </c>
      <c r="D169" s="11" t="n">
        <f aca="false">Data!J154</f>
        <v>0</v>
      </c>
      <c r="E169" s="11" t="n">
        <f aca="false">Data!K154</f>
        <v>0</v>
      </c>
      <c r="F169" s="10" t="n">
        <f aca="false">$C$4+$C$5*B169+$C$6*C169+$C$7*D169</f>
        <v>0</v>
      </c>
      <c r="G169" s="10" t="n">
        <f aca="false">1/(1+EXP(-F169))</f>
        <v>0.5</v>
      </c>
      <c r="H169" s="10" t="n">
        <f aca="false">E169*LN(MAX(G169,1E-015))+(1-E169)*LN(MAX(1-G169,1E-015))</f>
        <v>-0.693147180559945</v>
      </c>
      <c r="I169" s="2" t="n">
        <f aca="false">IF(G169&gt;=$C$10,1,0)</f>
        <v>1</v>
      </c>
    </row>
    <row r="170" customFormat="false" ht="15" hidden="false" customHeight="false" outlineLevel="0" collapsed="false">
      <c r="A170" s="11" t="n">
        <f aca="false">Data!A155</f>
        <v>154</v>
      </c>
      <c r="B170" s="11" t="n">
        <f aca="false">Data!B155</f>
        <v>29.1</v>
      </c>
      <c r="C170" s="11" t="n">
        <f aca="false">Data!C155</f>
        <v>3.56</v>
      </c>
      <c r="D170" s="11" t="n">
        <f aca="false">Data!J155</f>
        <v>0</v>
      </c>
      <c r="E170" s="11" t="n">
        <f aca="false">Data!K155</f>
        <v>0</v>
      </c>
      <c r="F170" s="10" t="n">
        <f aca="false">$C$4+$C$5*B170+$C$6*C170+$C$7*D170</f>
        <v>0</v>
      </c>
      <c r="G170" s="10" t="n">
        <f aca="false">1/(1+EXP(-F170))</f>
        <v>0.5</v>
      </c>
      <c r="H170" s="10" t="n">
        <f aca="false">E170*LN(MAX(G170,1E-015))+(1-E170)*LN(MAX(1-G170,1E-015))</f>
        <v>-0.693147180559945</v>
      </c>
      <c r="I170" s="2" t="n">
        <f aca="false">IF(G170&gt;=$C$10,1,0)</f>
        <v>1</v>
      </c>
    </row>
    <row r="171" customFormat="false" ht="15" hidden="false" customHeight="false" outlineLevel="0" collapsed="false">
      <c r="A171" s="11" t="n">
        <f aca="false">Data!A156</f>
        <v>155</v>
      </c>
      <c r="B171" s="11" t="n">
        <f aca="false">Data!B156</f>
        <v>36.9</v>
      </c>
      <c r="C171" s="11" t="n">
        <f aca="false">Data!C156</f>
        <v>4.32</v>
      </c>
      <c r="D171" s="11" t="n">
        <f aca="false">Data!J156</f>
        <v>0</v>
      </c>
      <c r="E171" s="11" t="n">
        <f aca="false">Data!K156</f>
        <v>1</v>
      </c>
      <c r="F171" s="10" t="n">
        <f aca="false">$C$4+$C$5*B171+$C$6*C171+$C$7*D171</f>
        <v>0</v>
      </c>
      <c r="G171" s="10" t="n">
        <f aca="false">1/(1+EXP(-F171))</f>
        <v>0.5</v>
      </c>
      <c r="H171" s="10" t="n">
        <f aca="false">E171*LN(MAX(G171,1E-015))+(1-E171)*LN(MAX(1-G171,1E-015))</f>
        <v>-0.693147180559945</v>
      </c>
      <c r="I171" s="2" t="n">
        <f aca="false">IF(G171&gt;=$C$10,1,0)</f>
        <v>1</v>
      </c>
    </row>
    <row r="172" customFormat="false" ht="15" hidden="false" customHeight="false" outlineLevel="0" collapsed="false">
      <c r="A172" s="11" t="n">
        <f aca="false">Data!A157</f>
        <v>156</v>
      </c>
      <c r="B172" s="11" t="n">
        <f aca="false">Data!B157</f>
        <v>100.5</v>
      </c>
      <c r="C172" s="11" t="n">
        <f aca="false">Data!C157</f>
        <v>6.73</v>
      </c>
      <c r="D172" s="11" t="n">
        <f aca="false">Data!J157</f>
        <v>0</v>
      </c>
      <c r="E172" s="11" t="n">
        <f aca="false">Data!K157</f>
        <v>1</v>
      </c>
      <c r="F172" s="10" t="n">
        <f aca="false">$C$4+$C$5*B172+$C$6*C172+$C$7*D172</f>
        <v>0</v>
      </c>
      <c r="G172" s="10" t="n">
        <f aca="false">1/(1+EXP(-F172))</f>
        <v>0.5</v>
      </c>
      <c r="H172" s="10" t="n">
        <f aca="false">E172*LN(MAX(G172,1E-015))+(1-E172)*LN(MAX(1-G172,1E-015))</f>
        <v>-0.693147180559945</v>
      </c>
      <c r="I172" s="2" t="n">
        <f aca="false">IF(G172&gt;=$C$10,1,0)</f>
        <v>1</v>
      </c>
    </row>
    <row r="173" customFormat="false" ht="15" hidden="false" customHeight="false" outlineLevel="0" collapsed="false">
      <c r="A173" s="11" t="n">
        <f aca="false">Data!A158</f>
        <v>157</v>
      </c>
      <c r="B173" s="11" t="n">
        <f aca="false">Data!B158</f>
        <v>40.8</v>
      </c>
      <c r="C173" s="11" t="n">
        <f aca="false">Data!C158</f>
        <v>3.45</v>
      </c>
      <c r="D173" s="11" t="n">
        <f aca="false">Data!J158</f>
        <v>0</v>
      </c>
      <c r="E173" s="11" t="n">
        <f aca="false">Data!K158</f>
        <v>0</v>
      </c>
      <c r="F173" s="10" t="n">
        <f aca="false">$C$4+$C$5*B173+$C$6*C173+$C$7*D173</f>
        <v>0</v>
      </c>
      <c r="G173" s="10" t="n">
        <f aca="false">1/(1+EXP(-F173))</f>
        <v>0.5</v>
      </c>
      <c r="H173" s="10" t="n">
        <f aca="false">E173*LN(MAX(G173,1E-015))+(1-E173)*LN(MAX(1-G173,1E-015))</f>
        <v>-0.693147180559945</v>
      </c>
      <c r="I173" s="2" t="n">
        <f aca="false">IF(G173&gt;=$C$10,1,0)</f>
        <v>1</v>
      </c>
    </row>
    <row r="174" customFormat="false" ht="15" hidden="false" customHeight="false" outlineLevel="0" collapsed="false">
      <c r="A174" s="11" t="n">
        <f aca="false">Data!A159</f>
        <v>158</v>
      </c>
      <c r="B174" s="11" t="n">
        <f aca="false">Data!B159</f>
        <v>65.2</v>
      </c>
      <c r="C174" s="11" t="n">
        <f aca="false">Data!C159</f>
        <v>4.84</v>
      </c>
      <c r="D174" s="11" t="n">
        <f aca="false">Data!J159</f>
        <v>0</v>
      </c>
      <c r="E174" s="11" t="n">
        <f aca="false">Data!K159</f>
        <v>0</v>
      </c>
      <c r="F174" s="10" t="n">
        <f aca="false">$C$4+$C$5*B174+$C$6*C174+$C$7*D174</f>
        <v>0</v>
      </c>
      <c r="G174" s="10" t="n">
        <f aca="false">1/(1+EXP(-F174))</f>
        <v>0.5</v>
      </c>
      <c r="H174" s="10" t="n">
        <f aca="false">E174*LN(MAX(G174,1E-015))+(1-E174)*LN(MAX(1-G174,1E-015))</f>
        <v>-0.693147180559945</v>
      </c>
      <c r="I174" s="2" t="n">
        <f aca="false">IF(G174&gt;=$C$10,1,0)</f>
        <v>1</v>
      </c>
    </row>
    <row r="175" customFormat="false" ht="15" hidden="false" customHeight="false" outlineLevel="0" collapsed="false">
      <c r="A175" s="11" t="n">
        <f aca="false">Data!A160</f>
        <v>159</v>
      </c>
      <c r="B175" s="11" t="n">
        <f aca="false">Data!B160</f>
        <v>28.9</v>
      </c>
      <c r="C175" s="11" t="n">
        <f aca="false">Data!C160</f>
        <v>1.37</v>
      </c>
      <c r="D175" s="11" t="n">
        <f aca="false">Data!J160</f>
        <v>0</v>
      </c>
      <c r="E175" s="11" t="n">
        <f aca="false">Data!K160</f>
        <v>0</v>
      </c>
      <c r="F175" s="10" t="n">
        <f aca="false">$C$4+$C$5*B175+$C$6*C175+$C$7*D175</f>
        <v>0</v>
      </c>
      <c r="G175" s="10" t="n">
        <f aca="false">1/(1+EXP(-F175))</f>
        <v>0.5</v>
      </c>
      <c r="H175" s="10" t="n">
        <f aca="false">E175*LN(MAX(G175,1E-015))+(1-E175)*LN(MAX(1-G175,1E-015))</f>
        <v>-0.693147180559945</v>
      </c>
      <c r="I175" s="2" t="n">
        <f aca="false">IF(G175&gt;=$C$10,1,0)</f>
        <v>1</v>
      </c>
    </row>
    <row r="176" customFormat="false" ht="15" hidden="false" customHeight="false" outlineLevel="0" collapsed="false">
      <c r="A176" s="11" t="n">
        <f aca="false">Data!A161</f>
        <v>160</v>
      </c>
      <c r="B176" s="11" t="n">
        <f aca="false">Data!B161</f>
        <v>19.8</v>
      </c>
      <c r="C176" s="11" t="n">
        <f aca="false">Data!C161</f>
        <v>1.8</v>
      </c>
      <c r="D176" s="11" t="n">
        <f aca="false">Data!J161</f>
        <v>0</v>
      </c>
      <c r="E176" s="11" t="n">
        <f aca="false">Data!K161</f>
        <v>0</v>
      </c>
      <c r="F176" s="10" t="n">
        <f aca="false">$C$4+$C$5*B176+$C$6*C176+$C$7*D176</f>
        <v>0</v>
      </c>
      <c r="G176" s="10" t="n">
        <f aca="false">1/(1+EXP(-F176))</f>
        <v>0.5</v>
      </c>
      <c r="H176" s="10" t="n">
        <f aca="false">E176*LN(MAX(G176,1E-015))+(1-E176)*LN(MAX(1-G176,1E-015))</f>
        <v>-0.693147180559945</v>
      </c>
      <c r="I176" s="2" t="n">
        <f aca="false">IF(G176&gt;=$C$10,1,0)</f>
        <v>1</v>
      </c>
    </row>
    <row r="177" customFormat="false" ht="15" hidden="false" customHeight="false" outlineLevel="0" collapsed="false">
      <c r="A177" s="11" t="n">
        <f aca="false">Data!A162</f>
        <v>161</v>
      </c>
      <c r="B177" s="11" t="n">
        <f aca="false">Data!B162</f>
        <v>22.3</v>
      </c>
      <c r="C177" s="11" t="n">
        <f aca="false">Data!C162</f>
        <v>1.93</v>
      </c>
      <c r="D177" s="11" t="n">
        <f aca="false">Data!J162</f>
        <v>0</v>
      </c>
      <c r="E177" s="11" t="n">
        <f aca="false">Data!K162</f>
        <v>0</v>
      </c>
      <c r="F177" s="10" t="n">
        <f aca="false">$C$4+$C$5*B177+$C$6*C177+$C$7*D177</f>
        <v>0</v>
      </c>
      <c r="G177" s="10" t="n">
        <f aca="false">1/(1+EXP(-F177))</f>
        <v>0.5</v>
      </c>
      <c r="H177" s="10" t="n">
        <f aca="false">E177*LN(MAX(G177,1E-015))+(1-E177)*LN(MAX(1-G177,1E-015))</f>
        <v>-0.693147180559945</v>
      </c>
      <c r="I177" s="2" t="n">
        <f aca="false">IF(G177&gt;=$C$10,1,0)</f>
        <v>1</v>
      </c>
    </row>
    <row r="178" customFormat="false" ht="15" hidden="false" customHeight="false" outlineLevel="0" collapsed="false">
      <c r="A178" s="11" t="n">
        <f aca="false">Data!A163</f>
        <v>162</v>
      </c>
      <c r="B178" s="11" t="n">
        <f aca="false">Data!B163</f>
        <v>25.5</v>
      </c>
      <c r="C178" s="11" t="n">
        <f aca="false">Data!C163</f>
        <v>2.8</v>
      </c>
      <c r="D178" s="11" t="n">
        <f aca="false">Data!J163</f>
        <v>0</v>
      </c>
      <c r="E178" s="11" t="n">
        <f aca="false">Data!K163</f>
        <v>1</v>
      </c>
      <c r="F178" s="10" t="n">
        <f aca="false">$C$4+$C$5*B178+$C$6*C178+$C$7*D178</f>
        <v>0</v>
      </c>
      <c r="G178" s="10" t="n">
        <f aca="false">1/(1+EXP(-F178))</f>
        <v>0.5</v>
      </c>
      <c r="H178" s="10" t="n">
        <f aca="false">E178*LN(MAX(G178,1E-015))+(1-E178)*LN(MAX(1-G178,1E-015))</f>
        <v>-0.693147180559945</v>
      </c>
      <c r="I178" s="2" t="n">
        <f aca="false">IF(G178&gt;=$C$10,1,0)</f>
        <v>1</v>
      </c>
    </row>
    <row r="179" customFormat="false" ht="15" hidden="false" customHeight="false" outlineLevel="0" collapsed="false">
      <c r="A179" s="11" t="n">
        <f aca="false">Data!A164</f>
        <v>163</v>
      </c>
      <c r="B179" s="11" t="n">
        <f aca="false">Data!B164</f>
        <v>122.5</v>
      </c>
      <c r="C179" s="11" t="n">
        <f aca="false">Data!C164</f>
        <v>8.94</v>
      </c>
      <c r="D179" s="11" t="n">
        <f aca="false">Data!J164</f>
        <v>0</v>
      </c>
      <c r="E179" s="11" t="n">
        <f aca="false">Data!K164</f>
        <v>1</v>
      </c>
      <c r="F179" s="10" t="n">
        <f aca="false">$C$4+$C$5*B179+$C$6*C179+$C$7*D179</f>
        <v>0</v>
      </c>
      <c r="G179" s="10" t="n">
        <f aca="false">1/(1+EXP(-F179))</f>
        <v>0.5</v>
      </c>
      <c r="H179" s="10" t="n">
        <f aca="false">E179*LN(MAX(G179,1E-015))+(1-E179)*LN(MAX(1-G179,1E-015))</f>
        <v>-0.693147180559945</v>
      </c>
      <c r="I179" s="2" t="n">
        <f aca="false">IF(G179&gt;=$C$10,1,0)</f>
        <v>1</v>
      </c>
    </row>
    <row r="180" customFormat="false" ht="15" hidden="false" customHeight="false" outlineLevel="0" collapsed="false">
      <c r="A180" s="11" t="n">
        <f aca="false">Data!A165</f>
        <v>164</v>
      </c>
      <c r="B180" s="11" t="n">
        <f aca="false">Data!B165</f>
        <v>24.2</v>
      </c>
      <c r="C180" s="11" t="n">
        <f aca="false">Data!C165</f>
        <v>0.9</v>
      </c>
      <c r="D180" s="11" t="n">
        <f aca="false">Data!J165</f>
        <v>0</v>
      </c>
      <c r="E180" s="11" t="n">
        <f aca="false">Data!K165</f>
        <v>0</v>
      </c>
      <c r="F180" s="10" t="n">
        <f aca="false">$C$4+$C$5*B180+$C$6*C180+$C$7*D180</f>
        <v>0</v>
      </c>
      <c r="G180" s="10" t="n">
        <f aca="false">1/(1+EXP(-F180))</f>
        <v>0.5</v>
      </c>
      <c r="H180" s="10" t="n">
        <f aca="false">E180*LN(MAX(G180,1E-015))+(1-E180)*LN(MAX(1-G180,1E-015))</f>
        <v>-0.693147180559945</v>
      </c>
      <c r="I180" s="2" t="n">
        <f aca="false">IF(G180&gt;=$C$10,1,0)</f>
        <v>1</v>
      </c>
    </row>
    <row r="181" customFormat="false" ht="15" hidden="false" customHeight="false" outlineLevel="0" collapsed="false">
      <c r="A181" s="11" t="n">
        <f aca="false">Data!A166</f>
        <v>165</v>
      </c>
      <c r="B181" s="11" t="n">
        <f aca="false">Data!B166</f>
        <v>60.3</v>
      </c>
      <c r="C181" s="11" t="n">
        <f aca="false">Data!C166</f>
        <v>4.05</v>
      </c>
      <c r="D181" s="11" t="n">
        <f aca="false">Data!J166</f>
        <v>0</v>
      </c>
      <c r="E181" s="11" t="n">
        <f aca="false">Data!K166</f>
        <v>0</v>
      </c>
      <c r="F181" s="10" t="n">
        <f aca="false">$C$4+$C$5*B181+$C$6*C181+$C$7*D181</f>
        <v>0</v>
      </c>
      <c r="G181" s="10" t="n">
        <f aca="false">1/(1+EXP(-F181))</f>
        <v>0.5</v>
      </c>
      <c r="H181" s="10" t="n">
        <f aca="false">E181*LN(MAX(G181,1E-015))+(1-E181)*LN(MAX(1-G181,1E-015))</f>
        <v>-0.693147180559945</v>
      </c>
      <c r="I181" s="2" t="n">
        <f aca="false">IF(G181&gt;=$C$10,1,0)</f>
        <v>1</v>
      </c>
    </row>
    <row r="182" customFormat="false" ht="15" hidden="false" customHeight="false" outlineLevel="0" collapsed="false">
      <c r="A182" s="11" t="n">
        <f aca="false">Data!A167</f>
        <v>166</v>
      </c>
      <c r="B182" s="11" t="n">
        <f aca="false">Data!B167</f>
        <v>23.1</v>
      </c>
      <c r="C182" s="11" t="n">
        <f aca="false">Data!C167</f>
        <v>4.1</v>
      </c>
      <c r="D182" s="11" t="n">
        <f aca="false">Data!J167</f>
        <v>0</v>
      </c>
      <c r="E182" s="11" t="n">
        <f aca="false">Data!K167</f>
        <v>1</v>
      </c>
      <c r="F182" s="10" t="n">
        <f aca="false">$C$4+$C$5*B182+$C$6*C182+$C$7*D182</f>
        <v>0</v>
      </c>
      <c r="G182" s="10" t="n">
        <f aca="false">1/(1+EXP(-F182))</f>
        <v>0.5</v>
      </c>
      <c r="H182" s="10" t="n">
        <f aca="false">E182*LN(MAX(G182,1E-015))+(1-E182)*LN(MAX(1-G182,1E-015))</f>
        <v>-0.693147180559945</v>
      </c>
      <c r="I182" s="2" t="n">
        <f aca="false">IF(G182&gt;=$C$10,1,0)</f>
        <v>1</v>
      </c>
    </row>
    <row r="183" customFormat="false" ht="15" hidden="false" customHeight="false" outlineLevel="0" collapsed="false">
      <c r="A183" s="11" t="n">
        <f aca="false">Data!A168</f>
        <v>167</v>
      </c>
      <c r="B183" s="11" t="n">
        <f aca="false">Data!B168</f>
        <v>63.4</v>
      </c>
      <c r="C183" s="11" t="n">
        <f aca="false">Data!C168</f>
        <v>3.42</v>
      </c>
      <c r="D183" s="11" t="n">
        <f aca="false">Data!J168</f>
        <v>0</v>
      </c>
      <c r="E183" s="11" t="n">
        <f aca="false">Data!K168</f>
        <v>0</v>
      </c>
      <c r="F183" s="10" t="n">
        <f aca="false">$C$4+$C$5*B183+$C$6*C183+$C$7*D183</f>
        <v>0</v>
      </c>
      <c r="G183" s="10" t="n">
        <f aca="false">1/(1+EXP(-F183))</f>
        <v>0.5</v>
      </c>
      <c r="H183" s="10" t="n">
        <f aca="false">E183*LN(MAX(G183,1E-015))+(1-E183)*LN(MAX(1-G183,1E-015))</f>
        <v>-0.693147180559945</v>
      </c>
      <c r="I183" s="2" t="n">
        <f aca="false">IF(G183&gt;=$C$10,1,0)</f>
        <v>1</v>
      </c>
    </row>
    <row r="184" customFormat="false" ht="15" hidden="false" customHeight="false" outlineLevel="0" collapsed="false">
      <c r="A184" s="11" t="n">
        <f aca="false">Data!A169</f>
        <v>168</v>
      </c>
      <c r="B184" s="11" t="n">
        <f aca="false">Data!B169</f>
        <v>47</v>
      </c>
      <c r="C184" s="11" t="n">
        <f aca="false">Data!C169</f>
        <v>2.42</v>
      </c>
      <c r="D184" s="11" t="n">
        <f aca="false">Data!J169</f>
        <v>0</v>
      </c>
      <c r="E184" s="11" t="n">
        <f aca="false">Data!K169</f>
        <v>0</v>
      </c>
      <c r="F184" s="10" t="n">
        <f aca="false">$C$4+$C$5*B184+$C$6*C184+$C$7*D184</f>
        <v>0</v>
      </c>
      <c r="G184" s="10" t="n">
        <f aca="false">1/(1+EXP(-F184))</f>
        <v>0.5</v>
      </c>
      <c r="H184" s="10" t="n">
        <f aca="false">E184*LN(MAX(G184,1E-015))+(1-E184)*LN(MAX(1-G184,1E-015))</f>
        <v>-0.693147180559945</v>
      </c>
      <c r="I184" s="2" t="n">
        <f aca="false">IF(G184&gt;=$C$10,1,0)</f>
        <v>1</v>
      </c>
    </row>
    <row r="185" customFormat="false" ht="15" hidden="false" customHeight="false" outlineLevel="0" collapsed="false">
      <c r="A185" s="11" t="n">
        <f aca="false">Data!A170</f>
        <v>169</v>
      </c>
      <c r="B185" s="11" t="n">
        <f aca="false">Data!B170</f>
        <v>34.9</v>
      </c>
      <c r="C185" s="11" t="n">
        <f aca="false">Data!C170</f>
        <v>3.08</v>
      </c>
      <c r="D185" s="11" t="n">
        <f aca="false">Data!J170</f>
        <v>0</v>
      </c>
      <c r="E185" s="11" t="n">
        <f aca="false">Data!K170</f>
        <v>1</v>
      </c>
      <c r="F185" s="10" t="n">
        <f aca="false">$C$4+$C$5*B185+$C$6*C185+$C$7*D185</f>
        <v>0</v>
      </c>
      <c r="G185" s="10" t="n">
        <f aca="false">1/(1+EXP(-F185))</f>
        <v>0.5</v>
      </c>
      <c r="H185" s="10" t="n">
        <f aca="false">E185*LN(MAX(G185,1E-015))+(1-E185)*LN(MAX(1-G185,1E-015))</f>
        <v>-0.693147180559945</v>
      </c>
      <c r="I185" s="2" t="n">
        <f aca="false">IF(G185&gt;=$C$10,1,0)</f>
        <v>1</v>
      </c>
    </row>
    <row r="186" customFormat="false" ht="15" hidden="false" customHeight="false" outlineLevel="0" collapsed="false">
      <c r="A186" s="11" t="n">
        <f aca="false">Data!A171</f>
        <v>170</v>
      </c>
      <c r="B186" s="11" t="n">
        <f aca="false">Data!B171</f>
        <v>37.2</v>
      </c>
      <c r="C186" s="11" t="n">
        <f aca="false">Data!C171</f>
        <v>4.04</v>
      </c>
      <c r="D186" s="11" t="n">
        <f aca="false">Data!J171</f>
        <v>0</v>
      </c>
      <c r="E186" s="11" t="n">
        <f aca="false">Data!K171</f>
        <v>0</v>
      </c>
      <c r="F186" s="10" t="n">
        <f aca="false">$C$4+$C$5*B186+$C$6*C186+$C$7*D186</f>
        <v>0</v>
      </c>
      <c r="G186" s="10" t="n">
        <f aca="false">1/(1+EXP(-F186))</f>
        <v>0.5</v>
      </c>
      <c r="H186" s="10" t="n">
        <f aca="false">E186*LN(MAX(G186,1E-015))+(1-E186)*LN(MAX(1-G186,1E-015))</f>
        <v>-0.693147180559945</v>
      </c>
      <c r="I186" s="2" t="n">
        <f aca="false">IF(G186&gt;=$C$10,1,0)</f>
        <v>1</v>
      </c>
    </row>
    <row r="187" customFormat="false" ht="15" hidden="false" customHeight="false" outlineLevel="0" collapsed="false">
      <c r="A187" s="11" t="n">
        <f aca="false">Data!A172</f>
        <v>171</v>
      </c>
      <c r="B187" s="11" t="n">
        <f aca="false">Data!B172</f>
        <v>26.5</v>
      </c>
      <c r="C187" s="11" t="n">
        <f aca="false">Data!C172</f>
        <v>2.37</v>
      </c>
      <c r="D187" s="11" t="n">
        <f aca="false">Data!J172</f>
        <v>0</v>
      </c>
      <c r="E187" s="11" t="n">
        <f aca="false">Data!K172</f>
        <v>0</v>
      </c>
      <c r="F187" s="10" t="n">
        <f aca="false">$C$4+$C$5*B187+$C$6*C187+$C$7*D187</f>
        <v>0</v>
      </c>
      <c r="G187" s="10" t="n">
        <f aca="false">1/(1+EXP(-F187))</f>
        <v>0.5</v>
      </c>
      <c r="H187" s="10" t="n">
        <f aca="false">E187*LN(MAX(G187,1E-015))+(1-E187)*LN(MAX(1-G187,1E-015))</f>
        <v>-0.693147180559945</v>
      </c>
      <c r="I187" s="2" t="n">
        <f aca="false">IF(G187&gt;=$C$10,1,0)</f>
        <v>1</v>
      </c>
    </row>
    <row r="188" customFormat="false" ht="15" hidden="false" customHeight="false" outlineLevel="0" collapsed="false">
      <c r="A188" s="11" t="n">
        <f aca="false">Data!A173</f>
        <v>172</v>
      </c>
      <c r="B188" s="11" t="n">
        <f aca="false">Data!B173</f>
        <v>48.6</v>
      </c>
      <c r="C188" s="11" t="n">
        <f aca="false">Data!C173</f>
        <v>5.3</v>
      </c>
      <c r="D188" s="11" t="n">
        <f aca="false">Data!J173</f>
        <v>0</v>
      </c>
      <c r="E188" s="11" t="n">
        <f aca="false">Data!K173</f>
        <v>1</v>
      </c>
      <c r="F188" s="10" t="n">
        <f aca="false">$C$4+$C$5*B188+$C$6*C188+$C$7*D188</f>
        <v>0</v>
      </c>
      <c r="G188" s="10" t="n">
        <f aca="false">1/(1+EXP(-F188))</f>
        <v>0.5</v>
      </c>
      <c r="H188" s="10" t="n">
        <f aca="false">E188*LN(MAX(G188,1E-015))+(1-E188)*LN(MAX(1-G188,1E-015))</f>
        <v>-0.693147180559945</v>
      </c>
      <c r="I188" s="2" t="n">
        <f aca="false">IF(G188&gt;=$C$10,1,0)</f>
        <v>1</v>
      </c>
    </row>
    <row r="189" customFormat="false" ht="15" hidden="false" customHeight="false" outlineLevel="0" collapsed="false">
      <c r="A189" s="11" t="n">
        <f aca="false">Data!A174</f>
        <v>173</v>
      </c>
      <c r="B189" s="11" t="n">
        <f aca="false">Data!B174</f>
        <v>29.6</v>
      </c>
      <c r="C189" s="11" t="n">
        <f aca="false">Data!C174</f>
        <v>3.64</v>
      </c>
      <c r="D189" s="11" t="n">
        <f aca="false">Data!J174</f>
        <v>0</v>
      </c>
      <c r="E189" s="11" t="n">
        <f aca="false">Data!K174</f>
        <v>1</v>
      </c>
      <c r="F189" s="10" t="n">
        <f aca="false">$C$4+$C$5*B189+$C$6*C189+$C$7*D189</f>
        <v>0</v>
      </c>
      <c r="G189" s="10" t="n">
        <f aca="false">1/(1+EXP(-F189))</f>
        <v>0.5</v>
      </c>
      <c r="H189" s="10" t="n">
        <f aca="false">E189*LN(MAX(G189,1E-015))+(1-E189)*LN(MAX(1-G189,1E-015))</f>
        <v>-0.693147180559945</v>
      </c>
      <c r="I189" s="2" t="n">
        <f aca="false">IF(G189&gt;=$C$10,1,0)</f>
        <v>1</v>
      </c>
    </row>
    <row r="190" customFormat="false" ht="15" hidden="false" customHeight="false" outlineLevel="0" collapsed="false">
      <c r="A190" s="11" t="n">
        <f aca="false">Data!A175</f>
        <v>174</v>
      </c>
      <c r="B190" s="11" t="n">
        <f aca="false">Data!B175</f>
        <v>19.4</v>
      </c>
      <c r="C190" s="11" t="n">
        <f aca="false">Data!C175</f>
        <v>3.06</v>
      </c>
      <c r="D190" s="11" t="n">
        <f aca="false">Data!J175</f>
        <v>0</v>
      </c>
      <c r="E190" s="11" t="n">
        <f aca="false">Data!K175</f>
        <v>0</v>
      </c>
      <c r="F190" s="10" t="n">
        <f aca="false">$C$4+$C$5*B190+$C$6*C190+$C$7*D190</f>
        <v>0</v>
      </c>
      <c r="G190" s="10" t="n">
        <f aca="false">1/(1+EXP(-F190))</f>
        <v>0.5</v>
      </c>
      <c r="H190" s="10" t="n">
        <f aca="false">E190*LN(MAX(G190,1E-015))+(1-E190)*LN(MAX(1-G190,1E-015))</f>
        <v>-0.693147180559945</v>
      </c>
      <c r="I190" s="2" t="n">
        <f aca="false">IF(G190&gt;=$C$10,1,0)</f>
        <v>1</v>
      </c>
    </row>
    <row r="191" customFormat="false" ht="15" hidden="false" customHeight="false" outlineLevel="0" collapsed="false">
      <c r="A191" s="11" t="n">
        <f aca="false">Data!A176</f>
        <v>175</v>
      </c>
      <c r="B191" s="11" t="n">
        <f aca="false">Data!B176</f>
        <v>18.8</v>
      </c>
      <c r="C191" s="11" t="n">
        <f aca="false">Data!C176</f>
        <v>2.65</v>
      </c>
      <c r="D191" s="11" t="n">
        <f aca="false">Data!J176</f>
        <v>0</v>
      </c>
      <c r="E191" s="11" t="n">
        <f aca="false">Data!K176</f>
        <v>0</v>
      </c>
      <c r="F191" s="10" t="n">
        <f aca="false">$C$4+$C$5*B191+$C$6*C191+$C$7*D191</f>
        <v>0</v>
      </c>
      <c r="G191" s="10" t="n">
        <f aca="false">1/(1+EXP(-F191))</f>
        <v>0.5</v>
      </c>
      <c r="H191" s="10" t="n">
        <f aca="false">E191*LN(MAX(G191,1E-015))+(1-E191)*LN(MAX(1-G191,1E-015))</f>
        <v>-0.693147180559945</v>
      </c>
      <c r="I191" s="2" t="n">
        <f aca="false">IF(G191&gt;=$C$10,1,0)</f>
        <v>1</v>
      </c>
    </row>
    <row r="192" customFormat="false" ht="15" hidden="false" customHeight="false" outlineLevel="0" collapsed="false">
      <c r="A192" s="11" t="n">
        <f aca="false">Data!A177</f>
        <v>176</v>
      </c>
      <c r="B192" s="11" t="n">
        <f aca="false">Data!B177</f>
        <v>41.8</v>
      </c>
      <c r="C192" s="11" t="n">
        <f aca="false">Data!C177</f>
        <v>6.22</v>
      </c>
      <c r="D192" s="11" t="n">
        <f aca="false">Data!J177</f>
        <v>1</v>
      </c>
      <c r="E192" s="11" t="n">
        <f aca="false">Data!K177</f>
        <v>1</v>
      </c>
      <c r="F192" s="10" t="n">
        <f aca="false">$C$4+$C$5*B192+$C$6*C192+$C$7*D192</f>
        <v>0</v>
      </c>
      <c r="G192" s="10" t="n">
        <f aca="false">1/(1+EXP(-F192))</f>
        <v>0.5</v>
      </c>
      <c r="H192" s="10" t="n">
        <f aca="false">E192*LN(MAX(G192,1E-015))+(1-E192)*LN(MAX(1-G192,1E-015))</f>
        <v>-0.693147180559945</v>
      </c>
      <c r="I192" s="2" t="n">
        <f aca="false">IF(G192&gt;=$C$10,1,0)</f>
        <v>1</v>
      </c>
    </row>
    <row r="193" customFormat="false" ht="15" hidden="false" customHeight="false" outlineLevel="0" collapsed="false">
      <c r="A193" s="11" t="n">
        <f aca="false">Data!A178</f>
        <v>177</v>
      </c>
      <c r="B193" s="11" t="n">
        <f aca="false">Data!B178</f>
        <v>90.6</v>
      </c>
      <c r="C193" s="11" t="n">
        <f aca="false">Data!C178</f>
        <v>5.62</v>
      </c>
      <c r="D193" s="11" t="n">
        <f aca="false">Data!J178</f>
        <v>0</v>
      </c>
      <c r="E193" s="11" t="n">
        <f aca="false">Data!K178</f>
        <v>0</v>
      </c>
      <c r="F193" s="10" t="n">
        <f aca="false">$C$4+$C$5*B193+$C$6*C193+$C$7*D193</f>
        <v>0</v>
      </c>
      <c r="G193" s="10" t="n">
        <f aca="false">1/(1+EXP(-F193))</f>
        <v>0.5</v>
      </c>
      <c r="H193" s="10" t="n">
        <f aca="false">E193*LN(MAX(G193,1E-015))+(1-E193)*LN(MAX(1-G193,1E-015))</f>
        <v>-0.693147180559945</v>
      </c>
      <c r="I193" s="2" t="n">
        <f aca="false">IF(G193&gt;=$C$10,1,0)</f>
        <v>1</v>
      </c>
    </row>
    <row r="194" customFormat="false" ht="15" hidden="false" customHeight="false" outlineLevel="0" collapsed="false">
      <c r="A194" s="11" t="n">
        <f aca="false">Data!A179</f>
        <v>178</v>
      </c>
      <c r="B194" s="11" t="n">
        <f aca="false">Data!B179</f>
        <v>41.5</v>
      </c>
      <c r="C194" s="11" t="n">
        <f aca="false">Data!C179</f>
        <v>0.9</v>
      </c>
      <c r="D194" s="11" t="n">
        <f aca="false">Data!J179</f>
        <v>0</v>
      </c>
      <c r="E194" s="11" t="n">
        <f aca="false">Data!K179</f>
        <v>0</v>
      </c>
      <c r="F194" s="10" t="n">
        <f aca="false">$C$4+$C$5*B194+$C$6*C194+$C$7*D194</f>
        <v>0</v>
      </c>
      <c r="G194" s="10" t="n">
        <f aca="false">1/(1+EXP(-F194))</f>
        <v>0.5</v>
      </c>
      <c r="H194" s="10" t="n">
        <f aca="false">E194*LN(MAX(G194,1E-015))+(1-E194)*LN(MAX(1-G194,1E-015))</f>
        <v>-0.693147180559945</v>
      </c>
      <c r="I194" s="2" t="n">
        <f aca="false">IF(G194&gt;=$C$10,1,0)</f>
        <v>1</v>
      </c>
    </row>
    <row r="195" customFormat="false" ht="15" hidden="false" customHeight="false" outlineLevel="0" collapsed="false">
      <c r="A195" s="11" t="n">
        <f aca="false">Data!A180</f>
        <v>179</v>
      </c>
      <c r="B195" s="11" t="n">
        <f aca="false">Data!B180</f>
        <v>35.6</v>
      </c>
      <c r="C195" s="11" t="n">
        <f aca="false">Data!C180</f>
        <v>4.94</v>
      </c>
      <c r="D195" s="11" t="n">
        <f aca="false">Data!J180</f>
        <v>0</v>
      </c>
      <c r="E195" s="11" t="n">
        <f aca="false">Data!K180</f>
        <v>1</v>
      </c>
      <c r="F195" s="10" t="n">
        <f aca="false">$C$4+$C$5*B195+$C$6*C195+$C$7*D195</f>
        <v>0</v>
      </c>
      <c r="G195" s="10" t="n">
        <f aca="false">1/(1+EXP(-F195))</f>
        <v>0.5</v>
      </c>
      <c r="H195" s="10" t="n">
        <f aca="false">E195*LN(MAX(G195,1E-015))+(1-E195)*LN(MAX(1-G195,1E-015))</f>
        <v>-0.693147180559945</v>
      </c>
      <c r="I195" s="2" t="n">
        <f aca="false">IF(G195&gt;=$C$10,1,0)</f>
        <v>1</v>
      </c>
    </row>
    <row r="196" customFormat="false" ht="15" hidden="false" customHeight="false" outlineLevel="0" collapsed="false">
      <c r="A196" s="11" t="n">
        <f aca="false">Data!A181</f>
        <v>180</v>
      </c>
      <c r="B196" s="11" t="n">
        <f aca="false">Data!B181</f>
        <v>44.5</v>
      </c>
      <c r="C196" s="11" t="n">
        <f aca="false">Data!C181</f>
        <v>2.75</v>
      </c>
      <c r="D196" s="11" t="n">
        <f aca="false">Data!J181</f>
        <v>0</v>
      </c>
      <c r="E196" s="11" t="n">
        <f aca="false">Data!K181</f>
        <v>0</v>
      </c>
      <c r="F196" s="10" t="n">
        <f aca="false">$C$4+$C$5*B196+$C$6*C196+$C$7*D196</f>
        <v>0</v>
      </c>
      <c r="G196" s="10" t="n">
        <f aca="false">1/(1+EXP(-F196))</f>
        <v>0.5</v>
      </c>
      <c r="H196" s="10" t="n">
        <f aca="false">E196*LN(MAX(G196,1E-015))+(1-E196)*LN(MAX(1-G196,1E-015))</f>
        <v>-0.693147180559945</v>
      </c>
      <c r="I196" s="2" t="n">
        <f aca="false">IF(G196&gt;=$C$10,1,0)</f>
        <v>1</v>
      </c>
    </row>
    <row r="197" customFormat="false" ht="15" hidden="false" customHeight="false" outlineLevel="0" collapsed="false">
      <c r="A197" s="11" t="n">
        <f aca="false">Data!A182</f>
        <v>181</v>
      </c>
      <c r="B197" s="11" t="n">
        <f aca="false">Data!B182</f>
        <v>77.9</v>
      </c>
      <c r="C197" s="11" t="n">
        <f aca="false">Data!C182</f>
        <v>5.32</v>
      </c>
      <c r="D197" s="11" t="n">
        <f aca="false">Data!J182</f>
        <v>0</v>
      </c>
      <c r="E197" s="11" t="n">
        <f aca="false">Data!K182</f>
        <v>1</v>
      </c>
      <c r="F197" s="10" t="n">
        <f aca="false">$C$4+$C$5*B197+$C$6*C197+$C$7*D197</f>
        <v>0</v>
      </c>
      <c r="G197" s="10" t="n">
        <f aca="false">1/(1+EXP(-F197))</f>
        <v>0.5</v>
      </c>
      <c r="H197" s="10" t="n">
        <f aca="false">E197*LN(MAX(G197,1E-015))+(1-E197)*LN(MAX(1-G197,1E-015))</f>
        <v>-0.693147180559945</v>
      </c>
      <c r="I197" s="2" t="n">
        <f aca="false">IF(G197&gt;=$C$10,1,0)</f>
        <v>1</v>
      </c>
    </row>
    <row r="198" customFormat="false" ht="15" hidden="false" customHeight="false" outlineLevel="0" collapsed="false">
      <c r="A198" s="11" t="n">
        <f aca="false">Data!A183</f>
        <v>182</v>
      </c>
      <c r="B198" s="11" t="n">
        <f aca="false">Data!B183</f>
        <v>42.9</v>
      </c>
      <c r="C198" s="11" t="n">
        <f aca="false">Data!C183</f>
        <v>4.96</v>
      </c>
      <c r="D198" s="11" t="n">
        <f aca="false">Data!J183</f>
        <v>1</v>
      </c>
      <c r="E198" s="11" t="n">
        <f aca="false">Data!K183</f>
        <v>1</v>
      </c>
      <c r="F198" s="10" t="n">
        <f aca="false">$C$4+$C$5*B198+$C$6*C198+$C$7*D198</f>
        <v>0</v>
      </c>
      <c r="G198" s="10" t="n">
        <f aca="false">1/(1+EXP(-F198))</f>
        <v>0.5</v>
      </c>
      <c r="H198" s="10" t="n">
        <f aca="false">E198*LN(MAX(G198,1E-015))+(1-E198)*LN(MAX(1-G198,1E-015))</f>
        <v>-0.693147180559945</v>
      </c>
      <c r="I198" s="2" t="n">
        <f aca="false">IF(G198&gt;=$C$10,1,0)</f>
        <v>1</v>
      </c>
    </row>
    <row r="199" customFormat="false" ht="15" hidden="false" customHeight="false" outlineLevel="0" collapsed="false">
      <c r="A199" s="11" t="n">
        <f aca="false">Data!A184</f>
        <v>183</v>
      </c>
      <c r="B199" s="11" t="n">
        <f aca="false">Data!B184</f>
        <v>30.3</v>
      </c>
      <c r="C199" s="11" t="n">
        <f aca="false">Data!C184</f>
        <v>0.9</v>
      </c>
      <c r="D199" s="11" t="n">
        <f aca="false">Data!J184</f>
        <v>0</v>
      </c>
      <c r="E199" s="11" t="n">
        <f aca="false">Data!K184</f>
        <v>0</v>
      </c>
      <c r="F199" s="10" t="n">
        <f aca="false">$C$4+$C$5*B199+$C$6*C199+$C$7*D199</f>
        <v>0</v>
      </c>
      <c r="G199" s="10" t="n">
        <f aca="false">1/(1+EXP(-F199))</f>
        <v>0.5</v>
      </c>
      <c r="H199" s="10" t="n">
        <f aca="false">E199*LN(MAX(G199,1E-015))+(1-E199)*LN(MAX(1-G199,1E-015))</f>
        <v>-0.693147180559945</v>
      </c>
      <c r="I199" s="2" t="n">
        <f aca="false">IF(G199&gt;=$C$10,1,0)</f>
        <v>1</v>
      </c>
    </row>
    <row r="200" customFormat="false" ht="15" hidden="false" customHeight="false" outlineLevel="0" collapsed="false">
      <c r="A200" s="11" t="n">
        <f aca="false">Data!A185</f>
        <v>184</v>
      </c>
      <c r="B200" s="11" t="n">
        <f aca="false">Data!B185</f>
        <v>69.8</v>
      </c>
      <c r="C200" s="11" t="n">
        <f aca="false">Data!C185</f>
        <v>3.11</v>
      </c>
      <c r="D200" s="11" t="n">
        <f aca="false">Data!J185</f>
        <v>0</v>
      </c>
      <c r="E200" s="11" t="n">
        <f aca="false">Data!K185</f>
        <v>0</v>
      </c>
      <c r="F200" s="10" t="n">
        <f aca="false">$C$4+$C$5*B200+$C$6*C200+$C$7*D200</f>
        <v>0</v>
      </c>
      <c r="G200" s="10" t="n">
        <f aca="false">1/(1+EXP(-F200))</f>
        <v>0.5</v>
      </c>
      <c r="H200" s="10" t="n">
        <f aca="false">E200*LN(MAX(G200,1E-015))+(1-E200)*LN(MAX(1-G200,1E-015))</f>
        <v>-0.693147180559945</v>
      </c>
      <c r="I200" s="2" t="n">
        <f aca="false">IF(G200&gt;=$C$10,1,0)</f>
        <v>1</v>
      </c>
    </row>
    <row r="201" customFormat="false" ht="15" hidden="false" customHeight="false" outlineLevel="0" collapsed="false">
      <c r="A201" s="11" t="n">
        <f aca="false">Data!A186</f>
        <v>185</v>
      </c>
      <c r="B201" s="11" t="n">
        <f aca="false">Data!B186</f>
        <v>48.1</v>
      </c>
      <c r="C201" s="11" t="n">
        <f aca="false">Data!C186</f>
        <v>1.46</v>
      </c>
      <c r="D201" s="11" t="n">
        <f aca="false">Data!J186</f>
        <v>0</v>
      </c>
      <c r="E201" s="11" t="n">
        <f aca="false">Data!K186</f>
        <v>0</v>
      </c>
      <c r="F201" s="10" t="n">
        <f aca="false">$C$4+$C$5*B201+$C$6*C201+$C$7*D201</f>
        <v>0</v>
      </c>
      <c r="G201" s="10" t="n">
        <f aca="false">1/(1+EXP(-F201))</f>
        <v>0.5</v>
      </c>
      <c r="H201" s="10" t="n">
        <f aca="false">E201*LN(MAX(G201,1E-015))+(1-E201)*LN(MAX(1-G201,1E-015))</f>
        <v>-0.693147180559945</v>
      </c>
      <c r="I201" s="2" t="n">
        <f aca="false">IF(G201&gt;=$C$10,1,0)</f>
        <v>1</v>
      </c>
    </row>
    <row r="202" customFormat="false" ht="15" hidden="false" customHeight="false" outlineLevel="0" collapsed="false">
      <c r="A202" s="11" t="n">
        <f aca="false">Data!A187</f>
        <v>186</v>
      </c>
      <c r="B202" s="11" t="n">
        <f aca="false">Data!B187</f>
        <v>88.4</v>
      </c>
      <c r="C202" s="11" t="n">
        <f aca="false">Data!C187</f>
        <v>4.73</v>
      </c>
      <c r="D202" s="11" t="n">
        <f aca="false">Data!J187</f>
        <v>0</v>
      </c>
      <c r="E202" s="11" t="n">
        <f aca="false">Data!K187</f>
        <v>0</v>
      </c>
      <c r="F202" s="10" t="n">
        <f aca="false">$C$4+$C$5*B202+$C$6*C202+$C$7*D202</f>
        <v>0</v>
      </c>
      <c r="G202" s="10" t="n">
        <f aca="false">1/(1+EXP(-F202))</f>
        <v>0.5</v>
      </c>
      <c r="H202" s="10" t="n">
        <f aca="false">E202*LN(MAX(G202,1E-015))+(1-E202)*LN(MAX(1-G202,1E-015))</f>
        <v>-0.693147180559945</v>
      </c>
      <c r="I202" s="2" t="n">
        <f aca="false">IF(G202&gt;=$C$10,1,0)</f>
        <v>1</v>
      </c>
    </row>
    <row r="203" customFormat="false" ht="15" hidden="false" customHeight="false" outlineLevel="0" collapsed="false">
      <c r="A203" s="11" t="n">
        <f aca="false">Data!A188</f>
        <v>187</v>
      </c>
      <c r="B203" s="11" t="n">
        <f aca="false">Data!B188</f>
        <v>42</v>
      </c>
      <c r="C203" s="11" t="n">
        <f aca="false">Data!C188</f>
        <v>3.78</v>
      </c>
      <c r="D203" s="11" t="n">
        <f aca="false">Data!J188</f>
        <v>0</v>
      </c>
      <c r="E203" s="11" t="n">
        <f aca="false">Data!K188</f>
        <v>0</v>
      </c>
      <c r="F203" s="10" t="n">
        <f aca="false">$C$4+$C$5*B203+$C$6*C203+$C$7*D203</f>
        <v>0</v>
      </c>
      <c r="G203" s="10" t="n">
        <f aca="false">1/(1+EXP(-F203))</f>
        <v>0.5</v>
      </c>
      <c r="H203" s="10" t="n">
        <f aca="false">E203*LN(MAX(G203,1E-015))+(1-E203)*LN(MAX(1-G203,1E-015))</f>
        <v>-0.693147180559945</v>
      </c>
      <c r="I203" s="2" t="n">
        <f aca="false">IF(G203&gt;=$C$10,1,0)</f>
        <v>1</v>
      </c>
    </row>
    <row r="204" customFormat="false" ht="15" hidden="false" customHeight="false" outlineLevel="0" collapsed="false">
      <c r="A204" s="11" t="n">
        <f aca="false">Data!A189</f>
        <v>188</v>
      </c>
      <c r="B204" s="11" t="n">
        <f aca="false">Data!B189</f>
        <v>19.4</v>
      </c>
      <c r="C204" s="11" t="n">
        <f aca="false">Data!C189</f>
        <v>2.65</v>
      </c>
      <c r="D204" s="11" t="n">
        <f aca="false">Data!J189</f>
        <v>0</v>
      </c>
      <c r="E204" s="11" t="n">
        <f aca="false">Data!K189</f>
        <v>1</v>
      </c>
      <c r="F204" s="10" t="n">
        <f aca="false">$C$4+$C$5*B204+$C$6*C204+$C$7*D204</f>
        <v>0</v>
      </c>
      <c r="G204" s="10" t="n">
        <f aca="false">1/(1+EXP(-F204))</f>
        <v>0.5</v>
      </c>
      <c r="H204" s="10" t="n">
        <f aca="false">E204*LN(MAX(G204,1E-015))+(1-E204)*LN(MAX(1-G204,1E-015))</f>
        <v>-0.693147180559945</v>
      </c>
      <c r="I204" s="2" t="n">
        <f aca="false">IF(G204&gt;=$C$10,1,0)</f>
        <v>1</v>
      </c>
    </row>
    <row r="205" customFormat="false" ht="15" hidden="false" customHeight="false" outlineLevel="0" collapsed="false">
      <c r="A205" s="11" t="n">
        <f aca="false">Data!A190</f>
        <v>189</v>
      </c>
      <c r="B205" s="11" t="n">
        <f aca="false">Data!B190</f>
        <v>17.9</v>
      </c>
      <c r="C205" s="11" t="n">
        <f aca="false">Data!C190</f>
        <v>2.24</v>
      </c>
      <c r="D205" s="11" t="n">
        <f aca="false">Data!J190</f>
        <v>0</v>
      </c>
      <c r="E205" s="11" t="n">
        <f aca="false">Data!K190</f>
        <v>0</v>
      </c>
      <c r="F205" s="10" t="n">
        <f aca="false">$C$4+$C$5*B205+$C$6*C205+$C$7*D205</f>
        <v>0</v>
      </c>
      <c r="G205" s="10" t="n">
        <f aca="false">1/(1+EXP(-F205))</f>
        <v>0.5</v>
      </c>
      <c r="H205" s="10" t="n">
        <f aca="false">E205*LN(MAX(G205,1E-015))+(1-E205)*LN(MAX(1-G205,1E-015))</f>
        <v>-0.693147180559945</v>
      </c>
      <c r="I205" s="2" t="n">
        <f aca="false">IF(G205&gt;=$C$10,1,0)</f>
        <v>1</v>
      </c>
    </row>
    <row r="206" customFormat="false" ht="15" hidden="false" customHeight="false" outlineLevel="0" collapsed="false">
      <c r="A206" s="11" t="n">
        <f aca="false">Data!A191</f>
        <v>190</v>
      </c>
      <c r="B206" s="11" t="n">
        <f aca="false">Data!B191</f>
        <v>94.2</v>
      </c>
      <c r="C206" s="11" t="n">
        <f aca="false">Data!C191</f>
        <v>4.24</v>
      </c>
      <c r="D206" s="11" t="n">
        <f aca="false">Data!J191</f>
        <v>0</v>
      </c>
      <c r="E206" s="11" t="n">
        <f aca="false">Data!K191</f>
        <v>0</v>
      </c>
      <c r="F206" s="10" t="n">
        <f aca="false">$C$4+$C$5*B206+$C$6*C206+$C$7*D206</f>
        <v>0</v>
      </c>
      <c r="G206" s="10" t="n">
        <f aca="false">1/(1+EXP(-F206))</f>
        <v>0.5</v>
      </c>
      <c r="H206" s="10" t="n">
        <f aca="false">E206*LN(MAX(G206,1E-015))+(1-E206)*LN(MAX(1-G206,1E-015))</f>
        <v>-0.693147180559945</v>
      </c>
      <c r="I206" s="2" t="n">
        <f aca="false">IF(G206&gt;=$C$10,1,0)</f>
        <v>1</v>
      </c>
    </row>
    <row r="207" customFormat="false" ht="15" hidden="false" customHeight="false" outlineLevel="0" collapsed="false">
      <c r="A207" s="11" t="n">
        <f aca="false">Data!A192</f>
        <v>191</v>
      </c>
      <c r="B207" s="11" t="n">
        <f aca="false">Data!B192</f>
        <v>98.1</v>
      </c>
      <c r="C207" s="11" t="n">
        <f aca="false">Data!C192</f>
        <v>3.29</v>
      </c>
      <c r="D207" s="11" t="n">
        <f aca="false">Data!J192</f>
        <v>1</v>
      </c>
      <c r="E207" s="11" t="n">
        <f aca="false">Data!K192</f>
        <v>1</v>
      </c>
      <c r="F207" s="10" t="n">
        <f aca="false">$C$4+$C$5*B207+$C$6*C207+$C$7*D207</f>
        <v>0</v>
      </c>
      <c r="G207" s="10" t="n">
        <f aca="false">1/(1+EXP(-F207))</f>
        <v>0.5</v>
      </c>
      <c r="H207" s="10" t="n">
        <f aca="false">E207*LN(MAX(G207,1E-015))+(1-E207)*LN(MAX(1-G207,1E-015))</f>
        <v>-0.693147180559945</v>
      </c>
      <c r="I207" s="2" t="n">
        <f aca="false">IF(G207&gt;=$C$10,1,0)</f>
        <v>1</v>
      </c>
    </row>
    <row r="208" customFormat="false" ht="15" hidden="false" customHeight="false" outlineLevel="0" collapsed="false">
      <c r="A208" s="11" t="n">
        <f aca="false">Data!A193</f>
        <v>192</v>
      </c>
      <c r="B208" s="11" t="n">
        <f aca="false">Data!B193</f>
        <v>34.4</v>
      </c>
      <c r="C208" s="11" t="n">
        <f aca="false">Data!C193</f>
        <v>2.86</v>
      </c>
      <c r="D208" s="11" t="n">
        <f aca="false">Data!J193</f>
        <v>0</v>
      </c>
      <c r="E208" s="11" t="n">
        <f aca="false">Data!K193</f>
        <v>0</v>
      </c>
      <c r="F208" s="10" t="n">
        <f aca="false">$C$4+$C$5*B208+$C$6*C208+$C$7*D208</f>
        <v>0</v>
      </c>
      <c r="G208" s="10" t="n">
        <f aca="false">1/(1+EXP(-F208))</f>
        <v>0.5</v>
      </c>
      <c r="H208" s="10" t="n">
        <f aca="false">E208*LN(MAX(G208,1E-015))+(1-E208)*LN(MAX(1-G208,1E-015))</f>
        <v>-0.693147180559945</v>
      </c>
      <c r="I208" s="2" t="n">
        <f aca="false">IF(G208&gt;=$C$10,1,0)</f>
        <v>1</v>
      </c>
    </row>
    <row r="209" customFormat="false" ht="15" hidden="false" customHeight="false" outlineLevel="0" collapsed="false">
      <c r="A209" s="11" t="n">
        <f aca="false">Data!A194</f>
        <v>193</v>
      </c>
      <c r="B209" s="11" t="n">
        <f aca="false">Data!B194</f>
        <v>30.8</v>
      </c>
      <c r="C209" s="11" t="n">
        <f aca="false">Data!C194</f>
        <v>1.98</v>
      </c>
      <c r="D209" s="11" t="n">
        <f aca="false">Data!J194</f>
        <v>0</v>
      </c>
      <c r="E209" s="11" t="n">
        <f aca="false">Data!K194</f>
        <v>0</v>
      </c>
      <c r="F209" s="10" t="n">
        <f aca="false">$C$4+$C$5*B209+$C$6*C209+$C$7*D209</f>
        <v>0</v>
      </c>
      <c r="G209" s="10" t="n">
        <f aca="false">1/(1+EXP(-F209))</f>
        <v>0.5</v>
      </c>
      <c r="H209" s="10" t="n">
        <f aca="false">E209*LN(MAX(G209,1E-015))+(1-E209)*LN(MAX(1-G209,1E-015))</f>
        <v>-0.693147180559945</v>
      </c>
      <c r="I209" s="2" t="n">
        <f aca="false">IF(G209&gt;=$C$10,1,0)</f>
        <v>1</v>
      </c>
    </row>
    <row r="210" customFormat="false" ht="15" hidden="false" customHeight="false" outlineLevel="0" collapsed="false">
      <c r="A210" s="11" t="n">
        <f aca="false">Data!A195</f>
        <v>194</v>
      </c>
      <c r="B210" s="11" t="n">
        <f aca="false">Data!B195</f>
        <v>84.9</v>
      </c>
      <c r="C210" s="11" t="n">
        <f aca="false">Data!C195</f>
        <v>6.17</v>
      </c>
      <c r="D210" s="11" t="n">
        <f aca="false">Data!J195</f>
        <v>0</v>
      </c>
      <c r="E210" s="11" t="n">
        <f aca="false">Data!K195</f>
        <v>1</v>
      </c>
      <c r="F210" s="10" t="n">
        <f aca="false">$C$4+$C$5*B210+$C$6*C210+$C$7*D210</f>
        <v>0</v>
      </c>
      <c r="G210" s="10" t="n">
        <f aca="false">1/(1+EXP(-F210))</f>
        <v>0.5</v>
      </c>
      <c r="H210" s="10" t="n">
        <f aca="false">E210*LN(MAX(G210,1E-015))+(1-E210)*LN(MAX(1-G210,1E-015))</f>
        <v>-0.693147180559945</v>
      </c>
      <c r="I210" s="2" t="n">
        <f aca="false">IF(G210&gt;=$C$10,1,0)</f>
        <v>1</v>
      </c>
    </row>
    <row r="211" customFormat="false" ht="15" hidden="false" customHeight="false" outlineLevel="0" collapsed="false">
      <c r="A211" s="11" t="n">
        <f aca="false">Data!A196</f>
        <v>195</v>
      </c>
      <c r="B211" s="11" t="n">
        <f aca="false">Data!B196</f>
        <v>20.7</v>
      </c>
      <c r="C211" s="11" t="n">
        <f aca="false">Data!C196</f>
        <v>2.95</v>
      </c>
      <c r="D211" s="11" t="n">
        <f aca="false">Data!J196</f>
        <v>0</v>
      </c>
      <c r="E211" s="11" t="n">
        <f aca="false">Data!K196</f>
        <v>0</v>
      </c>
      <c r="F211" s="10" t="n">
        <f aca="false">$C$4+$C$5*B211+$C$6*C211+$C$7*D211</f>
        <v>0</v>
      </c>
      <c r="G211" s="10" t="n">
        <f aca="false">1/(1+EXP(-F211))</f>
        <v>0.5</v>
      </c>
      <c r="H211" s="10" t="n">
        <f aca="false">E211*LN(MAX(G211,1E-015))+(1-E211)*LN(MAX(1-G211,1E-015))</f>
        <v>-0.693147180559945</v>
      </c>
      <c r="I211" s="2" t="n">
        <f aca="false">IF(G211&gt;=$C$10,1,0)</f>
        <v>1</v>
      </c>
    </row>
    <row r="212" customFormat="false" ht="15" hidden="false" customHeight="false" outlineLevel="0" collapsed="false">
      <c r="A212" s="11" t="n">
        <f aca="false">Data!A197</f>
        <v>196</v>
      </c>
      <c r="B212" s="11" t="n">
        <f aca="false">Data!B197</f>
        <v>23.2</v>
      </c>
      <c r="C212" s="11" t="n">
        <f aca="false">Data!C197</f>
        <v>2.36</v>
      </c>
      <c r="D212" s="11" t="n">
        <f aca="false">Data!J197</f>
        <v>0</v>
      </c>
      <c r="E212" s="11" t="n">
        <f aca="false">Data!K197</f>
        <v>0</v>
      </c>
      <c r="F212" s="10" t="n">
        <f aca="false">$C$4+$C$5*B212+$C$6*C212+$C$7*D212</f>
        <v>0</v>
      </c>
      <c r="G212" s="10" t="n">
        <f aca="false">1/(1+EXP(-F212))</f>
        <v>0.5</v>
      </c>
      <c r="H212" s="10" t="n">
        <f aca="false">E212*LN(MAX(G212,1E-015))+(1-E212)*LN(MAX(1-G212,1E-015))</f>
        <v>-0.693147180559945</v>
      </c>
      <c r="I212" s="2" t="n">
        <f aca="false">IF(G212&gt;=$C$10,1,0)</f>
        <v>1</v>
      </c>
    </row>
    <row r="213" customFormat="false" ht="15" hidden="false" customHeight="false" outlineLevel="0" collapsed="false">
      <c r="A213" s="11" t="n">
        <f aca="false">Data!A198</f>
        <v>197</v>
      </c>
      <c r="B213" s="11" t="n">
        <f aca="false">Data!B198</f>
        <v>54.1</v>
      </c>
      <c r="C213" s="11" t="n">
        <f aca="false">Data!C198</f>
        <v>4.86</v>
      </c>
      <c r="D213" s="11" t="n">
        <f aca="false">Data!J198</f>
        <v>1</v>
      </c>
      <c r="E213" s="11" t="n">
        <f aca="false">Data!K198</f>
        <v>1</v>
      </c>
      <c r="F213" s="10" t="n">
        <f aca="false">$C$4+$C$5*B213+$C$6*C213+$C$7*D213</f>
        <v>0</v>
      </c>
      <c r="G213" s="10" t="n">
        <f aca="false">1/(1+EXP(-F213))</f>
        <v>0.5</v>
      </c>
      <c r="H213" s="10" t="n">
        <f aca="false">E213*LN(MAX(G213,1E-015))+(1-E213)*LN(MAX(1-G213,1E-015))</f>
        <v>-0.693147180559945</v>
      </c>
      <c r="I213" s="2" t="n">
        <f aca="false">IF(G213&gt;=$C$10,1,0)</f>
        <v>1</v>
      </c>
    </row>
    <row r="214" customFormat="false" ht="15" hidden="false" customHeight="false" outlineLevel="0" collapsed="false">
      <c r="A214" s="11" t="n">
        <f aca="false">Data!A199</f>
        <v>198</v>
      </c>
      <c r="B214" s="11" t="n">
        <f aca="false">Data!B199</f>
        <v>30.6</v>
      </c>
      <c r="C214" s="11" t="n">
        <f aca="false">Data!C199</f>
        <v>2.88</v>
      </c>
      <c r="D214" s="11" t="n">
        <f aca="false">Data!J199</f>
        <v>0</v>
      </c>
      <c r="E214" s="11" t="n">
        <f aca="false">Data!K199</f>
        <v>0</v>
      </c>
      <c r="F214" s="10" t="n">
        <f aca="false">$C$4+$C$5*B214+$C$6*C214+$C$7*D214</f>
        <v>0</v>
      </c>
      <c r="G214" s="10" t="n">
        <f aca="false">1/(1+EXP(-F214))</f>
        <v>0.5</v>
      </c>
      <c r="H214" s="10" t="n">
        <f aca="false">E214*LN(MAX(G214,1E-015))+(1-E214)*LN(MAX(1-G214,1E-015))</f>
        <v>-0.693147180559945</v>
      </c>
      <c r="I214" s="2" t="n">
        <f aca="false">IF(G214&gt;=$C$10,1,0)</f>
        <v>1</v>
      </c>
    </row>
    <row r="215" customFormat="false" ht="15" hidden="false" customHeight="false" outlineLevel="0" collapsed="false">
      <c r="A215" s="11" t="n">
        <f aca="false">Data!A200</f>
        <v>199</v>
      </c>
      <c r="B215" s="11" t="n">
        <f aca="false">Data!B200</f>
        <v>37.9</v>
      </c>
      <c r="C215" s="11" t="n">
        <f aca="false">Data!C200</f>
        <v>3.67</v>
      </c>
      <c r="D215" s="11" t="n">
        <f aca="false">Data!J200</f>
        <v>0</v>
      </c>
      <c r="E215" s="11" t="n">
        <f aca="false">Data!K200</f>
        <v>1</v>
      </c>
      <c r="F215" s="10" t="n">
        <f aca="false">$C$4+$C$5*B215+$C$6*C215+$C$7*D215</f>
        <v>0</v>
      </c>
      <c r="G215" s="10" t="n">
        <f aca="false">1/(1+EXP(-F215))</f>
        <v>0.5</v>
      </c>
      <c r="H215" s="10" t="n">
        <f aca="false">E215*LN(MAX(G215,1E-015))+(1-E215)*LN(MAX(1-G215,1E-015))</f>
        <v>-0.693147180559945</v>
      </c>
      <c r="I215" s="2" t="n">
        <f aca="false">IF(G215&gt;=$C$10,1,0)</f>
        <v>1</v>
      </c>
    </row>
    <row r="216" customFormat="false" ht="15" hidden="false" customHeight="false" outlineLevel="0" collapsed="false">
      <c r="A216" s="11" t="n">
        <f aca="false">Data!A201</f>
        <v>200</v>
      </c>
      <c r="B216" s="11" t="n">
        <f aca="false">Data!B201</f>
        <v>34.7</v>
      </c>
      <c r="C216" s="11" t="n">
        <f aca="false">Data!C201</f>
        <v>1.89</v>
      </c>
      <c r="D216" s="11" t="n">
        <f aca="false">Data!J201</f>
        <v>0</v>
      </c>
      <c r="E216" s="11" t="n">
        <f aca="false">Data!K201</f>
        <v>0</v>
      </c>
      <c r="F216" s="10" t="n">
        <f aca="false">$C$4+$C$5*B216+$C$6*C216+$C$7*D216</f>
        <v>0</v>
      </c>
      <c r="G216" s="10" t="n">
        <f aca="false">1/(1+EXP(-F216))</f>
        <v>0.5</v>
      </c>
      <c r="H216" s="10" t="n">
        <f aca="false">E216*LN(MAX(G216,1E-015))+(1-E216)*LN(MAX(1-G216,1E-015))</f>
        <v>-0.693147180559945</v>
      </c>
      <c r="I216" s="2" t="n">
        <f aca="false">IF(G216&gt;=$C$10,1,0)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A3" s="3" t="s">
        <v>59</v>
      </c>
    </row>
    <row r="4" customFormat="false" ht="15" hidden="false" customHeight="false" outlineLevel="0" collapsed="false">
      <c r="A4" s="4"/>
      <c r="B4" s="4" t="s">
        <v>60</v>
      </c>
      <c r="C4" s="4" t="s">
        <v>61</v>
      </c>
      <c r="D4" s="4" t="s">
        <v>62</v>
      </c>
    </row>
    <row r="5" customFormat="false" ht="15" hidden="false" customHeight="false" outlineLevel="0" collapsed="false">
      <c r="A5" s="3" t="s">
        <v>63</v>
      </c>
      <c r="B5" s="12" t="n">
        <f aca="false">COUNTIFS(Model!$E$17:$E$216,0,Model!$I$17:$I$216,0)</f>
        <v>0</v>
      </c>
      <c r="C5" s="12" t="n">
        <f aca="false">COUNTIFS(Model!$E$17:$E$216,0,Model!$I$17:$I$216,1)</f>
        <v>137</v>
      </c>
      <c r="D5" s="12" t="n">
        <f aca="false">B5+C5</f>
        <v>137</v>
      </c>
    </row>
    <row r="6" customFormat="false" ht="15" hidden="false" customHeight="false" outlineLevel="0" collapsed="false">
      <c r="A6" s="3" t="s">
        <v>64</v>
      </c>
      <c r="B6" s="12" t="n">
        <f aca="false">COUNTIFS(Model!$E$17:$E$216,1,Model!$I$17:$I$216,0)</f>
        <v>0</v>
      </c>
      <c r="C6" s="12" t="n">
        <f aca="false">COUNTIFS(Model!$E$17:$E$216,1,Model!$I$17:$I$216,1)</f>
        <v>63</v>
      </c>
      <c r="D6" s="12" t="n">
        <f aca="false">B6+C6</f>
        <v>63</v>
      </c>
    </row>
    <row r="7" customFormat="false" ht="15" hidden="false" customHeight="false" outlineLevel="0" collapsed="false">
      <c r="A7" s="3" t="s">
        <v>62</v>
      </c>
      <c r="B7" s="12" t="n">
        <f aca="false">B5+B6</f>
        <v>0</v>
      </c>
      <c r="C7" s="12" t="n">
        <f aca="false">C5+C6</f>
        <v>200</v>
      </c>
      <c r="D7" s="12" t="n">
        <f aca="false">D5+D6</f>
        <v>200</v>
      </c>
    </row>
    <row r="9" customFormat="false" ht="15" hidden="false" customHeight="false" outlineLevel="0" collapsed="false">
      <c r="A9" s="3" t="s">
        <v>65</v>
      </c>
    </row>
    <row r="10" customFormat="false" ht="15" hidden="false" customHeight="false" outlineLevel="0" collapsed="false">
      <c r="A10" s="2" t="s">
        <v>66</v>
      </c>
      <c r="B10" s="13" t="n">
        <f aca="false">IFERROR((B5+C6)/D7,0)</f>
        <v>0.315</v>
      </c>
      <c r="C10" s="7" t="s">
        <v>67</v>
      </c>
    </row>
    <row r="11" customFormat="false" ht="15" hidden="false" customHeight="false" outlineLevel="0" collapsed="false">
      <c r="A11" s="2" t="s">
        <v>68</v>
      </c>
      <c r="B11" s="13" t="n">
        <f aca="false">IFERROR(C6/D6,0)</f>
        <v>1</v>
      </c>
      <c r="C11" s="7" t="s">
        <v>69</v>
      </c>
    </row>
    <row r="12" customFormat="false" ht="15" hidden="false" customHeight="false" outlineLevel="0" collapsed="false">
      <c r="A12" s="2" t="s">
        <v>70</v>
      </c>
      <c r="B12" s="13" t="n">
        <f aca="false">IFERROR(B5/D5,0)</f>
        <v>0</v>
      </c>
      <c r="C12" s="7" t="s">
        <v>71</v>
      </c>
    </row>
    <row r="13" customFormat="false" ht="15" hidden="false" customHeight="false" outlineLevel="0" collapsed="false">
      <c r="A13" s="2" t="s">
        <v>72</v>
      </c>
      <c r="B13" s="13" t="n">
        <f aca="false">IFERROR(C6/C7,0)</f>
        <v>0.315</v>
      </c>
      <c r="C13" s="7" t="s">
        <v>73</v>
      </c>
    </row>
    <row r="14" customFormat="false" ht="15" hidden="false" customHeight="false" outlineLevel="0" collapsed="false">
      <c r="A14" s="2" t="s">
        <v>74</v>
      </c>
      <c r="B14" s="13" t="n">
        <f aca="false">AVERAGE(Model!$E$17:$E$216)</f>
        <v>0.315</v>
      </c>
      <c r="C14" s="7" t="s">
        <v>75</v>
      </c>
    </row>
    <row r="15" customFormat="false" ht="15" hidden="false" customHeight="false" outlineLevel="0" collapsed="false">
      <c r="A15" s="2" t="s">
        <v>76</v>
      </c>
      <c r="B15" s="14" t="n">
        <f aca="false">Model!C12</f>
        <v>-138.629436111989</v>
      </c>
      <c r="C15" s="7"/>
    </row>
    <row r="16" customFormat="false" ht="15" hidden="false" customHeight="false" outlineLevel="0" collapsed="false">
      <c r="A16" s="2" t="s">
        <v>77</v>
      </c>
      <c r="B16" s="14" t="n">
        <f aca="false">COUNTIF(Model!$E$17:$E$216,1)*LN(B14)+COUNTIF(Model!$E$17:$E$216,0)*LN(1-B14)</f>
        <v>-124.608598708488</v>
      </c>
      <c r="C16" s="7" t="s">
        <v>78</v>
      </c>
    </row>
    <row r="17" customFormat="false" ht="15" hidden="false" customHeight="false" outlineLevel="0" collapsed="false">
      <c r="A17" s="2" t="s">
        <v>79</v>
      </c>
      <c r="B17" s="14" t="n">
        <f aca="false">IFERROR(1-B15/B16,0)</f>
        <v>-0.112519019945823</v>
      </c>
      <c r="C17" s="7" t="s">
        <v>80</v>
      </c>
    </row>
    <row r="18" customFormat="false" ht="15" hidden="false" customHeight="false" outlineLevel="0" collapsed="false">
      <c r="A18" s="2" t="s">
        <v>81</v>
      </c>
      <c r="B18" s="14" t="n">
        <f aca="false">2*(B15-B16)</f>
        <v>-28.0416748070028</v>
      </c>
      <c r="C18" s="7" t="s">
        <v>82</v>
      </c>
    </row>
    <row r="19" customFormat="false" ht="15" hidden="false" customHeight="false" outlineLevel="0" collapsed="false">
      <c r="A19" s="2" t="s">
        <v>83</v>
      </c>
      <c r="B19" s="14" t="n">
        <f aca="false">CHIDIST(MAX(B18,0),3)</f>
        <v>1</v>
      </c>
      <c r="C19" s="7" t="s">
        <v>84</v>
      </c>
    </row>
    <row r="21" customFormat="false" ht="15" hidden="false" customHeight="false" outlineLevel="0" collapsed="false">
      <c r="A21" s="3" t="s">
        <v>85</v>
      </c>
    </row>
    <row r="22" customFormat="false" ht="31.5" hidden="false" customHeight="true" outlineLevel="0" collapsed="false">
      <c r="A22" s="4" t="s">
        <v>39</v>
      </c>
      <c r="B22" s="4" t="s">
        <v>86</v>
      </c>
      <c r="C22" s="4" t="s">
        <v>87</v>
      </c>
      <c r="D22" s="4" t="s">
        <v>88</v>
      </c>
      <c r="E22" s="4" t="s">
        <v>89</v>
      </c>
      <c r="F22" s="4" t="s">
        <v>90</v>
      </c>
      <c r="G22" s="4" t="s">
        <v>91</v>
      </c>
    </row>
    <row r="23" customFormat="false" ht="15" hidden="false" customHeight="false" outlineLevel="0" collapsed="false">
      <c r="A23" s="15" t="s">
        <v>92</v>
      </c>
      <c r="B23" s="14" t="n">
        <f aca="false">Model!C4</f>
        <v>0</v>
      </c>
      <c r="C23" s="14" t="n">
        <f aca="false">EXP(B23)</f>
        <v>1</v>
      </c>
      <c r="D23" s="16" t="n">
        <v>-4.65338</v>
      </c>
      <c r="E23" s="14" t="n">
        <f aca="false">B23-D23</f>
        <v>4.65338</v>
      </c>
      <c r="F23" s="16" t="n">
        <v>0.703651</v>
      </c>
      <c r="G23" s="17" t="n">
        <f aca="false">D23/F23</f>
        <v>-6.61319318810035</v>
      </c>
    </row>
    <row r="24" customFormat="false" ht="15" hidden="false" customHeight="false" outlineLevel="0" collapsed="false">
      <c r="A24" s="15" t="s">
        <v>93</v>
      </c>
      <c r="B24" s="14" t="n">
        <f aca="false">Model!C5</f>
        <v>0</v>
      </c>
      <c r="C24" s="14" t="n">
        <f aca="false">EXP(B24)</f>
        <v>1</v>
      </c>
      <c r="D24" s="16" t="n">
        <v>-0.04452</v>
      </c>
      <c r="E24" s="14" t="n">
        <f aca="false">B24-D24</f>
        <v>0.04452</v>
      </c>
      <c r="F24" s="16" t="n">
        <v>0.013011</v>
      </c>
      <c r="G24" s="17" t="n">
        <f aca="false">D24/F24</f>
        <v>-3.42172008300669</v>
      </c>
    </row>
    <row r="25" customFormat="false" ht="15" hidden="false" customHeight="false" outlineLevel="0" collapsed="false">
      <c r="A25" s="15" t="s">
        <v>94</v>
      </c>
      <c r="B25" s="14" t="n">
        <f aca="false">Model!C6</f>
        <v>0</v>
      </c>
      <c r="C25" s="14" t="n">
        <f aca="false">EXP(B25)</f>
        <v>1</v>
      </c>
      <c r="D25" s="16" t="n">
        <v>1.577641</v>
      </c>
      <c r="E25" s="14" t="n">
        <f aca="false">B25-D25</f>
        <v>-1.577641</v>
      </c>
      <c r="F25" s="16" t="n">
        <v>0.237833</v>
      </c>
      <c r="G25" s="17" t="n">
        <f aca="false">D25/F25</f>
        <v>6.6333982248048</v>
      </c>
    </row>
    <row r="26" customFormat="false" ht="15" hidden="false" customHeight="false" outlineLevel="0" collapsed="false">
      <c r="A26" s="15" t="s">
        <v>95</v>
      </c>
      <c r="B26" s="14" t="n">
        <f aca="false">Model!C7</f>
        <v>0</v>
      </c>
      <c r="C26" s="14" t="n">
        <f aca="false">EXP(B26)</f>
        <v>1</v>
      </c>
      <c r="D26" s="16" t="n">
        <v>1.918226</v>
      </c>
      <c r="E26" s="14" t="n">
        <f aca="false">B26-D26</f>
        <v>-1.918226</v>
      </c>
      <c r="F26" s="16" t="n">
        <v>0.810081</v>
      </c>
      <c r="G26" s="17" t="n">
        <f aca="false">D26/F26</f>
        <v>2.36794345256832</v>
      </c>
    </row>
    <row r="27" customFormat="false" ht="15" hidden="false" customHeight="false" outlineLevel="0" collapsed="false">
      <c r="A27" s="18" t="s">
        <v>96</v>
      </c>
      <c r="D27" s="19" t="n">
        <v>-76.698907</v>
      </c>
    </row>
    <row r="28" customFormat="false" ht="30" hidden="false" customHeight="true" outlineLevel="0" collapsed="false">
      <c r="A28" s="20" t="s">
        <v>97</v>
      </c>
      <c r="B28" s="20"/>
      <c r="C28" s="20"/>
      <c r="D28" s="20"/>
      <c r="E28" s="20"/>
      <c r="F28" s="20"/>
      <c r="G28" s="20"/>
    </row>
    <row r="29" customFormat="false" ht="30" hidden="false" customHeight="true" outlineLevel="0" collapsed="false">
      <c r="A29" s="20"/>
      <c r="B29" s="20"/>
      <c r="C29" s="20"/>
      <c r="D29" s="20"/>
      <c r="E29" s="20"/>
      <c r="F29" s="20"/>
      <c r="G29" s="20"/>
    </row>
  </sheetData>
  <mergeCells count="1">
    <mergeCell ref="A28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98</v>
      </c>
    </row>
    <row r="3" customFormat="false" ht="15" hidden="false" customHeight="false" outlineLevel="0" collapsed="false">
      <c r="A3" s="2" t="s">
        <v>26</v>
      </c>
      <c r="B3" s="8" t="n">
        <v>45</v>
      </c>
    </row>
    <row r="4" customFormat="false" ht="15" hidden="false" customHeight="false" outlineLevel="0" collapsed="false">
      <c r="A4" s="2" t="s">
        <v>27</v>
      </c>
      <c r="B4" s="8" t="n">
        <v>5</v>
      </c>
    </row>
    <row r="5" customFormat="false" ht="15" hidden="false" customHeight="false" outlineLevel="0" collapsed="false">
      <c r="A5" s="2" t="s">
        <v>99</v>
      </c>
      <c r="B5" s="8" t="n">
        <v>0</v>
      </c>
    </row>
    <row r="7" customFormat="false" ht="15" hidden="false" customHeight="false" outlineLevel="0" collapsed="false">
      <c r="A7" s="3" t="s">
        <v>100</v>
      </c>
      <c r="B7" s="14" t="n">
        <f aca="false">Model!C4+Model!C5*B3+Model!C6*B4+Model!C7*B5</f>
        <v>0</v>
      </c>
    </row>
    <row r="8" customFormat="false" ht="15" hidden="false" customHeight="false" outlineLevel="0" collapsed="false">
      <c r="A8" s="3" t="s">
        <v>101</v>
      </c>
      <c r="B8" s="13" t="n">
        <f aca="false">1/(1+EXP(-B7))</f>
        <v>0.5</v>
      </c>
    </row>
    <row r="9" customFormat="false" ht="15" hidden="false" customHeight="false" outlineLevel="0" collapsed="false">
      <c r="A9" s="3" t="s">
        <v>102</v>
      </c>
      <c r="B9" s="15" t="str">
        <f aca="false">IF(B8&gt;=Model!C10,"High balance (1)","Not high (0)")</f>
        <v>High balance (1)</v>
      </c>
    </row>
    <row r="10" customFormat="false" ht="15" hidden="false" customHeight="false" outlineLevel="0" collapsed="false">
      <c r="A10" s="3" t="s">
        <v>103</v>
      </c>
      <c r="B10" s="21" t="n">
        <f aca="false">B8/(1-B8)</f>
        <v>1</v>
      </c>
    </row>
    <row r="12" customFormat="false" ht="15" hidden="false" customHeight="false" outlineLevel="0" collapsed="false">
      <c r="A12" s="7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2026-09-29T06:43:48Z</dcterms:created>
  <dc:creator>openpyxl</dc:creator>
  <dc:description/>
  <dc:language>en-US</dc:language>
  <cp:lastModifiedBy/>
  <dcterms:modified xsi:type="dcterms:W3CDTF">2026-09-29T06:43:50Z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