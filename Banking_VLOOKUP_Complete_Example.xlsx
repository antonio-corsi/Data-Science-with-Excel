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tente\Desktop\salvataggi\SALVATAGGIO DATI\Documents\Seminari\Data Science (corsi)\Corso Data Science con Excel\"/>
    </mc:Choice>
  </mc:AlternateContent>
  <xr:revisionPtr revIDLastSave="0" documentId="13_ncr:1_{EBE95330-ED17-419F-AB30-DF749CB0C0C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VLOOKUP Example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E19" i="1"/>
  <c r="D19" i="1"/>
  <c r="C19" i="1"/>
  <c r="E18" i="1"/>
  <c r="D18" i="1"/>
  <c r="C18" i="1"/>
  <c r="E17" i="1"/>
  <c r="D17" i="1"/>
  <c r="C17" i="1"/>
  <c r="E16" i="1"/>
  <c r="D16" i="1"/>
  <c r="C16" i="1"/>
  <c r="E15" i="1"/>
  <c r="C15" i="1"/>
</calcChain>
</file>

<file path=xl/sharedStrings.xml><?xml version="1.0" encoding="utf-8"?>
<sst xmlns="http://schemas.openxmlformats.org/spreadsheetml/2006/main" count="39" uniqueCount="21">
  <si>
    <t>VLOOKUP in Banking — Enriching Transactions with Product Information</t>
  </si>
  <si>
    <t>Business scenario: the transaction table contains only an Account Code and a Transaction Amount. The Product Master table stores the business attributes associated with each Account Code. VLOOKUP uses the Account Code as a key to retrieve Product Name, Risk Category, and Annual Fee.</t>
  </si>
  <si>
    <t>Account Code</t>
  </si>
  <si>
    <t>Transaction Amount (EUR)</t>
  </si>
  <si>
    <t>Product Name</t>
  </si>
  <si>
    <t>Risk Category</t>
  </si>
  <si>
    <t>Annual Fee (EUR)</t>
  </si>
  <si>
    <t>C0001</t>
  </si>
  <si>
    <t>Current Account</t>
  </si>
  <si>
    <t>Low</t>
  </si>
  <si>
    <t>C0004</t>
  </si>
  <si>
    <t>C0002</t>
  </si>
  <si>
    <t>Savings Account</t>
  </si>
  <si>
    <t>C0003</t>
  </si>
  <si>
    <t>Personal Loan</t>
  </si>
  <si>
    <t>Medium</t>
  </si>
  <si>
    <t>Mortgage</t>
  </si>
  <si>
    <t>C0005</t>
  </si>
  <si>
    <t>Credit Card</t>
  </si>
  <si>
    <t>High</t>
  </si>
  <si>
    <t>Formula pattern: =VLOOKUP(lookup_value, table_array, column_index, FALSE)   Example: =VLOOKUP(A15,$E$7:$H$11,2,FALSE)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</si>
</sst>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i/>
      <sz val="1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A64D7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4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4" fontId="0" fillId="0" borderId="0" xfId="0" applyNumberFormat="1"/>
    <xf numFmtId="0" fontId="1" fillId="2" borderId="0" xfId="0" applyFont="1" applyFill="1" applyAlignment="1">
      <alignment horizontal="center" vertical="center"/>
    </xf>
    <xf numFmtId="0" fontId="0" fillId="0" borderId="0" xfId="0"/>
    <xf numFmtId="0" fontId="0" fillId="3" borderId="0" xfId="0" applyFill="1" applyAlignment="1">
      <alignment wrapText="1"/>
    </xf>
    <xf numFmtId="0" fontId="3" fillId="7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"/>
  <sheetViews>
    <sheetView tabSelected="1" workbookViewId="0">
      <selection activeCell="A21" sqref="A21:J22"/>
    </sheetView>
  </sheetViews>
  <sheetFormatPr defaultRowHeight="14.25"/>
  <cols>
    <col min="1" max="1" width="16" customWidth="1"/>
    <col min="2" max="2" width="22" customWidth="1"/>
    <col min="3" max="3" width="20" customWidth="1"/>
    <col min="4" max="5" width="16" customWidth="1"/>
    <col min="6" max="6" width="20" customWidth="1"/>
    <col min="7" max="7" width="16" customWidth="1"/>
    <col min="8" max="8" width="18" customWidth="1"/>
    <col min="9" max="10" width="3" customWidth="1"/>
  </cols>
  <sheetData>
    <row r="1" spans="1:10" ht="27.95" customHeight="1">
      <c r="A1" s="5" t="s">
        <v>0</v>
      </c>
      <c r="B1" s="6"/>
      <c r="C1" s="6"/>
      <c r="D1" s="6"/>
      <c r="E1" s="6"/>
      <c r="F1" s="6"/>
      <c r="G1" s="6"/>
      <c r="H1" s="6"/>
      <c r="I1" s="6"/>
      <c r="J1" s="6"/>
    </row>
    <row r="3" spans="1:10">
      <c r="A3" s="7" t="s">
        <v>1</v>
      </c>
      <c r="B3" s="7"/>
      <c r="C3" s="7"/>
      <c r="D3" s="7"/>
      <c r="E3" s="7"/>
      <c r="F3" s="7"/>
      <c r="G3" s="7"/>
      <c r="H3" s="7"/>
      <c r="I3" s="7"/>
      <c r="J3" s="7"/>
    </row>
    <row r="4" spans="1:10">
      <c r="A4" s="7"/>
      <c r="B4" s="7"/>
      <c r="C4" s="7"/>
      <c r="D4" s="7"/>
      <c r="E4" s="7"/>
      <c r="F4" s="7"/>
      <c r="G4" s="7"/>
      <c r="H4" s="7"/>
      <c r="I4" s="7"/>
      <c r="J4" s="7"/>
    </row>
    <row r="6" spans="1:10" ht="30">
      <c r="A6" s="1" t="s">
        <v>2</v>
      </c>
      <c r="B6" s="1" t="s">
        <v>3</v>
      </c>
      <c r="E6" s="2" t="s">
        <v>2</v>
      </c>
      <c r="F6" s="2" t="s">
        <v>4</v>
      </c>
      <c r="G6" s="2" t="s">
        <v>5</v>
      </c>
      <c r="H6" s="2" t="s">
        <v>6</v>
      </c>
    </row>
    <row r="7" spans="1:10">
      <c r="A7" t="s">
        <v>7</v>
      </c>
      <c r="B7" s="4">
        <v>1250</v>
      </c>
      <c r="E7" t="s">
        <v>7</v>
      </c>
      <c r="F7" t="s">
        <v>8</v>
      </c>
      <c r="G7" t="s">
        <v>9</v>
      </c>
      <c r="H7" s="4">
        <v>60</v>
      </c>
    </row>
    <row r="8" spans="1:10">
      <c r="A8" t="s">
        <v>10</v>
      </c>
      <c r="B8" s="4">
        <v>8200</v>
      </c>
      <c r="E8" t="s">
        <v>11</v>
      </c>
      <c r="F8" t="s">
        <v>12</v>
      </c>
      <c r="G8" t="s">
        <v>9</v>
      </c>
      <c r="H8" s="4">
        <v>0</v>
      </c>
    </row>
    <row r="9" spans="1:10">
      <c r="A9" t="s">
        <v>13</v>
      </c>
      <c r="B9" s="4">
        <v>35000</v>
      </c>
      <c r="E9" t="s">
        <v>13</v>
      </c>
      <c r="F9" t="s">
        <v>14</v>
      </c>
      <c r="G9" t="s">
        <v>15</v>
      </c>
      <c r="H9" s="4">
        <v>120</v>
      </c>
    </row>
    <row r="10" spans="1:10">
      <c r="A10" t="s">
        <v>11</v>
      </c>
      <c r="B10" s="4">
        <v>5400</v>
      </c>
      <c r="E10" t="s">
        <v>10</v>
      </c>
      <c r="F10" t="s">
        <v>16</v>
      </c>
      <c r="G10" t="s">
        <v>15</v>
      </c>
      <c r="H10" s="4">
        <v>250</v>
      </c>
    </row>
    <row r="11" spans="1:10">
      <c r="A11" t="s">
        <v>17</v>
      </c>
      <c r="B11" s="4">
        <v>980</v>
      </c>
      <c r="E11" t="s">
        <v>17</v>
      </c>
      <c r="F11" t="s">
        <v>18</v>
      </c>
      <c r="G11" t="s">
        <v>19</v>
      </c>
      <c r="H11" s="4">
        <v>45</v>
      </c>
    </row>
    <row r="14" spans="1:10" ht="30">
      <c r="A14" s="3" t="s">
        <v>2</v>
      </c>
      <c r="B14" s="3" t="s">
        <v>3</v>
      </c>
      <c r="C14" s="3" t="s">
        <v>4</v>
      </c>
      <c r="D14" s="3" t="s">
        <v>5</v>
      </c>
      <c r="E14" s="3" t="s">
        <v>6</v>
      </c>
    </row>
    <row r="15" spans="1:10">
      <c r="A15" t="s">
        <v>7</v>
      </c>
      <c r="B15" s="4">
        <v>1250</v>
      </c>
      <c r="C15" t="str">
        <f>VLOOKUP(A15,$E$7:$H$11,2,FALSE)</f>
        <v>Current Account</v>
      </c>
      <c r="D15" t="str">
        <f>VLOOKUP(A15,$E$7:$H$11,3,FALSE)</f>
        <v>Low</v>
      </c>
      <c r="E15" s="4">
        <f>VLOOKUP(A15,$E$7:$H$11,4,FALSE)</f>
        <v>60</v>
      </c>
    </row>
    <row r="16" spans="1:10">
      <c r="A16" t="s">
        <v>10</v>
      </c>
      <c r="B16" s="4">
        <v>8200</v>
      </c>
      <c r="C16" t="str">
        <f>VLOOKUP(A16,$E$7:$H$11,2,FALSE)</f>
        <v>Mortgage</v>
      </c>
      <c r="D16" t="str">
        <f>VLOOKUP(A16,$E$7:$H$11,3,FALSE)</f>
        <v>Medium</v>
      </c>
      <c r="E16" s="4">
        <f>VLOOKUP(A16,$E$7:$H$11,4,FALSE)</f>
        <v>250</v>
      </c>
    </row>
    <row r="17" spans="1:10">
      <c r="A17" t="s">
        <v>13</v>
      </c>
      <c r="B17" s="4">
        <v>35000</v>
      </c>
      <c r="C17" t="str">
        <f>VLOOKUP(A17,$E$7:$H$11,2,FALSE)</f>
        <v>Personal Loan</v>
      </c>
      <c r="D17" t="str">
        <f>VLOOKUP(A17,$E$7:$H$11,3,FALSE)</f>
        <v>Medium</v>
      </c>
      <c r="E17" s="4">
        <f>VLOOKUP(A17,$E$7:$H$11,4,FALSE)</f>
        <v>120</v>
      </c>
    </row>
    <row r="18" spans="1:10">
      <c r="A18" t="s">
        <v>11</v>
      </c>
      <c r="B18" s="4">
        <v>5400</v>
      </c>
      <c r="C18" t="str">
        <f>VLOOKUP(A18,$E$7:$H$11,2,FALSE)</f>
        <v>Savings Account</v>
      </c>
      <c r="D18" t="str">
        <f>VLOOKUP(A18,$E$7:$H$11,3,FALSE)</f>
        <v>Low</v>
      </c>
      <c r="E18" s="4">
        <f>VLOOKUP(A18,$E$7:$H$11,4,FALSE)</f>
        <v>0</v>
      </c>
    </row>
    <row r="19" spans="1:10">
      <c r="A19" t="s">
        <v>17</v>
      </c>
      <c r="B19" s="4">
        <v>980</v>
      </c>
      <c r="C19" t="str">
        <f>VLOOKUP(A19,$E$7:$H$11,2,FALSE)</f>
        <v>Credit Card</v>
      </c>
      <c r="D19" t="str">
        <f>VLOOKUP(A19,$E$7:$H$11,3,FALSE)</f>
        <v>High</v>
      </c>
      <c r="E19" s="4">
        <f>VLOOKUP(A19,$E$7:$H$11,4,FALSE)</f>
        <v>45</v>
      </c>
    </row>
    <row r="21" spans="1:10">
      <c r="A21" s="8" t="s">
        <v>20</v>
      </c>
      <c r="B21" s="8"/>
      <c r="C21" s="8"/>
      <c r="D21" s="8"/>
      <c r="E21" s="8"/>
      <c r="F21" s="8"/>
      <c r="G21" s="8"/>
      <c r="H21" s="8"/>
      <c r="I21" s="8"/>
      <c r="J21" s="8"/>
    </row>
    <row r="22" spans="1:10">
      <c r="A22" s="8"/>
      <c r="B22" s="8"/>
      <c r="C22" s="8"/>
      <c r="D22" s="8"/>
      <c r="E22" s="8"/>
      <c r="F22" s="8"/>
      <c r="G22" s="8"/>
      <c r="H22" s="8"/>
      <c r="I22" s="8"/>
      <c r="J22" s="8"/>
    </row>
  </sheetData>
  <mergeCells count="3">
    <mergeCell ref="A1:J1"/>
    <mergeCell ref="A3:J4"/>
    <mergeCell ref="A21:J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VLOOKUP Example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Antonio Piemontese</cp:lastModifiedBy>
  <dcterms:modified xsi:type="dcterms:W3CDTF">2026-09-14T12:15:39Z</dcterms:modified>
</cp:coreProperties>
</file>