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salvataggi\SALVATAGGIO DATI\Documents\Seminari\Data Science (corsi)\Corso Data Science con Excel\"/>
    </mc:Choice>
  </mc:AlternateContent>
  <xr:revisionPtr revIDLastSave="0" documentId="13_ncr:1_{C42A84F2-5FDF-4A80-B99F-B87D873635AD}" xr6:coauthVersionLast="47" xr6:coauthVersionMax="47" xr10:uidLastSave="{00000000-0000-0000-0000-000000000000}"/>
  <bookViews>
    <workbookView xWindow="-120" yWindow="-120" windowWidth="29040" windowHeight="15840" xr2:uid="{00000000-000D-0000-FFFF-FFFF00000000}"/>
  </bookViews>
  <sheets>
    <sheet name="HLOOKUP Ex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 l="1"/>
  <c r="D19" i="1"/>
  <c r="E18" i="1"/>
  <c r="D18" i="1"/>
  <c r="E17" i="1"/>
  <c r="D17" i="1"/>
  <c r="E16" i="1"/>
  <c r="D16" i="1"/>
  <c r="E15" i="1"/>
  <c r="D15" i="1"/>
</calcChain>
</file>

<file path=xl/sharedStrings.xml><?xml version="1.0" encoding="utf-8"?>
<sst xmlns="http://schemas.openxmlformats.org/spreadsheetml/2006/main" count="50" uniqueCount="25">
  <si>
    <t>HLOOKUP in Banking — Retrieving Lending Conditions from a Rating Matrix</t>
  </si>
  <si>
    <t>Business scenario: the customer table contains a Credit Rating for each customer. The Lending Conditions matrix stores ratings horizontally across the first row, with the corresponding interest rate and maximum credit limit underneath. HLOOKUP uses the rating as a key to retrieve those conditions.</t>
  </si>
  <si>
    <t>Customer ID</t>
  </si>
  <si>
    <t>Customer Name</t>
  </si>
  <si>
    <t>Credit Rating</t>
  </si>
  <si>
    <t>Metric</t>
  </si>
  <si>
    <t>AAA</t>
  </si>
  <si>
    <t>AA</t>
  </si>
  <si>
    <t>A</t>
  </si>
  <si>
    <t>BBB</t>
  </si>
  <si>
    <t>BB</t>
  </si>
  <si>
    <t>CL001</t>
  </si>
  <si>
    <t>Northwind Ltd</t>
  </si>
  <si>
    <t>Interest Rate</t>
  </si>
  <si>
    <t>CL002</t>
  </si>
  <si>
    <t>Blue River SA</t>
  </si>
  <si>
    <t>Maximum Credit Limit (EUR)</t>
  </si>
  <si>
    <t>CL003</t>
  </si>
  <si>
    <t>Greenfield SRL</t>
  </si>
  <si>
    <t>CL004</t>
  </si>
  <si>
    <t>Metro Retail Ltd</t>
  </si>
  <si>
    <t>CL005</t>
  </si>
  <si>
    <t>Sunrise Group</t>
  </si>
  <si>
    <t>Formula pattern: =HLOOKUP(lookup_value, table_array, row_index, FALSE)   Example: =HLOOKUP(C15,$F$6:$J$8,2,FALSE)</t>
  </si>
  <si>
    <t>The original customer table ENRICHED with lending conditions data - JUST for VIEW (no storing)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</si>
</sst>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6"/>
      <color rgb="FFFFFFFF"/>
      <name val="Carlito"/>
    </font>
    <font>
      <b/>
      <sz val="11"/>
      <color rgb="FFFFFFFF"/>
      <name val="Carlito"/>
    </font>
    <font>
      <b/>
      <sz val="11"/>
      <name val="Carlito"/>
    </font>
    <font>
      <i/>
      <sz val="11"/>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FF70AD47"/>
      </patternFill>
    </fill>
    <fill>
      <patternFill patternType="solid">
        <fgColor rgb="FFE2F0D9"/>
      </patternFill>
    </fill>
    <fill>
      <patternFill patternType="solid">
        <fgColor rgb="FFA64D79"/>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3" fillId="6" borderId="0" xfId="0" applyFont="1" applyFill="1"/>
    <xf numFmtId="164" fontId="0" fillId="0" borderId="0" xfId="0" applyNumberFormat="1"/>
    <xf numFmtId="3" fontId="0" fillId="0" borderId="0" xfId="0" applyNumberFormat="1"/>
    <xf numFmtId="0" fontId="2" fillId="7" borderId="0" xfId="0" applyFont="1" applyFill="1" applyAlignment="1">
      <alignment horizontal="center" vertical="center" wrapText="1"/>
    </xf>
    <xf numFmtId="0" fontId="1" fillId="2" borderId="0" xfId="0" applyFont="1" applyFill="1" applyAlignment="1">
      <alignment horizontal="center" vertical="center"/>
    </xf>
    <xf numFmtId="0" fontId="0" fillId="0" borderId="0" xfId="0"/>
    <xf numFmtId="0" fontId="0" fillId="3" borderId="0" xfId="0" applyFill="1" applyAlignment="1">
      <alignment wrapText="1"/>
    </xf>
    <xf numFmtId="0" fontId="4" fillId="8"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activeCell="A14" sqref="A14"/>
    </sheetView>
  </sheetViews>
  <sheetFormatPr defaultRowHeight="14.25"/>
  <cols>
    <col min="1" max="1" width="14" customWidth="1"/>
    <col min="2" max="2" width="20" customWidth="1"/>
    <col min="3" max="3" width="14" customWidth="1"/>
    <col min="4" max="4" width="16" customWidth="1"/>
    <col min="5" max="5" width="28" customWidth="1"/>
    <col min="6" max="10" width="15" customWidth="1"/>
  </cols>
  <sheetData>
    <row r="1" spans="1:10" ht="27.95" customHeight="1">
      <c r="A1" s="7" t="s">
        <v>0</v>
      </c>
      <c r="B1" s="8"/>
      <c r="C1" s="8"/>
      <c r="D1" s="8"/>
      <c r="E1" s="8"/>
      <c r="F1" s="8"/>
      <c r="G1" s="8"/>
      <c r="H1" s="8"/>
      <c r="I1" s="8"/>
      <c r="J1" s="8"/>
    </row>
    <row r="3" spans="1:10">
      <c r="A3" s="9" t="s">
        <v>1</v>
      </c>
      <c r="B3" s="9"/>
      <c r="C3" s="9"/>
      <c r="D3" s="9"/>
      <c r="E3" s="9"/>
      <c r="F3" s="9"/>
      <c r="G3" s="9"/>
      <c r="H3" s="9"/>
      <c r="I3" s="9"/>
      <c r="J3" s="9"/>
    </row>
    <row r="4" spans="1:10">
      <c r="A4" s="9"/>
      <c r="B4" s="9"/>
      <c r="C4" s="9"/>
      <c r="D4" s="9"/>
      <c r="E4" s="9"/>
      <c r="F4" s="9"/>
      <c r="G4" s="9"/>
      <c r="H4" s="9"/>
      <c r="I4" s="9"/>
      <c r="J4" s="9"/>
    </row>
    <row r="6" spans="1:10" ht="15">
      <c r="A6" s="1" t="s">
        <v>2</v>
      </c>
      <c r="B6" s="1" t="s">
        <v>3</v>
      </c>
      <c r="C6" s="1" t="s">
        <v>4</v>
      </c>
      <c r="E6" s="2" t="s">
        <v>5</v>
      </c>
      <c r="F6" s="2" t="s">
        <v>6</v>
      </c>
      <c r="G6" s="2" t="s">
        <v>7</v>
      </c>
      <c r="H6" s="2" t="s">
        <v>8</v>
      </c>
      <c r="I6" s="2" t="s">
        <v>9</v>
      </c>
      <c r="J6" s="2" t="s">
        <v>10</v>
      </c>
    </row>
    <row r="7" spans="1:10" ht="15">
      <c r="A7" t="s">
        <v>11</v>
      </c>
      <c r="B7" t="s">
        <v>12</v>
      </c>
      <c r="C7" t="s">
        <v>8</v>
      </c>
      <c r="E7" s="3" t="s">
        <v>13</v>
      </c>
      <c r="F7" s="4">
        <v>3.2000000000000001E-2</v>
      </c>
      <c r="G7" s="4">
        <v>3.5999999999999997E-2</v>
      </c>
      <c r="H7" s="4">
        <v>4.2000000000000003E-2</v>
      </c>
      <c r="I7" s="4">
        <v>5.0999999999999997E-2</v>
      </c>
      <c r="J7" s="4">
        <v>6.7000000000000004E-2</v>
      </c>
    </row>
    <row r="8" spans="1:10" ht="15">
      <c r="A8" t="s">
        <v>14</v>
      </c>
      <c r="B8" t="s">
        <v>15</v>
      </c>
      <c r="C8" t="s">
        <v>9</v>
      </c>
      <c r="E8" s="3" t="s">
        <v>16</v>
      </c>
      <c r="F8" s="5">
        <v>500000</v>
      </c>
      <c r="G8" s="5">
        <v>350000</v>
      </c>
      <c r="H8" s="5">
        <v>250000</v>
      </c>
      <c r="I8" s="5">
        <v>150000</v>
      </c>
      <c r="J8" s="5">
        <v>75000</v>
      </c>
    </row>
    <row r="9" spans="1:10">
      <c r="A9" t="s">
        <v>17</v>
      </c>
      <c r="B9" t="s">
        <v>18</v>
      </c>
      <c r="C9" t="s">
        <v>7</v>
      </c>
    </row>
    <row r="10" spans="1:10">
      <c r="A10" t="s">
        <v>19</v>
      </c>
      <c r="B10" t="s">
        <v>20</v>
      </c>
      <c r="C10" t="s">
        <v>10</v>
      </c>
    </row>
    <row r="11" spans="1:10">
      <c r="A11" t="s">
        <v>21</v>
      </c>
      <c r="B11" t="s">
        <v>22</v>
      </c>
      <c r="C11" t="s">
        <v>6</v>
      </c>
    </row>
    <row r="13" spans="1:10">
      <c r="A13" t="s">
        <v>24</v>
      </c>
    </row>
    <row r="14" spans="1:10" ht="15">
      <c r="A14" s="6" t="s">
        <v>2</v>
      </c>
      <c r="B14" s="6" t="s">
        <v>3</v>
      </c>
      <c r="C14" s="6" t="s">
        <v>4</v>
      </c>
      <c r="D14" s="6" t="s">
        <v>13</v>
      </c>
      <c r="E14" s="6" t="s">
        <v>16</v>
      </c>
    </row>
    <row r="15" spans="1:10">
      <c r="A15" t="s">
        <v>11</v>
      </c>
      <c r="B15" t="s">
        <v>12</v>
      </c>
      <c r="C15" t="s">
        <v>8</v>
      </c>
      <c r="D15" s="4">
        <f>HLOOKUP(C15,$F$6:$J$8,2,FALSE)</f>
        <v>4.2000000000000003E-2</v>
      </c>
      <c r="E15" s="5">
        <f>HLOOKUP(C15,$F$6:$J$8,3,FALSE)</f>
        <v>250000</v>
      </c>
    </row>
    <row r="16" spans="1:10">
      <c r="A16" t="s">
        <v>14</v>
      </c>
      <c r="B16" t="s">
        <v>15</v>
      </c>
      <c r="C16" t="s">
        <v>9</v>
      </c>
      <c r="D16" s="4">
        <f>HLOOKUP(C16,$F$6:$J$8,2,FALSE)</f>
        <v>5.0999999999999997E-2</v>
      </c>
      <c r="E16" s="5">
        <f>HLOOKUP(C16,$F$6:$J$8,3,FALSE)</f>
        <v>150000</v>
      </c>
    </row>
    <row r="17" spans="1:10">
      <c r="A17" t="s">
        <v>17</v>
      </c>
      <c r="B17" t="s">
        <v>18</v>
      </c>
      <c r="C17" t="s">
        <v>7</v>
      </c>
      <c r="D17" s="4">
        <f>HLOOKUP(C17,$F$6:$J$8,2,FALSE)</f>
        <v>3.5999999999999997E-2</v>
      </c>
      <c r="E17" s="5">
        <f>HLOOKUP(C17,$F$6:$J$8,3,FALSE)</f>
        <v>350000</v>
      </c>
    </row>
    <row r="18" spans="1:10">
      <c r="A18" t="s">
        <v>19</v>
      </c>
      <c r="B18" t="s">
        <v>20</v>
      </c>
      <c r="C18" t="s">
        <v>10</v>
      </c>
      <c r="D18" s="4">
        <f>HLOOKUP(C18,$F$6:$J$8,2,FALSE)</f>
        <v>6.7000000000000004E-2</v>
      </c>
      <c r="E18" s="5">
        <f>HLOOKUP(C18,$F$6:$J$8,3,FALSE)</f>
        <v>75000</v>
      </c>
    </row>
    <row r="19" spans="1:10">
      <c r="A19" t="s">
        <v>21</v>
      </c>
      <c r="B19" t="s">
        <v>22</v>
      </c>
      <c r="C19" t="s">
        <v>6</v>
      </c>
      <c r="D19" s="4">
        <f>HLOOKUP(C19,$F$6:$J$8,2,FALSE)</f>
        <v>3.2000000000000001E-2</v>
      </c>
      <c r="E19" s="5">
        <f>HLOOKUP(C19,$F$6:$J$8,3,FALSE)</f>
        <v>500000</v>
      </c>
    </row>
    <row r="21" spans="1:10">
      <c r="A21" s="10" t="s">
        <v>23</v>
      </c>
      <c r="B21" s="10"/>
      <c r="C21" s="10"/>
      <c r="D21" s="10"/>
      <c r="E21" s="10"/>
      <c r="F21" s="10"/>
      <c r="G21" s="10"/>
      <c r="H21" s="10"/>
      <c r="I21" s="10"/>
      <c r="J21" s="10"/>
    </row>
    <row r="22" spans="1:10">
      <c r="A22" s="10"/>
      <c r="B22" s="10"/>
      <c r="C22" s="10"/>
      <c r="D22" s="10"/>
      <c r="E22" s="10"/>
      <c r="F22" s="10"/>
      <c r="G22" s="10"/>
      <c r="H22" s="10"/>
      <c r="I22" s="10"/>
      <c r="J22" s="10"/>
    </row>
  </sheetData>
  <mergeCells count="3">
    <mergeCell ref="A1:J1"/>
    <mergeCell ref="A3:J4"/>
    <mergeCell ref="A21:J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HLOOKUP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Antonio Piemontese</cp:lastModifiedBy>
  <dcterms:modified xsi:type="dcterms:W3CDTF">2026-10-26T16:03:03Z</dcterms:modified>
</cp:coreProperties>
</file>