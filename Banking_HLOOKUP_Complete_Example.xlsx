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9fb2e198144119" /></Relationships>
</file>

<file path=xl/workbook.xml><?xml version="1.0" encoding="utf-8"?>
<x:workbook xmlns:x="http://schemas.openxmlformats.org/spreadsheetml/2006/main">
  <x:sheets>
    <x:sheet xmlns:r="http://schemas.openxmlformats.org/officeDocument/2006/relationships" name="HLOOKUP Example" sheetId="1" r:id="Rcccd85a1929147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
  </x:numFmts>
  <x:fonts count="5">
    <x:font>
      <x:sz val="11"/>
      <x:name val="Carlito"/>
    </x:font>
    <x:font>
      <x:b/>
      <x:sz val="16"/>
      <x:color rgb="FFFFFFFF"/>
      <x:name val="Carlito"/>
    </x:font>
    <x:font>
      <x:b/>
      <x:sz val="11"/>
      <x:color rgb="FFFFFFFF"/>
      <x:name val="Carlito"/>
    </x:font>
    <x:font>
      <x:b/>
      <x:sz val="11"/>
      <x:name val="Carlito"/>
    </x:font>
    <x:font>
      <x:i/>
      <x:sz val="11"/>
      <x:name val="Carlito"/>
    </x:font>
  </x:fonts>
  <x:fills count="9">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70AD47"/>
      </x:patternFill>
    </x:fill>
    <x:fill>
      <x:patternFill patternType="solid">
        <x:fgColor rgb="FFE2F0D9"/>
      </x:patternFill>
    </x:fill>
    <x:fill>
      <x:patternFill patternType="solid">
        <x:fgColor rgb="FFA64D79"/>
      </x:patternFill>
    </x:fill>
    <x:fill>
      <x:patternFill patternType="solid">
        <x:fgColor rgb="FFFFF2CC"/>
      </x:patternFill>
    </x:fill>
  </x:fills>
  <x:borders count="2">
    <x:border/>
    <x:border/>
  </x:borders>
  <x:cellStyleXfs count="1">
    <x:xf numFmtId="0" fontId="0" fillId="0" borderId="0"/>
  </x:cellStyleXfs>
  <x:cellXfs count="5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x:xf numFmtId="0" fontId="0"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wrapText="1"/>
    </x:xf>
    <x:xf numFmtId="0" fontId="2" fillId="4" borderId="1" xfId="0" applyNumberFormat="1" applyFont="1" applyFill="1" applyBorder="1" applyAlignment="1">
      <x:alignment horizontal="center" wrapText="1"/>
    </x:xf>
    <x:xf numFmtId="0" fontId="2" fillId="4" borderId="1" xfId="0" applyNumberFormat="1" applyFont="1" applyFill="1" applyBorder="1" applyAlignment="1">
      <x:alignment horizontal="center" vertical="center" wrapText="1"/>
    </x:xf>
    <x:xf numFmtId="0" fontId="0" fillId="5" borderId="0" xfId="0" applyNumberFormat="1" applyFont="1" applyFill="1" applyBorder="1"/>
    <x:xf numFmtId="0" fontId="2" fillId="5" borderId="0" xfId="0" applyNumberFormat="1" applyFont="1" applyFill="1" applyBorder="1"/>
    <x:xf numFmtId="0" fontId="2" fillId="5" borderId="0" xfId="0" applyNumberFormat="1" applyFont="1" applyFill="1" applyBorder="1" applyAlignment="1">
      <x:alignment wrapText="1"/>
    </x:xf>
    <x:xf numFmtId="0" fontId="2" fillId="5" borderId="0" xfId="0" applyNumberFormat="1" applyFont="1" applyFill="1" applyBorder="1" applyAlignment="1">
      <x:alignment horizontal="center" wrapText="1"/>
    </x:xf>
    <x:xf numFmtId="0" fontId="2" fillId="5" borderId="0" xfId="0" applyNumberFormat="1" applyFont="1" applyFill="1" applyBorder="1" applyAlignment="1">
      <x:alignment horizontal="center" vertical="center" wrapText="1"/>
    </x:xf>
    <x:xf numFmtId="0" fontId="0" fillId="5" borderId="1" xfId="0" applyNumberFormat="1" applyFont="1" applyFill="1" applyBorder="1"/>
    <x:xf numFmtId="0" fontId="2" fillId="5" borderId="1" xfId="0" applyNumberFormat="1" applyFont="1" applyFill="1" applyBorder="1"/>
    <x:xf numFmtId="0" fontId="2" fillId="5" borderId="1" xfId="0" applyNumberFormat="1" applyFont="1" applyFill="1" applyBorder="1" applyAlignment="1">
      <x:alignment wrapText="1"/>
    </x:xf>
    <x:xf numFmtId="0" fontId="2" fillId="5" borderId="1" xfId="0" applyNumberFormat="1" applyFont="1" applyFill="1" applyBorder="1" applyAlignment="1">
      <x:alignment horizontal="center" wrapText="1"/>
    </x:xf>
    <x:xf numFmtId="0" fontId="2" fillId="5" borderId="1"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0" fillId="6" borderId="1" xfId="0" applyNumberFormat="1" applyFont="1" applyFill="1" applyBorder="1"/>
    <x:xf numFmtId="0" fontId="3" fillId="6"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2" fillId="7" borderId="0" xfId="0" applyNumberFormat="1" applyFont="1" applyFill="1" applyBorder="1" applyAlignment="1">
      <x:alignment horizontal="center" wrapText="1"/>
    </x:xf>
    <x:xf numFmtId="0" fontId="2" fillId="7" borderId="0" xfId="0" applyNumberFormat="1" applyFont="1" applyFill="1" applyBorder="1" applyAlignment="1">
      <x:alignment horizontal="center" vertical="center" wrapText="1"/>
    </x:xf>
    <x:xf numFmtId="0" fontId="0" fillId="7" borderId="1" xfId="0" applyNumberFormat="1" applyFont="1" applyFill="1" applyBorder="1"/>
    <x:xf numFmtId="0" fontId="2" fillId="7" borderId="1" xfId="0" applyNumberFormat="1" applyFont="1" applyFill="1" applyBorder="1"/>
    <x:xf numFmtId="0" fontId="2" fillId="7" borderId="1" xfId="0" applyNumberFormat="1" applyFont="1" applyFill="1" applyBorder="1" applyAlignment="1">
      <x:alignment wrapText="1"/>
    </x:xf>
    <x:xf numFmtId="0" fontId="2" fillId="7" borderId="1" xfId="0" applyNumberFormat="1" applyFont="1" applyFill="1" applyBorder="1" applyAlignment="1">
      <x:alignment horizontal="center" wrapText="1"/>
    </x:xf>
    <x:xf numFmtId="0" fontId="2" fillId="7" borderId="1" xfId="0" applyNumberFormat="1" applyFont="1" applyFill="1" applyBorder="1" applyAlignment="1">
      <x:alignment horizontal="center" vertical="center"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b5a79f686fa49d7" /><Relationship Type="http://schemas.openxmlformats.org/officeDocument/2006/relationships/theme" Target="/xl/theme/theme1.xml" Id="R14090e77a4ce4fb8" /><Relationship Type="http://schemas.openxmlformats.org/officeDocument/2006/relationships/sharedStrings" Target="/xl/sharedStrings.xml" Id="Rfff36a7015394de4" /><Relationship Type="http://schemas.openxmlformats.org/officeDocument/2006/relationships/worksheet" Target="/xl/worksheets/sheet1.xml" Id="Rcccd85a1929147c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14" hidden="0" customWidth="1"/>
    <x:col min="2" max="2" width="20" hidden="0" customWidth="1"/>
    <x:col min="3" max="3" width="14" hidden="0" customWidth="1"/>
    <x:col min="4" max="4" width="16" hidden="0" customWidth="1"/>
    <x:col min="5" max="5" width="28" hidden="0" customWidth="1"/>
    <x:col min="6" max="6" width="15" hidden="0" customWidth="1"/>
    <x:col min="7" max="7" width="15" hidden="0" customWidth="1"/>
    <x:col min="8" max="8" width="15" hidden="0" customWidth="1"/>
    <x:col min="9" max="9" width="15" hidden="0" customWidth="1"/>
    <x:col min="10" max="10" width="15" hidden="0" customWidth="1"/>
  </x:cols>
  <x:sheetData>
    <x:row r="1" ht="28" customHeight="1">
      <x:c r="A1" s="5" t="str">
        <x:v>HLOOKUP in Banking — Retrieving Lending Conditions from a Rating Matrix</x:v>
      </x:c>
    </x:row>
    <x:row r="3">
      <x:c r="A3" s="11" t="str">
        <x:v>Business scenario: the customer table contains a Credit Rating for each customer. The Lending Conditions matrix stores ratings horizontally across the first row, with the corresponding interest rate and maximum credit limit underneath. HLOOKUP uses the rating as a key to retrieve those conditions.</x:v>
      </x:c>
      <x:c r="B3" s="11"/>
      <x:c r="C3" s="11"/>
      <x:c r="D3" s="11"/>
      <x:c r="E3" s="11"/>
      <x:c r="F3" s="11"/>
      <x:c r="G3" s="11"/>
      <x:c r="H3" s="11"/>
      <x:c r="I3" s="11"/>
      <x:c r="J3" s="11"/>
    </x:row>
    <x:row r="4">
      <x:c r="A4" s="11"/>
      <x:c r="B4" s="11"/>
      <x:c r="C4" s="11"/>
      <x:c r="D4" s="11"/>
      <x:c r="E4" s="11"/>
      <x:c r="F4" s="11"/>
      <x:c r="G4" s="11"/>
      <x:c r="H4" s="11"/>
      <x:c r="I4" s="11"/>
      <x:c r="J4" s="11"/>
    </x:row>
    <x:row r="6">
      <x:c r="A6" s="18" t="str">
        <x:v>Customer ID</x:v>
      </x:c>
      <x:c r="B6" s="18" t="str">
        <x:v>Customer Name</x:v>
      </x:c>
      <x:c r="C6" s="18" t="str">
        <x:v>Credit Rating</x:v>
      </x:c>
      <x:c r="E6" s="28" t="str">
        <x:v>Metric</x:v>
      </x:c>
      <x:c r="F6" s="28" t="str">
        <x:v>AAA</x:v>
      </x:c>
      <x:c r="G6" s="28" t="str">
        <x:v>AA</x:v>
      </x:c>
      <x:c r="H6" s="28" t="str">
        <x:v>A</x:v>
      </x:c>
      <x:c r="I6" s="28" t="str">
        <x:v>BBB</x:v>
      </x:c>
      <x:c r="J6" s="28" t="str">
        <x:v>BB</x:v>
      </x:c>
    </x:row>
    <x:row r="7">
      <x:c r="A7" t="str">
        <x:v>CL001</x:v>
      </x:c>
      <x:c r="B7" t="str">
        <x:v>Northwind Ltd</x:v>
      </x:c>
      <x:c r="C7" t="str">
        <x:v>A</x:v>
      </x:c>
      <x:c r="E7" s="35" t="str">
        <x:v>Interest Rate</x:v>
      </x:c>
      <x:c r="F7" s="38" t="n">
        <x:v>0.032</x:v>
      </x:c>
      <x:c r="G7" s="38" t="n">
        <x:v>0.036</x:v>
      </x:c>
      <x:c r="H7" s="38" t="n">
        <x:v>0.042</x:v>
      </x:c>
      <x:c r="I7" s="38" t="n">
        <x:v>0.051</x:v>
      </x:c>
      <x:c r="J7" s="38" t="n">
        <x:v>0.067</x:v>
      </x:c>
    </x:row>
    <x:row r="8">
      <x:c r="A8" t="str">
        <x:v>CL002</x:v>
      </x:c>
      <x:c r="B8" t="str">
        <x:v>Blue River SA</x:v>
      </x:c>
      <x:c r="C8" t="str">
        <x:v>BBB</x:v>
      </x:c>
      <x:c r="E8" s="35" t="str">
        <x:v>Maximum Credit Limit (EUR)</x:v>
      </x:c>
      <x:c r="F8" s="40" t="n">
        <x:v>500000</x:v>
      </x:c>
      <x:c r="G8" s="40" t="n">
        <x:v>350000</x:v>
      </x:c>
      <x:c r="H8" s="40" t="n">
        <x:v>250000</x:v>
      </x:c>
      <x:c r="I8" s="40" t="n">
        <x:v>150000</x:v>
      </x:c>
      <x:c r="J8" s="40" t="n">
        <x:v>75000</x:v>
      </x:c>
    </x:row>
    <x:row r="9">
      <x:c r="A9" t="str">
        <x:v>CL003</x:v>
      </x:c>
      <x:c r="B9" t="str">
        <x:v>Greenfield SRL</x:v>
      </x:c>
      <x:c r="C9" t="str">
        <x:v>AA</x:v>
      </x:c>
    </x:row>
    <x:row r="10">
      <x:c r="A10" t="str">
        <x:v>CL004</x:v>
      </x:c>
      <x:c r="B10" t="str">
        <x:v>Metro Retail Ltd</x:v>
      </x:c>
      <x:c r="C10" t="str">
        <x:v>BB</x:v>
      </x:c>
    </x:row>
    <x:row r="11">
      <x:c r="A11" t="str">
        <x:v>CL005</x:v>
      </x:c>
      <x:c r="B11" t="str">
        <x:v>Sunrise Group</x:v>
      </x:c>
      <x:c r="C11" t="str">
        <x:v>AAA</x:v>
      </x:c>
    </x:row>
    <x:row r="14">
      <x:c r="A14" s="46" t="str">
        <x:v>Customer ID</x:v>
      </x:c>
      <x:c r="B14" s="46" t="str">
        <x:v>Customer Name</x:v>
      </x:c>
      <x:c r="C14" s="46" t="str">
        <x:v>Credit Rating</x:v>
      </x:c>
      <x:c r="D14" s="46" t="str">
        <x:v>Interest Rate</x:v>
      </x:c>
      <x:c r="E14" s="46" t="str">
        <x:v>Maximum Credit Limit (EUR)</x:v>
      </x:c>
    </x:row>
    <x:row r="15">
      <x:c r="A15" t="str">
        <x:v>CL001</x:v>
      </x:c>
      <x:c r="B15" t="str">
        <x:v>Northwind Ltd</x:v>
      </x:c>
      <x:c r="C15" t="str">
        <x:v>A</x:v>
      </x:c>
      <x:c r="D15" s="38" t="n">
        <x:f>HLOOKUP(C15,$F$6:$J$8,2,FALSE)</x:f>
        <x:v>0.042</x:v>
      </x:c>
      <x:c r="E15" s="40" t="n">
        <x:f>HLOOKUP(C15,$F$6:$J$8,3,FALSE)</x:f>
        <x:v>250000</x:v>
      </x:c>
    </x:row>
    <x:row r="16">
      <x:c r="A16" t="str">
        <x:v>CL002</x:v>
      </x:c>
      <x:c r="B16" t="str">
        <x:v>Blue River SA</x:v>
      </x:c>
      <x:c r="C16" t="str">
        <x:v>BBB</x:v>
      </x:c>
      <x:c r="D16" s="38" t="n">
        <x:f>HLOOKUP(C16,$F$6:$J$8,2,FALSE)</x:f>
        <x:v>0.051</x:v>
      </x:c>
      <x:c r="E16" s="40" t="n">
        <x:f>HLOOKUP(C16,$F$6:$J$8,3,FALSE)</x:f>
        <x:v>150000</x:v>
      </x:c>
    </x:row>
    <x:row r="17">
      <x:c r="A17" t="str">
        <x:v>CL003</x:v>
      </x:c>
      <x:c r="B17" t="str">
        <x:v>Greenfield SRL</x:v>
      </x:c>
      <x:c r="C17" t="str">
        <x:v>AA</x:v>
      </x:c>
      <x:c r="D17" s="38" t="n">
        <x:f>HLOOKUP(C17,$F$6:$J$8,2,FALSE)</x:f>
        <x:v>0.036</x:v>
      </x:c>
      <x:c r="E17" s="40" t="n">
        <x:f>HLOOKUP(C17,$F$6:$J$8,3,FALSE)</x:f>
        <x:v>350000</x:v>
      </x:c>
    </x:row>
    <x:row r="18">
      <x:c r="A18" t="str">
        <x:v>CL004</x:v>
      </x:c>
      <x:c r="B18" t="str">
        <x:v>Metro Retail Ltd</x:v>
      </x:c>
      <x:c r="C18" t="str">
        <x:v>BB</x:v>
      </x:c>
      <x:c r="D18" s="38" t="n">
        <x:f>HLOOKUP(C18,$F$6:$J$8,2,FALSE)</x:f>
        <x:v>0.067</x:v>
      </x:c>
      <x:c r="E18" s="40" t="n">
        <x:f>HLOOKUP(C18,$F$6:$J$8,3,FALSE)</x:f>
        <x:v>75000</x:v>
      </x:c>
    </x:row>
    <x:row r="19">
      <x:c r="A19" t="str">
        <x:v>CL005</x:v>
      </x:c>
      <x:c r="B19" t="str">
        <x:v>Sunrise Group</x:v>
      </x:c>
      <x:c r="C19" t="str">
        <x:v>AAA</x:v>
      </x:c>
      <x:c r="D19" s="38" t="n">
        <x:f>HLOOKUP(C19,$F$6:$J$8,2,FALSE)</x:f>
        <x:v>0.032</x:v>
      </x:c>
      <x:c r="E19" s="40" t="n">
        <x:f>HLOOKUP(C19,$F$6:$J$8,3,FALSE)</x:f>
        <x:v>500000</x:v>
      </x:c>
    </x:row>
    <x:row r="21">
      <x:c r="A21" s="54" t="str">
        <x:v>Formula pattern: =HLOOKUP(lookup_value, table_array, row_index, FALSE)   Example: =HLOOKUP(C15,$F$6:$J$8,2,FALSE)</x:v>
      </x:c>
      <x:c r="B21" s="54"/>
      <x:c r="C21" s="54"/>
      <x:c r="D21" s="54"/>
      <x:c r="E21" s="54"/>
      <x:c r="F21" s="54"/>
      <x:c r="G21" s="54"/>
      <x:c r="H21" s="54"/>
      <x:c r="I21" s="54"/>
      <x:c r="J21" s="54"/>
    </x:row>
    <x:row r="22">
      <x:c r="A22" s="54"/>
      <x:c r="B22" s="54"/>
      <x:c r="C22" s="54"/>
      <x:c r="D22" s="54"/>
      <x:c r="E22" s="54"/>
      <x:c r="F22" s="54"/>
      <x:c r="G22" s="54"/>
      <x:c r="H22" s="54"/>
      <x:c r="I22" s="54"/>
      <x:c r="J22" s="54"/>
    </x:row>
  </x:sheetData>
  <x:mergeCells>
    <x:mergeCell ref="A1:J1"/>
    <x:mergeCell ref="A3:J4"/>
    <x:mergeCell ref="A21:J22"/>
  </x:mergeCells>
  <x:pageMargins left="0.7" right="0.7" top="0.75" bottom="0.75" header="0.3" footer="0.3"/>
</x:worksheet>
</file>