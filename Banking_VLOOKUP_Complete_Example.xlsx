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Data Science con Excel\"/>
    </mc:Choice>
  </mc:AlternateContent>
  <xr:revisionPtr revIDLastSave="0" documentId="13_ncr:1_{E7FBFC83-6900-46F7-A644-E74FE1D43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LOOKUP 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C15" i="1"/>
</calcChain>
</file>

<file path=xl/sharedStrings.xml><?xml version="1.0" encoding="utf-8"?>
<sst xmlns="http://schemas.openxmlformats.org/spreadsheetml/2006/main" count="40" uniqueCount="22">
  <si>
    <t>VLOOKUP in Banking — Enriching Transactions with Product Information</t>
  </si>
  <si>
    <t>Account Code</t>
  </si>
  <si>
    <t>Transaction Amount (EUR)</t>
  </si>
  <si>
    <t>Product Name</t>
  </si>
  <si>
    <t>Risk Category</t>
  </si>
  <si>
    <t>Annual Fee (EUR)</t>
  </si>
  <si>
    <t>C0001</t>
  </si>
  <si>
    <t>Current Account</t>
  </si>
  <si>
    <t>Low</t>
  </si>
  <si>
    <t>C0004</t>
  </si>
  <si>
    <t>C0002</t>
  </si>
  <si>
    <t>Savings Account</t>
  </si>
  <si>
    <t>C0003</t>
  </si>
  <si>
    <t>Personal Loan</t>
  </si>
  <si>
    <t>Medium</t>
  </si>
  <si>
    <t>Mortgage</t>
  </si>
  <si>
    <t>C0005</t>
  </si>
  <si>
    <t>Credit Card</t>
  </si>
  <si>
    <t>High</t>
  </si>
  <si>
    <t>Formula pattern: =VLOOKUP(lookup_value, table_array, column_index, FALSE)   Example: =VLOOKUP(A15,$E$7:$H$11,2,FALSE)</t>
  </si>
  <si>
    <t>Business scenario: the transaction table contains only an Account Code and a Transaction Amount. The Product Master table stores the business attributes associated with each Account Code. VLOOKUP uses the Account Code as a key to retrieve Product Name, Risk Category, and Annual Fee, and this way enrich the final view</t>
  </si>
  <si>
    <t>The original transaction table ENRICHED with product table data - JUST for VIEW (no storing)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</si>
</sst>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A64D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3" borderId="0" xfId="0" applyFill="1" applyAlignment="1">
      <alignment wrapText="1"/>
    </xf>
    <xf numFmtId="0" fontId="3" fillId="7" borderId="0" xfId="0" applyFont="1" applyFill="1" applyAlignment="1">
      <alignment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BB798-186A-44C8-80A5-A29C15643696}" name="Table1" displayName="Table1" ref="E6:H11" totalsRowShown="0" headerRowDxfId="2">
  <autoFilter ref="E6:H11" xr:uid="{AAABB798-186A-44C8-80A5-A29C15643696}"/>
  <tableColumns count="4">
    <tableColumn id="1" xr3:uid="{DD56D30D-B4DE-4EFB-A878-C376FFC1E54C}" name="Account Code"/>
    <tableColumn id="2" xr3:uid="{078DDD5C-99B5-41DD-9BA0-4E6B25C035F5}" name="Product Name"/>
    <tableColumn id="3" xr3:uid="{CC09B622-D1B5-41CE-A630-F48FB194DA43}" name="Risk Category"/>
    <tableColumn id="4" xr3:uid="{7CED65B8-F265-47C9-8AC1-6DEE2AD7EC1E}" name="Annual Fee (EUR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7D5E1-7BC4-42E4-BF75-F93636F10E6F}" name="Table2" displayName="Table2" ref="A6:B11" totalsRowShown="0" headerRowDxfId="0">
  <autoFilter ref="A6:B11" xr:uid="{7F17D5E1-7BC4-42E4-BF75-F93636F10E6F}"/>
  <tableColumns count="2">
    <tableColumn id="1" xr3:uid="{2F81024F-0A5C-4B0C-A722-37FE1F5D4C9A}" name="Account Code"/>
    <tableColumn id="2" xr3:uid="{2E6CC9D1-B4EF-4862-8792-DC54BA47F895}" name="Transaction Amount (EUR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14" sqref="A14"/>
    </sheetView>
  </sheetViews>
  <sheetFormatPr defaultRowHeight="14.25"/>
  <cols>
    <col min="1" max="1" width="16" customWidth="1"/>
    <col min="2" max="2" width="26.125" customWidth="1"/>
    <col min="3" max="3" width="20" customWidth="1"/>
    <col min="4" max="5" width="16" customWidth="1"/>
    <col min="6" max="6" width="20" customWidth="1"/>
    <col min="7" max="7" width="16" customWidth="1"/>
    <col min="8" max="8" width="18.375" customWidth="1"/>
    <col min="9" max="10" width="3" customWidth="1"/>
  </cols>
  <sheetData>
    <row r="1" spans="1:10" ht="27.9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>
      <c r="A3" s="7" t="s">
        <v>20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6" spans="1:10" ht="30">
      <c r="A6" s="1" t="s">
        <v>1</v>
      </c>
      <c r="B6" s="1" t="s">
        <v>2</v>
      </c>
      <c r="E6" s="2" t="s">
        <v>1</v>
      </c>
      <c r="F6" s="2" t="s">
        <v>3</v>
      </c>
      <c r="G6" s="2" t="s">
        <v>4</v>
      </c>
      <c r="H6" s="2" t="s">
        <v>5</v>
      </c>
    </row>
    <row r="7" spans="1:10">
      <c r="A7" t="s">
        <v>6</v>
      </c>
      <c r="B7" s="4">
        <v>1250</v>
      </c>
      <c r="E7" t="s">
        <v>6</v>
      </c>
      <c r="F7" t="s">
        <v>7</v>
      </c>
      <c r="G7" t="s">
        <v>8</v>
      </c>
      <c r="H7" s="4">
        <v>60</v>
      </c>
    </row>
    <row r="8" spans="1:10">
      <c r="A8" t="s">
        <v>9</v>
      </c>
      <c r="B8" s="4">
        <v>8200</v>
      </c>
      <c r="E8" t="s">
        <v>10</v>
      </c>
      <c r="F8" t="s">
        <v>11</v>
      </c>
      <c r="G8" t="s">
        <v>8</v>
      </c>
      <c r="H8" s="4">
        <v>0</v>
      </c>
    </row>
    <row r="9" spans="1:10">
      <c r="A9" t="s">
        <v>12</v>
      </c>
      <c r="B9" s="4">
        <v>35000</v>
      </c>
      <c r="E9" t="s">
        <v>12</v>
      </c>
      <c r="F9" t="s">
        <v>13</v>
      </c>
      <c r="G9" t="s">
        <v>14</v>
      </c>
      <c r="H9" s="4">
        <v>120</v>
      </c>
    </row>
    <row r="10" spans="1:10">
      <c r="A10" t="s">
        <v>10</v>
      </c>
      <c r="B10" s="4">
        <v>5400</v>
      </c>
      <c r="E10" t="s">
        <v>9</v>
      </c>
      <c r="F10" t="s">
        <v>15</v>
      </c>
      <c r="G10" t="s">
        <v>14</v>
      </c>
      <c r="H10" s="4">
        <v>250</v>
      </c>
    </row>
    <row r="11" spans="1:10">
      <c r="A11" t="s">
        <v>16</v>
      </c>
      <c r="B11" s="4">
        <v>980</v>
      </c>
      <c r="E11" t="s">
        <v>16</v>
      </c>
      <c r="F11" t="s">
        <v>17</v>
      </c>
      <c r="G11" t="s">
        <v>18</v>
      </c>
      <c r="H11" s="4">
        <v>45</v>
      </c>
    </row>
    <row r="13" spans="1:10">
      <c r="A13" t="s">
        <v>21</v>
      </c>
    </row>
    <row r="14" spans="1:10" ht="30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10">
      <c r="A15" t="s">
        <v>6</v>
      </c>
      <c r="B15" s="4">
        <v>1250</v>
      </c>
      <c r="C15" t="str">
        <f>VLOOKUP(A15,$E$7:$H$11,2,FALSE)</f>
        <v>Current Account</v>
      </c>
      <c r="D15" t="str">
        <f>VLOOKUP(A15,$E$7:$H$11,3,FALSE)</f>
        <v>Low</v>
      </c>
      <c r="E15" s="4">
        <f>VLOOKUP(A15,$E$7:$H$11,4,FALSE)</f>
        <v>60</v>
      </c>
    </row>
    <row r="16" spans="1:10">
      <c r="A16" t="s">
        <v>9</v>
      </c>
      <c r="B16" s="4">
        <v>8200</v>
      </c>
      <c r="C16" t="str">
        <f>VLOOKUP(A16,$E$7:$H$11,2,FALSE)</f>
        <v>Mortgage</v>
      </c>
      <c r="D16" t="str">
        <f>VLOOKUP(A16,$E$7:$H$11,3,FALSE)</f>
        <v>Medium</v>
      </c>
      <c r="E16" s="4">
        <f>VLOOKUP(A16,$E$7:$H$11,4,FALSE)</f>
        <v>250</v>
      </c>
    </row>
    <row r="17" spans="1:10">
      <c r="A17" t="s">
        <v>12</v>
      </c>
      <c r="B17" s="4">
        <v>35000</v>
      </c>
      <c r="C17" t="str">
        <f>VLOOKUP(A17,$E$7:$H$11,2,FALSE)</f>
        <v>Personal Loan</v>
      </c>
      <c r="D17" t="str">
        <f>VLOOKUP(A17,$E$7:$H$11,3,FALSE)</f>
        <v>Medium</v>
      </c>
      <c r="E17" s="4">
        <f>VLOOKUP(A17,$E$7:$H$11,4,FALSE)</f>
        <v>120</v>
      </c>
    </row>
    <row r="18" spans="1:10">
      <c r="A18" t="s">
        <v>10</v>
      </c>
      <c r="B18" s="4">
        <v>5400</v>
      </c>
      <c r="C18" t="str">
        <f>VLOOKUP(A18,$E$7:$H$11,2,FALSE)</f>
        <v>Savings Account</v>
      </c>
      <c r="D18" t="str">
        <f>VLOOKUP(A18,$E$7:$H$11,3,FALSE)</f>
        <v>Low</v>
      </c>
      <c r="E18" s="4">
        <f>VLOOKUP(A18,$E$7:$H$11,4,FALSE)</f>
        <v>0</v>
      </c>
    </row>
    <row r="19" spans="1:10">
      <c r="A19" t="s">
        <v>16</v>
      </c>
      <c r="B19" s="4">
        <v>980</v>
      </c>
      <c r="C19" t="str">
        <f>VLOOKUP(A19,$E$7:$H$11,2,FALSE)</f>
        <v>Credit Card</v>
      </c>
      <c r="D19" t="str">
        <f>VLOOKUP(A19,$E$7:$H$11,3,FALSE)</f>
        <v>High</v>
      </c>
      <c r="E19" s="4">
        <f>VLOOKUP(A19,$E$7:$H$11,4,FALSE)</f>
        <v>45</v>
      </c>
    </row>
    <row r="21" spans="1:10">
      <c r="A21" s="8" t="s">
        <v>19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8"/>
      <c r="B22" s="8"/>
      <c r="C22" s="8"/>
      <c r="D22" s="8"/>
      <c r="E22" s="8"/>
      <c r="F22" s="8"/>
      <c r="G22" s="8"/>
      <c r="H22" s="8"/>
      <c r="I22" s="8"/>
      <c r="J22" s="8"/>
    </row>
  </sheetData>
  <mergeCells count="3">
    <mergeCell ref="A1:J1"/>
    <mergeCell ref="A3:J4"/>
    <mergeCell ref="A21:J2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Piemontese</cp:lastModifiedBy>
  <dcterms:modified xsi:type="dcterms:W3CDTF">2026-10-26T16:00:14Z</dcterms:modified>
</cp:coreProperties>
</file>